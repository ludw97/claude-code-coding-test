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2" autoFilterDateGrouping="1"/>
  </bookViews>
  <sheets>
    <sheet xmlns:r="http://schemas.openxmlformats.org/officeDocument/2006/relationships" name="饼图" sheetId="1" state="visible" r:id="rId1"/>
    <sheet xmlns:r="http://schemas.openxmlformats.org/officeDocument/2006/relationships" name="医疗成本" sheetId="2" state="visible" r:id="rId2"/>
    <sheet xmlns:r="http://schemas.openxmlformats.org/officeDocument/2006/relationships" name="人员经费" sheetId="3" state="visible" r:id="rId3"/>
    <sheet xmlns:r="http://schemas.openxmlformats.org/officeDocument/2006/relationships" name="水电煤" sheetId="4" state="visible" r:id="rId4"/>
    <sheet xmlns:r="http://schemas.openxmlformats.org/officeDocument/2006/relationships" name="预算完成情况" sheetId="5" state="visible" r:id="rId5"/>
    <sheet xmlns:r="http://schemas.openxmlformats.org/officeDocument/2006/relationships" name="收支结余" sheetId="6" state="visible" r:id="rId6"/>
    <sheet xmlns:r="http://schemas.openxmlformats.org/officeDocument/2006/relationships" name="商品服务" sheetId="7" state="visible" r:id="rId7"/>
    <sheet xmlns:r="http://schemas.openxmlformats.org/officeDocument/2006/relationships" name="物业管理" sheetId="8" state="visible" r:id="rId8"/>
    <sheet xmlns:r="http://schemas.openxmlformats.org/officeDocument/2006/relationships" name="维修护费" sheetId="9" state="visible" r:id="rId9"/>
    <sheet xmlns:r="http://schemas.openxmlformats.org/officeDocument/2006/relationships" name="后勤维修" sheetId="10" state="visible" r:id="rId10"/>
    <sheet xmlns:r="http://schemas.openxmlformats.org/officeDocument/2006/relationships" name="卫生材料" sheetId="11" state="visible" r:id="rId11"/>
    <sheet xmlns:r="http://schemas.openxmlformats.org/officeDocument/2006/relationships" name="当年累计数据表" sheetId="12" state="visible" r:id="rId12"/>
    <sheet xmlns:r="http://schemas.openxmlformats.org/officeDocument/2006/relationships" name="当年累计数据表奉贤" sheetId="13" state="visible" r:id="rId13"/>
    <sheet xmlns:r="http://schemas.openxmlformats.org/officeDocument/2006/relationships" name="去年累计数据表" sheetId="14" state="visible" r:id="rId14"/>
    <sheet xmlns:r="http://schemas.openxmlformats.org/officeDocument/2006/relationships" name="当年连续累计数据表" sheetId="15" state="visible" r:id="rId15"/>
    <sheet xmlns:r="http://schemas.openxmlformats.org/officeDocument/2006/relationships" name="当月附表1" sheetId="16" state="visible" r:id="rId16"/>
    <sheet xmlns:r="http://schemas.openxmlformats.org/officeDocument/2006/relationships" name="当月奉贤附表1" sheetId="17" state="visible" r:id="rId17"/>
    <sheet xmlns:r="http://schemas.openxmlformats.org/officeDocument/2006/relationships" name="上年同期附表1" sheetId="18" state="visible" r:id="rId18"/>
    <sheet xmlns:r="http://schemas.openxmlformats.org/officeDocument/2006/relationships" name="当月附表2" sheetId="19" state="visible" r:id="rId19"/>
    <sheet xmlns:r="http://schemas.openxmlformats.org/officeDocument/2006/relationships" name="当月奉贤附表2" sheetId="20" state="visible" r:id="rId20"/>
    <sheet xmlns:r="http://schemas.openxmlformats.org/officeDocument/2006/relationships" name="上年同期附表2" sheetId="21" state="visible" r:id="rId21"/>
    <sheet xmlns:r="http://schemas.openxmlformats.org/officeDocument/2006/relationships" name="当月附表3" sheetId="22" state="visible" r:id="rId22"/>
    <sheet xmlns:r="http://schemas.openxmlformats.org/officeDocument/2006/relationships" name="当月奉贤附表3" sheetId="23" state="visible" r:id="rId23"/>
    <sheet xmlns:r="http://schemas.openxmlformats.org/officeDocument/2006/relationships" name="上年同期附表3" sheetId="24" state="visible" r:id="rId24"/>
  </sheets>
  <externalReferences>
    <externalReference xmlns:r="http://schemas.openxmlformats.org/officeDocument/2006/relationships" r:id="rId25"/>
  </externalReference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_ "/>
    <numFmt numFmtId="166" formatCode="#,###.00;\-#,###.00"/>
    <numFmt numFmtId="167" formatCode="#,##0.00_ "/>
    <numFmt numFmtId="168" formatCode="0.00;\-0.00;&quot;0.00&quot;"/>
  </numFmts>
  <fonts count="47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Arial"/>
      <family val="2"/>
      <sz val="18"/>
    </font>
    <font>
      <name val="微软雅黑"/>
      <charset val="134"/>
      <family val="2"/>
      <b val="1"/>
      <color rgb="FF000000"/>
      <sz val="14"/>
    </font>
    <font>
      <name val="微软雅黑"/>
      <charset val="134"/>
      <family val="2"/>
      <b val="1"/>
      <color rgb="FF000000"/>
      <sz val="16"/>
    </font>
    <font>
      <name val="微软雅黑"/>
      <charset val="134"/>
      <family val="2"/>
      <color rgb="FF000000"/>
      <sz val="14"/>
    </font>
    <font>
      <name val="微软雅黑"/>
      <charset val="134"/>
      <family val="2"/>
      <b val="1"/>
      <color rgb="FFC00000"/>
      <sz val="14"/>
    </font>
    <font>
      <name val="微软雅黑"/>
      <charset val="134"/>
      <family val="2"/>
      <b val="1"/>
      <color rgb="FFC00000"/>
      <sz val="16"/>
    </font>
    <font>
      <name val="微软雅黑"/>
      <charset val="134"/>
      <family val="2"/>
      <color rgb="FFC00000"/>
      <sz val="14"/>
    </font>
    <font>
      <name val="等线"/>
      <charset val="134"/>
      <family val="2"/>
      <sz val="9"/>
      <scheme val="minor"/>
    </font>
    <font>
      <name val="宋体"/>
      <charset val="134"/>
      <family val="3"/>
      <color rgb="FF000000"/>
      <sz val="10"/>
    </font>
    <font>
      <name val="微软雅黑"/>
      <charset val="134"/>
      <family val="2"/>
      <sz val="9"/>
    </font>
    <font>
      <name val="微软雅黑"/>
      <charset val="134"/>
      <family val="2"/>
      <b val="1"/>
      <color rgb="FF000000"/>
      <sz val="18"/>
    </font>
    <font>
      <name val="微软雅黑"/>
      <charset val="134"/>
      <family val="2"/>
      <color rgb="FF000000"/>
      <sz val="18"/>
    </font>
    <font>
      <name val="微软雅黑"/>
      <charset val="134"/>
      <family val="2"/>
      <color rgb="FF0000FF"/>
      <sz val="15"/>
    </font>
    <font>
      <name val="微软雅黑"/>
      <charset val="134"/>
      <family val="2"/>
      <b val="1"/>
      <color rgb="FFC00000"/>
      <sz val="18"/>
    </font>
    <font>
      <name val="微软雅黑"/>
      <charset val="134"/>
      <family val="2"/>
      <b val="1"/>
      <color rgb="FF000000"/>
      <sz val="15"/>
    </font>
    <font>
      <name val="微软雅黑"/>
      <charset val="134"/>
      <family val="2"/>
      <b val="1"/>
      <color rgb="FF000066"/>
      <sz val="16"/>
    </font>
    <font>
      <name val="微软雅黑"/>
      <charset val="134"/>
      <family val="2"/>
      <b val="1"/>
      <color rgb="FF000066"/>
      <sz val="15"/>
    </font>
    <font>
      <name val="微软雅黑"/>
      <charset val="134"/>
      <family val="2"/>
      <color rgb="FF0F1321"/>
      <sz val="12"/>
    </font>
    <font>
      <name val="微软雅黑"/>
      <charset val="134"/>
      <family val="2"/>
      <color rgb="FF0F1321"/>
      <sz val="15"/>
    </font>
    <font>
      <name val="微软雅黑"/>
      <charset val="134"/>
      <family val="2"/>
      <b val="1"/>
      <color rgb="FF000066"/>
      <sz val="20"/>
    </font>
    <font>
      <name val="微软雅黑"/>
      <charset val="134"/>
      <family val="2"/>
      <color rgb="FF000000"/>
      <sz val="15"/>
    </font>
    <font>
      <name val="微软雅黑"/>
      <charset val="134"/>
      <family val="2"/>
      <b val="1"/>
      <color rgb="FFC00000"/>
      <sz val="20"/>
    </font>
    <font>
      <name val="微软雅黑"/>
      <charset val="134"/>
      <family val="2"/>
      <b val="1"/>
      <color rgb="FF000066"/>
      <sz val="18"/>
    </font>
    <font>
      <name val="微软雅黑"/>
      <charset val="134"/>
      <family val="2"/>
      <b val="1"/>
      <color rgb="FF002060"/>
      <sz val="20"/>
    </font>
    <font>
      <name val="微软雅黑"/>
      <charset val="134"/>
      <family val="2"/>
      <b val="1"/>
      <color rgb="FF0000FF"/>
      <sz val="16"/>
    </font>
    <font>
      <name val="微软雅黑"/>
      <charset val="134"/>
      <family val="2"/>
      <color rgb="FF000000"/>
      <sz val="16"/>
    </font>
    <font>
      <name val="微软雅黑"/>
      <charset val="134"/>
      <family val="2"/>
      <b val="1"/>
      <color rgb="FF000066"/>
      <sz val="14"/>
    </font>
    <font>
      <name val="微软雅黑"/>
      <charset val="134"/>
      <family val="2"/>
      <b val="1"/>
      <color rgb="FFC00000"/>
      <sz val="15"/>
    </font>
    <font>
      <name val="宋体"/>
      <charset val="134"/>
      <family val="3"/>
      <color rgb="FF000000"/>
      <sz val="12"/>
    </font>
    <font>
      <name val="SimSun"/>
      <charset val="134"/>
      <sz val="9"/>
    </font>
    <font>
      <name val="微软雅黑"/>
      <charset val="134"/>
      <family val="2"/>
      <b val="1"/>
      <color rgb="FF0F1321"/>
      <sz val="15"/>
    </font>
    <font>
      <name val="微软雅黑"/>
      <charset val="134"/>
      <family val="2"/>
      <color rgb="FF0F1321"/>
      <sz val="14"/>
    </font>
    <font>
      <name val="宋体"/>
      <charset val="134"/>
      <family val="3"/>
      <b val="1"/>
      <sz val="18"/>
    </font>
    <font>
      <name val="宋体"/>
      <charset val="134"/>
      <family val="3"/>
      <sz val="9"/>
    </font>
    <font>
      <name val="宋体"/>
      <charset val="134"/>
      <family val="3"/>
      <sz val="10"/>
    </font>
    <font>
      <name val="宋体"/>
      <charset val="134"/>
      <family val="3"/>
      <b val="1"/>
      <sz val="10"/>
    </font>
    <font>
      <name val="宋体"/>
      <charset val="134"/>
      <family val="3"/>
      <sz val="11"/>
    </font>
    <font>
      <name val="宋体"/>
      <charset val="134"/>
      <family val="3"/>
      <b val="1"/>
      <sz val="14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000000"/>
      <sz val="18"/>
    </font>
    <font>
      <name val="宋体"/>
      <charset val="134"/>
      <family val="3"/>
      <color rgb="FF000000"/>
      <sz val="9"/>
    </font>
    <font>
      <name val="宋体"/>
      <charset val="134"/>
      <family val="3"/>
      <b val="1"/>
      <color rgb="FF000000"/>
      <sz val="10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color rgb="FF000000"/>
      <sz val="14"/>
    </font>
    <font>
      <name val="宋体"/>
      <charset val="134"/>
      <family val="3"/>
      <b val="1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/>
      <right/>
      <top style="medium">
        <color rgb="FF333399"/>
      </top>
      <bottom style="medium">
        <color rgb="FF333399"/>
      </bottom>
      <diagonal/>
    </border>
    <border>
      <left/>
      <right/>
      <top style="medium">
        <color rgb="FF333399"/>
      </top>
      <bottom/>
      <diagonal/>
    </border>
    <border>
      <left/>
      <right/>
      <top/>
      <bottom style="medium">
        <color rgb="FF33339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2D2D8A"/>
      </top>
      <bottom/>
      <diagonal/>
    </border>
    <border>
      <left/>
      <right/>
      <top/>
      <bottom style="medium">
        <color rgb="FF2D2D8A"/>
      </bottom>
      <diagonal/>
    </border>
    <border>
      <left/>
      <right/>
      <top style="medium">
        <color rgb="FF2D2D8A"/>
      </top>
      <bottom style="medium">
        <color rgb="FF2D2D8A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333399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medium">
        <color rgb="FF2D2D8A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rgb="FF000000"/>
      </top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308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 readingOrder="1"/>
    </xf>
    <xf numFmtId="0" fontId="3" fillId="0" borderId="2" applyAlignment="1" pivotButton="0" quotePrefix="0" xfId="0">
      <alignment horizontal="center" vertical="center" wrapText="1" readingOrder="1"/>
    </xf>
    <xf numFmtId="0" fontId="4" fillId="0" borderId="0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 readingOrder="1"/>
    </xf>
    <xf numFmtId="0" fontId="5" fillId="0" borderId="0" applyAlignment="1" pivotButton="0" quotePrefix="0" xfId="0">
      <alignment horizontal="center" vertical="center" wrapText="1" readingOrder="1"/>
    </xf>
    <xf numFmtId="3" fontId="0" fillId="0" borderId="0" applyAlignment="1" pivotButton="0" quotePrefix="0" xfId="0">
      <alignment vertical="center"/>
    </xf>
    <xf numFmtId="3" fontId="4" fillId="0" borderId="2" applyAlignment="1" pivotButton="0" quotePrefix="0" xfId="0">
      <alignment horizontal="center" vertical="center" wrapText="1" readingOrder="1"/>
    </xf>
    <xf numFmtId="3" fontId="5" fillId="0" borderId="2" applyAlignment="1" pivotButton="0" quotePrefix="0" xfId="0">
      <alignment horizontal="center" vertical="center" wrapText="1" readingOrder="1"/>
    </xf>
    <xf numFmtId="3" fontId="4" fillId="0" borderId="0" applyAlignment="1" pivotButton="0" quotePrefix="0" xfId="0">
      <alignment horizontal="center" vertical="center" wrapText="1" readingOrder="1"/>
    </xf>
    <xf numFmtId="3" fontId="5" fillId="0" borderId="0" applyAlignment="1" pivotButton="0" quotePrefix="0" xfId="0">
      <alignment horizontal="center" vertical="center" wrapText="1" readingOrder="1"/>
    </xf>
    <xf numFmtId="0" fontId="6" fillId="0" borderId="3" applyAlignment="1" pivotButton="0" quotePrefix="0" xfId="0">
      <alignment horizontal="center" vertical="center" wrapText="1" readingOrder="1"/>
    </xf>
    <xf numFmtId="3" fontId="7" fillId="0" borderId="3" applyAlignment="1" pivotButton="0" quotePrefix="0" xfId="0">
      <alignment horizontal="center" vertical="center" wrapText="1" readingOrder="1"/>
    </xf>
    <xf numFmtId="3" fontId="8" fillId="0" borderId="3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 readingOrder="1"/>
    </xf>
    <xf numFmtId="0" fontId="3" fillId="0" borderId="2" applyAlignment="1" pivotButton="0" quotePrefix="0" xfId="0">
      <alignment horizontal="left" vertical="center" wrapText="1" indent="1" readingOrder="1"/>
    </xf>
    <xf numFmtId="3" fontId="3" fillId="0" borderId="2" applyAlignment="1" pivotButton="0" quotePrefix="0" xfId="0">
      <alignment horizontal="center" vertical="center" wrapText="1" readingOrder="1"/>
    </xf>
    <xf numFmtId="164" fontId="3" fillId="0" borderId="2" applyAlignment="1" pivotButton="0" quotePrefix="0" xfId="0">
      <alignment horizontal="center" vertical="center" wrapText="1" readingOrder="1"/>
    </xf>
    <xf numFmtId="164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 indent="1" readingOrder="1"/>
    </xf>
    <xf numFmtId="3" fontId="3" fillId="0" borderId="0" applyAlignment="1" pivotButton="0" quotePrefix="0" xfId="0">
      <alignment horizontal="center" vertical="center" wrapText="1" readingOrder="1"/>
    </xf>
    <xf numFmtId="164" fontId="3" fillId="0" borderId="0" applyAlignment="1" pivotButton="0" quotePrefix="0" xfId="0">
      <alignment horizontal="center" vertical="center" wrapText="1" readingOrder="1"/>
    </xf>
    <xf numFmtId="164" fontId="3" fillId="0" borderId="0" applyAlignment="1" pivotButton="0" quotePrefix="0" xfId="1">
      <alignment horizontal="center" vertical="center" wrapText="1" readingOrder="1"/>
    </xf>
    <xf numFmtId="3" fontId="6" fillId="0" borderId="3" applyAlignment="1" pivotButton="0" quotePrefix="0" xfId="0">
      <alignment horizontal="center" vertical="center" wrapText="1" readingOrder="1"/>
    </xf>
    <xf numFmtId="164" fontId="6" fillId="0" borderId="3" applyAlignment="1" pivotButton="0" quotePrefix="0" xfId="0">
      <alignment horizontal="center" vertical="center" wrapText="1" readingOrder="1"/>
    </xf>
    <xf numFmtId="164" fontId="0" fillId="0" borderId="0" applyAlignment="1" pivotButton="0" quotePrefix="0" xfId="1">
      <alignment horizontal="center" vertical="center"/>
    </xf>
    <xf numFmtId="0" fontId="12" fillId="0" borderId="7" applyAlignment="1" pivotButton="0" quotePrefix="0" xfId="0">
      <alignment horizontal="center" vertical="center" wrapText="1" readingOrder="1"/>
    </xf>
    <xf numFmtId="0" fontId="12" fillId="0" borderId="8" applyAlignment="1" pivotButton="0" quotePrefix="0" xfId="0">
      <alignment horizontal="center" vertical="center" wrapText="1" readingOrder="1"/>
    </xf>
    <xf numFmtId="165" fontId="13" fillId="0" borderId="7" applyAlignment="1" pivotButton="0" quotePrefix="0" xfId="0">
      <alignment horizontal="center" vertical="center" wrapText="1" readingOrder="1"/>
    </xf>
    <xf numFmtId="165" fontId="2" fillId="0" borderId="7" applyAlignment="1" pivotButton="0" quotePrefix="0" xfId="0">
      <alignment horizontal="center" vertical="center" wrapText="1"/>
    </xf>
    <xf numFmtId="10" fontId="2" fillId="0" borderId="7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left" vertical="center" wrapText="1" readingOrder="1"/>
    </xf>
    <xf numFmtId="165" fontId="14" fillId="0" borderId="0" applyAlignment="1" pivotButton="0" quotePrefix="0" xfId="0">
      <alignment horizontal="center" vertical="center" wrapText="1" readingOrder="1"/>
    </xf>
    <xf numFmtId="10" fontId="14" fillId="0" borderId="0" applyAlignment="1" pivotButton="0" quotePrefix="0" xfId="1">
      <alignment horizontal="center" vertical="center" wrapText="1" readingOrder="1"/>
    </xf>
    <xf numFmtId="0" fontId="14" fillId="0" borderId="0" applyAlignment="1" pivotButton="0" quotePrefix="0" xfId="0">
      <alignment horizontal="left" vertical="center" wrapText="1" readingOrder="1"/>
    </xf>
    <xf numFmtId="165" fontId="13" fillId="0" borderId="0" applyAlignment="1" pivotButton="0" quotePrefix="0" xfId="0">
      <alignment horizontal="center" vertical="center" wrapText="1" readingOrder="1"/>
    </xf>
    <xf numFmtId="165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 readingOrder="1"/>
    </xf>
    <xf numFmtId="165" fontId="15" fillId="0" borderId="0" applyAlignment="1" pivotButton="0" quotePrefix="0" xfId="0">
      <alignment horizontal="center" vertical="center" wrapText="1" readingOrder="1"/>
    </xf>
    <xf numFmtId="10" fontId="15" fillId="0" borderId="0" applyAlignment="1" pivotButton="0" quotePrefix="0" xfId="1">
      <alignment horizontal="center" vertical="center" wrapText="1" readingOrder="1"/>
    </xf>
    <xf numFmtId="0" fontId="15" fillId="0" borderId="0" applyAlignment="1" pivotButton="0" quotePrefix="0" xfId="0">
      <alignment horizontal="center" vertical="center" wrapText="1" readingOrder="1"/>
    </xf>
    <xf numFmtId="0" fontId="16" fillId="0" borderId="0" applyAlignment="1" pivotButton="0" quotePrefix="0" xfId="0">
      <alignment horizontal="center" vertical="center" wrapText="1" readingOrder="1"/>
    </xf>
    <xf numFmtId="0" fontId="16" fillId="0" borderId="7" applyAlignment="1" pivotButton="0" quotePrefix="0" xfId="0">
      <alignment horizontal="center" vertical="center" wrapText="1" readingOrder="1"/>
    </xf>
    <xf numFmtId="0" fontId="16" fillId="0" borderId="8" applyAlignment="1" pivotButton="0" quotePrefix="0" xfId="0">
      <alignment horizontal="center" vertical="center" wrapText="1" readingOrder="1"/>
    </xf>
    <xf numFmtId="0" fontId="17" fillId="0" borderId="7" applyAlignment="1" pivotButton="0" quotePrefix="0" xfId="0">
      <alignment horizontal="left" vertical="center" wrapText="1" indent="3" readingOrder="1"/>
    </xf>
    <xf numFmtId="3" fontId="18" fillId="0" borderId="7" applyAlignment="1" pivotButton="0" quotePrefix="0" xfId="0">
      <alignment horizontal="center" vertical="center" wrapText="1" readingOrder="1"/>
    </xf>
    <xf numFmtId="10" fontId="18" fillId="0" borderId="7" applyAlignment="1" pivotButton="0" quotePrefix="0" xfId="0">
      <alignment horizontal="center" vertical="center" wrapText="1" readingOrder="1"/>
    </xf>
    <xf numFmtId="3" fontId="16" fillId="0" borderId="0" applyAlignment="1" pivotButton="0" quotePrefix="0" xfId="0">
      <alignment horizontal="center" vertical="center" wrapText="1" readingOrder="1"/>
    </xf>
    <xf numFmtId="0" fontId="19" fillId="0" borderId="0" applyAlignment="1" pivotButton="0" quotePrefix="0" xfId="0">
      <alignment horizontal="right" vertical="center" wrapText="1" indent="3" readingOrder="1"/>
    </xf>
    <xf numFmtId="3" fontId="20" fillId="0" borderId="0" applyAlignment="1" pivotButton="0" quotePrefix="0" xfId="0">
      <alignment horizontal="center" vertical="center" wrapText="1" readingOrder="1"/>
    </xf>
    <xf numFmtId="0" fontId="20" fillId="0" borderId="0" applyAlignment="1" pivotButton="0" quotePrefix="0" xfId="0">
      <alignment horizontal="center" vertical="center" wrapText="1" readingOrder="1"/>
    </xf>
    <xf numFmtId="0" fontId="21" fillId="0" borderId="7" applyAlignment="1" pivotButton="0" quotePrefix="0" xfId="0">
      <alignment horizontal="left" vertical="center" wrapText="1" indent="3" readingOrder="1"/>
    </xf>
    <xf numFmtId="0" fontId="16" fillId="0" borderId="0" applyAlignment="1" pivotButton="0" quotePrefix="0" xfId="0">
      <alignment horizontal="left" vertical="center" wrapText="1" indent="3" readingOrder="1"/>
    </xf>
    <xf numFmtId="3" fontId="22" fillId="0" borderId="0" applyAlignment="1" pivotButton="0" quotePrefix="0" xfId="0">
      <alignment horizontal="center" vertical="center" wrapText="1" readingOrder="1"/>
    </xf>
    <xf numFmtId="10" fontId="22" fillId="0" borderId="0" applyAlignment="1" pivotButton="0" quotePrefix="0" xfId="0">
      <alignment horizontal="center" vertical="center" wrapText="1" readingOrder="1"/>
    </xf>
    <xf numFmtId="0" fontId="20" fillId="0" borderId="0" applyAlignment="1" pivotButton="0" quotePrefix="0" xfId="0">
      <alignment horizontal="left" vertical="center" wrapText="1" indent="3" readingOrder="1"/>
    </xf>
    <xf numFmtId="164" fontId="22" fillId="0" borderId="0" applyAlignment="1" pivotButton="0" quotePrefix="0" xfId="0">
      <alignment horizontal="center" vertical="center" wrapText="1" readingOrder="1"/>
    </xf>
    <xf numFmtId="0" fontId="16" fillId="0" borderId="9" applyAlignment="1" pivotButton="0" quotePrefix="0" xfId="0">
      <alignment horizontal="center" vertical="center" wrapText="1" readingOrder="1"/>
    </xf>
    <xf numFmtId="3" fontId="21" fillId="0" borderId="7" applyAlignment="1" pivotButton="0" quotePrefix="0" xfId="0">
      <alignment horizontal="center" vertical="center" wrapText="1" readingOrder="1"/>
    </xf>
    <xf numFmtId="0" fontId="21" fillId="0" borderId="0" applyAlignment="1" pivotButton="0" quotePrefix="0" xfId="0">
      <alignment horizontal="left" vertical="center" wrapText="1" indent="3" readingOrder="1"/>
    </xf>
    <xf numFmtId="3" fontId="21" fillId="0" borderId="0" applyAlignment="1" pivotButton="0" quotePrefix="0" xfId="0">
      <alignment horizontal="center" vertical="center" wrapText="1" readingOrder="1"/>
    </xf>
    <xf numFmtId="0" fontId="23" fillId="0" borderId="10" applyAlignment="1" pivotButton="0" quotePrefix="0" xfId="0">
      <alignment horizontal="left" vertical="center" wrapText="1" indent="3" readingOrder="1"/>
    </xf>
    <xf numFmtId="10" fontId="23" fillId="0" borderId="10" applyAlignment="1" pivotButton="0" quotePrefix="0" xfId="0">
      <alignment horizontal="center" vertical="center" wrapText="1" readingOrder="1"/>
    </xf>
    <xf numFmtId="0" fontId="20" fillId="0" borderId="11" applyAlignment="1" pivotButton="0" quotePrefix="0" xfId="0">
      <alignment horizontal="left" vertical="center" wrapText="1" indent="3" readingOrder="1"/>
    </xf>
    <xf numFmtId="0" fontId="20" fillId="0" borderId="11" applyAlignment="1" pivotButton="0" quotePrefix="0" xfId="0">
      <alignment horizontal="center" vertical="center" wrapText="1" readingOrder="1"/>
    </xf>
    <xf numFmtId="0" fontId="20" fillId="0" borderId="10" applyAlignment="1" pivotButton="0" quotePrefix="0" xfId="0">
      <alignment horizontal="left" vertical="center" wrapText="1" indent="3" readingOrder="1"/>
    </xf>
    <xf numFmtId="0" fontId="20" fillId="0" borderId="10" applyAlignment="1" pivotButton="0" quotePrefix="0" xfId="0">
      <alignment horizontal="center" vertical="center" wrapText="1" readingOrder="1"/>
    </xf>
    <xf numFmtId="3" fontId="24" fillId="0" borderId="7" applyAlignment="1" pivotButton="0" quotePrefix="0" xfId="0">
      <alignment horizontal="center" vertical="center" wrapText="1" readingOrder="1"/>
    </xf>
    <xf numFmtId="10" fontId="25" fillId="0" borderId="7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right" vertical="center" wrapText="1" readingOrder="1"/>
    </xf>
    <xf numFmtId="0" fontId="22" fillId="0" borderId="0" applyAlignment="1" pivotButton="0" quotePrefix="0" xfId="0">
      <alignment horizontal="center" vertical="center" wrapText="1" readingOrder="1"/>
    </xf>
    <xf numFmtId="3" fontId="25" fillId="0" borderId="7" applyAlignment="1" pivotButton="0" quotePrefix="0" xfId="0">
      <alignment horizontal="center" vertical="center" wrapText="1" readingOrder="1"/>
    </xf>
    <xf numFmtId="0" fontId="2" fillId="0" borderId="1" applyAlignment="1" pivotButton="0" quotePrefix="0" xfId="0">
      <alignment horizontal="center" vertical="center" wrapText="1"/>
    </xf>
    <xf numFmtId="0" fontId="26" fillId="0" borderId="12" applyAlignment="1" pivotButton="0" quotePrefix="0" xfId="0">
      <alignment horizontal="center" vertical="center" wrapText="1" readingOrder="1"/>
    </xf>
    <xf numFmtId="0" fontId="4" fillId="3" borderId="13" applyAlignment="1" pivotButton="0" quotePrefix="0" xfId="0">
      <alignment horizontal="left" vertical="center" wrapText="1" readingOrder="1"/>
    </xf>
    <xf numFmtId="3" fontId="4" fillId="3" borderId="13" applyAlignment="1" pivotButton="0" quotePrefix="0" xfId="0">
      <alignment horizontal="center" vertical="center" wrapText="1" readingOrder="1"/>
    </xf>
    <xf numFmtId="10" fontId="4" fillId="3" borderId="13" applyAlignment="1" pivotButton="0" quotePrefix="0" xfId="0">
      <alignment horizontal="center" vertical="center" wrapText="1" readingOrder="1"/>
    </xf>
    <xf numFmtId="0" fontId="4" fillId="3" borderId="11" applyAlignment="1" pivotButton="0" quotePrefix="0" xfId="0">
      <alignment horizontal="left" vertical="center" wrapText="1" readingOrder="1"/>
    </xf>
    <xf numFmtId="3" fontId="4" fillId="3" borderId="11" applyAlignment="1" pivotButton="0" quotePrefix="0" xfId="0">
      <alignment horizontal="center" vertical="center" wrapText="1" readingOrder="1"/>
    </xf>
    <xf numFmtId="10" fontId="4" fillId="3" borderId="11" applyAlignment="1" pivotButton="0" quotePrefix="0" xfId="0">
      <alignment horizontal="center" vertical="center" wrapText="1" readingOrder="1"/>
    </xf>
    <xf numFmtId="0" fontId="27" fillId="3" borderId="0" applyAlignment="1" pivotButton="0" quotePrefix="0" xfId="0">
      <alignment horizontal="left" vertical="center" wrapText="1" readingOrder="1"/>
    </xf>
    <xf numFmtId="3" fontId="27" fillId="3" borderId="0" applyAlignment="1" pivotButton="0" quotePrefix="0" xfId="0">
      <alignment horizontal="center" vertical="center" wrapText="1" readingOrder="1"/>
    </xf>
    <xf numFmtId="10" fontId="27" fillId="3" borderId="0" applyAlignment="1" pivotButton="0" quotePrefix="0" xfId="0">
      <alignment horizontal="center" vertical="center" wrapText="1" readingOrder="1"/>
    </xf>
    <xf numFmtId="0" fontId="16" fillId="0" borderId="6" applyAlignment="1" pivotButton="0" quotePrefix="0" xfId="0">
      <alignment horizontal="center" vertical="center" wrapText="1" readingOrder="1"/>
    </xf>
    <xf numFmtId="0" fontId="28" fillId="0" borderId="7" applyAlignment="1" pivotButton="0" quotePrefix="0" xfId="0">
      <alignment horizontal="left" vertical="center" wrapText="1" indent="3" readingOrder="1"/>
    </xf>
    <xf numFmtId="0" fontId="28" fillId="0" borderId="0" applyAlignment="1" pivotButton="0" quotePrefix="0" xfId="0">
      <alignment horizontal="left" vertical="center" wrapText="1" indent="3" readingOrder="1"/>
    </xf>
    <xf numFmtId="3" fontId="18" fillId="0" borderId="0" applyAlignment="1" pivotButton="0" quotePrefix="0" xfId="0">
      <alignment horizontal="center" vertical="center" wrapText="1" readingOrder="1"/>
    </xf>
    <xf numFmtId="0" fontId="18" fillId="0" borderId="0" applyAlignment="1" pivotButton="0" quotePrefix="0" xfId="0">
      <alignment horizontal="center" vertical="center" wrapText="1" readingOrder="1"/>
    </xf>
    <xf numFmtId="10" fontId="18" fillId="0" borderId="0" applyAlignment="1" pivotButton="0" quotePrefix="0" xfId="0">
      <alignment horizontal="center" vertical="center" wrapText="1" readingOrder="1"/>
    </xf>
    <xf numFmtId="0" fontId="28" fillId="0" borderId="0" applyAlignment="1" pivotButton="0" quotePrefix="0" xfId="0">
      <alignment horizontal="center" vertical="center" wrapText="1" readingOrder="1"/>
    </xf>
    <xf numFmtId="0" fontId="6" fillId="0" borderId="0" applyAlignment="1" pivotButton="0" quotePrefix="0" xfId="0">
      <alignment horizontal="center" vertical="center" wrapText="1" readingOrder="1"/>
    </xf>
    <xf numFmtId="3" fontId="29" fillId="0" borderId="0" applyAlignment="1" pivotButton="0" quotePrefix="0" xfId="0">
      <alignment horizontal="center" vertical="center" wrapText="1" readingOrder="1"/>
    </xf>
    <xf numFmtId="0" fontId="30" fillId="0" borderId="0" applyAlignment="1" pivotButton="0" quotePrefix="0" xfId="0">
      <alignment horizontal="left" vertical="center" wrapText="1"/>
    </xf>
    <xf numFmtId="0" fontId="30" fillId="0" borderId="14" applyAlignment="1" pivotButton="0" quotePrefix="0" xfId="0">
      <alignment horizontal="left" vertical="center" wrapText="1"/>
    </xf>
    <xf numFmtId="0" fontId="30" fillId="0" borderId="0" applyAlignment="1" applyProtection="1" pivotButton="0" quotePrefix="0" xfId="0">
      <alignment vertical="center"/>
      <protection locked="0" hidden="0"/>
    </xf>
    <xf numFmtId="0" fontId="10" fillId="4" borderId="4" applyAlignment="1" pivotButton="0" quotePrefix="0" xfId="0">
      <alignment horizontal="left" vertical="center"/>
    </xf>
    <xf numFmtId="0" fontId="30" fillId="0" borderId="6" applyAlignment="1" applyProtection="1" pivotButton="0" quotePrefix="0" xfId="0">
      <alignment vertical="center"/>
      <protection locked="0" hidden="0"/>
    </xf>
    <xf numFmtId="0" fontId="30" fillId="0" borderId="14" applyAlignment="1" applyProtection="1" pivotButton="0" quotePrefix="0" xfId="0">
      <alignment vertical="center"/>
      <protection locked="0" hidden="0"/>
    </xf>
    <xf numFmtId="0" fontId="30" fillId="0" borderId="4" applyAlignment="1" applyProtection="1" pivotButton="0" quotePrefix="0" xfId="0">
      <alignment vertical="center"/>
      <protection locked="0" hidden="0"/>
    </xf>
    <xf numFmtId="0" fontId="30" fillId="0" borderId="15" applyAlignment="1" applyProtection="1" pivotButton="0" quotePrefix="0" xfId="0">
      <alignment vertical="center"/>
      <protection locked="0" hidden="0"/>
    </xf>
    <xf numFmtId="0" fontId="10" fillId="4" borderId="5" applyAlignment="1" applyProtection="1" pivotButton="0" quotePrefix="0" xfId="0">
      <alignment vertical="center"/>
      <protection locked="0" hidden="0"/>
    </xf>
    <xf numFmtId="166" fontId="10" fillId="4" borderId="5" applyAlignment="1" pivotButton="0" quotePrefix="0" xfId="0">
      <alignment horizontal="right" vertical="center"/>
    </xf>
    <xf numFmtId="0" fontId="11" fillId="0" borderId="17" applyAlignment="1" pivotButton="0" quotePrefix="0" xfId="0">
      <alignment horizontal="left" vertical="center" wrapText="1"/>
    </xf>
    <xf numFmtId="0" fontId="11" fillId="0" borderId="5" applyAlignment="1" pivotButton="0" quotePrefix="0" xfId="0">
      <alignment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 wrapText="1"/>
    </xf>
    <xf numFmtId="0" fontId="11" fillId="2" borderId="5" applyAlignment="1" pivotButton="0" quotePrefix="0" xfId="0">
      <alignment horizontal="center" vertical="center" wrapText="1"/>
    </xf>
    <xf numFmtId="4" fontId="11" fillId="0" borderId="5" applyAlignment="1" pivotButton="0" quotePrefix="0" xfId="0">
      <alignment horizontal="right" vertical="center" wrapText="1"/>
    </xf>
    <xf numFmtId="3" fontId="11" fillId="0" borderId="5" applyAlignment="1" pivotButton="0" quotePrefix="0" xfId="0">
      <alignment horizontal="right" vertical="center" wrapText="1"/>
    </xf>
    <xf numFmtId="0" fontId="31" fillId="0" borderId="5" applyAlignment="1" pivotButton="0" quotePrefix="0" xfId="0">
      <alignment vertical="center" wrapText="1"/>
    </xf>
    <xf numFmtId="164" fontId="0" fillId="0" borderId="0" applyAlignment="1" pivotButton="0" quotePrefix="0" xfId="1">
      <alignment vertical="center"/>
    </xf>
    <xf numFmtId="9" fontId="0" fillId="6" borderId="0" applyAlignment="1" pivotButton="0" quotePrefix="0" xfId="0">
      <alignment vertical="center"/>
    </xf>
    <xf numFmtId="3" fontId="18" fillId="6" borderId="0" applyAlignment="1" pivotButton="0" quotePrefix="0" xfId="0">
      <alignment horizontal="center" vertical="center" wrapText="1" readingOrder="1"/>
    </xf>
    <xf numFmtId="0" fontId="24" fillId="0" borderId="7" applyAlignment="1" pivotButton="0" quotePrefix="0" xfId="0">
      <alignment horizontal="left" vertical="center" wrapText="1" readingOrder="1"/>
    </xf>
    <xf numFmtId="0" fontId="32" fillId="0" borderId="0" applyAlignment="1" pivotButton="0" quotePrefix="0" xfId="0">
      <alignment horizontal="right" vertical="center" wrapText="1" readingOrder="1"/>
    </xf>
    <xf numFmtId="0" fontId="24" fillId="0" borderId="7" applyAlignment="1" pivotButton="0" quotePrefix="0" xfId="0">
      <alignment horizontal="center" vertical="center" wrapText="1" readingOrder="1"/>
    </xf>
    <xf numFmtId="0" fontId="25" fillId="0" borderId="7" applyAlignment="1" pivotButton="0" quotePrefix="0" xfId="0">
      <alignment horizontal="center" vertical="center" wrapText="1" readingOrder="1"/>
    </xf>
    <xf numFmtId="0" fontId="5" fillId="0" borderId="0" applyAlignment="1" pivotButton="0" quotePrefix="0" xfId="0">
      <alignment horizontal="right" vertical="center" wrapText="1" readingOrder="1"/>
    </xf>
    <xf numFmtId="0" fontId="33" fillId="0" borderId="0" applyAlignment="1" pivotButton="0" quotePrefix="0" xfId="0">
      <alignment horizontal="right" vertical="center" wrapText="1" readingOrder="1"/>
    </xf>
    <xf numFmtId="0" fontId="20" fillId="0" borderId="0" applyAlignment="1" pivotButton="0" quotePrefix="0" xfId="0">
      <alignment horizontal="right" vertical="center" wrapText="1" readingOrder="1"/>
    </xf>
    <xf numFmtId="0" fontId="27" fillId="0" borderId="0" applyAlignment="1" pivotButton="0" quotePrefix="0" xfId="0">
      <alignment horizontal="right" vertical="center" wrapText="1" readingOrder="1"/>
    </xf>
    <xf numFmtId="0" fontId="22" fillId="0" borderId="0" applyAlignment="1" pivotButton="0" quotePrefix="0" xfId="0">
      <alignment horizontal="right" vertical="center" wrapText="1" readingOrder="1"/>
    </xf>
    <xf numFmtId="164" fontId="25" fillId="0" borderId="7" applyAlignment="1" pivotButton="0" quotePrefix="0" xfId="0">
      <alignment horizontal="center" vertical="center" wrapText="1" readingOrder="1"/>
    </xf>
    <xf numFmtId="164" fontId="16" fillId="0" borderId="0" applyAlignment="1" pivotButton="0" quotePrefix="0" xfId="0">
      <alignment horizontal="center" vertical="center" wrapText="1" readingOrder="1"/>
    </xf>
    <xf numFmtId="164" fontId="20" fillId="0" borderId="0" applyAlignment="1" pivotButton="0" quotePrefix="0" xfId="0">
      <alignment horizontal="center" vertical="center" wrapText="1" readingOrder="1"/>
    </xf>
    <xf numFmtId="164" fontId="21" fillId="0" borderId="7" applyAlignment="1" pivotButton="0" quotePrefix="0" xfId="0">
      <alignment horizontal="center" vertical="center" wrapText="1" readingOrder="1"/>
    </xf>
    <xf numFmtId="164" fontId="21" fillId="0" borderId="0" applyAlignment="1" pivotButton="0" quotePrefix="0" xfId="0">
      <alignment horizontal="center" vertical="center" wrapText="1" readingOrder="1"/>
    </xf>
    <xf numFmtId="164" fontId="23" fillId="0" borderId="10" applyAlignment="1" pivotButton="0" quotePrefix="0" xfId="0">
      <alignment horizontal="center" vertical="center" wrapText="1" readingOrder="1"/>
    </xf>
    <xf numFmtId="164" fontId="20" fillId="0" borderId="11" applyAlignment="1" pivotButton="0" quotePrefix="0" xfId="0">
      <alignment horizontal="center" vertical="center" wrapText="1" readingOrder="1"/>
    </xf>
    <xf numFmtId="164" fontId="20" fillId="0" borderId="10" applyAlignment="1" pivotButton="0" quotePrefix="0" xfId="0">
      <alignment horizontal="center" vertical="center" wrapText="1" readingOrder="1"/>
    </xf>
    <xf numFmtId="0" fontId="12" fillId="0" borderId="9" applyAlignment="1" pivotButton="0" quotePrefix="0" xfId="0">
      <alignment horizontal="center" vertical="center" wrapText="1" readingOrder="1"/>
    </xf>
    <xf numFmtId="0" fontId="21" fillId="0" borderId="7" applyAlignment="1" pivotButton="0" quotePrefix="0" xfId="0">
      <alignment horizontal="center" vertical="center" wrapText="1" readingOrder="1"/>
    </xf>
    <xf numFmtId="4" fontId="21" fillId="0" borderId="7" applyAlignment="1" pivotButton="0" quotePrefix="0" xfId="0">
      <alignment horizontal="center" vertical="center" wrapText="1" readingOrder="1"/>
    </xf>
    <xf numFmtId="10" fontId="21" fillId="0" borderId="7" applyAlignment="1" pivotButton="0" quotePrefix="0" xfId="0">
      <alignment horizontal="center" vertical="center" wrapText="1" readingOrder="1"/>
    </xf>
    <xf numFmtId="167" fontId="21" fillId="0" borderId="7" applyAlignment="1" pivotButton="0" quotePrefix="0" xfId="0">
      <alignment horizontal="center" vertical="center" wrapText="1" readingOrder="1"/>
    </xf>
    <xf numFmtId="164" fontId="4" fillId="0" borderId="2" applyAlignment="1" pivotButton="0" quotePrefix="0" xfId="0">
      <alignment horizontal="center" vertical="center" wrapText="1" readingOrder="1"/>
    </xf>
    <xf numFmtId="164" fontId="4" fillId="0" borderId="0" applyAlignment="1" pivotButton="0" quotePrefix="0" xfId="0">
      <alignment horizontal="center" vertical="center" wrapText="1" readingOrder="1"/>
    </xf>
    <xf numFmtId="164" fontId="7" fillId="0" borderId="3" applyAlignment="1" pivotButton="0" quotePrefix="0" xfId="0">
      <alignment horizontal="center" vertical="center" wrapText="1" readingOrder="1"/>
    </xf>
    <xf numFmtId="164" fontId="5" fillId="0" borderId="2" applyAlignment="1" pivotButton="0" quotePrefix="0" xfId="0">
      <alignment horizontal="center" vertical="center" wrapText="1" readingOrder="1"/>
    </xf>
    <xf numFmtId="164" fontId="5" fillId="0" borderId="0" applyAlignment="1" pivotButton="0" quotePrefix="0" xfId="0">
      <alignment horizontal="center" vertical="center" wrapText="1" readingOrder="1"/>
    </xf>
    <xf numFmtId="164" fontId="8" fillId="0" borderId="3" applyAlignment="1" pivotButton="0" quotePrefix="0" xfId="0">
      <alignment horizontal="center" vertical="center" wrapText="1" readingOrder="1"/>
    </xf>
    <xf numFmtId="57" fontId="12" fillId="0" borderId="9" applyAlignment="1" pivotButton="0" quotePrefix="0" xfId="0">
      <alignment horizontal="center" vertical="center" wrapText="1" readingOrder="1"/>
    </xf>
    <xf numFmtId="57" fontId="3" fillId="0" borderId="9" applyAlignment="1" pivotButton="0" quotePrefix="0" xfId="0">
      <alignment horizontal="center" vertical="center" wrapText="1" readingOrder="1"/>
    </xf>
    <xf numFmtId="0" fontId="17" fillId="0" borderId="0" applyAlignment="1" pivotButton="0" quotePrefix="0" xfId="0">
      <alignment horizontal="left" vertical="center" wrapText="1" indent="3" readingOrder="1"/>
    </xf>
    <xf numFmtId="164" fontId="18" fillId="0" borderId="0" applyAlignment="1" pivotButton="0" quotePrefix="0" xfId="0">
      <alignment horizontal="center" vertical="center" wrapText="1" readingOrder="1"/>
    </xf>
    <xf numFmtId="0" fontId="32" fillId="6" borderId="0" applyAlignment="1" pivotButton="0" quotePrefix="0" xfId="0">
      <alignment horizontal="right" vertical="center" wrapText="1" readingOrder="1"/>
    </xf>
    <xf numFmtId="0" fontId="11" fillId="0" borderId="16" applyAlignment="1" pivotButton="0" quotePrefix="0" xfId="0">
      <alignment horizontal="right" vertical="center" wrapText="1"/>
    </xf>
    <xf numFmtId="0" fontId="4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right" vertical="center" wrapText="1"/>
    </xf>
    <xf numFmtId="0" fontId="43" fillId="0" borderId="5" applyAlignment="1" pivotButton="0" quotePrefix="0" xfId="0">
      <alignment horizontal="center" vertical="center" wrapText="1"/>
    </xf>
    <xf numFmtId="0" fontId="43" fillId="0" borderId="5" applyAlignment="1" pivotButton="0" quotePrefix="0" xfId="0">
      <alignment horizontal="left" vertical="center" wrapText="1"/>
    </xf>
    <xf numFmtId="4" fontId="10" fillId="0" borderId="5" applyAlignment="1" pivotButton="0" quotePrefix="0" xfId="0">
      <alignment horizontal="righ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9" borderId="5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9" borderId="5" applyAlignment="1" pivotButton="0" quotePrefix="0" xfId="0">
      <alignment horizontal="right" vertical="center" wrapText="1"/>
    </xf>
    <xf numFmtId="4" fontId="10" fillId="9" borderId="5" applyAlignment="1" pivotButton="0" quotePrefix="0" xfId="0">
      <alignment horizontal="right" vertical="center" wrapText="1"/>
    </xf>
    <xf numFmtId="0" fontId="43" fillId="0" borderId="6" applyAlignment="1" pivotButton="0" quotePrefix="0" xfId="0">
      <alignment horizontal="left" vertical="center" wrapText="1"/>
    </xf>
    <xf numFmtId="0" fontId="42" fillId="0" borderId="4" applyAlignment="1" pivotButton="0" quotePrefix="0" xfId="0">
      <alignment horizontal="left" vertical="center" wrapText="1"/>
    </xf>
    <xf numFmtId="0" fontId="42" fillId="0" borderId="4" applyAlignment="1" pivotButton="0" quotePrefix="0" xfId="0">
      <alignment horizontal="right" vertical="center" wrapText="1"/>
    </xf>
    <xf numFmtId="0" fontId="35" fillId="0" borderId="0" pivotButton="0" quotePrefix="0" xfId="0"/>
    <xf numFmtId="0" fontId="36" fillId="0" borderId="0" applyAlignment="1" pivotButton="0" quotePrefix="0" xfId="0">
      <alignment horizontal="right"/>
    </xf>
    <xf numFmtId="0" fontId="36" fillId="0" borderId="18" applyAlignment="1" pivotButton="0" quotePrefix="0" xfId="0">
      <alignment horizontal="left"/>
    </xf>
    <xf numFmtId="0" fontId="36" fillId="0" borderId="18" applyAlignment="1" pivotButton="0" quotePrefix="0" xfId="0">
      <alignment horizontal="left" vertical="center"/>
    </xf>
    <xf numFmtId="0" fontId="36" fillId="0" borderId="18" applyAlignment="1" pivotButton="0" quotePrefix="0" xfId="0">
      <alignment horizontal="right"/>
    </xf>
    <xf numFmtId="0" fontId="37" fillId="0" borderId="19" applyAlignment="1" pivotButton="0" quotePrefix="0" xfId="0">
      <alignment horizontal="center" vertical="center"/>
    </xf>
    <xf numFmtId="0" fontId="37" fillId="0" borderId="20" applyAlignment="1" pivotButton="0" quotePrefix="0" xfId="0">
      <alignment horizontal="center" vertical="center"/>
    </xf>
    <xf numFmtId="0" fontId="37" fillId="0" borderId="19" applyAlignment="1" pivotButton="0" quotePrefix="0" xfId="0">
      <alignment horizontal="left" vertical="center"/>
    </xf>
    <xf numFmtId="166" fontId="36" fillId="0" borderId="19" applyAlignment="1" pivotButton="0" quotePrefix="0" xfId="0">
      <alignment horizontal="right" vertical="center"/>
    </xf>
    <xf numFmtId="166" fontId="36" fillId="0" borderId="20" applyAlignment="1" pivotButton="0" quotePrefix="0" xfId="0">
      <alignment horizontal="right" vertical="center"/>
    </xf>
    <xf numFmtId="0" fontId="36" fillId="0" borderId="19" applyAlignment="1" pivotButton="0" quotePrefix="0" xfId="0">
      <alignment horizontal="left" vertical="center"/>
    </xf>
    <xf numFmtId="0" fontId="36" fillId="7" borderId="19" applyAlignment="1" pivotButton="0" quotePrefix="0" xfId="0">
      <alignment horizontal="left" vertical="center"/>
    </xf>
    <xf numFmtId="166" fontId="36" fillId="0" borderId="19" applyAlignment="1" pivotButton="0" quotePrefix="0" xfId="0">
      <alignment horizontal="center" vertical="center"/>
    </xf>
    <xf numFmtId="166" fontId="36" fillId="8" borderId="20" applyAlignment="1" pivotButton="0" quotePrefix="0" xfId="0">
      <alignment horizontal="right" vertical="center"/>
    </xf>
    <xf numFmtId="0" fontId="37" fillId="0" borderId="6" applyAlignment="1" pivotButton="0" quotePrefix="0" xfId="0">
      <alignment horizontal="left" vertical="center"/>
    </xf>
    <xf numFmtId="0" fontId="43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right" vertical="center" wrapText="1"/>
    </xf>
    <xf numFmtId="0" fontId="37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vertical="center"/>
    </xf>
    <xf numFmtId="168" fontId="37" fillId="0" borderId="0" applyAlignment="1" pivotButton="0" quotePrefix="0" xfId="0">
      <alignment horizontal="center" vertical="center"/>
    </xf>
    <xf numFmtId="168" fontId="37" fillId="0" borderId="19" applyAlignment="1" pivotButton="0" quotePrefix="0" xfId="0">
      <alignment horizontal="center" vertical="center"/>
    </xf>
    <xf numFmtId="166" fontId="37" fillId="0" borderId="19" applyAlignment="1" pivotButton="0" quotePrefix="0" xfId="0">
      <alignment horizontal="left" vertical="center"/>
    </xf>
    <xf numFmtId="0" fontId="36" fillId="0" borderId="19" applyAlignment="1" pivotButton="0" quotePrefix="0" xfId="0">
      <alignment vertical="center"/>
    </xf>
    <xf numFmtId="0" fontId="37" fillId="0" borderId="6" applyAlignment="1" pivotButton="0" quotePrefix="0" xfId="0">
      <alignment vertical="center"/>
    </xf>
    <xf numFmtId="168" fontId="37" fillId="0" borderId="20" applyAlignment="1" pivotButton="0" quotePrefix="0" xfId="0">
      <alignment horizontal="center" vertical="center"/>
    </xf>
    <xf numFmtId="39" fontId="36" fillId="0" borderId="19" applyAlignment="1" pivotButton="0" quotePrefix="0" xfId="0">
      <alignment horizontal="right" vertical="center"/>
    </xf>
    <xf numFmtId="39" fontId="36" fillId="0" borderId="20" applyAlignment="1" pivotButton="0" quotePrefix="0" xfId="0">
      <alignment horizontal="right" vertical="center"/>
    </xf>
    <xf numFmtId="39" fontId="36" fillId="7" borderId="19" applyAlignment="1" pivotButton="0" quotePrefix="0" xfId="0">
      <alignment horizontal="right" vertical="center"/>
    </xf>
    <xf numFmtId="39" fontId="36" fillId="7" borderId="20" applyAlignment="1" pivotButton="0" quotePrefix="0" xfId="0">
      <alignment horizontal="right" vertical="center"/>
    </xf>
    <xf numFmtId="0" fontId="11" fillId="0" borderId="16" applyAlignment="1" pivotButton="0" quotePrefix="0" xfId="0">
      <alignment horizontal="right" vertical="center" wrapText="1"/>
    </xf>
    <xf numFmtId="0" fontId="11" fillId="0" borderId="5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 wrapText="1" readingOrder="1"/>
    </xf>
    <xf numFmtId="0" fontId="12" fillId="0" borderId="8" applyAlignment="1" pivotButton="0" quotePrefix="0" xfId="0">
      <alignment horizontal="center" vertical="center" wrapText="1" readingOrder="1"/>
    </xf>
    <xf numFmtId="0" fontId="4" fillId="0" borderId="2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 readingOrder="1"/>
    </xf>
    <xf numFmtId="57" fontId="5" fillId="0" borderId="2" applyAlignment="1" pivotButton="0" quotePrefix="0" xfId="0">
      <alignment horizontal="center" vertical="center" wrapText="1" readingOrder="1"/>
    </xf>
    <xf numFmtId="57" fontId="5" fillId="0" borderId="3" applyAlignment="1" pivotButton="0" quotePrefix="0" xfId="0">
      <alignment horizontal="center" vertical="center" wrapText="1" readingOrder="1"/>
    </xf>
    <xf numFmtId="0" fontId="3" fillId="0" borderId="2" applyAlignment="1" pivotButton="0" quotePrefix="0" xfId="0">
      <alignment horizontal="center" vertical="center" wrapText="1" readingOrder="1"/>
    </xf>
    <xf numFmtId="0" fontId="3" fillId="0" borderId="3" applyAlignment="1" pivotButton="0" quotePrefix="0" xfId="0">
      <alignment horizontal="center" vertical="center" wrapText="1" readingOrder="1"/>
    </xf>
    <xf numFmtId="0" fontId="5" fillId="0" borderId="2" applyAlignment="1" pivotButton="0" quotePrefix="0" xfId="0">
      <alignment horizontal="center" vertical="center" wrapText="1" readingOrder="1"/>
    </xf>
    <xf numFmtId="0" fontId="5" fillId="0" borderId="3" applyAlignment="1" pivotButton="0" quotePrefix="0" xfId="0">
      <alignment horizontal="center" vertical="center" wrapText="1" readingOrder="1"/>
    </xf>
    <xf numFmtId="0" fontId="16" fillId="0" borderId="7" applyAlignment="1" pivotButton="0" quotePrefix="0" xfId="0">
      <alignment horizontal="center" vertical="center" wrapText="1" readingOrder="1"/>
    </xf>
    <xf numFmtId="0" fontId="16" fillId="0" borderId="8" applyAlignment="1" pivotButton="0" quotePrefix="0" xfId="0">
      <alignment horizontal="center" vertical="center" wrapText="1" readingOrder="1"/>
    </xf>
    <xf numFmtId="57" fontId="3" fillId="0" borderId="7" applyAlignment="1" pivotButton="0" quotePrefix="0" xfId="0">
      <alignment horizontal="center" vertical="center" wrapText="1" readingOrder="1"/>
    </xf>
    <xf numFmtId="0" fontId="3" fillId="0" borderId="8" applyAlignment="1" pivotButton="0" quotePrefix="0" xfId="0">
      <alignment horizontal="center" vertical="center" wrapText="1" readingOrder="1"/>
    </xf>
    <xf numFmtId="57" fontId="16" fillId="0" borderId="7" applyAlignment="1" pivotButton="0" quotePrefix="0" xfId="0">
      <alignment horizontal="center" vertical="center" wrapText="1" readingOrder="1"/>
    </xf>
    <xf numFmtId="0" fontId="4" fillId="0" borderId="10" applyAlignment="1" pivotButton="0" quotePrefix="0" xfId="0">
      <alignment horizontal="center" vertical="center" wrapText="1" readingOrder="1"/>
    </xf>
    <xf numFmtId="0" fontId="4" fillId="0" borderId="1" applyAlignment="1" pivotButton="0" quotePrefix="0" xfId="0">
      <alignment horizontal="center" vertical="center" wrapText="1" readingOrder="1"/>
    </xf>
    <xf numFmtId="57" fontId="4" fillId="0" borderId="6" applyAlignment="1" pivotButton="0" quotePrefix="0" xfId="0">
      <alignment horizontal="center" vertical="center" wrapText="1" readingOrder="1"/>
    </xf>
    <xf numFmtId="0" fontId="4" fillId="0" borderId="8" applyAlignment="1" pivotButton="0" quotePrefix="0" xfId="0">
      <alignment horizontal="center" vertical="center" wrapText="1" readingOrder="1"/>
    </xf>
    <xf numFmtId="0" fontId="16" fillId="0" borderId="6" applyAlignment="1" pivotButton="0" quotePrefix="0" xfId="0">
      <alignment horizontal="center" vertical="center" wrapText="1" readingOrder="1"/>
    </xf>
    <xf numFmtId="57" fontId="4" fillId="0" borderId="7" applyAlignment="1" pivotButton="0" quotePrefix="0" xfId="0">
      <alignment horizontal="center" vertical="center" wrapText="1" readingOrder="1"/>
    </xf>
    <xf numFmtId="0" fontId="41" fillId="0" borderId="0" applyAlignment="1" pivotButton="0" quotePrefix="0" xfId="0">
      <alignment horizontal="center" vertical="center" wrapText="1"/>
    </xf>
    <xf numFmtId="0" fontId="43" fillId="0" borderId="6" applyAlignment="1" pivotButton="0" quotePrefix="0" xfId="0">
      <alignment horizontal="left" vertical="center" wrapText="1"/>
    </xf>
    <xf numFmtId="0" fontId="44" fillId="0" borderId="0" applyAlignment="1" pivotButton="0" quotePrefix="0" xfId="0">
      <alignment horizontal="left" vertical="center" wrapText="1"/>
    </xf>
    <xf numFmtId="0" fontId="34" fillId="0" borderId="0" applyAlignment="1" pivotButton="0" quotePrefix="0" xfId="0">
      <alignment horizontal="center" vertical="center"/>
    </xf>
    <xf numFmtId="0" fontId="37" fillId="0" borderId="6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45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0" fontId="10" fillId="0" borderId="4" applyAlignment="1" pivotButton="0" quotePrefix="0" xfId="0">
      <alignment horizontal="left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right" vertical="center" wrapText="1"/>
    </xf>
    <xf numFmtId="0" fontId="43" fillId="0" borderId="6" applyAlignment="1" pivotButton="0" quotePrefix="0" xfId="0">
      <alignment horizontal="center" vertical="center" wrapText="1"/>
    </xf>
    <xf numFmtId="0" fontId="36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horizontal="center" vertical="center"/>
    </xf>
    <xf numFmtId="0" fontId="36" fillId="0" borderId="0" applyAlignment="1" pivotButton="0" quotePrefix="0" xfId="0">
      <alignment horizontal="right" vertical="center"/>
    </xf>
    <xf numFmtId="0" fontId="36" fillId="0" borderId="18" applyAlignment="1" pivotButton="0" quotePrefix="0" xfId="0">
      <alignment horizontal="left" vertical="center"/>
    </xf>
    <xf numFmtId="0" fontId="36" fillId="0" borderId="18" applyAlignment="1" pivotButton="0" quotePrefix="0" xfId="0">
      <alignment horizontal="center" vertical="center"/>
    </xf>
    <xf numFmtId="0" fontId="36" fillId="0" borderId="18" applyAlignment="1" pivotButton="0" quotePrefix="0" xfId="0">
      <alignment horizontal="right" vertical="center"/>
    </xf>
    <xf numFmtId="0" fontId="37" fillId="0" borderId="6" applyAlignment="1" pivotButton="0" quotePrefix="0" xfId="0">
      <alignment horizontal="center" vertical="center"/>
    </xf>
    <xf numFmtId="0" fontId="46" fillId="0" borderId="5" applyAlignment="1" pivotButton="0" quotePrefix="0" xfId="0">
      <alignment horizontal="center" vertical="center" wrapText="1"/>
    </xf>
    <xf numFmtId="0" fontId="43" fillId="0" borderId="5" applyAlignment="1" pivotButton="0" quotePrefix="0" xfId="0">
      <alignment horizontal="center" vertical="center" wrapText="1"/>
    </xf>
    <xf numFmtId="0" fontId="37" fillId="0" borderId="6" applyAlignment="1" pivotButton="0" quotePrefix="0" xfId="0">
      <alignment vertical="center" wrapText="1"/>
    </xf>
    <xf numFmtId="168" fontId="36" fillId="0" borderId="18" applyAlignment="1" pivotButton="0" quotePrefix="0" xfId="0">
      <alignment horizontal="right" vertical="center"/>
    </xf>
    <xf numFmtId="0" fontId="40" fillId="0" borderId="21" applyAlignment="1" pivotButton="0" quotePrefix="0" xfId="0">
      <alignment horizontal="center" vertical="center"/>
    </xf>
    <xf numFmtId="0" fontId="40" fillId="0" borderId="22" applyAlignment="1" pivotButton="0" quotePrefix="0" xfId="0">
      <alignment horizontal="center" vertical="center"/>
    </xf>
    <xf numFmtId="168" fontId="37" fillId="0" borderId="23" applyAlignment="1" pivotButton="0" quotePrefix="0" xfId="0">
      <alignment horizontal="center" vertical="center"/>
    </xf>
    <xf numFmtId="168" fontId="37" fillId="0" borderId="24" applyAlignment="1" pivotButton="0" quotePrefix="0" xfId="0">
      <alignment horizontal="center" vertical="center"/>
    </xf>
    <xf numFmtId="0" fontId="0" fillId="0" borderId="0" pivotButton="0" quotePrefix="0" xfId="0"/>
    <xf numFmtId="164" fontId="3" fillId="0" borderId="2" applyAlignment="1" pivotButton="0" quotePrefix="0" xfId="0">
      <alignment horizontal="center" vertical="center" wrapText="1" readingOrder="1"/>
    </xf>
    <xf numFmtId="164" fontId="0" fillId="0" borderId="0" applyAlignment="1" pivotButton="0" quotePrefix="0" xfId="0">
      <alignment vertical="center"/>
    </xf>
    <xf numFmtId="164" fontId="3" fillId="0" borderId="0" applyAlignment="1" pivotButton="0" quotePrefix="0" xfId="0">
      <alignment horizontal="center" vertical="center" wrapText="1" readingOrder="1"/>
    </xf>
    <xf numFmtId="164" fontId="3" fillId="0" borderId="0" applyAlignment="1" pivotButton="0" quotePrefix="0" xfId="1">
      <alignment horizontal="center" vertical="center" wrapText="1" readingOrder="1"/>
    </xf>
    <xf numFmtId="164" fontId="6" fillId="0" borderId="3" applyAlignment="1" pivotButton="0" quotePrefix="0" xfId="0">
      <alignment horizontal="center" vertical="center" wrapText="1" readingOrder="1"/>
    </xf>
    <xf numFmtId="164" fontId="0" fillId="0" borderId="0" applyAlignment="1" pivotButton="0" quotePrefix="0" xfId="1">
      <alignment horizontal="center" vertical="center"/>
    </xf>
    <xf numFmtId="0" fontId="0" fillId="0" borderId="8" pivotButton="0" quotePrefix="0" xfId="0"/>
    <xf numFmtId="165" fontId="13" fillId="0" borderId="7" applyAlignment="1" pivotButton="0" quotePrefix="0" xfId="0">
      <alignment horizontal="center" vertical="center" wrapText="1" readingOrder="1"/>
    </xf>
    <xf numFmtId="165" fontId="2" fillId="0" borderId="7" applyAlignment="1" pivotButton="0" quotePrefix="0" xfId="0">
      <alignment horizontal="center" vertical="center" wrapText="1"/>
    </xf>
    <xf numFmtId="165" fontId="14" fillId="0" borderId="0" applyAlignment="1" pivotButton="0" quotePrefix="0" xfId="0">
      <alignment horizontal="center" vertical="center" wrapText="1" readingOrder="1"/>
    </xf>
    <xf numFmtId="165" fontId="13" fillId="0" borderId="0" applyAlignment="1" pivotButton="0" quotePrefix="0" xfId="0">
      <alignment horizontal="center" vertical="center" wrapText="1" readingOrder="1"/>
    </xf>
    <xf numFmtId="165" fontId="2" fillId="0" borderId="0" applyAlignment="1" pivotButton="0" quotePrefix="0" xfId="0">
      <alignment horizontal="center" vertical="center" wrapText="1"/>
    </xf>
    <xf numFmtId="165" fontId="15" fillId="0" borderId="0" applyAlignment="1" pivotButton="0" quotePrefix="0" xfId="0">
      <alignment horizontal="center" vertical="center" wrapText="1" readingOrder="1"/>
    </xf>
    <xf numFmtId="0" fontId="5" fillId="0" borderId="1" applyAlignment="1" pivotButton="0" quotePrefix="0" xfId="0">
      <alignment horizontal="center" vertical="center" wrapText="1" readingOrder="1"/>
    </xf>
    <xf numFmtId="57" fontId="5" fillId="0" borderId="1" applyAlignment="1" pivotButton="0" quotePrefix="0" xfId="0">
      <alignment horizontal="center" vertical="center" wrapText="1" readingOrder="1"/>
    </xf>
    <xf numFmtId="0" fontId="0" fillId="0" borderId="3" pivotButton="0" quotePrefix="0" xfId="0"/>
    <xf numFmtId="164" fontId="4" fillId="0" borderId="2" applyAlignment="1" pivotButton="0" quotePrefix="0" xfId="0">
      <alignment horizontal="center" vertical="center" wrapText="1" readingOrder="1"/>
    </xf>
    <xf numFmtId="164" fontId="5" fillId="0" borderId="2" applyAlignment="1" pivotButton="0" quotePrefix="0" xfId="0">
      <alignment horizontal="center" vertical="center" wrapText="1" readingOrder="1"/>
    </xf>
    <xf numFmtId="164" fontId="4" fillId="0" borderId="0" applyAlignment="1" pivotButton="0" quotePrefix="0" xfId="0">
      <alignment horizontal="center" vertical="center" wrapText="1" readingOrder="1"/>
    </xf>
    <xf numFmtId="164" fontId="5" fillId="0" borderId="0" applyAlignment="1" pivotButton="0" quotePrefix="0" xfId="0">
      <alignment horizontal="center" vertical="center" wrapText="1" readingOrder="1"/>
    </xf>
    <xf numFmtId="164" fontId="7" fillId="0" borderId="3" applyAlignment="1" pivotButton="0" quotePrefix="0" xfId="0">
      <alignment horizontal="center" vertical="center" wrapText="1" readingOrder="1"/>
    </xf>
    <xf numFmtId="164" fontId="8" fillId="0" borderId="3" applyAlignment="1" pivotButton="0" quotePrefix="0" xfId="0">
      <alignment horizontal="center" vertical="center" wrapText="1" readingOrder="1"/>
    </xf>
    <xf numFmtId="164" fontId="16" fillId="0" borderId="0" applyAlignment="1" pivotButton="0" quotePrefix="0" xfId="0">
      <alignment horizontal="center" vertical="center" wrapText="1" readingOrder="1"/>
    </xf>
    <xf numFmtId="164" fontId="18" fillId="0" borderId="0" applyAlignment="1" pivotButton="0" quotePrefix="0" xfId="0">
      <alignment horizontal="center" vertical="center" wrapText="1" readingOrder="1"/>
    </xf>
    <xf numFmtId="164" fontId="20" fillId="0" borderId="0" applyAlignment="1" pivotButton="0" quotePrefix="0" xfId="0">
      <alignment horizontal="center" vertical="center" wrapText="1" readingOrder="1"/>
    </xf>
    <xf numFmtId="57" fontId="16" fillId="0" borderId="9" applyAlignment="1" pivotButton="0" quotePrefix="0" xfId="0">
      <alignment horizontal="center" vertical="center" wrapText="1" readingOrder="1"/>
    </xf>
    <xf numFmtId="164" fontId="25" fillId="0" borderId="7" applyAlignment="1" pivotButton="0" quotePrefix="0" xfId="0">
      <alignment horizontal="center" vertical="center" wrapText="1" readingOrder="1"/>
    </xf>
    <xf numFmtId="164" fontId="22" fillId="0" borderId="0" applyAlignment="1" pivotButton="0" quotePrefix="0" xfId="0">
      <alignment horizontal="center" vertical="center" wrapText="1" readingOrder="1"/>
    </xf>
    <xf numFmtId="0" fontId="4" fillId="0" borderId="12" applyAlignment="1" pivotButton="0" quotePrefix="0" xfId="0">
      <alignment horizontal="center" vertical="center" wrapText="1" readingOrder="1"/>
    </xf>
    <xf numFmtId="0" fontId="0" fillId="0" borderId="1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vertical="center"/>
    </xf>
    <xf numFmtId="57" fontId="4" fillId="0" borderId="25" applyAlignment="1" pivotButton="0" quotePrefix="0" xfId="0">
      <alignment horizontal="center" vertical="center" wrapText="1" readingOrder="1"/>
    </xf>
    <xf numFmtId="0" fontId="16" fillId="0" borderId="25" applyAlignment="1" pivotButton="0" quotePrefix="0" xfId="0">
      <alignment horizontal="center" vertical="center" wrapText="1" readingOrder="1"/>
    </xf>
    <xf numFmtId="167" fontId="21" fillId="0" borderId="7" applyAlignment="1" pivotButton="0" quotePrefix="0" xfId="0">
      <alignment horizontal="center" vertical="center" wrapText="1" readingOrder="1"/>
    </xf>
    <xf numFmtId="57" fontId="4" fillId="0" borderId="9" applyAlignment="1" pivotButton="0" quotePrefix="0" xfId="0">
      <alignment horizontal="center" vertical="center" wrapText="1" readingOrder="1"/>
    </xf>
    <xf numFmtId="164" fontId="21" fillId="0" borderId="7" applyAlignment="1" pivotButton="0" quotePrefix="0" xfId="0">
      <alignment horizontal="center" vertical="center" wrapText="1" readingOrder="1"/>
    </xf>
    <xf numFmtId="164" fontId="21" fillId="0" borderId="0" applyAlignment="1" pivotButton="0" quotePrefix="0" xfId="0">
      <alignment horizontal="center" vertical="center" wrapText="1" readingOrder="1"/>
    </xf>
    <xf numFmtId="164" fontId="23" fillId="0" borderId="10" applyAlignment="1" pivotButton="0" quotePrefix="0" xfId="0">
      <alignment horizontal="center" vertical="center" wrapText="1" readingOrder="1"/>
    </xf>
    <xf numFmtId="164" fontId="20" fillId="0" borderId="11" applyAlignment="1" pivotButton="0" quotePrefix="0" xfId="0">
      <alignment horizontal="center" vertical="center" wrapText="1" readingOrder="1"/>
    </xf>
    <xf numFmtId="164" fontId="20" fillId="0" borderId="10" applyAlignment="1" pivotButton="0" quotePrefix="0" xfId="0">
      <alignment horizontal="center" vertical="center" wrapText="1" readingOrder="1"/>
    </xf>
    <xf numFmtId="0" fontId="0" fillId="0" borderId="26" pivotButton="0" quotePrefix="0" xfId="0"/>
    <xf numFmtId="0" fontId="0" fillId="0" borderId="17" pivotButton="0" quotePrefix="0" xfId="0"/>
    <xf numFmtId="0" fontId="0" fillId="0" borderId="6" pivotButton="0" quotePrefix="0" xfId="0"/>
    <xf numFmtId="166" fontId="36" fillId="0" borderId="19" applyAlignment="1" pivotButton="0" quotePrefix="0" xfId="0">
      <alignment horizontal="right" vertical="center"/>
    </xf>
    <xf numFmtId="166" fontId="36" fillId="0" borderId="20" applyAlignment="1" pivotButton="0" quotePrefix="0" xfId="0">
      <alignment horizontal="right" vertical="center"/>
    </xf>
    <xf numFmtId="166" fontId="10" fillId="4" borderId="5" applyAlignment="1" pivotButton="0" quotePrefix="0" xfId="0">
      <alignment horizontal="right" vertical="center"/>
    </xf>
    <xf numFmtId="166" fontId="36" fillId="0" borderId="19" applyAlignment="1" pivotButton="0" quotePrefix="0" xfId="0">
      <alignment horizontal="center" vertical="center"/>
    </xf>
    <xf numFmtId="166" fontId="36" fillId="8" borderId="20" applyAlignment="1" pivotButton="0" quotePrefix="0" xfId="0">
      <alignment horizontal="right" vertical="center"/>
    </xf>
    <xf numFmtId="0" fontId="0" fillId="0" borderId="4" pivotButton="0" quotePrefix="0" xfId="0"/>
    <xf numFmtId="168" fontId="37" fillId="0" borderId="0" applyAlignment="1" pivotButton="0" quotePrefix="0" xfId="0">
      <alignment horizontal="center" vertical="center"/>
    </xf>
    <xf numFmtId="0" fontId="0" fillId="0" borderId="18" pivotButton="0" quotePrefix="0" xfId="0"/>
    <xf numFmtId="168" fontId="37" fillId="0" borderId="19" applyAlignment="1" pivotButton="0" quotePrefix="0" xfId="0">
      <alignment horizontal="center" vertical="center"/>
    </xf>
    <xf numFmtId="166" fontId="37" fillId="0" borderId="19" applyAlignment="1" pivotButton="0" quotePrefix="0" xfId="0">
      <alignment horizontal="left" vertical="center"/>
    </xf>
    <xf numFmtId="0" fontId="0" fillId="0" borderId="29" pivotButton="0" quotePrefix="0" xfId="0"/>
    <xf numFmtId="168" fontId="36" fillId="0" borderId="18" applyAlignment="1" pivotButton="0" quotePrefix="0" xfId="0">
      <alignment horizontal="right" vertical="center"/>
    </xf>
    <xf numFmtId="0" fontId="40" fillId="0" borderId="19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2" pivotButton="0" quotePrefix="0" xfId="0"/>
    <xf numFmtId="168" fontId="37" fillId="0" borderId="20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externalLink" Target="/xl/externalLinks/externalLink1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charts/chart1.xml><?xml version="1.0" encoding="utf-8"?>
<chartSpace xmlns="http://schemas.openxmlformats.org/drawingml/2006/chart">
  <chart>
    <plotArea>
      <layout/>
      <pie3D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explosion val="25"/>
          <dLbls>
            <dLbl>
              <idx val="0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bestFi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 lIns="38100" tIns="19050" rIns="38100" bIns="19050" anchor="ctr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200" b="1">
                    <a:solidFill>
                      <a:schemeClr val="bg1"/>
                    </a:solidFill>
                    <a:latin typeface="黑体" panose="02010609060101010101" pitchFamily="49" charset="-122"/>
                    <a:ea typeface="黑体" panose="02010609060101010101" pitchFamily="49" charset="-122"/>
                  </a:defRPr>
                </a:pPr>
                <a:r>
                  <a:t/>
                </a:r>
                <a:endParaRPr lang="zh-CN"/>
              </a:p>
            </txPr>
            <dLblPos val="bestFit"/>
            <showLegendKey val="0"/>
            <showVal val="1"/>
            <showCatName val="0"/>
            <showSerName val="0"/>
            <showPercent val="0"/>
            <showBubbleSize val="0"/>
            <showLeaderLines val="1"/>
          </dLbls>
          <cat>
            <strRef>
              <f>[1]医疗成本结构分析!$K$14:$K$18</f>
              <strCache>
                <ptCount val="5"/>
                <pt idx="0">
                  <v>人员经费</v>
                </pt>
                <pt idx="1">
                  <v>药品费</v>
                </pt>
                <pt idx="2">
                  <v>耗材费</v>
                </pt>
                <pt idx="3">
                  <v>折旧/摊销</v>
                </pt>
                <pt idx="4">
                  <v>其他费用</v>
                </pt>
              </strCache>
            </strRef>
          </cat>
          <val>
            <numRef>
              <f>[1]医疗成本结构分析!$L$14:$L$18</f>
              <numCache>
                <formatCode>General</formatCode>
                <ptCount val="5"/>
                <pt idx="0">
                  <v>0.2892602566133375</v>
                </pt>
                <pt idx="1">
                  <v>0.2530334230952004</v>
                </pt>
                <pt idx="2">
                  <v>0.3509741802629495</v>
                </pt>
                <pt idx="3">
                  <v>0.01748772374465389</v>
                </pt>
                <pt idx="4">
                  <v>0.08766038333597338</v>
                </pt>
              </numCache>
            </numRef>
          </val>
        </ser>
        <dLbls>
          <dLblPos val="bestFit"/>
          <showLegendKey val="0"/>
          <showVal val="1"/>
          <showCatName val="0"/>
          <showSerName val="0"/>
          <showPercent val="0"/>
          <showBubbleSize val="0"/>
          <showLeaderLines val="1"/>
        </dLbls>
      </pie3DChart>
    </plotArea>
    <plotVisOnly val="1"/>
    <dispBlanksAs val="zero"/>
  </chart>
  <spPr>
    <a:solidFill xmlns:a="http://schemas.openxmlformats.org/drawingml/2006/main">
      <a:srgbClr val="5B9BD5"/>
    </a:solidFill>
    <a:ln xmlns:a="http://schemas.openxmlformats.org/drawingml/2006/main"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2</col>
      <colOff>1800225</colOff>
      <row>12</row>
      <rowOff>28575</rowOff>
    </from>
    <to>
      <col>9</col>
      <colOff>123825</colOff>
      <row>21</row>
      <rowOff>114300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udw\Desktop\3&#26376;&#20998;&#26512;&#21152;&#29677;\&#21346;&#22823;&#20255;-260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门诊业务结构"/>
      <sheetName val="住院业务量"/>
      <sheetName val="医疗收入情况-3月"/>
      <sheetName val="医疗收入业务结构情况"/>
      <sheetName val="3月业务量"/>
      <sheetName val="成人-恢复率"/>
      <sheetName val="儿科-恢复率"/>
      <sheetName val="医疗收支对比分析"/>
      <sheetName val="医疗成本结构分析3月"/>
      <sheetName val="Sheet2"/>
      <sheetName val="Sheet1"/>
      <sheetName val="成人均次费用"/>
      <sheetName val="儿童均次费用"/>
      <sheetName val="各类医疗收入同比增幅"/>
      <sheetName val="其他收入、费用"/>
      <sheetName val="指标分析"/>
      <sheetName val="资产负债率"/>
      <sheetName val="预算完成情况"/>
      <sheetName val="收支结余"/>
      <sheetName val="医疗成本结构分析"/>
      <sheetName val="其他费用"/>
      <sheetName val="人员经费"/>
      <sheetName val="药品费"/>
      <sheetName val="卫生材料费"/>
      <sheetName val="商品服务其他"/>
      <sheetName val="成人-剔除药"/>
      <sheetName val="手术业务恢复情况"/>
      <sheetName val="儿科-剔除药耗"/>
      <sheetName val="门急诊业务量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4">
          <cell r="K14" t="str">
            <v>人员经费</v>
          </cell>
          <cell r="L14">
            <v>0.28926025661333754</v>
          </cell>
        </row>
        <row r="15">
          <cell r="K15" t="str">
            <v>药品费</v>
          </cell>
          <cell r="L15">
            <v>0.25303342309520038</v>
          </cell>
        </row>
        <row r="16">
          <cell r="K16" t="str">
            <v>耗材费</v>
          </cell>
          <cell r="L16">
            <v>0.35097418026294946</v>
          </cell>
        </row>
        <row r="17">
          <cell r="K17" t="str">
            <v>折旧/摊销</v>
          </cell>
          <cell r="L17">
            <v>1.7487723744653887E-2</v>
          </cell>
        </row>
        <row r="18">
          <cell r="K18" t="str">
            <v>其他费用</v>
          </cell>
          <cell r="L18">
            <v>8.7660383335973383E-2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31"/>
  <sheetViews>
    <sheetView zoomScale="85" zoomScaleNormal="85" workbookViewId="0">
      <selection activeCell="B11" sqref="B11"/>
    </sheetView>
  </sheetViews>
  <sheetFormatPr baseColWidth="8" defaultRowHeight="23.25" customHeight="1"/>
  <cols>
    <col width="22.5" customWidth="1" style="247" min="2" max="2"/>
    <col width="24" customWidth="1" style="247" min="3" max="3"/>
    <col width="16.83203125" customWidth="1" style="247" min="4" max="5"/>
    <col width="14.5" customWidth="1" style="247" min="6" max="11"/>
    <col width="9" customWidth="1" style="197" min="12" max="12"/>
  </cols>
  <sheetData>
    <row r="1" ht="14" customHeight="1" s="247">
      <c r="D1" s="197" t="inlineStr">
        <is>
          <t>1月</t>
        </is>
      </c>
    </row>
    <row r="2" ht="14.5" customFormat="1" customHeight="1" s="197" thickBot="1">
      <c r="F2" s="197" t="inlineStr">
        <is>
          <t>自动</t>
        </is>
      </c>
      <c r="I2" s="197" t="inlineStr">
        <is>
          <t>自动</t>
        </is>
      </c>
      <c r="J2" s="197" t="inlineStr">
        <is>
          <t>自动</t>
        </is>
      </c>
      <c r="K2" s="197" t="inlineStr">
        <is>
          <t>自动</t>
        </is>
      </c>
    </row>
    <row r="3" ht="20.5" customHeight="1" s="247" thickBot="1">
      <c r="C3" s="16" t="inlineStr">
        <is>
          <t>项  目</t>
        </is>
      </c>
      <c r="D3" s="16" t="inlineStr">
        <is>
          <t>2026年</t>
        </is>
      </c>
      <c r="E3" s="16" t="inlineStr">
        <is>
          <t>占 比 %</t>
        </is>
      </c>
      <c r="F3" s="16" t="inlineStr">
        <is>
          <t>奉贤</t>
        </is>
      </c>
      <c r="G3" s="204" t="inlineStr">
        <is>
          <t>占 比 %</t>
        </is>
      </c>
      <c r="H3" s="16" t="inlineStr">
        <is>
          <t>2025年</t>
        </is>
      </c>
      <c r="I3" s="16" t="inlineStr">
        <is>
          <t>占 比 %</t>
        </is>
      </c>
      <c r="J3" s="16" t="inlineStr">
        <is>
          <t>增减额</t>
        </is>
      </c>
      <c r="K3" s="16" t="inlineStr">
        <is>
          <t>增减率</t>
        </is>
      </c>
    </row>
    <row r="4" ht="20" customHeight="1" s="247">
      <c r="C4" s="17" t="inlineStr">
        <is>
          <t>人员经费</t>
        </is>
      </c>
      <c r="D4" s="18" t="n">
        <v>24327</v>
      </c>
      <c r="E4" s="248" t="n">
        <v>0.3459569384794789</v>
      </c>
      <c r="F4" s="18" t="n">
        <v>6393</v>
      </c>
      <c r="G4" s="248" t="n">
        <v>0.367751955821445</v>
      </c>
      <c r="H4" s="18" t="n">
        <v>21579</v>
      </c>
      <c r="I4" s="248" t="n">
        <v>0.3745313801721744</v>
      </c>
      <c r="J4" s="18" t="n">
        <v>2748</v>
      </c>
      <c r="K4" s="248" t="n">
        <v>0.1273460308633394</v>
      </c>
      <c r="M4" s="249">
        <f>E4-I4</f>
        <v/>
      </c>
    </row>
    <row r="5" ht="20" customHeight="1" s="247">
      <c r="C5" s="21" t="inlineStr">
        <is>
          <t>药品费</t>
        </is>
      </c>
      <c r="D5" s="22" t="n">
        <v>16495</v>
      </c>
      <c r="E5" s="250" t="n">
        <v>0.2345772064051879</v>
      </c>
      <c r="F5" s="22" t="n">
        <v>2771</v>
      </c>
      <c r="G5" s="251" t="n">
        <v>0.1593994477680626</v>
      </c>
      <c r="H5" s="22" t="n">
        <v>13387</v>
      </c>
      <c r="I5" s="250" t="n">
        <v>0.2323486531519023</v>
      </c>
      <c r="J5" s="22" t="n">
        <v>3108</v>
      </c>
      <c r="K5" s="250" t="n">
        <v>0.2321655337267498</v>
      </c>
      <c r="M5" s="249">
        <f>E5-I5</f>
        <v/>
      </c>
    </row>
    <row r="6" ht="20" customHeight="1" s="247">
      <c r="C6" s="21" t="inlineStr">
        <is>
          <t>耗材费</t>
        </is>
      </c>
      <c r="D6" s="22" t="n">
        <v>22400</v>
      </c>
      <c r="E6" s="250" t="n">
        <v>0.3185528598651839</v>
      </c>
      <c r="F6" s="22" t="n">
        <v>6605</v>
      </c>
      <c r="G6" s="251" t="n">
        <v>0.3799470777726645</v>
      </c>
      <c r="H6" s="22" t="n">
        <v>16986</v>
      </c>
      <c r="I6" s="250" t="n">
        <v>0.2948139405720633</v>
      </c>
      <c r="J6" s="22" t="n">
        <v>5414</v>
      </c>
      <c r="K6" s="250" t="n">
        <v>0.3187330742964795</v>
      </c>
      <c r="M6" s="249">
        <f>E6-I6</f>
        <v/>
      </c>
    </row>
    <row r="7" ht="20" customHeight="1" s="247">
      <c r="C7" s="21" t="inlineStr">
        <is>
          <t>折旧/摊销</t>
        </is>
      </c>
      <c r="D7" s="22" t="n">
        <v>1120</v>
      </c>
      <c r="E7" s="250" t="n">
        <v>0.01592764299325919</v>
      </c>
      <c r="F7" s="22" t="n">
        <v>178</v>
      </c>
      <c r="G7" s="251" t="n">
        <v>0.01023930050621261</v>
      </c>
      <c r="H7" s="22" t="n">
        <v>1078</v>
      </c>
      <c r="I7" s="250" t="n">
        <v>0.01871008053318523</v>
      </c>
      <c r="J7" s="1" t="n">
        <v>42</v>
      </c>
      <c r="K7" s="250" t="n">
        <v>0.03896103896103896</v>
      </c>
      <c r="M7" s="249">
        <f>E7-I7</f>
        <v/>
      </c>
    </row>
    <row r="8" ht="20" customHeight="1" s="247">
      <c r="C8" s="21" t="inlineStr">
        <is>
          <t>风险基金</t>
        </is>
      </c>
      <c r="D8" s="22" t="n">
        <v>103</v>
      </c>
      <c r="E8" s="250" t="n">
        <v>0.00146477431098723</v>
      </c>
      <c r="F8" s="22" t="n">
        <v>22</v>
      </c>
      <c r="G8" s="251" t="n">
        <v>0.001265531523239761</v>
      </c>
      <c r="H8" s="22" t="n">
        <v>77</v>
      </c>
      <c r="I8" s="250" t="n">
        <v>0.001336434323798945</v>
      </c>
      <c r="J8" s="22" t="n">
        <v>26</v>
      </c>
      <c r="K8" s="250" t="n">
        <v>0.3376623376623377</v>
      </c>
      <c r="L8" s="197" t="inlineStr">
        <is>
          <t>自动</t>
        </is>
      </c>
      <c r="M8" s="249">
        <f>E9-I9</f>
        <v/>
      </c>
    </row>
    <row r="9" ht="20" customHeight="1" s="247">
      <c r="C9" s="21" t="inlineStr">
        <is>
          <t>其他费用</t>
        </is>
      </c>
      <c r="D9" s="22" t="n">
        <v>5873</v>
      </c>
      <c r="E9" s="250" t="n">
        <v>0.0835205779459029</v>
      </c>
      <c r="F9" s="22" t="n">
        <v>1415</v>
      </c>
      <c r="G9" s="251" t="n">
        <v>0.08139668660837551</v>
      </c>
      <c r="H9" s="22" t="n">
        <v>4509</v>
      </c>
      <c r="I9" s="250" t="n">
        <v>0.07825951124687587</v>
      </c>
      <c r="J9" s="22" t="n">
        <v>1364</v>
      </c>
      <c r="K9" s="250" t="n">
        <v>0.3025060989132846</v>
      </c>
      <c r="M9" s="249" t="n"/>
    </row>
    <row r="10" ht="20.5" customHeight="1" s="247" thickBot="1">
      <c r="C10" s="12" t="inlineStr">
        <is>
          <t>医疗成本合计</t>
        </is>
      </c>
      <c r="D10" s="25" t="n">
        <v>70318</v>
      </c>
      <c r="E10" s="252" t="n">
        <v>1</v>
      </c>
      <c r="F10" s="25" t="n">
        <v>17384</v>
      </c>
      <c r="G10" s="252" t="n">
        <v>1</v>
      </c>
      <c r="H10" s="25" t="n">
        <v>57616</v>
      </c>
      <c r="I10" s="252" t="n">
        <v>1</v>
      </c>
      <c r="J10" s="25" t="n">
        <v>12702</v>
      </c>
      <c r="K10" s="252" t="n">
        <v>0.2204595945570675</v>
      </c>
      <c r="L10" s="197" t="inlineStr">
        <is>
          <t>自动</t>
        </is>
      </c>
      <c r="M10" s="249">
        <f>E9-I9</f>
        <v/>
      </c>
    </row>
    <row r="13" ht="14.5" customHeight="1" s="247" thickBot="1">
      <c r="L13" s="197" t="inlineStr">
        <is>
          <t>自动</t>
        </is>
      </c>
      <c r="P13" s="0" t="inlineStr">
        <is>
          <t>2025年</t>
        </is>
      </c>
      <c r="R13" s="0" t="inlineStr">
        <is>
          <t>2024年</t>
        </is>
      </c>
    </row>
    <row r="14" ht="20" customHeight="1" s="247">
      <c r="K14" s="17" t="inlineStr">
        <is>
          <t>人员经费</t>
        </is>
      </c>
      <c r="L14" s="253">
        <f>E4</f>
        <v/>
      </c>
      <c r="O14" s="0" t="inlineStr">
        <is>
          <t>医疗风险基金</t>
        </is>
      </c>
      <c r="P14" s="0" t="n">
        <v>78</v>
      </c>
      <c r="R14" s="0" t="n">
        <v>78</v>
      </c>
    </row>
    <row r="15" ht="20" customHeight="1" s="247">
      <c r="K15" s="21" t="inlineStr">
        <is>
          <t>药品费</t>
        </is>
      </c>
      <c r="L15" s="253">
        <f>E5</f>
        <v/>
      </c>
      <c r="O15" s="0" t="inlineStr">
        <is>
          <t>能源费</t>
        </is>
      </c>
      <c r="P15" s="0" t="n">
        <v>516</v>
      </c>
      <c r="R15" s="0" t="n">
        <v>472</v>
      </c>
    </row>
    <row r="16" ht="20" customHeight="1" s="247">
      <c r="K16" s="21" t="inlineStr">
        <is>
          <t>耗材费</t>
        </is>
      </c>
      <c r="L16" s="253">
        <f>E6</f>
        <v/>
      </c>
      <c r="O16" s="0" t="inlineStr">
        <is>
          <t>物业管理费</t>
        </is>
      </c>
      <c r="R16" s="0" t="n">
        <v>624</v>
      </c>
    </row>
    <row r="17" ht="20" customHeight="1" s="247">
      <c r="K17" s="21" t="inlineStr">
        <is>
          <t>折旧/摊销</t>
        </is>
      </c>
      <c r="L17" s="253">
        <f>E7</f>
        <v/>
      </c>
      <c r="O17" s="0" t="inlineStr">
        <is>
          <t>维修护费</t>
        </is>
      </c>
      <c r="R17" s="0" t="n">
        <v>1353</v>
      </c>
    </row>
    <row r="18" ht="20" customHeight="1" s="247">
      <c r="K18" s="21" t="inlineStr">
        <is>
          <t>其他费用</t>
        </is>
      </c>
      <c r="L18" s="253">
        <f>E9</f>
        <v/>
      </c>
      <c r="O18" s="0" t="inlineStr">
        <is>
          <t>劳务费</t>
        </is>
      </c>
      <c r="R18" s="0" t="n">
        <v>354</v>
      </c>
    </row>
    <row r="24" ht="14.5" customHeight="1" s="247" thickBot="1">
      <c r="O24" s="0" t="inlineStr">
        <is>
          <t>其他</t>
        </is>
      </c>
      <c r="P24" s="0">
        <f>P25-P14-P15-P16-P17-P18-P19-P20-P21-P22-P23</f>
        <v/>
      </c>
      <c r="R24" s="0">
        <f>R25-R14-R15-R16-R17-R18-R19-R20-R21-R22-R23</f>
        <v/>
      </c>
    </row>
    <row r="25" ht="25.5" customHeight="1" s="247" thickBot="1">
      <c r="C25" s="198" t="inlineStr">
        <is>
          <t>2024年</t>
        </is>
      </c>
      <c r="D25" s="198" t="inlineStr">
        <is>
          <t>2023年</t>
        </is>
      </c>
      <c r="E25" s="198" t="n"/>
      <c r="F25" s="133" t="inlineStr">
        <is>
          <t>增减额</t>
        </is>
      </c>
      <c r="G25" s="198" t="n"/>
      <c r="H25" s="133" t="inlineStr">
        <is>
          <t>增减率</t>
        </is>
      </c>
      <c r="O25" s="0" t="inlineStr">
        <is>
          <t>总计</t>
        </is>
      </c>
      <c r="P25" s="0" t="n">
        <v>4586</v>
      </c>
      <c r="R25" s="0" t="n">
        <v>4124</v>
      </c>
    </row>
    <row r="26" ht="25.5" customHeight="1" s="247" thickBot="1">
      <c r="B26" s="133" t="inlineStr">
        <is>
          <t>项   目</t>
        </is>
      </c>
      <c r="C26" s="199" t="inlineStr">
        <is>
          <t>1-9月</t>
        </is>
      </c>
      <c r="D26" s="199" t="inlineStr">
        <is>
          <t>1-9月</t>
        </is>
      </c>
      <c r="E26" s="199" t="n"/>
      <c r="F26" s="254" t="n"/>
      <c r="G26" s="199" t="n"/>
      <c r="H26" s="254" t="n"/>
    </row>
    <row r="27" ht="24.5" customHeight="1" s="247" thickBot="1">
      <c r="B27" s="254" t="n"/>
      <c r="C27" s="255" t="n">
        <v>498726</v>
      </c>
      <c r="D27" s="255" t="n">
        <v>451737</v>
      </c>
      <c r="E27" s="255" t="n"/>
      <c r="F27" s="256">
        <f>C27-D27</f>
        <v/>
      </c>
      <c r="G27" s="256" t="n"/>
      <c r="H27" s="32">
        <f>C27/D27-1</f>
        <v/>
      </c>
    </row>
    <row r="28" ht="24" customHeight="1" s="247">
      <c r="B28" s="33" t="inlineStr">
        <is>
          <t>医疗成本</t>
        </is>
      </c>
      <c r="C28" s="257" t="n">
        <v>143587</v>
      </c>
      <c r="D28" s="257" t="n">
        <v>127531</v>
      </c>
      <c r="E28" s="257" t="n"/>
      <c r="F28" s="257">
        <f>C28-D28</f>
        <v/>
      </c>
      <c r="G28" s="257" t="n"/>
      <c r="H28" s="35">
        <f>C28/D28-1</f>
        <v/>
      </c>
    </row>
    <row r="29" ht="24" customHeight="1" s="247">
      <c r="B29" s="36" t="inlineStr">
        <is>
          <t>其中：工资总额</t>
        </is>
      </c>
      <c r="C29" s="258" t="n">
        <v>3802</v>
      </c>
      <c r="D29" s="259" t="n">
        <v>3829</v>
      </c>
      <c r="E29" s="259" t="n"/>
      <c r="F29" s="259">
        <f>C29-D29</f>
        <v/>
      </c>
      <c r="G29" s="259" t="n"/>
      <c r="H29" s="39">
        <f>C29/D29-1</f>
        <v/>
      </c>
    </row>
    <row r="30" ht="25" customHeight="1" s="247">
      <c r="B30" s="40" t="inlineStr">
        <is>
          <t>其他费用</t>
        </is>
      </c>
      <c r="C30" s="260">
        <f>C27+C29</f>
        <v/>
      </c>
      <c r="D30" s="260">
        <f>D27+D29</f>
        <v/>
      </c>
      <c r="E30" s="260" t="n"/>
      <c r="F30" s="260">
        <f>C30-D30</f>
        <v/>
      </c>
      <c r="G30" s="260" t="n"/>
      <c r="H30" s="42">
        <f>C30/D30-1</f>
        <v/>
      </c>
    </row>
    <row r="31" ht="25" customHeight="1" s="247">
      <c r="B31" s="43" t="inlineStr">
        <is>
          <t>小  计</t>
        </is>
      </c>
    </row>
  </sheetData>
  <mergeCells count="4">
    <mergeCell ref="F25:F26"/>
    <mergeCell ref="B26:B27"/>
    <mergeCell ref="D1:K1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K11"/>
  <sheetViews>
    <sheetView workbookViewId="0">
      <selection activeCell="F7" sqref="F7"/>
    </sheetView>
  </sheetViews>
  <sheetFormatPr baseColWidth="8" defaultRowHeight="14"/>
  <cols>
    <col width="14.58203125" customWidth="1" style="247" min="2" max="2"/>
    <col width="12.75" bestFit="1" customWidth="1" style="247" min="3" max="3"/>
    <col width="15.5" bestFit="1" customWidth="1" style="247" min="4" max="4"/>
    <col width="12.5" customWidth="1" style="247" min="5" max="5"/>
    <col width="13" bestFit="1" customWidth="1" style="247" min="6" max="6"/>
    <col width="12.75" bestFit="1" customWidth="1" style="247" min="7" max="7"/>
    <col width="15.5" bestFit="1" customWidth="1" style="247" min="8" max="8"/>
    <col width="10.83203125" bestFit="1" customWidth="1" style="247" min="9" max="9"/>
    <col width="13.58203125" bestFit="1" customWidth="1" style="247" min="10" max="10"/>
    <col width="13.75" bestFit="1" customWidth="1" style="247" min="11" max="11"/>
  </cols>
  <sheetData>
    <row r="2" ht="14.5" customHeight="1" s="247" thickBot="1"/>
    <row r="3" ht="22.5" customHeight="1" s="247">
      <c r="B3" s="16" t="inlineStr">
        <is>
          <t>项  目</t>
        </is>
      </c>
      <c r="C3" s="200" t="inlineStr">
        <is>
          <t>2026年</t>
        </is>
      </c>
      <c r="D3" s="214" t="inlineStr">
        <is>
          <t>占 比%</t>
        </is>
      </c>
      <c r="E3" s="261" t="inlineStr">
        <is>
          <t>奉贤院区</t>
        </is>
      </c>
      <c r="F3" s="261" t="inlineStr">
        <is>
          <t>占 比%</t>
        </is>
      </c>
      <c r="G3" s="200" t="inlineStr">
        <is>
          <t>2025年</t>
        </is>
      </c>
      <c r="H3" s="214" t="inlineStr">
        <is>
          <t>占 比%</t>
        </is>
      </c>
      <c r="I3" s="214" t="inlineStr">
        <is>
          <t>增减额</t>
        </is>
      </c>
      <c r="J3" s="214" t="inlineStr">
        <is>
          <t>增减率</t>
        </is>
      </c>
      <c r="K3" s="262" t="n">
        <v>46082</v>
      </c>
    </row>
    <row r="4" ht="23" customHeight="1" s="247" thickBot="1">
      <c r="B4" s="263" t="n"/>
      <c r="C4" s="201" t="inlineStr">
        <is>
          <t>5月</t>
        </is>
      </c>
      <c r="D4" s="263" t="n"/>
      <c r="E4" s="263" t="n"/>
      <c r="F4" s="263" t="n"/>
      <c r="G4" s="201" t="inlineStr">
        <is>
          <t>5月</t>
        </is>
      </c>
      <c r="H4" s="263" t="n"/>
      <c r="I4" s="263" t="n"/>
      <c r="J4" s="263" t="n"/>
      <c r="K4" s="263" t="n"/>
    </row>
    <row r="5" ht="42" customHeight="1" s="247">
      <c r="B5" s="204" t="inlineStr">
        <is>
          <t>人员经费</t>
        </is>
      </c>
      <c r="C5" s="8">
        <f>ROUND(当月附表3!B7/10000,0)</f>
        <v/>
      </c>
      <c r="D5" s="264">
        <f>C5/C$11</f>
        <v/>
      </c>
      <c r="E5" s="9">
        <f>ROUND(当月奉贤附表3!B7/10000,0)</f>
        <v/>
      </c>
      <c r="F5" s="265">
        <f>E5/E$11</f>
        <v/>
      </c>
      <c r="G5" s="8">
        <f>ROUND(上年同期附表3!B7/10000,0)</f>
        <v/>
      </c>
      <c r="H5" s="264">
        <f>G5/G$11</f>
        <v/>
      </c>
      <c r="I5" s="8">
        <f>C5-G5</f>
        <v/>
      </c>
      <c r="J5" s="264">
        <f>I5/G5</f>
        <v/>
      </c>
      <c r="K5" s="9">
        <f>ROUND(当月附表3!B7/10000,0)</f>
        <v/>
      </c>
    </row>
    <row r="6" ht="22.5" customHeight="1" s="247">
      <c r="B6" s="1" t="inlineStr">
        <is>
          <t>药品费</t>
        </is>
      </c>
      <c r="C6" s="10">
        <f>ROUND(当月附表3!B47/10000,0)</f>
        <v/>
      </c>
      <c r="D6" s="266">
        <f>C6/C$11</f>
        <v/>
      </c>
      <c r="E6" s="11">
        <f>ROUND(当月奉贤附表3!B47/10000,0)</f>
        <v/>
      </c>
      <c r="F6" s="267">
        <f>E6/E$11</f>
        <v/>
      </c>
      <c r="G6" s="10">
        <f>ROUND(上年同期附表3!B47/10000,0)</f>
        <v/>
      </c>
      <c r="H6" s="266">
        <f>G6/G$11</f>
        <v/>
      </c>
      <c r="I6" s="10">
        <f>C6-G6</f>
        <v/>
      </c>
      <c r="J6" s="266">
        <f>I6/G6</f>
        <v/>
      </c>
      <c r="K6" s="11">
        <f>ROUND(当月附表3!B47/10000,0)</f>
        <v/>
      </c>
    </row>
    <row r="7" ht="42" customHeight="1" s="247">
      <c r="B7" s="1" t="inlineStr">
        <is>
          <t>卫生材料费</t>
        </is>
      </c>
      <c r="C7" s="10">
        <f>ROUND(当月附表3!B33/10000,0)</f>
        <v/>
      </c>
      <c r="D7" s="266">
        <f>C7/C$11</f>
        <v/>
      </c>
      <c r="E7" s="11">
        <f>ROUND(当月奉贤附表3!B33/10000,0)</f>
        <v/>
      </c>
      <c r="F7" s="267">
        <f>E7/E$11</f>
        <v/>
      </c>
      <c r="G7" s="10">
        <f>ROUND(上年同期附表3!B33/10000,0)</f>
        <v/>
      </c>
      <c r="H7" s="266">
        <f>G7/G$11</f>
        <v/>
      </c>
      <c r="I7" s="10">
        <f>C7-G7</f>
        <v/>
      </c>
      <c r="J7" s="266">
        <f>I7/G7</f>
        <v/>
      </c>
      <c r="K7" s="11">
        <f>ROUND(当月附表3!B33/10000,0)</f>
        <v/>
      </c>
    </row>
    <row r="8" ht="22.5" customHeight="1" s="247">
      <c r="B8" s="1" t="inlineStr">
        <is>
          <t>折旧/摊销</t>
        </is>
      </c>
      <c r="C8" s="10">
        <f>C11-C10-C7-C6-C5-C9</f>
        <v/>
      </c>
      <c r="D8" s="266">
        <f>C8/C$11</f>
        <v/>
      </c>
      <c r="E8" s="11">
        <f>E11-E10-E7-E6-E5-E9</f>
        <v/>
      </c>
      <c r="F8" s="267">
        <f>E8/E$11</f>
        <v/>
      </c>
      <c r="G8" s="10">
        <f>G11-G10-G7-G6-G5-G9</f>
        <v/>
      </c>
      <c r="H8" s="266">
        <f>G8/G$11</f>
        <v/>
      </c>
      <c r="I8" s="10">
        <f>C8-G8</f>
        <v/>
      </c>
      <c r="J8" s="266">
        <f>I8/G8</f>
        <v/>
      </c>
      <c r="K8" s="11">
        <f>K11-K10-K7-K6-K5-K9</f>
        <v/>
      </c>
    </row>
    <row r="9" ht="40" customHeight="1" s="247">
      <c r="B9" s="1" t="inlineStr">
        <is>
          <t>医疗风险基金</t>
        </is>
      </c>
      <c r="C9" s="3">
        <f>ROUND(当月附表3!B53/10000,0)</f>
        <v/>
      </c>
      <c r="D9" s="266">
        <f>C9/C$11</f>
        <v/>
      </c>
      <c r="E9" s="11">
        <f>ROUND(当月奉贤附表3!B53/10000,0)</f>
        <v/>
      </c>
      <c r="F9" s="267">
        <f>E9/E$11</f>
        <v/>
      </c>
      <c r="G9" s="3">
        <f>ROUND(上年同期附表3!B53/10000,0)</f>
        <v/>
      </c>
      <c r="H9" s="266">
        <f>G9/G$11</f>
        <v/>
      </c>
      <c r="I9" s="10">
        <f>C9-G9</f>
        <v/>
      </c>
      <c r="J9" s="266">
        <f>I9/G9</f>
        <v/>
      </c>
      <c r="K9" s="6">
        <f>ROUND(当月附表3!B53/10000,0)</f>
        <v/>
      </c>
    </row>
    <row r="10" ht="40" customHeight="1" s="247">
      <c r="B10" s="1" t="inlineStr">
        <is>
          <t>商品和服务费</t>
        </is>
      </c>
      <c r="C10" s="10">
        <f>ROUND(当月附表3!B54/10000,0)</f>
        <v/>
      </c>
      <c r="D10" s="266">
        <f>C10/C$11</f>
        <v/>
      </c>
      <c r="E10" s="11">
        <f>ROUND(当月奉贤附表3!B54/10000,0)</f>
        <v/>
      </c>
      <c r="F10" s="267">
        <f>E10/E$11</f>
        <v/>
      </c>
      <c r="G10" s="10">
        <f>ROUND(上年同期附表3!B54/10000,0)</f>
        <v/>
      </c>
      <c r="H10" s="266">
        <f>G10/G$11</f>
        <v/>
      </c>
      <c r="I10" s="10">
        <f>C10-G10</f>
        <v/>
      </c>
      <c r="J10" s="266">
        <f>I10/G10</f>
        <v/>
      </c>
      <c r="K10" s="11">
        <f>ROUND(当月附表3!B54/10000,0)</f>
        <v/>
      </c>
    </row>
    <row r="11" ht="40.5" customHeight="1" s="247" thickBot="1">
      <c r="B11" s="12" t="inlineStr">
        <is>
          <t>医疗成本合计</t>
        </is>
      </c>
      <c r="C11" s="13">
        <f>ROUND(当月附表3!B6/10000,0)</f>
        <v/>
      </c>
      <c r="D11" s="268" t="n">
        <v>1</v>
      </c>
      <c r="E11" s="14">
        <f>ROUND(当月奉贤附表3!B6/10000,0)</f>
        <v/>
      </c>
      <c r="F11" s="269" t="n">
        <v>1</v>
      </c>
      <c r="G11" s="13">
        <f>ROUND(上年同期附表3!B6/10000,0)</f>
        <v/>
      </c>
      <c r="H11" s="268" t="n">
        <v>1</v>
      </c>
      <c r="I11" s="13">
        <f>C11-G11</f>
        <v/>
      </c>
      <c r="J11" s="268">
        <f>I11/G11</f>
        <v/>
      </c>
      <c r="K11" s="14">
        <f>ROUND(当月附表3!B6/10000,0)</f>
        <v/>
      </c>
    </row>
  </sheetData>
  <mergeCells count="8">
    <mergeCell ref="K3:K4"/>
    <mergeCell ref="B3:B4"/>
    <mergeCell ref="E3:E4"/>
    <mergeCell ref="H3:H4"/>
    <mergeCell ref="F3:F4"/>
    <mergeCell ref="D3:D4"/>
    <mergeCell ref="J3:J4"/>
    <mergeCell ref="I3:I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G10"/>
  <sheetViews>
    <sheetView tabSelected="1" workbookViewId="0">
      <selection activeCell="C12" sqref="C12"/>
    </sheetView>
  </sheetViews>
  <sheetFormatPr baseColWidth="8" defaultRowHeight="14"/>
  <cols>
    <col width="28.25" customWidth="1" style="247" min="2" max="2"/>
    <col width="18.08203125" bestFit="1" customWidth="1" style="247" min="3" max="3"/>
    <col width="12.83203125" customWidth="1" style="247" min="4" max="4"/>
    <col width="17.08203125" bestFit="1" customWidth="1" style="247" min="5" max="5"/>
    <col width="10" bestFit="1" customWidth="1" style="247" min="6" max="6"/>
    <col width="10.83203125" bestFit="1" customWidth="1" style="247" min="7" max="7"/>
  </cols>
  <sheetData>
    <row r="2" ht="14.5" customHeight="1" s="247" thickBot="1"/>
    <row r="3" ht="21.5" customHeight="1" s="247">
      <c r="B3" s="60" t="inlineStr">
        <is>
          <t>项   目</t>
        </is>
      </c>
      <c r="C3" s="145" t="n">
        <v>46143</v>
      </c>
      <c r="D3" s="208" t="inlineStr">
        <is>
          <t>其中</t>
        </is>
      </c>
      <c r="E3" s="145" t="n">
        <v>45778</v>
      </c>
      <c r="F3" s="60" t="inlineStr">
        <is>
          <t>增减额</t>
        </is>
      </c>
      <c r="G3" s="60" t="inlineStr">
        <is>
          <t>增减率</t>
        </is>
      </c>
    </row>
    <row r="4" ht="29.25" customHeight="1" s="247" thickBot="1">
      <c r="B4" s="254" t="n"/>
      <c r="C4" s="254" t="n"/>
      <c r="D4" s="209" t="inlineStr">
        <is>
          <t>奉贤院区</t>
        </is>
      </c>
      <c r="E4" s="254" t="n"/>
      <c r="F4" s="254" t="n"/>
      <c r="G4" s="254" t="n"/>
    </row>
    <row r="5" ht="29.25" customHeight="1" s="247">
      <c r="B5" s="47" t="inlineStr">
        <is>
          <t>医疗服务收入</t>
        </is>
      </c>
      <c r="C5" s="50">
        <f>ROUND((当年累计数据表!AQ3+当年累计数据表!AX3+当年累计数据表!BZ3+当年累计数据表!CG3)/10000,0)</f>
        <v/>
      </c>
      <c r="D5" s="50">
        <f>ROUND((当年累计数据表奉贤!AQ3+当年累计数据表奉贤!AX3+当年累计数据表奉贤!BZ3+当年累计数据表奉贤!CG3)/10000,0)</f>
        <v/>
      </c>
      <c r="E5" s="50">
        <f>ROUND((去年累计数据表!AQ3+去年累计数据表!AX3+去年累计数据表!BZ3+去年累计数据表!CG3)/10000,0)</f>
        <v/>
      </c>
      <c r="F5" s="50">
        <f>C5-E5</f>
        <v/>
      </c>
      <c r="G5" s="270">
        <f>F5/E5</f>
        <v/>
      </c>
    </row>
    <row r="6" ht="28.5" customHeight="1" s="247">
      <c r="B6" s="146" t="inlineStr">
        <is>
          <t>人员经费</t>
        </is>
      </c>
      <c r="C6" s="89">
        <f>医疗成本!C5</f>
        <v/>
      </c>
      <c r="D6" s="89">
        <f>医疗成本!E5</f>
        <v/>
      </c>
      <c r="E6" s="89">
        <f>医疗成本!G5</f>
        <v/>
      </c>
      <c r="F6" s="89">
        <f>医疗成本!I5</f>
        <v/>
      </c>
      <c r="G6" s="271">
        <f>医疗成本!J5</f>
        <v/>
      </c>
    </row>
    <row r="7" ht="28.5" customHeight="1" s="247">
      <c r="B7" s="1" t="inlineStr">
        <is>
          <t>其中：工资总额</t>
        </is>
      </c>
      <c r="C7" s="50">
        <f>ROUND((当月附表3!B9+当月附表3!B10+当月附表3!B11+当月附表3!B12+当月附表3!B13+当月附表3!B20)/10000,0)</f>
        <v/>
      </c>
      <c r="D7" s="50">
        <f>ROUND((当月奉贤附表3!B9+当月奉贤附表3!B10+当月奉贤附表3!B11+当月奉贤附表3!B12+当月奉贤附表3!B13+当月奉贤附表3!B20)/10000,0)</f>
        <v/>
      </c>
      <c r="E7" s="50">
        <f>ROUND((上年同期附表3!B9+上年同期附表3!B10+上年同期附表3!B11+上年同期附表3!B12+上年同期附表3!B13+上年同期附表3!B20)/10000,0)</f>
        <v/>
      </c>
      <c r="F7" s="50">
        <f>C7-E7</f>
        <v/>
      </c>
      <c r="G7" s="270">
        <f>F7/E7</f>
        <v/>
      </c>
    </row>
    <row r="8" ht="28.5" customHeight="1" s="247">
      <c r="B8" s="51" t="inlineStr">
        <is>
          <t xml:space="preserve">    其中：基本工资等</t>
        </is>
      </c>
      <c r="C8" s="52">
        <f>ROUND((当月附表3!B9+当月附表3!B10+当月附表3!B11+当月附表3!B12+当月附表3!B20)/10000,0)</f>
        <v/>
      </c>
      <c r="D8" s="52">
        <f>ROUND((当月奉贤附表3!B9+当月奉贤附表3!B10+当月奉贤附表3!B11+当月奉贤附表3!B12+当月奉贤附表3!B20)/10000,0)</f>
        <v/>
      </c>
      <c r="E8" s="52">
        <f>ROUND((上年同期附表3!B9+上年同期附表3!B10+上年同期附表3!B11+上年同期附表3!B12+上年同期附表3!B20)/10000,0)</f>
        <v/>
      </c>
      <c r="F8" s="53">
        <f>C8-E8</f>
        <v/>
      </c>
      <c r="G8" s="272">
        <f>F8/E8</f>
        <v/>
      </c>
    </row>
    <row r="9" ht="28.5" customHeight="1" s="247">
      <c r="B9" s="51" t="inlineStr">
        <is>
          <t xml:space="preserve">               绩效工资</t>
        </is>
      </c>
      <c r="C9" s="52">
        <f>C7-C8</f>
        <v/>
      </c>
      <c r="D9" s="52">
        <f>D7-D8</f>
        <v/>
      </c>
      <c r="E9" s="52">
        <f>E7-E8</f>
        <v/>
      </c>
      <c r="F9" s="52">
        <f>C9-E9</f>
        <v/>
      </c>
      <c r="G9" s="272">
        <f>F9/E9</f>
        <v/>
      </c>
    </row>
    <row r="10" ht="28.5" customHeight="1" s="247">
      <c r="B10" s="1" t="inlineStr">
        <is>
          <t xml:space="preserve">　　　社保公积金</t>
        </is>
      </c>
      <c r="C10" s="22">
        <f>ROUND((当月附表3!B14+当月附表3!B15+当月附表3!B16+当月附表3!B17+当月附表3!B18)/10000,0)</f>
        <v/>
      </c>
      <c r="D10" s="22">
        <f>ROUND((当月奉贤附表3!B14+当月奉贤附表3!B15+当月奉贤附表3!B16+当月奉贤附表3!B17+当月奉贤附表3!B18)/10000,0)</f>
        <v/>
      </c>
      <c r="E10" s="22">
        <f>ROUND((上年同期附表3!B14+上年同期附表3!B15+上年同期附表3!B16+上年同期附表3!B17+上年同期附表3!B18)/10000,0)</f>
        <v/>
      </c>
      <c r="F10" s="44">
        <f>C10-E10</f>
        <v/>
      </c>
      <c r="G10" s="270">
        <f>F10/E10</f>
        <v/>
      </c>
    </row>
  </sheetData>
  <mergeCells count="5">
    <mergeCell ref="C3:C4"/>
    <mergeCell ref="B3:B4"/>
    <mergeCell ref="G3:G4"/>
    <mergeCell ref="E3:E4"/>
    <mergeCell ref="F3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7"/>
  <sheetViews>
    <sheetView workbookViewId="0">
      <selection activeCell="D9" sqref="D9"/>
    </sheetView>
  </sheetViews>
  <sheetFormatPr baseColWidth="8" defaultRowHeight="14"/>
  <cols>
    <col width="19.33203125" customWidth="1" style="247" min="2" max="2"/>
    <col width="17.58203125" bestFit="1" customWidth="1" style="247" min="3" max="3"/>
    <col width="17.58203125" bestFit="1" customWidth="1" style="247" min="5" max="5"/>
    <col width="15.33203125" bestFit="1" customWidth="1" style="247" min="7" max="7"/>
  </cols>
  <sheetData>
    <row r="1" ht="14.5" customHeight="1" s="247" thickBot="1"/>
    <row r="2" ht="21.5" customHeight="1" s="247">
      <c r="B2" s="60" t="inlineStr">
        <is>
          <t>项   目</t>
        </is>
      </c>
      <c r="C2" s="273" t="n">
        <v>46143</v>
      </c>
      <c r="D2" s="208" t="inlineStr">
        <is>
          <t>其中</t>
        </is>
      </c>
      <c r="E2" s="273" t="n">
        <v>45778</v>
      </c>
      <c r="F2" s="60" t="inlineStr">
        <is>
          <t>增减额</t>
        </is>
      </c>
      <c r="G2" s="60" t="inlineStr">
        <is>
          <t>增减率</t>
        </is>
      </c>
    </row>
    <row r="3" ht="43.5" customHeight="1" s="247" thickBot="1">
      <c r="B3" s="254" t="n"/>
      <c r="C3" s="254" t="n"/>
      <c r="D3" s="209" t="inlineStr">
        <is>
          <t>奉贤院区</t>
        </is>
      </c>
      <c r="E3" s="254" t="n"/>
      <c r="F3" s="254" t="n"/>
      <c r="G3" s="254" t="n"/>
    </row>
    <row r="4" ht="27.5" customHeight="1" s="247">
      <c r="B4" s="198" t="inlineStr">
        <is>
          <t>能耗成本</t>
        </is>
      </c>
      <c r="C4" s="70">
        <f>C5+C6+C7</f>
        <v/>
      </c>
      <c r="D4" s="70">
        <f>D5+D6+D7</f>
        <v/>
      </c>
      <c r="E4" s="70">
        <f>E5+E6+E7</f>
        <v/>
      </c>
      <c r="F4" s="74">
        <f>C4-E4</f>
        <v/>
      </c>
      <c r="G4" s="274">
        <f>F4/E4</f>
        <v/>
      </c>
    </row>
    <row r="5" ht="24" customHeight="1" s="247">
      <c r="B5" s="72" t="inlineStr">
        <is>
          <t>其中：水费</t>
        </is>
      </c>
      <c r="C5" s="73">
        <f>ROUND(当月附表3!B59/10000,0)</f>
        <v/>
      </c>
      <c r="D5" s="73">
        <f>ROUND(当月奉贤附表3!B59/10000,0)</f>
        <v/>
      </c>
      <c r="E5" s="73">
        <f>ROUND(上年同期附表3!B59/10000,0)</f>
        <v/>
      </c>
      <c r="F5" s="73">
        <f>C5-E5</f>
        <v/>
      </c>
      <c r="G5" s="275">
        <f>F5/E5</f>
        <v/>
      </c>
    </row>
    <row r="6" ht="24" customHeight="1" s="247">
      <c r="B6" s="72" t="inlineStr">
        <is>
          <t>电费</t>
        </is>
      </c>
      <c r="C6" s="73">
        <f>ROUND(当月附表3!B60/10000,0)</f>
        <v/>
      </c>
      <c r="D6" s="73">
        <f>ROUND(当月奉贤附表3!B60/10000,0)</f>
        <v/>
      </c>
      <c r="E6" s="73">
        <f>ROUND(上年同期附表3!B60/10000,0)</f>
        <v/>
      </c>
      <c r="F6" s="73">
        <f>C6-E6</f>
        <v/>
      </c>
      <c r="G6" s="275">
        <f>F6/E6</f>
        <v/>
      </c>
    </row>
    <row r="7" ht="24" customHeight="1" s="247">
      <c r="B7" s="72" t="inlineStr">
        <is>
          <t>燃气费</t>
        </is>
      </c>
      <c r="C7" s="73">
        <f>ROUND(当月附表3!B72/10000,0)</f>
        <v/>
      </c>
      <c r="D7" s="73">
        <f>ROUND(当月奉贤附表3!B72/10000,0)</f>
        <v/>
      </c>
      <c r="E7" s="73">
        <f>ROUND(上年同期附表3!B72/10000,0)</f>
        <v/>
      </c>
      <c r="F7" s="73">
        <f>C7-E7</f>
        <v/>
      </c>
      <c r="G7" s="275">
        <f>F7/E7</f>
        <v/>
      </c>
    </row>
  </sheetData>
  <mergeCells count="5">
    <mergeCell ref="B2:B3"/>
    <mergeCell ref="C2:C3"/>
    <mergeCell ref="F2:F3"/>
    <mergeCell ref="E2:E3"/>
    <mergeCell ref="G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6"/>
  <sheetViews>
    <sheetView workbookViewId="0">
      <selection activeCell="F11" sqref="F11"/>
    </sheetView>
  </sheetViews>
  <sheetFormatPr baseColWidth="8" defaultRowHeight="14"/>
  <cols>
    <col width="19.08203125" customWidth="1" style="247" min="2" max="2"/>
    <col width="17.08203125" customWidth="1" style="247" min="3" max="3"/>
    <col width="15.58203125" customWidth="1" style="247" min="4" max="4"/>
    <col width="11.83203125" bestFit="1" customWidth="1" style="247" min="5" max="5"/>
    <col width="22.08203125" customWidth="1" style="247" min="6" max="6"/>
  </cols>
  <sheetData>
    <row r="1" ht="14.5" customHeight="1" s="247" thickBot="1"/>
    <row r="2" ht="23" customHeight="1" s="247" thickBot="1">
      <c r="B2" s="276" t="inlineStr">
        <is>
          <t>项    目</t>
        </is>
      </c>
      <c r="C2" s="214" t="inlineStr">
        <is>
          <t>执行率指标</t>
        </is>
      </c>
      <c r="D2" s="277" t="n"/>
      <c r="E2" s="277" t="n"/>
      <c r="F2" s="75" t="n"/>
      <c r="J2" s="0" t="inlineStr">
        <is>
          <t>年终</t>
        </is>
      </c>
    </row>
    <row r="3" ht="23" customHeight="1" s="247" thickBot="1">
      <c r="B3" s="278" t="n"/>
      <c r="C3" s="76" t="inlineStr">
        <is>
          <t>核定数</t>
        </is>
      </c>
      <c r="D3" s="76" t="inlineStr">
        <is>
          <t>执行数</t>
        </is>
      </c>
      <c r="E3" s="76" t="inlineStr">
        <is>
          <t>执行率</t>
        </is>
      </c>
      <c r="F3" s="76" t="inlineStr">
        <is>
          <t>与时间节点比较</t>
        </is>
      </c>
      <c r="H3" s="114" t="n">
        <v>0.333</v>
      </c>
      <c r="J3" s="0" t="n">
        <v>17532</v>
      </c>
      <c r="K3" s="0">
        <f>J3*(1-H3)</f>
        <v/>
      </c>
    </row>
    <row r="4" ht="23" customHeight="1" s="247" thickBot="1">
      <c r="B4" s="77" t="inlineStr">
        <is>
          <t>医疗收入</t>
        </is>
      </c>
      <c r="C4" s="78" t="n">
        <v>750000</v>
      </c>
      <c r="D4" s="78">
        <f>收支结余!C4</f>
        <v/>
      </c>
      <c r="E4" s="79">
        <f>D4/C4</f>
        <v/>
      </c>
      <c r="F4" s="79">
        <f>E4-$H$3</f>
        <v/>
      </c>
      <c r="K4" s="7">
        <f>D6-K3</f>
        <v/>
      </c>
      <c r="L4" s="279">
        <f>K4/C6</f>
        <v/>
      </c>
    </row>
    <row r="5" ht="22.5" customHeight="1" s="247">
      <c r="B5" s="80" t="inlineStr">
        <is>
          <t>医疗成本</t>
        </is>
      </c>
      <c r="C5" s="81" t="n">
        <v>768743</v>
      </c>
      <c r="D5" s="81">
        <f>收支结余!C6</f>
        <v/>
      </c>
      <c r="E5" s="82">
        <f>D5/C5</f>
        <v/>
      </c>
      <c r="F5" s="82">
        <f>E5-$H$3</f>
        <v/>
      </c>
      <c r="K5" s="7" t="n"/>
      <c r="L5" s="279" t="n"/>
    </row>
    <row r="6" ht="21.5" customHeight="1" s="247">
      <c r="B6" s="83" t="inlineStr">
        <is>
          <t xml:space="preserve">          工资总额</t>
        </is>
      </c>
      <c r="C6" s="84" t="n">
        <v>225000</v>
      </c>
      <c r="D6" s="84">
        <f>人员经费!C7</f>
        <v/>
      </c>
      <c r="E6" s="85">
        <f>D6/C6</f>
        <v/>
      </c>
      <c r="F6" s="85">
        <f>E6-$H$3</f>
        <v/>
      </c>
    </row>
  </sheetData>
  <mergeCells count="2">
    <mergeCell ref="C2:E2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7"/>
  <sheetViews>
    <sheetView workbookViewId="0">
      <selection activeCell="E2" sqref="E2:E3"/>
    </sheetView>
  </sheetViews>
  <sheetFormatPr baseColWidth="8" defaultRowHeight="14"/>
  <cols>
    <col width="28.33203125" customWidth="1" style="247" min="2" max="2"/>
    <col width="19" bestFit="1" customWidth="1" style="247" min="3" max="3"/>
    <col width="17.58203125" bestFit="1" customWidth="1" style="247" min="4" max="4"/>
    <col width="19" bestFit="1" customWidth="1" style="247" min="5" max="5"/>
    <col width="17" bestFit="1" customWidth="1" style="247" min="6" max="6"/>
    <col width="12.58203125" bestFit="1" customWidth="1" style="247" min="7" max="7"/>
  </cols>
  <sheetData>
    <row r="1" ht="14.5" customHeight="1" s="247" thickBot="1"/>
    <row r="2" ht="23.25" customHeight="1" s="247">
      <c r="B2" s="60" t="inlineStr">
        <is>
          <t>项   目</t>
        </is>
      </c>
      <c r="C2" s="280" t="n">
        <v>46143</v>
      </c>
      <c r="D2" s="217" t="inlineStr">
        <is>
          <t>其中</t>
        </is>
      </c>
      <c r="E2" s="280" t="n">
        <v>45778</v>
      </c>
      <c r="F2" s="281" t="inlineStr">
        <is>
          <t>增减额</t>
        </is>
      </c>
      <c r="G2" s="281" t="inlineStr">
        <is>
          <t>增减率</t>
        </is>
      </c>
    </row>
    <row r="3" ht="22.5" customHeight="1" s="247" thickBot="1">
      <c r="B3" s="254" t="n"/>
      <c r="C3" s="254" t="n"/>
      <c r="D3" s="209" t="inlineStr">
        <is>
          <t>奉贤院区</t>
        </is>
      </c>
      <c r="E3" s="254" t="n"/>
      <c r="F3" s="254" t="n"/>
      <c r="G3" s="254" t="n"/>
    </row>
    <row r="4" ht="32.25" customHeight="1" s="247">
      <c r="B4" s="87" t="inlineStr">
        <is>
          <t>医疗收入</t>
        </is>
      </c>
      <c r="C4" s="48">
        <f>ROUND(当年累计数据表!O3/10000,0)</f>
        <v/>
      </c>
      <c r="D4" s="48">
        <f>ROUND(当年累计数据表奉贤!O3/10000,0)</f>
        <v/>
      </c>
      <c r="E4" s="48">
        <f>ROUND(去年累计数据表!O3/10000,0)</f>
        <v/>
      </c>
      <c r="F4" s="48">
        <f>C4-E4</f>
        <v/>
      </c>
      <c r="G4" s="49">
        <f>F4/E4</f>
        <v/>
      </c>
    </row>
    <row r="5" ht="32.25" customHeight="1" s="247">
      <c r="B5" s="88" t="inlineStr">
        <is>
          <t>加：财政基本拨款收入</t>
        </is>
      </c>
      <c r="C5" s="115" t="n">
        <v>2502</v>
      </c>
      <c r="D5" s="90" t="n">
        <v>0</v>
      </c>
      <c r="E5" s="115" t="n">
        <v>2411</v>
      </c>
      <c r="F5" s="90">
        <f>C5-E5</f>
        <v/>
      </c>
      <c r="G5" s="91">
        <f>F5/E5</f>
        <v/>
      </c>
    </row>
    <row r="6" ht="32.25" customHeight="1" s="247">
      <c r="B6" s="88" t="inlineStr">
        <is>
          <t>减：医疗成本</t>
        </is>
      </c>
      <c r="C6" s="89">
        <f>医疗成本!C11</f>
        <v/>
      </c>
      <c r="D6" s="89">
        <f>医疗成本!E11</f>
        <v/>
      </c>
      <c r="E6" s="89">
        <f>医疗成本!G11</f>
        <v/>
      </c>
      <c r="F6" s="89">
        <f>C6-E6</f>
        <v/>
      </c>
      <c r="G6" s="91">
        <f>F6/E6</f>
        <v/>
      </c>
    </row>
    <row r="7" ht="32.25" customHeight="1" s="247">
      <c r="B7" s="88" t="inlineStr">
        <is>
          <t>医疗服务盈余</t>
        </is>
      </c>
      <c r="C7" s="89">
        <f>C4+C5-C6</f>
        <v/>
      </c>
      <c r="D7" s="89">
        <f>D4+D5-D6</f>
        <v/>
      </c>
      <c r="E7" s="89">
        <f>E4+E5-E6</f>
        <v/>
      </c>
      <c r="F7" s="89">
        <f>C7-E7</f>
        <v/>
      </c>
      <c r="G7" s="91">
        <f>F7/E7</f>
        <v/>
      </c>
    </row>
    <row r="8" ht="32.25" customHeight="1" s="247">
      <c r="B8" s="88" t="inlineStr">
        <is>
          <t>其他盈余</t>
        </is>
      </c>
      <c r="C8" s="89">
        <f>C9-C7</f>
        <v/>
      </c>
      <c r="D8" s="89">
        <f>D9-D7</f>
        <v/>
      </c>
      <c r="E8" s="89">
        <f>E9-E7</f>
        <v/>
      </c>
      <c r="F8" s="89">
        <f>C8-E8</f>
        <v/>
      </c>
      <c r="G8" s="92" t="inlineStr">
        <is>
          <t>-</t>
        </is>
      </c>
    </row>
    <row r="9" ht="32.25" customHeight="1" s="247">
      <c r="B9" s="93" t="inlineStr">
        <is>
          <t>收支结余</t>
        </is>
      </c>
      <c r="C9" s="94">
        <f>ROUND(当月附表1!B5/10000,0)</f>
        <v/>
      </c>
      <c r="D9" s="94">
        <f>ROUND(当月奉贤附表1!B5/10000,0)</f>
        <v/>
      </c>
      <c r="E9" s="94">
        <f>ROUND(上年同期附表1!B5/10000,0)</f>
        <v/>
      </c>
      <c r="F9" s="94">
        <f>C9-E9</f>
        <v/>
      </c>
      <c r="G9" s="93" t="inlineStr">
        <is>
          <t>-</t>
        </is>
      </c>
    </row>
    <row r="15" ht="14.5" customHeight="1" s="247" thickBot="1"/>
    <row r="16" ht="25.5" customHeight="1" s="247" thickBot="1">
      <c r="B16" s="133" t="inlineStr">
        <is>
          <t>项   目</t>
        </is>
      </c>
      <c r="C16" s="144" t="n">
        <v>46113</v>
      </c>
      <c r="D16" s="144" t="n">
        <v>45748</v>
      </c>
      <c r="E16" s="133" t="inlineStr">
        <is>
          <t>增减额</t>
        </is>
      </c>
      <c r="F16" s="133" t="inlineStr">
        <is>
          <t>增减率</t>
        </is>
      </c>
    </row>
    <row r="17" ht="55" customHeight="1" s="247">
      <c r="B17" s="54" t="inlineStr">
        <is>
          <t>新华医疗开发公司</t>
        </is>
      </c>
      <c r="C17" s="134" t="n"/>
      <c r="D17" s="135" t="n"/>
      <c r="E17" s="282">
        <f>C17-D17</f>
        <v/>
      </c>
      <c r="F17" s="136">
        <f>E17/D17</f>
        <v/>
      </c>
    </row>
  </sheetData>
  <mergeCells count="5">
    <mergeCell ref="B2:B3"/>
    <mergeCell ref="C2:C3"/>
    <mergeCell ref="F2:F3"/>
    <mergeCell ref="E2:E3"/>
    <mergeCell ref="G2:G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4"/>
  <sheetViews>
    <sheetView topLeftCell="A10" workbookViewId="0">
      <selection activeCell="E2" sqref="E2:E3"/>
    </sheetView>
  </sheetViews>
  <sheetFormatPr baseColWidth="8" defaultRowHeight="14"/>
  <cols>
    <col width="24.58203125" bestFit="1" customWidth="1" style="247" min="2" max="2"/>
    <col width="17.58203125" bestFit="1" customWidth="1" style="247" min="3" max="3"/>
    <col width="15.5" customWidth="1" style="247" min="4" max="4"/>
    <col width="17.58203125" bestFit="1" customWidth="1" style="247" min="5" max="5"/>
    <col width="11.83203125" bestFit="1" customWidth="1" style="247" min="6" max="6"/>
    <col width="15.33203125" bestFit="1" customWidth="1" style="247" min="7" max="7"/>
  </cols>
  <sheetData>
    <row r="1" ht="14.5" customHeight="1" s="247" thickBot="1"/>
    <row r="2" ht="21.5" customHeight="1" s="247">
      <c r="B2" s="60" t="inlineStr">
        <is>
          <t>项   目</t>
        </is>
      </c>
      <c r="C2" s="273" t="n">
        <v>46143</v>
      </c>
      <c r="D2" s="208" t="inlineStr">
        <is>
          <t>其中</t>
        </is>
      </c>
      <c r="E2" s="273" t="n">
        <v>45778</v>
      </c>
      <c r="F2" s="60" t="inlineStr">
        <is>
          <t>增减额</t>
        </is>
      </c>
      <c r="G2" s="60" t="inlineStr">
        <is>
          <t>增减率</t>
        </is>
      </c>
    </row>
    <row r="3" ht="22" customHeight="1" s="247" thickBot="1">
      <c r="B3" s="254" t="n"/>
      <c r="C3" s="254" t="n"/>
      <c r="D3" s="209" t="inlineStr">
        <is>
          <t>奉贤院区</t>
        </is>
      </c>
      <c r="E3" s="254" t="n"/>
      <c r="F3" s="254" t="n"/>
      <c r="G3" s="254" t="n"/>
    </row>
    <row r="4" ht="26.25" customHeight="1" s="247">
      <c r="B4" s="116" t="inlineStr">
        <is>
          <t>商品服务</t>
        </is>
      </c>
      <c r="C4" s="70">
        <f>ROUND(当月附表3!B54/10000,0)</f>
        <v/>
      </c>
      <c r="D4" s="70">
        <f>ROUND(当月奉贤附表3!B54/10000,0)</f>
        <v/>
      </c>
      <c r="E4" s="70">
        <f>ROUND(上年同期附表3!B54/10000,0)</f>
        <v/>
      </c>
      <c r="F4" s="74">
        <f>C4-E4</f>
        <v/>
      </c>
      <c r="G4" s="274">
        <f>F4/E4</f>
        <v/>
      </c>
    </row>
    <row r="5" ht="26.25" customHeight="1" s="247">
      <c r="B5" s="117" t="inlineStr">
        <is>
          <t xml:space="preserve">  其中：能源成本</t>
        </is>
      </c>
      <c r="C5" s="56">
        <f>水电煤!C4</f>
        <v/>
      </c>
      <c r="D5" s="56">
        <f>水电煤!D4</f>
        <v/>
      </c>
      <c r="E5" s="56">
        <f>水电煤!E4</f>
        <v/>
      </c>
      <c r="F5" s="73">
        <f>C5-E5</f>
        <v/>
      </c>
      <c r="G5" s="275">
        <f>F5/E5</f>
        <v/>
      </c>
    </row>
    <row r="6" ht="26.25" customHeight="1" s="247">
      <c r="B6" s="117" t="inlineStr">
        <is>
          <t xml:space="preserve">            维修护费</t>
        </is>
      </c>
      <c r="C6" s="56" t="n">
        <v>683</v>
      </c>
      <c r="D6" s="73" t="n">
        <v>183</v>
      </c>
      <c r="E6" s="56" t="n">
        <v>719</v>
      </c>
      <c r="F6" s="73">
        <f>C6-E6</f>
        <v/>
      </c>
      <c r="G6" s="275">
        <f>F6/E6</f>
        <v/>
      </c>
    </row>
    <row r="7" ht="26.25" customHeight="1" s="247">
      <c r="B7" s="117" t="inlineStr">
        <is>
          <t xml:space="preserve">            物业管理费</t>
        </is>
      </c>
      <c r="C7" s="56" t="n">
        <v>1182</v>
      </c>
      <c r="D7" s="73" t="n">
        <v>388</v>
      </c>
      <c r="E7" s="56" t="n">
        <v>729</v>
      </c>
      <c r="F7" s="73">
        <f>C7-E7</f>
        <v/>
      </c>
      <c r="G7" s="275">
        <f>F7/E7</f>
        <v/>
      </c>
    </row>
    <row r="8" ht="26.25" customHeight="1" s="247">
      <c r="B8" s="117" t="inlineStr">
        <is>
          <t xml:space="preserve">            委托业务费</t>
        </is>
      </c>
      <c r="C8" s="73">
        <f>ROUND(当月附表3!B74/10000,0)</f>
        <v/>
      </c>
      <c r="D8" s="73">
        <f>ROUND(当月奉贤附表3!B74/10000,0)</f>
        <v/>
      </c>
      <c r="E8" s="73">
        <f>ROUND(上年同期附表3!B74/10000,0)</f>
        <v/>
      </c>
      <c r="F8" s="73">
        <f>C8-E8</f>
        <v/>
      </c>
      <c r="G8" s="275">
        <f>F8/E8</f>
        <v/>
      </c>
    </row>
    <row r="9" ht="26.25" customHeight="1" s="247">
      <c r="B9" s="117" t="inlineStr">
        <is>
          <t xml:space="preserve">            劳务费</t>
        </is>
      </c>
      <c r="C9" s="56">
        <f>ROUND(当月附表3!B73/10000,0)</f>
        <v/>
      </c>
      <c r="D9" s="73">
        <f>ROUND(当月奉贤附表3!B73/10000,0)</f>
        <v/>
      </c>
      <c r="E9" s="73">
        <f>ROUND(上年同期附表3!B73/10000,0)</f>
        <v/>
      </c>
      <c r="F9" s="73">
        <f>C9-E9</f>
        <v/>
      </c>
      <c r="G9" s="275">
        <f>F9/E9</f>
        <v/>
      </c>
    </row>
    <row r="10" ht="26.25" customHeight="1" s="247">
      <c r="B10" s="117" t="inlineStr">
        <is>
          <t xml:space="preserve">            专用材料费</t>
        </is>
      </c>
      <c r="C10" s="73">
        <f>ROUND(当月附表3!B71/10000,0)</f>
        <v/>
      </c>
      <c r="D10" s="73">
        <f>ROUND(当月奉贤附表3!B71/10000,0)</f>
        <v/>
      </c>
      <c r="E10" s="73">
        <f>ROUND(上年同期附表3!B71/10000,0)</f>
        <v/>
      </c>
      <c r="F10" s="73">
        <f>C10-E10</f>
        <v/>
      </c>
      <c r="G10" s="275">
        <f>F10/E10</f>
        <v/>
      </c>
    </row>
    <row r="11" ht="26.25" customHeight="1" s="247">
      <c r="B11" s="148" t="inlineStr">
        <is>
          <t>供应室外包成本</t>
        </is>
      </c>
      <c r="C11" s="73" t="n">
        <v>470</v>
      </c>
      <c r="D11" s="73" t="n">
        <v>104</v>
      </c>
      <c r="E11" s="73" t="n">
        <v>575</v>
      </c>
      <c r="F11" s="73">
        <f>C11-E11</f>
        <v/>
      </c>
      <c r="G11" s="275">
        <f>F11/E11</f>
        <v/>
      </c>
    </row>
    <row r="12" ht="26.25" customHeight="1" s="247">
      <c r="B12" s="117" t="inlineStr">
        <is>
          <t xml:space="preserve">     租赁费</t>
        </is>
      </c>
      <c r="C12" s="73">
        <f>ROUND(当月附表3!B67/10000,0)</f>
        <v/>
      </c>
      <c r="D12" s="73">
        <f>ROUND(当月奉贤附表3!B67/10000,0)</f>
        <v/>
      </c>
      <c r="E12" s="73">
        <f>ROUND(上年同期附表3!B67/10000,0)</f>
        <v/>
      </c>
      <c r="F12" s="73">
        <f>C12-E12</f>
        <v/>
      </c>
      <c r="G12" s="275">
        <f>F12/E12</f>
        <v/>
      </c>
    </row>
    <row r="13" ht="26.25" customHeight="1" s="247">
      <c r="B13" s="117" t="inlineStr">
        <is>
          <t xml:space="preserve">            其他</t>
        </is>
      </c>
      <c r="C13" s="56">
        <f>C4-C5-C6-C7-C8-C9-C10-C11-C12</f>
        <v/>
      </c>
      <c r="D13" s="56">
        <f>D4-D5-D6-D7-D8-D9-D10-D11-D12</f>
        <v/>
      </c>
      <c r="E13" s="56">
        <f>E4-E5-E6-E7-E8-E9-E10-E11-E12</f>
        <v/>
      </c>
      <c r="F13" s="73">
        <f>C13-E13</f>
        <v/>
      </c>
      <c r="G13" s="275">
        <f>F13/E13</f>
        <v/>
      </c>
    </row>
    <row r="24" ht="20.5" customHeight="1" s="247">
      <c r="C24" s="56">
        <f>C11+C13</f>
        <v/>
      </c>
      <c r="D24" s="56">
        <f>D11+D13</f>
        <v/>
      </c>
      <c r="E24" s="56">
        <f>E11+E13</f>
        <v/>
      </c>
      <c r="F24" s="56">
        <f>F11+F13</f>
        <v/>
      </c>
      <c r="G24" s="275">
        <f>F24/E24</f>
        <v/>
      </c>
    </row>
  </sheetData>
  <mergeCells count="5">
    <mergeCell ref="B2:B3"/>
    <mergeCell ref="C2:C3"/>
    <mergeCell ref="F2:F3"/>
    <mergeCell ref="E2:E3"/>
    <mergeCell ref="G2:G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N18"/>
  <sheetViews>
    <sheetView topLeftCell="C1" zoomScale="70" zoomScaleNormal="70" workbookViewId="0">
      <selection activeCell="L3" sqref="L3:L4"/>
    </sheetView>
  </sheetViews>
  <sheetFormatPr baseColWidth="8" defaultRowHeight="14"/>
  <cols>
    <col width="17.25" bestFit="1" customWidth="1" style="247" min="1" max="1"/>
    <col width="34.5" bestFit="1" customWidth="1" style="247" min="2" max="2"/>
    <col width="17.58203125" bestFit="1" customWidth="1" style="247" min="3" max="3"/>
    <col width="14.08203125" customWidth="1" style="247" min="4" max="4"/>
    <col width="17.58203125" bestFit="1" customWidth="1" style="247" min="5" max="5"/>
    <col width="18.58203125" customWidth="1" style="247" min="6" max="6"/>
    <col width="35.08203125" bestFit="1" customWidth="1" style="247" min="7" max="7"/>
    <col width="34.5" bestFit="1" customWidth="1" style="247" min="9" max="9"/>
    <col width="15.08203125" bestFit="1" customWidth="1" style="247" min="10" max="10"/>
    <col width="17.58203125" bestFit="1" customWidth="1" style="247" min="12" max="12"/>
    <col width="15.83203125" bestFit="1" customWidth="1" style="247" min="14" max="14"/>
  </cols>
  <sheetData>
    <row r="1"/>
    <row r="2" ht="14.5" customHeight="1" s="247" thickBot="1"/>
    <row r="3" ht="21.5" customHeight="1" s="247">
      <c r="B3" s="60" t="inlineStr">
        <is>
          <t>项   目</t>
        </is>
      </c>
      <c r="C3" s="273" t="n">
        <v>46143</v>
      </c>
      <c r="D3" s="208" t="inlineStr">
        <is>
          <t>其中</t>
        </is>
      </c>
      <c r="E3" s="273" t="n">
        <v>45778</v>
      </c>
      <c r="F3" s="60" t="inlineStr">
        <is>
          <t>增减额</t>
        </is>
      </c>
      <c r="G3" s="60" t="inlineStr">
        <is>
          <t>增减率</t>
        </is>
      </c>
      <c r="I3" s="60" t="inlineStr">
        <is>
          <t>项   目</t>
        </is>
      </c>
      <c r="J3" s="273" t="n">
        <v>46143</v>
      </c>
      <c r="K3" s="208" t="inlineStr">
        <is>
          <t>其中</t>
        </is>
      </c>
      <c r="L3" s="273" t="n">
        <v>45778</v>
      </c>
      <c r="M3" s="60" t="inlineStr">
        <is>
          <t>增减额</t>
        </is>
      </c>
      <c r="N3" s="60" t="inlineStr">
        <is>
          <t>增减率</t>
        </is>
      </c>
    </row>
    <row r="4" ht="43.5" customHeight="1" s="247" thickBot="1">
      <c r="B4" s="254" t="n"/>
      <c r="C4" s="254" t="n"/>
      <c r="D4" s="209" t="inlineStr">
        <is>
          <t>奉贤院区</t>
        </is>
      </c>
      <c r="E4" s="254" t="n"/>
      <c r="F4" s="254" t="n"/>
      <c r="G4" s="254" t="n"/>
      <c r="I4" s="254" t="n"/>
      <c r="J4" s="254" t="n"/>
      <c r="K4" s="209" t="inlineStr">
        <is>
          <t>奉贤院区</t>
        </is>
      </c>
      <c r="L4" s="254" t="n"/>
      <c r="M4" s="254" t="n"/>
      <c r="N4" s="254" t="n"/>
    </row>
    <row r="5" ht="30.75" customHeight="1" s="247">
      <c r="B5" s="116" t="inlineStr">
        <is>
          <t>物业管理费</t>
        </is>
      </c>
      <c r="C5" s="70">
        <f>商品服务!C7</f>
        <v/>
      </c>
      <c r="D5" s="70">
        <f>商品服务!D7</f>
        <v/>
      </c>
      <c r="E5" s="70">
        <f>商品服务!E7</f>
        <v/>
      </c>
      <c r="F5" s="74">
        <f>C5-E5</f>
        <v/>
      </c>
      <c r="G5" s="71">
        <f>F5/E5</f>
        <v/>
      </c>
      <c r="I5" s="116" t="inlineStr">
        <is>
          <t>物业管理费</t>
        </is>
      </c>
      <c r="J5" s="70">
        <f>商品服务!C7</f>
        <v/>
      </c>
      <c r="K5" s="70">
        <f>商品服务!D7</f>
        <v/>
      </c>
      <c r="L5" s="70">
        <f>商品服务!E7</f>
        <v/>
      </c>
      <c r="M5" s="74">
        <f>J5-L5</f>
        <v/>
      </c>
      <c r="N5" s="274">
        <f>M5/L5</f>
        <v/>
      </c>
    </row>
    <row r="6" ht="30.75" customHeight="1" s="247">
      <c r="B6" s="120" t="inlineStr">
        <is>
          <t xml:space="preserve">           其中： 电梯驾驶服务</t>
        </is>
      </c>
      <c r="C6" s="73" t="n">
        <v>58</v>
      </c>
      <c r="D6" s="73" t="n">
        <v>26</v>
      </c>
      <c r="E6" s="73" t="n">
        <v>0</v>
      </c>
      <c r="F6" s="73">
        <f>C6-E6</f>
        <v/>
      </c>
      <c r="G6" s="57">
        <f>F6/E6</f>
        <v/>
      </c>
      <c r="I6" s="120" t="inlineStr">
        <is>
          <t xml:space="preserve">           其中： 电梯驾驶服务</t>
        </is>
      </c>
      <c r="J6" s="73" t="n">
        <v>58</v>
      </c>
      <c r="K6" s="73" t="n">
        <v>26</v>
      </c>
      <c r="L6" s="73" t="n">
        <v>0</v>
      </c>
      <c r="M6" s="73">
        <f>J6-L6</f>
        <v/>
      </c>
      <c r="N6" s="275">
        <f>M6/L6</f>
        <v/>
      </c>
    </row>
    <row r="7" ht="30.75" customHeight="1" s="247">
      <c r="B7" s="120" t="inlineStr">
        <is>
          <t xml:space="preserve">            保安管理</t>
        </is>
      </c>
      <c r="C7" s="73" t="n">
        <v>197</v>
      </c>
      <c r="D7" s="73" t="n">
        <v>58</v>
      </c>
      <c r="E7" s="73" t="n">
        <v>145</v>
      </c>
      <c r="F7" s="73">
        <f>C7-E7</f>
        <v/>
      </c>
      <c r="G7" s="57">
        <f>F7/E7</f>
        <v/>
      </c>
      <c r="I7" s="120" t="inlineStr">
        <is>
          <t xml:space="preserve">            保安管理</t>
        </is>
      </c>
      <c r="J7" s="73" t="n">
        <v>197</v>
      </c>
      <c r="K7" s="73" t="n">
        <v>58</v>
      </c>
      <c r="L7" s="73" t="n">
        <v>145</v>
      </c>
      <c r="M7" s="73">
        <f>J7-L7</f>
        <v/>
      </c>
      <c r="N7" s="275">
        <f>M7/L7</f>
        <v/>
      </c>
    </row>
    <row r="8" ht="30.75" customHeight="1" s="247">
      <c r="B8" s="121" t="inlineStr">
        <is>
          <t xml:space="preserve">            运送服务费</t>
        </is>
      </c>
      <c r="C8" s="73" t="n">
        <v>212</v>
      </c>
      <c r="D8" s="73" t="n">
        <v>87</v>
      </c>
      <c r="E8" s="73" t="n">
        <v>78</v>
      </c>
      <c r="F8" s="73">
        <f>C8-E8</f>
        <v/>
      </c>
      <c r="G8" s="57">
        <f>F8/E8</f>
        <v/>
      </c>
      <c r="I8" s="121" t="inlineStr">
        <is>
          <t xml:space="preserve">            运送服务费</t>
        </is>
      </c>
      <c r="J8" s="73" t="n">
        <v>212</v>
      </c>
      <c r="K8" s="73" t="n">
        <v>87</v>
      </c>
      <c r="L8" s="73" t="n">
        <v>78</v>
      </c>
      <c r="M8" s="73">
        <f>J8-L8</f>
        <v/>
      </c>
      <c r="N8" s="275">
        <f>M8/L8</f>
        <v/>
      </c>
    </row>
    <row r="9" ht="30.75" customHeight="1" s="247">
      <c r="B9" s="121" t="inlineStr">
        <is>
          <t xml:space="preserve">            保洁服务</t>
        </is>
      </c>
      <c r="C9" s="73" t="n">
        <v>481</v>
      </c>
      <c r="D9" s="73" t="n">
        <v>113</v>
      </c>
      <c r="E9" s="73" t="n">
        <v>361</v>
      </c>
      <c r="F9" s="73">
        <f>C9-E9</f>
        <v/>
      </c>
      <c r="G9" s="57">
        <f>F9/E9</f>
        <v/>
      </c>
      <c r="I9" s="121" t="inlineStr">
        <is>
          <t xml:space="preserve">            保洁服务</t>
        </is>
      </c>
      <c r="J9" s="73" t="n">
        <v>481</v>
      </c>
      <c r="K9" s="73" t="n">
        <v>113</v>
      </c>
      <c r="L9" s="73" t="n">
        <v>361</v>
      </c>
      <c r="M9" s="73">
        <f>J9-L9</f>
        <v/>
      </c>
      <c r="N9" s="275">
        <f>M9/L9</f>
        <v/>
      </c>
    </row>
    <row r="10" ht="30.75" customHeight="1" s="247">
      <c r="B10" s="121" t="inlineStr">
        <is>
          <t xml:space="preserve">            被服洗涤</t>
        </is>
      </c>
      <c r="C10" s="73" t="n">
        <v>73</v>
      </c>
      <c r="D10" s="73" t="n">
        <v>29</v>
      </c>
      <c r="E10" s="73" t="n">
        <v>58</v>
      </c>
      <c r="F10" s="73">
        <f>C10-E10</f>
        <v/>
      </c>
      <c r="G10" s="57">
        <f>F10/E10</f>
        <v/>
      </c>
      <c r="I10" s="121" t="inlineStr">
        <is>
          <t xml:space="preserve">            被服洗涤</t>
        </is>
      </c>
      <c r="J10" s="73" t="n">
        <v>73</v>
      </c>
      <c r="K10" s="73" t="n">
        <v>29</v>
      </c>
      <c r="L10" s="73" t="n">
        <v>58</v>
      </c>
      <c r="M10" s="73">
        <f>J10-L10</f>
        <v/>
      </c>
      <c r="N10" s="275">
        <f>M10/L10</f>
        <v/>
      </c>
    </row>
    <row r="11" ht="20.5" customHeight="1" s="247">
      <c r="B11" s="121" t="inlineStr">
        <is>
          <t>会务</t>
        </is>
      </c>
      <c r="C11" s="73" t="n">
        <v>75</v>
      </c>
      <c r="D11" s="73" t="n">
        <v>27</v>
      </c>
      <c r="E11" s="73" t="n">
        <v>60</v>
      </c>
      <c r="F11" s="73">
        <f>C11-E11</f>
        <v/>
      </c>
      <c r="G11" s="57">
        <f>F11/E11</f>
        <v/>
      </c>
      <c r="I11" s="120" t="inlineStr">
        <is>
          <t xml:space="preserve">            物业其他</t>
        </is>
      </c>
      <c r="J11" s="56">
        <f>J5-J6-J7-J8-J9-J10</f>
        <v/>
      </c>
      <c r="K11" s="56">
        <f>K5-K6-K7-K8-K9-K10</f>
        <v/>
      </c>
      <c r="L11" s="56">
        <f>L5-L6-L7-L8-L9-L10</f>
        <v/>
      </c>
      <c r="M11" s="73">
        <f>J11-L11</f>
        <v/>
      </c>
      <c r="N11" s="275">
        <f>M11/L11</f>
        <v/>
      </c>
    </row>
    <row r="12" ht="20.5" customHeight="1" s="247">
      <c r="B12" s="121" t="inlineStr">
        <is>
          <t>绿化</t>
        </is>
      </c>
      <c r="C12" s="73" t="n">
        <v>3</v>
      </c>
      <c r="D12" s="73" t="n">
        <v>0</v>
      </c>
      <c r="E12" s="73" t="n">
        <v>0</v>
      </c>
      <c r="F12" s="73">
        <f>C12-E12</f>
        <v/>
      </c>
      <c r="G12" s="57">
        <f>F12/E12</f>
        <v/>
      </c>
    </row>
    <row r="13" ht="20.5" customHeight="1" s="247">
      <c r="B13" s="121" t="inlineStr">
        <is>
          <t>垃圾清运</t>
        </is>
      </c>
      <c r="C13" s="73" t="n">
        <v>18</v>
      </c>
      <c r="D13" s="73" t="n">
        <v>2</v>
      </c>
      <c r="E13" s="73" t="n">
        <v>0</v>
      </c>
      <c r="F13" s="73">
        <f>C13-E13</f>
        <v/>
      </c>
      <c r="G13" s="57">
        <f>F13/E13</f>
        <v/>
      </c>
    </row>
    <row r="14" ht="20.5" customHeight="1" s="247">
      <c r="B14" s="121" t="inlineStr">
        <is>
          <t>危险废弃物</t>
        </is>
      </c>
      <c r="C14" s="73" t="n">
        <v>2</v>
      </c>
      <c r="D14" s="73" t="n">
        <v>1</v>
      </c>
      <c r="E14" s="73" t="n">
        <v>0</v>
      </c>
      <c r="F14" s="73">
        <f>C14-E14</f>
        <v/>
      </c>
      <c r="G14" s="57">
        <f>F14/E14</f>
        <v/>
      </c>
    </row>
    <row r="15" ht="20.5" customHeight="1" s="247">
      <c r="B15" s="121" t="inlineStr">
        <is>
          <t>医废处置</t>
        </is>
      </c>
      <c r="C15" s="73" t="n">
        <v>16</v>
      </c>
      <c r="D15" s="73" t="n">
        <v>10</v>
      </c>
      <c r="E15" s="73" t="n">
        <v>0</v>
      </c>
      <c r="F15" s="73">
        <f>C15-E15</f>
        <v/>
      </c>
      <c r="G15" s="57">
        <f>F15/E15</f>
        <v/>
      </c>
    </row>
    <row r="16" ht="20.5" customHeight="1" s="247">
      <c r="B16" s="121" t="inlineStr">
        <is>
          <t>医废收运</t>
        </is>
      </c>
      <c r="C16" s="73" t="n">
        <v>20</v>
      </c>
      <c r="D16" s="73" t="n">
        <v>8</v>
      </c>
      <c r="E16" s="73" t="n">
        <v>27</v>
      </c>
      <c r="F16" s="73">
        <f>C16-E16</f>
        <v/>
      </c>
      <c r="G16" s="57">
        <f>F16/E16</f>
        <v/>
      </c>
    </row>
    <row r="17" ht="20.5" customHeight="1" s="247">
      <c r="B17" s="121" t="inlineStr">
        <is>
          <t>交通管理服务费</t>
        </is>
      </c>
      <c r="C17" s="73" t="n">
        <v>6</v>
      </c>
      <c r="D17" s="73" t="n">
        <v>1</v>
      </c>
      <c r="E17" s="73" t="n">
        <v>0</v>
      </c>
      <c r="F17" s="73" t="n"/>
      <c r="G17" s="57" t="n"/>
    </row>
    <row r="18" ht="20.5" customHeight="1" s="247">
      <c r="B18" s="120" t="inlineStr">
        <is>
          <t xml:space="preserve">            园区物业管理</t>
        </is>
      </c>
      <c r="C18" s="56">
        <f>C5-C6-C7-C8-C9-C10-C11-C12-C13-C14-C15-C16-C17</f>
        <v/>
      </c>
      <c r="D18" s="56">
        <f>D5-D6-D7-D8-D9-D10-D11-D12-D13-D14-D15-D16-D17</f>
        <v/>
      </c>
      <c r="E18" s="56">
        <f>E5-E6-E7-E8-E9-E10-E11-E12-E13-E14-E15-E16-E17</f>
        <v/>
      </c>
      <c r="F18" s="73">
        <f>C18-E18</f>
        <v/>
      </c>
      <c r="G18" s="57">
        <f>F18/E18</f>
        <v/>
      </c>
    </row>
  </sheetData>
  <mergeCells count="10">
    <mergeCell ref="L3:L4"/>
    <mergeCell ref="B3:B4"/>
    <mergeCell ref="C3:C4"/>
    <mergeCell ref="N3:N4"/>
    <mergeCell ref="M3:M4"/>
    <mergeCell ref="E3:E4"/>
    <mergeCell ref="F3:F4"/>
    <mergeCell ref="G3:G4"/>
    <mergeCell ref="J3:J4"/>
    <mergeCell ref="I3:I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J7"/>
  <sheetViews>
    <sheetView workbookViewId="0">
      <selection activeCell="E1" sqref="E1:E2"/>
    </sheetView>
  </sheetViews>
  <sheetFormatPr baseColWidth="8" defaultRowHeight="14"/>
  <cols>
    <col width="26.83203125" customWidth="1" style="247" min="2" max="2"/>
    <col width="14.75" bestFit="1" customWidth="1" style="247" min="3" max="3"/>
    <col width="13.08203125" customWidth="1" style="247" min="4" max="4"/>
    <col width="14.75" bestFit="1" customWidth="1" style="247" min="5" max="5"/>
    <col width="10.08203125" bestFit="1" customWidth="1" style="247" min="6" max="6"/>
    <col width="17" bestFit="1" customWidth="1" style="247" min="7" max="7"/>
  </cols>
  <sheetData>
    <row r="1" ht="21.75" customHeight="1" s="247">
      <c r="B1" s="60" t="inlineStr">
        <is>
          <t>项   目</t>
        </is>
      </c>
      <c r="C1" s="273" t="n">
        <v>46143</v>
      </c>
      <c r="D1" s="208" t="inlineStr">
        <is>
          <t>其中</t>
        </is>
      </c>
      <c r="E1" s="273" t="n">
        <v>45778</v>
      </c>
      <c r="F1" s="60" t="inlineStr">
        <is>
          <t>增减额</t>
        </is>
      </c>
      <c r="G1" s="60" t="inlineStr">
        <is>
          <t>增减率</t>
        </is>
      </c>
    </row>
    <row r="2" ht="21.75" customHeight="1" s="247" thickBot="1">
      <c r="B2" s="254" t="n"/>
      <c r="C2" s="254" t="n"/>
      <c r="D2" s="209" t="inlineStr">
        <is>
          <t>奉贤院区</t>
        </is>
      </c>
      <c r="E2" s="254" t="n"/>
      <c r="F2" s="254" t="n"/>
      <c r="G2" s="254" t="n"/>
      <c r="I2" s="0" t="inlineStr">
        <is>
          <t>柯渡</t>
        </is>
      </c>
    </row>
    <row r="3" ht="27.5" customHeight="1" s="247">
      <c r="B3" s="116" t="inlineStr">
        <is>
          <t>维修费</t>
        </is>
      </c>
      <c r="C3" s="70">
        <f>商品服务!C6</f>
        <v/>
      </c>
      <c r="D3" s="70">
        <f>商品服务!D6</f>
        <v/>
      </c>
      <c r="E3" s="70">
        <f>商品服务!E6</f>
        <v/>
      </c>
      <c r="F3" s="74">
        <f>C3-E3</f>
        <v/>
      </c>
      <c r="G3" s="274">
        <f>F3/E3</f>
        <v/>
      </c>
    </row>
    <row r="4" ht="35.25" customHeight="1" s="247">
      <c r="B4" s="122" t="inlineStr">
        <is>
          <t xml:space="preserve">  其中：网络维修</t>
        </is>
      </c>
      <c r="C4" s="73" t="n">
        <v>55</v>
      </c>
      <c r="D4" s="73" t="n">
        <v>11</v>
      </c>
      <c r="E4" s="73" t="n">
        <v>219</v>
      </c>
      <c r="F4" s="73">
        <f>C4-E4</f>
        <v/>
      </c>
      <c r="G4" s="275">
        <f>F4/E4</f>
        <v/>
      </c>
    </row>
    <row r="5" ht="35.25" customHeight="1" s="247">
      <c r="B5" s="123" t="inlineStr">
        <is>
          <t>设备维修</t>
        </is>
      </c>
      <c r="C5" s="73" t="n">
        <v>347</v>
      </c>
      <c r="D5" s="73" t="n">
        <v>81</v>
      </c>
      <c r="E5" s="73" t="n">
        <v>421</v>
      </c>
      <c r="F5" s="73">
        <f>C5-E5</f>
        <v/>
      </c>
      <c r="G5" s="275">
        <f>F5/E5</f>
        <v/>
      </c>
      <c r="H5" s="73" t="n">
        <v>1114</v>
      </c>
      <c r="I5" s="73" t="n">
        <v>100</v>
      </c>
      <c r="J5" s="0" t="n">
        <v>1146</v>
      </c>
    </row>
    <row r="6" ht="35.25" customHeight="1" s="247">
      <c r="B6" s="122" t="inlineStr">
        <is>
          <t xml:space="preserve">            后勤维修</t>
        </is>
      </c>
      <c r="C6" s="73" t="n">
        <v>199</v>
      </c>
      <c r="D6" s="73" t="n">
        <v>91</v>
      </c>
      <c r="E6" s="73" t="n">
        <v>59</v>
      </c>
      <c r="F6" s="73">
        <f>C6-E6</f>
        <v/>
      </c>
      <c r="G6" s="275">
        <f>F6/E6</f>
        <v/>
      </c>
    </row>
    <row r="7" ht="35.25" customHeight="1" s="247">
      <c r="B7" s="122" t="inlineStr">
        <is>
          <t xml:space="preserve">            房屋维修</t>
        </is>
      </c>
      <c r="C7" s="73" t="n">
        <v>83</v>
      </c>
      <c r="D7" s="73" t="n">
        <v>0</v>
      </c>
      <c r="E7" s="73" t="n">
        <v>20</v>
      </c>
      <c r="F7" s="73">
        <f>C7-E7</f>
        <v/>
      </c>
      <c r="G7" s="275">
        <f>F7/E7</f>
        <v/>
      </c>
    </row>
  </sheetData>
  <mergeCells count="5">
    <mergeCell ref="C1:C2"/>
    <mergeCell ref="B1:B2"/>
    <mergeCell ref="G1:G2"/>
    <mergeCell ref="E1:E2"/>
    <mergeCell ref="F1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C1:P16"/>
  <sheetViews>
    <sheetView workbookViewId="0">
      <selection activeCell="E7" sqref="E7"/>
    </sheetView>
  </sheetViews>
  <sheetFormatPr baseColWidth="8" defaultRowHeight="14"/>
  <cols>
    <col width="21.33203125" bestFit="1" customWidth="1" style="247" min="1" max="1"/>
    <col width="15.58203125" bestFit="1" customWidth="1" style="247" min="2" max="2"/>
    <col width="28.33203125" customWidth="1" style="247" min="3" max="3"/>
    <col width="17.75" customWidth="1" style="247" min="4" max="4"/>
    <col width="16.5" customWidth="1" style="247" min="5" max="5"/>
    <col width="16.25" customWidth="1" style="247" min="6" max="6"/>
    <col width="34.25" customWidth="1" style="247" min="7" max="7"/>
    <col width="17" bestFit="1" customWidth="1" style="247" min="8" max="8"/>
    <col width="28.5" customWidth="1" style="247" min="11" max="11"/>
    <col width="15.58203125" customWidth="1" style="247" min="12" max="16"/>
  </cols>
  <sheetData>
    <row r="1"/>
    <row r="2" ht="14.5" customHeight="1" s="247" thickBot="1"/>
    <row r="3" ht="21.75" customHeight="1" s="247">
      <c r="C3" s="60" t="inlineStr">
        <is>
          <t>项   目</t>
        </is>
      </c>
      <c r="D3" s="273" t="n">
        <v>46143</v>
      </c>
      <c r="E3" s="208" t="inlineStr">
        <is>
          <t>其中</t>
        </is>
      </c>
      <c r="F3" s="273" t="n">
        <v>45778</v>
      </c>
      <c r="G3" s="60" t="inlineStr">
        <is>
          <t>增减额</t>
        </is>
      </c>
      <c r="H3" s="60" t="inlineStr">
        <is>
          <t>增减率</t>
        </is>
      </c>
      <c r="K3" s="60" t="inlineStr">
        <is>
          <t>项   目</t>
        </is>
      </c>
      <c r="L3" s="273" t="n">
        <v>46113</v>
      </c>
      <c r="M3" s="208" t="inlineStr">
        <is>
          <t>其中</t>
        </is>
      </c>
      <c r="N3" s="273" t="n">
        <v>45748</v>
      </c>
      <c r="O3" s="60" t="inlineStr">
        <is>
          <t>增减额</t>
        </is>
      </c>
      <c r="P3" s="60" t="inlineStr">
        <is>
          <t>增减率</t>
        </is>
      </c>
    </row>
    <row r="4" ht="22" customHeight="1" s="247" thickBot="1">
      <c r="C4" s="254" t="n"/>
      <c r="D4" s="254" t="n"/>
      <c r="E4" s="209" t="inlineStr">
        <is>
          <t>奉贤院区</t>
        </is>
      </c>
      <c r="F4" s="254" t="n"/>
      <c r="G4" s="254" t="n"/>
      <c r="H4" s="254" t="n"/>
      <c r="K4" s="254" t="n"/>
      <c r="L4" s="254" t="n"/>
      <c r="M4" s="209" t="inlineStr">
        <is>
          <t>奉贤院区</t>
        </is>
      </c>
      <c r="N4" s="254" t="n"/>
      <c r="O4" s="254" t="n"/>
      <c r="P4" s="254" t="n"/>
    </row>
    <row r="5" ht="27.5" customHeight="1" s="247">
      <c r="C5" s="116" t="inlineStr">
        <is>
          <t>后勤维修费</t>
        </is>
      </c>
      <c r="D5" s="118">
        <f>维修护费!C6</f>
        <v/>
      </c>
      <c r="E5" s="118">
        <f>维修护费!D6</f>
        <v/>
      </c>
      <c r="F5" s="118">
        <f>维修护费!E6</f>
        <v/>
      </c>
      <c r="G5" s="119">
        <f>D5-F5</f>
        <v/>
      </c>
      <c r="H5" s="274">
        <f>G5/F5</f>
        <v/>
      </c>
      <c r="K5" s="116" t="inlineStr">
        <is>
          <t>后勤维修费</t>
        </is>
      </c>
      <c r="L5" s="118">
        <f>维修护费!C6</f>
        <v/>
      </c>
      <c r="M5" s="118">
        <f>维修护费!D6</f>
        <v/>
      </c>
      <c r="N5" s="118">
        <f>维修护费!E6</f>
        <v/>
      </c>
      <c r="O5" s="119">
        <f>L5-N5</f>
        <v/>
      </c>
      <c r="P5" s="274">
        <f>O5/N5</f>
        <v/>
      </c>
    </row>
    <row r="6" ht="20.5" customHeight="1" s="247">
      <c r="C6" s="124" t="inlineStr">
        <is>
          <t xml:space="preserve">  其中：物业维修</t>
        </is>
      </c>
      <c r="D6" s="73" t="n">
        <v>70</v>
      </c>
      <c r="E6" s="73" t="n">
        <v>34</v>
      </c>
      <c r="F6" s="73" t="n">
        <v>45</v>
      </c>
      <c r="G6" s="73">
        <f>D6-F6</f>
        <v/>
      </c>
      <c r="H6" s="275">
        <f>G6/F6</f>
        <v/>
      </c>
      <c r="K6" s="124" t="inlineStr">
        <is>
          <t xml:space="preserve">  其中：物业维修</t>
        </is>
      </c>
      <c r="L6" s="73" t="n">
        <v>70</v>
      </c>
      <c r="M6" s="73" t="n">
        <v>34</v>
      </c>
      <c r="N6" s="73" t="n">
        <v>45</v>
      </c>
      <c r="O6" s="73">
        <f>L6-N6</f>
        <v/>
      </c>
      <c r="P6" s="275">
        <f>O6/N6</f>
        <v/>
      </c>
    </row>
    <row r="7" ht="20.5" customHeight="1" s="247">
      <c r="C7" s="124" t="inlineStr">
        <is>
          <t xml:space="preserve">            电梯运行</t>
        </is>
      </c>
      <c r="D7" s="73" t="n">
        <v>12</v>
      </c>
      <c r="E7" s="73" t="n">
        <v>2</v>
      </c>
      <c r="F7" s="73" t="n">
        <v>0</v>
      </c>
      <c r="G7" s="73">
        <f>D7-F7</f>
        <v/>
      </c>
      <c r="H7" s="275">
        <f>G7/F7</f>
        <v/>
      </c>
      <c r="K7" s="124" t="inlineStr">
        <is>
          <t>通用设施设备管理</t>
        </is>
      </c>
      <c r="L7" s="73" t="n">
        <v>0</v>
      </c>
      <c r="M7" s="73" t="n">
        <v>0</v>
      </c>
      <c r="N7" s="73" t="n">
        <v>0</v>
      </c>
      <c r="O7" s="73">
        <f>L7-N7</f>
        <v/>
      </c>
      <c r="P7" s="275">
        <f>O7/N7</f>
        <v/>
      </c>
    </row>
    <row r="8" ht="20.5" customHeight="1" s="247">
      <c r="C8" s="124" t="inlineStr">
        <is>
          <t xml:space="preserve">            通用设施</t>
        </is>
      </c>
      <c r="D8" s="73" t="n">
        <v>0</v>
      </c>
      <c r="E8" s="73" t="n">
        <v>0</v>
      </c>
      <c r="F8" s="73" t="n">
        <v>0</v>
      </c>
      <c r="G8" s="73">
        <f>D8-F8</f>
        <v/>
      </c>
      <c r="H8" s="275">
        <f>G8/F8</f>
        <v/>
      </c>
      <c r="K8" s="124" t="inlineStr">
        <is>
          <t xml:space="preserve">            空调运行管理费</t>
        </is>
      </c>
      <c r="L8" s="73" t="n">
        <v>43</v>
      </c>
      <c r="M8" s="73" t="n">
        <v>13</v>
      </c>
      <c r="N8" s="73" t="n">
        <v>0</v>
      </c>
      <c r="O8" s="73">
        <f>L8-N8</f>
        <v/>
      </c>
      <c r="P8" s="275">
        <f>O8/N8</f>
        <v/>
      </c>
    </row>
    <row r="9" ht="20.5" customHeight="1" s="247">
      <c r="C9" s="124" t="inlineStr">
        <is>
          <t xml:space="preserve">            空调运行管理费</t>
        </is>
      </c>
      <c r="D9" s="73" t="n">
        <v>43</v>
      </c>
      <c r="E9" s="73" t="n">
        <v>13</v>
      </c>
      <c r="F9" s="73" t="n">
        <v>0</v>
      </c>
      <c r="G9" s="73">
        <f>D9-F9</f>
        <v/>
      </c>
      <c r="H9" s="275">
        <f>G9/F9</f>
        <v/>
      </c>
      <c r="K9" s="124" t="inlineStr">
        <is>
          <t>其他</t>
        </is>
      </c>
      <c r="L9" s="73">
        <f>L5-L6-L7-L8</f>
        <v/>
      </c>
      <c r="M9" s="73">
        <f>M5-M6-M7-M8</f>
        <v/>
      </c>
      <c r="N9" s="73">
        <f>N5-N6-N7-N8</f>
        <v/>
      </c>
      <c r="O9" s="73">
        <f>L9-N9</f>
        <v/>
      </c>
      <c r="P9" s="275">
        <f>O9/N9</f>
        <v/>
      </c>
    </row>
    <row r="10" ht="20.5" customHeight="1" s="247">
      <c r="C10" s="124" t="inlineStr">
        <is>
          <t>电站运行</t>
        </is>
      </c>
      <c r="D10" s="73" t="n">
        <v>16</v>
      </c>
      <c r="E10" s="73" t="n">
        <v>9</v>
      </c>
      <c r="F10" s="73" t="n">
        <v>9</v>
      </c>
      <c r="G10" s="73">
        <f>D10-F10</f>
        <v/>
      </c>
      <c r="H10" s="275">
        <f>G10/F10</f>
        <v/>
      </c>
    </row>
    <row r="11" ht="20.5" customHeight="1" s="247">
      <c r="C11" s="124" t="inlineStr">
        <is>
          <t>给排水锅炉</t>
        </is>
      </c>
      <c r="D11" s="73" t="n">
        <v>18</v>
      </c>
      <c r="E11" s="73" t="n">
        <v>12</v>
      </c>
      <c r="F11" s="73" t="n">
        <v>4</v>
      </c>
      <c r="G11" s="73">
        <f>D11-F11</f>
        <v/>
      </c>
      <c r="H11" s="275">
        <f>G11/F11</f>
        <v/>
      </c>
    </row>
    <row r="12" ht="20.5" customHeight="1" s="247">
      <c r="C12" s="124" t="inlineStr">
        <is>
          <t>后勤智能化</t>
        </is>
      </c>
      <c r="D12" s="73" t="n">
        <v>8</v>
      </c>
      <c r="E12" s="73" t="n">
        <v>5</v>
      </c>
      <c r="F12" s="73" t="n">
        <v>0</v>
      </c>
      <c r="G12" s="73">
        <f>D12-F12</f>
        <v/>
      </c>
      <c r="H12" s="275">
        <f>G12/F12</f>
        <v/>
      </c>
    </row>
    <row r="13" ht="20.5" customHeight="1" s="247">
      <c r="C13" s="124" t="inlineStr">
        <is>
          <t>污水处理站</t>
        </is>
      </c>
      <c r="D13" s="73" t="n">
        <v>20</v>
      </c>
      <c r="E13" s="73" t="n">
        <v>11</v>
      </c>
      <c r="F13" s="73" t="n">
        <v>0</v>
      </c>
      <c r="G13" s="73">
        <f>D13-F13</f>
        <v/>
      </c>
      <c r="H13" s="275">
        <f>G13/F13</f>
        <v/>
      </c>
    </row>
    <row r="14" ht="20.5" customHeight="1" s="247">
      <c r="C14" s="124" t="inlineStr">
        <is>
          <t>污水管线</t>
        </is>
      </c>
      <c r="D14" s="73" t="n">
        <v>2</v>
      </c>
      <c r="E14" s="73" t="n">
        <v>0</v>
      </c>
      <c r="F14" s="73" t="n">
        <v>0</v>
      </c>
      <c r="G14" s="73">
        <f>D14-F14</f>
        <v/>
      </c>
      <c r="H14" s="275">
        <f>G14/F14</f>
        <v/>
      </c>
    </row>
    <row r="15" ht="20.5" customHeight="1" s="247">
      <c r="C15" s="124" t="inlineStr">
        <is>
          <t>医用气体</t>
        </is>
      </c>
      <c r="D15" s="73" t="n">
        <v>9</v>
      </c>
      <c r="E15" s="73" t="n">
        <v>5</v>
      </c>
      <c r="F15" s="73" t="n">
        <v>0</v>
      </c>
      <c r="G15" s="73">
        <f>D15-F15</f>
        <v/>
      </c>
      <c r="H15" s="275">
        <f>G15/F15</f>
        <v/>
      </c>
    </row>
    <row r="16" ht="20.5" customHeight="1" s="247">
      <c r="C16" s="124" t="inlineStr">
        <is>
          <t>其他</t>
        </is>
      </c>
      <c r="D16" s="73">
        <f>D5-D6-D7-D8-D9-D10-D11-D12-D13-D14-D15</f>
        <v/>
      </c>
      <c r="E16" s="73">
        <f>E5-E6-E7-E8-E9-E10-E11-E12-E13-E14-E15</f>
        <v/>
      </c>
      <c r="F16" s="73">
        <f>F5-F6-F7-F8-F9-F10-F11-F12-F13-F14-F15</f>
        <v/>
      </c>
      <c r="G16" s="73">
        <f>D16-F16</f>
        <v/>
      </c>
      <c r="H16" s="275">
        <f>G16/F16</f>
        <v/>
      </c>
    </row>
  </sheetData>
  <mergeCells count="10">
    <mergeCell ref="K3:K4"/>
    <mergeCell ref="L3:L4"/>
    <mergeCell ref="C3:C4"/>
    <mergeCell ref="O3:O4"/>
    <mergeCell ref="P3:P4"/>
    <mergeCell ref="N3:N4"/>
    <mergeCell ref="G3:G4"/>
    <mergeCell ref="F3:F4"/>
    <mergeCell ref="D3:D4"/>
    <mergeCell ref="H3:H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I17"/>
  <sheetViews>
    <sheetView topLeftCell="B10" workbookViewId="0">
      <selection activeCell="H8" sqref="H8"/>
    </sheetView>
  </sheetViews>
  <sheetFormatPr baseColWidth="8" defaultRowHeight="14"/>
  <cols>
    <col width="34.33203125" bestFit="1" customWidth="1" style="247" min="2" max="2"/>
    <col width="19" bestFit="1" customWidth="1" style="247" min="3" max="3"/>
    <col width="15.33203125" bestFit="1" customWidth="1" style="247" min="4" max="4"/>
    <col width="19" bestFit="1" customWidth="1" style="247" min="5" max="5"/>
    <col width="15.33203125" bestFit="1" customWidth="1" style="247" min="6" max="6"/>
    <col width="17.58203125" bestFit="1" customWidth="1" style="247" min="7" max="7"/>
  </cols>
  <sheetData>
    <row r="1" ht="14.5" customHeight="1" s="247" thickBot="1"/>
    <row r="2" ht="23.25" customHeight="1" s="247">
      <c r="B2" s="60" t="inlineStr">
        <is>
          <t>项   目</t>
        </is>
      </c>
      <c r="C2" s="283" t="n">
        <v>46143</v>
      </c>
      <c r="D2" s="208" t="inlineStr">
        <is>
          <t>其中</t>
        </is>
      </c>
      <c r="E2" s="283" t="n">
        <v>45778</v>
      </c>
      <c r="F2" s="60" t="inlineStr">
        <is>
          <t>增减额</t>
        </is>
      </c>
      <c r="G2" s="60" t="inlineStr">
        <is>
          <t>增减率</t>
        </is>
      </c>
    </row>
    <row r="3" ht="22" customHeight="1" s="247" thickBot="1">
      <c r="B3" s="254" t="n"/>
      <c r="C3" s="254" t="n"/>
      <c r="D3" s="209" t="inlineStr">
        <is>
          <t>奉贤院区</t>
        </is>
      </c>
      <c r="E3" s="254" t="n"/>
      <c r="F3" s="254" t="n"/>
      <c r="G3" s="254" t="n"/>
    </row>
    <row r="4" ht="27.5" customHeight="1" s="247">
      <c r="B4" s="54" t="inlineStr">
        <is>
          <t>卫生材料收入</t>
        </is>
      </c>
      <c r="C4" s="89">
        <f>ROUND((当年累计数据表!AJ3+当年累计数据表!BS3)/10000,0)</f>
        <v/>
      </c>
      <c r="D4" s="89">
        <f>ROUND((当年累计数据表奉贤!AJ3+当年累计数据表奉贤!BS3)/10000,0)</f>
        <v/>
      </c>
      <c r="E4" s="89">
        <f>ROUND((去年累计数据表!AJ3+去年累计数据表!BS3)/10000,0)</f>
        <v/>
      </c>
      <c r="F4" s="89">
        <f>C4-E4</f>
        <v/>
      </c>
      <c r="G4" s="271">
        <f>F4/E4</f>
        <v/>
      </c>
    </row>
    <row r="5" ht="41.25" customHeight="1" s="247">
      <c r="B5" s="62" t="inlineStr">
        <is>
          <t>卫生材料费</t>
        </is>
      </c>
      <c r="C5" s="89">
        <f>医疗成本!C7</f>
        <v/>
      </c>
      <c r="D5" s="89">
        <f>医疗成本!E7</f>
        <v/>
      </c>
      <c r="E5" s="89">
        <f>医疗成本!G7</f>
        <v/>
      </c>
      <c r="F5" s="89">
        <f>C5-E5</f>
        <v/>
      </c>
      <c r="G5" s="271">
        <f>F5/E5</f>
        <v/>
      </c>
    </row>
    <row r="6" ht="41.25" customHeight="1" s="247">
      <c r="B6" s="55" t="inlineStr">
        <is>
          <t xml:space="preserve"> 其中：可收费</t>
        </is>
      </c>
      <c r="C6" s="56">
        <f>C5-C7</f>
        <v/>
      </c>
      <c r="D6" s="56">
        <f>D5-D7</f>
        <v/>
      </c>
      <c r="E6" s="56">
        <f>E5-E7</f>
        <v/>
      </c>
      <c r="F6" s="56">
        <f>C6-E6</f>
        <v/>
      </c>
      <c r="G6" s="275">
        <f>F6/E6</f>
        <v/>
      </c>
      <c r="I6" s="0" t="inlineStr">
        <is>
          <t>调整</t>
        </is>
      </c>
    </row>
    <row r="7" ht="41.25" customHeight="1" s="247">
      <c r="B7" s="55" t="inlineStr">
        <is>
          <t xml:space="preserve">           不可收费</t>
        </is>
      </c>
      <c r="C7" s="56" t="n">
        <v>3490</v>
      </c>
      <c r="D7" s="56" t="n">
        <v>714</v>
      </c>
      <c r="E7" s="56" t="n">
        <v>2764</v>
      </c>
      <c r="F7" s="56">
        <f>C7-E7</f>
        <v/>
      </c>
      <c r="G7" s="275">
        <f>F7/E7</f>
        <v/>
      </c>
      <c r="I7" s="0" t="n">
        <v>101</v>
      </c>
    </row>
    <row r="8" ht="41.25" customHeight="1" s="247">
      <c r="B8" s="58" t="inlineStr">
        <is>
          <t xml:space="preserve">           其中：检验试剂</t>
        </is>
      </c>
      <c r="C8" s="56" t="n">
        <v>2558</v>
      </c>
      <c r="D8" s="56" t="n">
        <v>567</v>
      </c>
      <c r="E8" s="56" t="n">
        <v>1729</v>
      </c>
      <c r="F8" s="56">
        <f>C8-E8</f>
        <v/>
      </c>
      <c r="G8" s="275">
        <f>F8/E8</f>
        <v/>
      </c>
    </row>
    <row r="9" ht="41" customHeight="1" s="247">
      <c r="B9" s="58" t="inlineStr">
        <is>
          <t xml:space="preserve">                    其他不可收费卫生材料</t>
        </is>
      </c>
      <c r="C9" s="56">
        <f>C7-C8</f>
        <v/>
      </c>
      <c r="D9" s="56">
        <f>D7-D8</f>
        <v/>
      </c>
      <c r="E9" s="56">
        <f>E7-E8</f>
        <v/>
      </c>
      <c r="F9" s="56">
        <f>F7-F8</f>
        <v/>
      </c>
      <c r="G9" s="275">
        <f>F9/E9</f>
        <v/>
      </c>
    </row>
    <row r="10" ht="14.5" customHeight="1" s="247" thickBot="1"/>
    <row r="11" ht="43.5" customHeight="1" s="247" thickBot="1">
      <c r="B11" s="60" t="inlineStr">
        <is>
          <t>项   目</t>
        </is>
      </c>
      <c r="C11" s="145" t="n">
        <v>46143</v>
      </c>
      <c r="D11" s="60" t="inlineStr">
        <is>
          <t>其中：奉贤院区</t>
        </is>
      </c>
      <c r="E11" s="145" t="n">
        <v>45778</v>
      </c>
      <c r="F11" s="60" t="inlineStr">
        <is>
          <t>增减额</t>
        </is>
      </c>
      <c r="G11" s="60" t="inlineStr">
        <is>
          <t>增减率</t>
        </is>
      </c>
    </row>
    <row r="12" ht="27.5" customHeight="1" s="247">
      <c r="B12" s="54" t="inlineStr">
        <is>
          <t>检验试剂成本</t>
        </is>
      </c>
      <c r="C12" s="61">
        <f>C8</f>
        <v/>
      </c>
      <c r="D12" s="61">
        <f>D8</f>
        <v/>
      </c>
      <c r="E12" s="61">
        <f>E8</f>
        <v/>
      </c>
      <c r="F12" s="61">
        <f>F8</f>
        <v/>
      </c>
      <c r="G12" s="284">
        <f>G8</f>
        <v/>
      </c>
    </row>
    <row r="13" ht="20.5" customHeight="1" s="247">
      <c r="B13" s="58" t="inlineStr">
        <is>
          <t xml:space="preserve">        其中：医学检验科</t>
        </is>
      </c>
      <c r="C13" s="52" t="n">
        <v>2059</v>
      </c>
      <c r="D13" s="53" t="n">
        <v>395</v>
      </c>
      <c r="E13" s="52" t="n">
        <v>1373</v>
      </c>
      <c r="F13" s="52">
        <f>C13-E13</f>
        <v/>
      </c>
      <c r="G13" s="272">
        <f>F13/E13</f>
        <v/>
      </c>
    </row>
    <row r="14" ht="27.5" customHeight="1" s="247">
      <c r="B14" s="62" t="inlineStr">
        <is>
          <t>化验收入</t>
        </is>
      </c>
      <c r="C14" s="63">
        <f>ROUND((当月附表2!B10+当月附表2!B23)/10000,0)</f>
        <v/>
      </c>
      <c r="D14" s="63">
        <f>ROUND((当月奉贤附表2!B10+当月奉贤附表2!B23)/10000,0)</f>
        <v/>
      </c>
      <c r="E14" s="63">
        <f>ROUND((上年同期附表2!B10+上年同期附表2!B23)/10000,0)</f>
        <v/>
      </c>
      <c r="F14" s="63">
        <f>C14-E14</f>
        <v/>
      </c>
      <c r="G14" s="285">
        <f>F14/E14</f>
        <v/>
      </c>
    </row>
    <row r="15" ht="28" customHeight="1" s="247" thickBot="1">
      <c r="B15" s="64" t="inlineStr">
        <is>
          <t>成本收入比重</t>
        </is>
      </c>
      <c r="C15" s="65">
        <f>C12/C14</f>
        <v/>
      </c>
      <c r="D15" s="65">
        <f>D12/D14</f>
        <v/>
      </c>
      <c r="E15" s="65">
        <f>E12/E14</f>
        <v/>
      </c>
      <c r="F15" s="65">
        <f>C15-E15</f>
        <v/>
      </c>
      <c r="G15" s="286" t="inlineStr">
        <is>
          <t xml:space="preserve">-　</t>
        </is>
      </c>
    </row>
    <row r="16" ht="20.5" customHeight="1" s="247">
      <c r="B16" s="66" t="inlineStr">
        <is>
          <t>门急诊人次</t>
        </is>
      </c>
      <c r="C16" s="67">
        <f>ROUND(当年累计数据表!G3/10000,2)</f>
        <v/>
      </c>
      <c r="D16" s="67">
        <f>ROUND(当年累计数据表奉贤!G3/10000,2)</f>
        <v/>
      </c>
      <c r="E16" s="67">
        <f>ROUND(去年累计数据表!G3/10000,2)</f>
        <v/>
      </c>
      <c r="F16" s="67">
        <f>C16-E16</f>
        <v/>
      </c>
      <c r="G16" s="287">
        <f>F16/E16</f>
        <v/>
      </c>
    </row>
    <row r="17" ht="21" customHeight="1" s="247" thickBot="1">
      <c r="B17" s="68" t="inlineStr">
        <is>
          <t>住院人次</t>
        </is>
      </c>
      <c r="C17" s="69">
        <f>ROUND(当年累计数据表!H3/10000,2)</f>
        <v/>
      </c>
      <c r="D17" s="69">
        <f>ROUND(当年累计数据表奉贤!H3/10000,2)</f>
        <v/>
      </c>
      <c r="E17" s="69">
        <f>ROUND(去年累计数据表!H3/10000,2)</f>
        <v/>
      </c>
      <c r="F17" s="69">
        <f>C17-E17</f>
        <v/>
      </c>
      <c r="G17" s="288">
        <f>F17/E17</f>
        <v/>
      </c>
    </row>
  </sheetData>
  <mergeCells count="5">
    <mergeCell ref="B2:B3"/>
    <mergeCell ref="C2:C3"/>
    <mergeCell ref="F2:F3"/>
    <mergeCell ref="E2:E3"/>
    <mergeCell ref="G2:G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B67"/>
  <sheetViews>
    <sheetView workbookViewId="0">
      <selection activeCell="F10" sqref="F10"/>
    </sheetView>
  </sheetViews>
  <sheetFormatPr baseColWidth="8" defaultColWidth="10" defaultRowHeight="14"/>
  <cols>
    <col width="7.75" customWidth="1" style="247" min="1" max="1"/>
    <col width="12.83203125" customWidth="1" style="247" min="2" max="2"/>
    <col width="18" customWidth="1" style="247" min="3" max="3"/>
    <col width="15.33203125" customWidth="1" style="247" min="4" max="99"/>
    <col width="16.08203125" customWidth="1" style="247" min="100" max="100"/>
    <col width="15.33203125" customWidth="1" style="247" min="101" max="158"/>
    <col width="9.75" customWidth="1" style="247" min="159" max="161"/>
  </cols>
  <sheetData>
    <row r="1" ht="43.9" customHeight="1" s="247">
      <c r="A1" s="195" t="inlineStr">
        <is>
          <t>日期范围：20260501-20260531</t>
        </is>
      </c>
      <c r="B1" s="289" t="n"/>
      <c r="C1" s="289" t="n"/>
      <c r="D1" s="195" t="n">
        <v>25</v>
      </c>
      <c r="E1" s="195" t="n"/>
      <c r="F1" s="105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inlineStr">
        <is>
          <t>1=2+5=8+43</t>
        </is>
      </c>
      <c r="P1" s="106" t="inlineStr">
        <is>
          <t>2=3+4</t>
        </is>
      </c>
      <c r="Q1" s="106" t="n">
        <v>3</v>
      </c>
      <c r="R1" s="106" t="n">
        <v>4</v>
      </c>
      <c r="S1" s="106" t="inlineStr">
        <is>
          <t>5=6+7</t>
        </is>
      </c>
      <c r="T1" s="106" t="n">
        <v>6</v>
      </c>
      <c r="U1" s="106" t="n">
        <v>7</v>
      </c>
      <c r="V1" s="106" t="inlineStr">
        <is>
          <t>8=9+12=15+22+29+36</t>
        </is>
      </c>
      <c r="W1" s="106" t="inlineStr">
        <is>
          <t>9=10+11</t>
        </is>
      </c>
      <c r="X1" s="106" t="n">
        <v>10</v>
      </c>
      <c r="Y1" s="106" t="n">
        <v>11</v>
      </c>
      <c r="Z1" s="106" t="inlineStr">
        <is>
          <t>12=13+14</t>
        </is>
      </c>
      <c r="AA1" s="106" t="n">
        <v>13</v>
      </c>
      <c r="AB1" s="106" t="n">
        <v>14</v>
      </c>
      <c r="AC1" s="106" t="inlineStr">
        <is>
          <t>15=16+19</t>
        </is>
      </c>
      <c r="AD1" s="106" t="inlineStr">
        <is>
          <t>16=17+18</t>
        </is>
      </c>
      <c r="AE1" s="106" t="n">
        <v>17</v>
      </c>
      <c r="AF1" s="106" t="n">
        <v>18</v>
      </c>
      <c r="AG1" s="106" t="inlineStr">
        <is>
          <t>19=20+21</t>
        </is>
      </c>
      <c r="AH1" s="106" t="n">
        <v>20</v>
      </c>
      <c r="AI1" s="106" t="n">
        <v>21</v>
      </c>
      <c r="AJ1" s="106" t="inlineStr">
        <is>
          <t>22=23+26</t>
        </is>
      </c>
      <c r="AK1" s="106" t="inlineStr">
        <is>
          <t>23=24+25</t>
        </is>
      </c>
      <c r="AL1" s="106" t="n">
        <v>24</v>
      </c>
      <c r="AM1" s="106" t="n">
        <v>25</v>
      </c>
      <c r="AN1" s="106" t="inlineStr">
        <is>
          <t>26=27+28</t>
        </is>
      </c>
      <c r="AO1" s="106" t="n">
        <v>27</v>
      </c>
      <c r="AP1" s="106" t="n">
        <v>28</v>
      </c>
      <c r="AQ1" s="106" t="inlineStr">
        <is>
          <t>29=30+33</t>
        </is>
      </c>
      <c r="AR1" s="106" t="inlineStr">
        <is>
          <t>30=31+32</t>
        </is>
      </c>
      <c r="AS1" s="106" t="n">
        <v>31</v>
      </c>
      <c r="AT1" s="106" t="n">
        <v>32</v>
      </c>
      <c r="AU1" s="106" t="inlineStr">
        <is>
          <t>33=34+35</t>
        </is>
      </c>
      <c r="AV1" s="106" t="n">
        <v>34</v>
      </c>
      <c r="AW1" s="106" t="n">
        <v>35</v>
      </c>
      <c r="AX1" s="106" t="inlineStr">
        <is>
          <t>36=37+40</t>
        </is>
      </c>
      <c r="AY1" s="106" t="inlineStr">
        <is>
          <t>37=38+39</t>
        </is>
      </c>
      <c r="AZ1" s="106" t="n">
        <v>38</v>
      </c>
      <c r="BA1" s="106" t="n">
        <v>39</v>
      </c>
      <c r="BB1" s="106" t="inlineStr">
        <is>
          <t>40=41+42</t>
        </is>
      </c>
      <c r="BC1" s="106" t="n">
        <v>41</v>
      </c>
      <c r="BD1" s="106" t="n">
        <v>42</v>
      </c>
      <c r="BE1" s="106" t="inlineStr">
        <is>
          <t>43=50+57+64+71=44+47</t>
        </is>
      </c>
      <c r="BF1" s="106" t="inlineStr">
        <is>
          <t>44=45+46</t>
        </is>
      </c>
      <c r="BG1" s="106" t="n">
        <v>45</v>
      </c>
      <c r="BH1" s="106" t="n">
        <v>46</v>
      </c>
      <c r="BI1" s="106" t="inlineStr">
        <is>
          <t>47=48+49</t>
        </is>
      </c>
      <c r="BJ1" s="106" t="n">
        <v>48</v>
      </c>
      <c r="BK1" s="106" t="n">
        <v>49</v>
      </c>
      <c r="BL1" s="106" t="inlineStr">
        <is>
          <t>50=51+54</t>
        </is>
      </c>
      <c r="BM1" s="106" t="inlineStr">
        <is>
          <t>51=52+53</t>
        </is>
      </c>
      <c r="BN1" s="106" t="n">
        <v>52</v>
      </c>
      <c r="BO1" s="106" t="n">
        <v>53</v>
      </c>
      <c r="BP1" s="106" t="inlineStr">
        <is>
          <t>54=55+56</t>
        </is>
      </c>
      <c r="BQ1" s="106" t="n">
        <v>55</v>
      </c>
      <c r="BR1" s="106" t="n">
        <v>56</v>
      </c>
      <c r="BS1" s="106" t="inlineStr">
        <is>
          <t>57=58+61</t>
        </is>
      </c>
      <c r="BT1" s="106" t="inlineStr">
        <is>
          <t>58=59+60</t>
        </is>
      </c>
      <c r="BU1" s="106" t="n">
        <v>59</v>
      </c>
      <c r="BV1" s="106" t="n">
        <v>60</v>
      </c>
      <c r="BW1" s="106" t="inlineStr">
        <is>
          <t>61=62+63</t>
        </is>
      </c>
      <c r="BX1" s="106" t="n">
        <v>62</v>
      </c>
      <c r="BY1" s="106" t="n">
        <v>63</v>
      </c>
      <c r="BZ1" s="106" t="inlineStr">
        <is>
          <t>64=65+68</t>
        </is>
      </c>
      <c r="CA1" s="106" t="inlineStr">
        <is>
          <t>65=66+67</t>
        </is>
      </c>
      <c r="CB1" s="106" t="n">
        <v>66</v>
      </c>
      <c r="CC1" s="106" t="n">
        <v>67</v>
      </c>
      <c r="CD1" s="106" t="inlineStr">
        <is>
          <t>68=69+70</t>
        </is>
      </c>
      <c r="CE1" s="106" t="n">
        <v>69</v>
      </c>
      <c r="CF1" s="106" t="n">
        <v>70</v>
      </c>
      <c r="CG1" s="106" t="inlineStr">
        <is>
          <t>71=72+75</t>
        </is>
      </c>
      <c r="CH1" s="106" t="inlineStr">
        <is>
          <t>72=73+74</t>
        </is>
      </c>
      <c r="CI1" s="106" t="n">
        <v>73</v>
      </c>
      <c r="CJ1" s="106" t="n">
        <v>74</v>
      </c>
      <c r="CK1" s="106" t="inlineStr">
        <is>
          <t>75=76+77</t>
        </is>
      </c>
      <c r="CL1" s="106" t="n">
        <v>76</v>
      </c>
      <c r="CM1" s="106" t="n">
        <v>77</v>
      </c>
      <c r="CN1" s="106" t="n"/>
      <c r="CO1" s="106" t="n"/>
      <c r="CP1" s="112" t="n"/>
      <c r="CQ1" s="112" t="n"/>
      <c r="CR1" s="106" t="n"/>
      <c r="CS1" s="106" t="n"/>
      <c r="CT1" s="106" t="n"/>
      <c r="CU1" s="106" t="n"/>
      <c r="CV1" s="106" t="inlineStr">
        <is>
          <t>78=85+93+100+108+86+101=79+82</t>
        </is>
      </c>
      <c r="CW1" s="106" t="inlineStr">
        <is>
          <t>79=80+81</t>
        </is>
      </c>
      <c r="CX1" s="106" t="n">
        <v>80</v>
      </c>
      <c r="CY1" s="106" t="n">
        <v>81</v>
      </c>
      <c r="CZ1" s="106" t="inlineStr">
        <is>
          <t>82=83+84</t>
        </is>
      </c>
      <c r="DA1" s="106" t="n">
        <v>83</v>
      </c>
      <c r="DB1" s="106" t="n">
        <v>84</v>
      </c>
      <c r="DC1" s="106" t="inlineStr">
        <is>
          <t>85=87+90=78-93-100-108-86-101</t>
        </is>
      </c>
      <c r="DD1" s="106" t="n">
        <v>86</v>
      </c>
      <c r="DE1" s="106" t="inlineStr">
        <is>
          <t>87=88+89</t>
        </is>
      </c>
      <c r="DF1" s="106" t="n">
        <v>88</v>
      </c>
      <c r="DG1" s="106" t="n">
        <v>89</v>
      </c>
      <c r="DH1" s="106" t="inlineStr">
        <is>
          <t>90=91+92</t>
        </is>
      </c>
      <c r="DI1" s="106" t="n">
        <v>91</v>
      </c>
      <c r="DJ1" s="106" t="n">
        <v>92</v>
      </c>
      <c r="DK1" s="106" t="inlineStr">
        <is>
          <t>93=94+97</t>
        </is>
      </c>
      <c r="DL1" s="106" t="inlineStr">
        <is>
          <t>94=95+96</t>
        </is>
      </c>
      <c r="DM1" s="106" t="n">
        <v>95</v>
      </c>
      <c r="DN1" s="106" t="n">
        <v>96</v>
      </c>
      <c r="DO1" s="106" t="inlineStr">
        <is>
          <t>97=98+99</t>
        </is>
      </c>
      <c r="DP1" s="106" t="n">
        <v>98</v>
      </c>
      <c r="DQ1" s="106" t="n">
        <v>99</v>
      </c>
      <c r="DR1" s="106" t="inlineStr">
        <is>
          <t>100=102+105</t>
        </is>
      </c>
      <c r="DS1" s="106" t="n">
        <v>101</v>
      </c>
      <c r="DT1" s="106" t="inlineStr">
        <is>
          <t>102=103+104</t>
        </is>
      </c>
      <c r="DU1" s="106" t="n">
        <v>103</v>
      </c>
      <c r="DV1" s="106" t="n">
        <v>104</v>
      </c>
      <c r="DW1" s="106" t="inlineStr">
        <is>
          <t>105=106+107</t>
        </is>
      </c>
      <c r="DX1" s="106" t="n">
        <v>106</v>
      </c>
      <c r="DY1" s="106" t="n">
        <v>107</v>
      </c>
      <c r="DZ1" s="106" t="inlineStr">
        <is>
          <t>108=109+112</t>
        </is>
      </c>
      <c r="EA1" s="106" t="inlineStr">
        <is>
          <t>109=110+111</t>
        </is>
      </c>
      <c r="EB1" s="106" t="n">
        <v>110</v>
      </c>
      <c r="EC1" s="106" t="n">
        <v>111</v>
      </c>
      <c r="ED1" s="106" t="inlineStr">
        <is>
          <t>112=113+114</t>
        </is>
      </c>
      <c r="EE1" s="106" t="n">
        <v>113</v>
      </c>
      <c r="EF1" s="106" t="n">
        <v>114</v>
      </c>
      <c r="EG1" s="106" t="inlineStr">
        <is>
          <t>115=116+119</t>
        </is>
      </c>
      <c r="EH1" s="106" t="inlineStr">
        <is>
          <t>116=117+118</t>
        </is>
      </c>
      <c r="EI1" s="106" t="n">
        <v>117</v>
      </c>
      <c r="EJ1" s="106" t="n">
        <v>118</v>
      </c>
      <c r="EK1" s="106" t="inlineStr">
        <is>
          <t>119=120+121</t>
        </is>
      </c>
      <c r="EL1" s="106" t="n">
        <v>120</v>
      </c>
      <c r="EM1" s="106" t="n">
        <v>121</v>
      </c>
      <c r="EN1" s="106" t="inlineStr">
        <is>
          <t>122=123+124+125</t>
        </is>
      </c>
      <c r="EO1" s="106" t="n">
        <v>123</v>
      </c>
      <c r="EP1" s="106" t="n">
        <v>124</v>
      </c>
      <c r="EQ1" s="106" t="n">
        <v>125</v>
      </c>
      <c r="ER1" s="106" t="n"/>
      <c r="ES1" s="106" t="n"/>
      <c r="ET1" s="106" t="n"/>
      <c r="EU1" s="106" t="inlineStr">
        <is>
          <t>126=127+128+129</t>
        </is>
      </c>
      <c r="EV1" s="106" t="n">
        <v>127</v>
      </c>
      <c r="EW1" s="106" t="n">
        <v>128</v>
      </c>
      <c r="EX1" s="106" t="n">
        <v>129</v>
      </c>
      <c r="EY1" s="106" t="inlineStr">
        <is>
          <t>130=131+132</t>
        </is>
      </c>
      <c r="EZ1" s="106" t="n">
        <v>131</v>
      </c>
      <c r="FA1" s="106" t="n">
        <v>132</v>
      </c>
      <c r="FB1" s="106" t="n">
        <v>133</v>
      </c>
    </row>
    <row r="2" ht="29.25" customHeight="1" s="247">
      <c r="A2" s="107" t="inlineStr">
        <is>
          <t>序号</t>
        </is>
      </c>
      <c r="B2" s="107" t="inlineStr">
        <is>
          <t>科室类别</t>
        </is>
      </c>
      <c r="C2" s="107" t="inlineStr">
        <is>
          <t>科室名称</t>
        </is>
      </c>
      <c r="D2" s="107" t="inlineStr">
        <is>
          <t>医疗收入不含药耗</t>
        </is>
      </c>
      <c r="E2" s="107" t="inlineStr">
        <is>
          <t>门急诊收入不含药耗</t>
        </is>
      </c>
      <c r="F2" s="107" t="inlineStr">
        <is>
          <t>住院收入不含药耗</t>
        </is>
      </c>
      <c r="G2" s="107" t="inlineStr">
        <is>
          <t>门急诊人次</t>
        </is>
      </c>
      <c r="H2" s="107" t="inlineStr">
        <is>
          <t>住院人次</t>
        </is>
      </c>
      <c r="I2" s="108" t="inlineStr">
        <is>
          <t>门急诊治疗收入</t>
        </is>
      </c>
      <c r="J2" s="108" t="inlineStr">
        <is>
          <t>门急诊手术收入</t>
        </is>
      </c>
      <c r="K2" s="108" t="inlineStr">
        <is>
          <t>门诊中药饮片收入</t>
        </is>
      </c>
      <c r="L2" s="108" t="inlineStr">
        <is>
          <t>住院治疗收入</t>
        </is>
      </c>
      <c r="M2" s="108" t="inlineStr">
        <is>
          <t>住院手术收入</t>
        </is>
      </c>
      <c r="N2" s="108" t="inlineStr">
        <is>
          <t>住院中药饮片收入</t>
        </is>
      </c>
      <c r="O2" s="108" t="inlineStr">
        <is>
          <t>医疗收入</t>
        </is>
      </c>
      <c r="P2" s="107" t="inlineStr">
        <is>
          <t>其中本地病人医疗收入</t>
        </is>
      </c>
      <c r="Q2" s="107" t="inlineStr">
        <is>
          <t>其中本地病人医保医疗收入</t>
        </is>
      </c>
      <c r="R2" s="107" t="inlineStr">
        <is>
          <t>其中本地病人自费医疗收入</t>
        </is>
      </c>
      <c r="S2" s="107" t="inlineStr">
        <is>
          <t>其中异地病人医疗收入</t>
        </is>
      </c>
      <c r="T2" s="107" t="inlineStr">
        <is>
          <t>其中异地病人医保医疗收入</t>
        </is>
      </c>
      <c r="U2" s="107" t="inlineStr">
        <is>
          <t>其中异地病人自费医疗收入</t>
        </is>
      </c>
      <c r="V2" s="108" t="inlineStr">
        <is>
          <t>门急诊收入</t>
        </is>
      </c>
      <c r="W2" s="107" t="inlineStr">
        <is>
          <t>其中本地病人医疗收入</t>
        </is>
      </c>
      <c r="X2" s="107" t="inlineStr">
        <is>
          <t>其中本地病人医保医疗收入</t>
        </is>
      </c>
      <c r="Y2" s="107" t="inlineStr">
        <is>
          <t>其中本地病人自费医疗收入</t>
        </is>
      </c>
      <c r="Z2" s="107" t="inlineStr">
        <is>
          <t>其中异地病人医疗收入</t>
        </is>
      </c>
      <c r="AA2" s="107" t="inlineStr">
        <is>
          <t>其中异地病人医保医疗收入</t>
        </is>
      </c>
      <c r="AB2" s="107" t="inlineStr">
        <is>
          <t>其中异地病人自费医疗收入</t>
        </is>
      </c>
      <c r="AC2" s="108" t="inlineStr">
        <is>
          <t>门急诊药品收入</t>
        </is>
      </c>
      <c r="AD2" s="107" t="inlineStr">
        <is>
          <t>其中本地病人医疗收入</t>
        </is>
      </c>
      <c r="AE2" s="107" t="inlineStr">
        <is>
          <t>其中本地病人医保医疗收入</t>
        </is>
      </c>
      <c r="AF2" s="107" t="inlineStr">
        <is>
          <t>其中本地病人自费医疗收入</t>
        </is>
      </c>
      <c r="AG2" s="107" t="inlineStr">
        <is>
          <t>其中异地病人医疗收入</t>
        </is>
      </c>
      <c r="AH2" s="107" t="inlineStr">
        <is>
          <t>其中异地病人医保医疗收入</t>
        </is>
      </c>
      <c r="AI2" s="107" t="inlineStr">
        <is>
          <t>其中异地病人自费医疗收入</t>
        </is>
      </c>
      <c r="AJ2" s="108" t="inlineStr">
        <is>
          <t>门急诊耗材收入</t>
        </is>
      </c>
      <c r="AK2" s="107" t="inlineStr">
        <is>
          <t>其中本地病人医疗收入</t>
        </is>
      </c>
      <c r="AL2" s="107" t="inlineStr">
        <is>
          <t>其中本地病人医保医疗收入</t>
        </is>
      </c>
      <c r="AM2" s="107" t="inlineStr">
        <is>
          <t>其中本地病人自费医疗收入</t>
        </is>
      </c>
      <c r="AN2" s="107" t="inlineStr">
        <is>
          <t>其中异地病人医疗收入</t>
        </is>
      </c>
      <c r="AO2" s="107" t="inlineStr">
        <is>
          <t>其中异地病人医保医疗收入</t>
        </is>
      </c>
      <c r="AP2" s="107" t="inlineStr">
        <is>
          <t>其中异地病人自费医疗收入</t>
        </is>
      </c>
      <c r="AQ2" s="108" t="inlineStr">
        <is>
          <t>门急诊检查化验收入</t>
        </is>
      </c>
      <c r="AR2" s="107" t="inlineStr">
        <is>
          <t>其中本地病人医疗收入</t>
        </is>
      </c>
      <c r="AS2" s="107" t="inlineStr">
        <is>
          <t>其中本地病人医保医疗收入</t>
        </is>
      </c>
      <c r="AT2" s="107" t="inlineStr">
        <is>
          <t>其中本地病人自费医疗收入</t>
        </is>
      </c>
      <c r="AU2" s="107" t="inlineStr">
        <is>
          <t>其中异地病人医疗收入</t>
        </is>
      </c>
      <c r="AV2" s="107" t="inlineStr">
        <is>
          <t>其中异地病人医保医疗收入</t>
        </is>
      </c>
      <c r="AW2" s="107" t="inlineStr">
        <is>
          <t>其中异地病人自费医疗收入</t>
        </is>
      </c>
      <c r="AX2" s="108" t="inlineStr">
        <is>
          <t>门急诊劳务收入</t>
        </is>
      </c>
      <c r="AY2" s="107" t="inlineStr">
        <is>
          <t>其中本地病人医疗收入</t>
        </is>
      </c>
      <c r="AZ2" s="107" t="inlineStr">
        <is>
          <t>其中本地病人医保医疗收入</t>
        </is>
      </c>
      <c r="BA2" s="107" t="inlineStr">
        <is>
          <t>其中本地病人自费医疗收入</t>
        </is>
      </c>
      <c r="BB2" s="107" t="inlineStr">
        <is>
          <t>其中异地病人医疗收入</t>
        </is>
      </c>
      <c r="BC2" s="107" t="inlineStr">
        <is>
          <t>其中异地病人医保医疗收入</t>
        </is>
      </c>
      <c r="BD2" s="107" t="inlineStr">
        <is>
          <t>其中异地病人自费医疗收入</t>
        </is>
      </c>
      <c r="BE2" s="108" t="inlineStr">
        <is>
          <t>住院收入</t>
        </is>
      </c>
      <c r="BF2" s="107" t="inlineStr">
        <is>
          <t>其中本地病人医疗收入</t>
        </is>
      </c>
      <c r="BG2" s="107" t="inlineStr">
        <is>
          <t>其中本地病人医保医疗收入</t>
        </is>
      </c>
      <c r="BH2" s="107" t="inlineStr">
        <is>
          <t>其中本地病人自费医疗收入</t>
        </is>
      </c>
      <c r="BI2" s="107" t="inlineStr">
        <is>
          <t>其中异地病人医疗收入</t>
        </is>
      </c>
      <c r="BJ2" s="107" t="inlineStr">
        <is>
          <t>其中异地病人医保医疗收入</t>
        </is>
      </c>
      <c r="BK2" s="107" t="inlineStr">
        <is>
          <t>其中异地病人自费医疗收入</t>
        </is>
      </c>
      <c r="BL2" s="108" t="inlineStr">
        <is>
          <t>住院药品收入</t>
        </is>
      </c>
      <c r="BM2" s="107" t="inlineStr">
        <is>
          <t>其中本地病人医疗收入</t>
        </is>
      </c>
      <c r="BN2" s="107" t="inlineStr">
        <is>
          <t>其中本地病人医保医疗收入</t>
        </is>
      </c>
      <c r="BO2" s="107" t="inlineStr">
        <is>
          <t>其中本地病人自费医疗收入</t>
        </is>
      </c>
      <c r="BP2" s="107" t="inlineStr">
        <is>
          <t>其中异地病人医疗收入</t>
        </is>
      </c>
      <c r="BQ2" s="107" t="inlineStr">
        <is>
          <t>其中异地病人医保医疗收入</t>
        </is>
      </c>
      <c r="BR2" s="107" t="inlineStr">
        <is>
          <t>其中异地病人自费医疗收入</t>
        </is>
      </c>
      <c r="BS2" s="108" t="inlineStr">
        <is>
          <t>住院耗材收入</t>
        </is>
      </c>
      <c r="BT2" s="107" t="inlineStr">
        <is>
          <t>其中本地病人医疗收入</t>
        </is>
      </c>
      <c r="BU2" s="107" t="inlineStr">
        <is>
          <t>其中本地病人医保医疗收入</t>
        </is>
      </c>
      <c r="BV2" s="107" t="inlineStr">
        <is>
          <t>其中本地病人自费医疗收入</t>
        </is>
      </c>
      <c r="BW2" s="107" t="inlineStr">
        <is>
          <t>其中异地病人医疗收入</t>
        </is>
      </c>
      <c r="BX2" s="107" t="inlineStr">
        <is>
          <t>其中异地病人医保医疗收入</t>
        </is>
      </c>
      <c r="BY2" s="107" t="inlineStr">
        <is>
          <t>其中异地病人自费医疗收入</t>
        </is>
      </c>
      <c r="BZ2" s="108" t="inlineStr">
        <is>
          <t>住院检查化验收入</t>
        </is>
      </c>
      <c r="CA2" s="107" t="inlineStr">
        <is>
          <t>其中本地病人医疗收入</t>
        </is>
      </c>
      <c r="CB2" s="107" t="inlineStr">
        <is>
          <t>其中本地病人医保医疗收入</t>
        </is>
      </c>
      <c r="CC2" s="107" t="inlineStr">
        <is>
          <t>其中本地病人自费医疗收入</t>
        </is>
      </c>
      <c r="CD2" s="107" t="inlineStr">
        <is>
          <t>其中异地病人医疗收入</t>
        </is>
      </c>
      <c r="CE2" s="107" t="inlineStr">
        <is>
          <t>其中异地病人医保医疗收入</t>
        </is>
      </c>
      <c r="CF2" s="107" t="inlineStr">
        <is>
          <t>其中异地病人自费医疗收入</t>
        </is>
      </c>
      <c r="CG2" s="108" t="inlineStr">
        <is>
          <t>住院劳务收入</t>
        </is>
      </c>
      <c r="CH2" s="107" t="inlineStr">
        <is>
          <t>其中本地病人医疗收入</t>
        </is>
      </c>
      <c r="CI2" s="107" t="inlineStr">
        <is>
          <t>其中本地病人医保医疗收入</t>
        </is>
      </c>
      <c r="CJ2" s="107" t="inlineStr">
        <is>
          <t>其中本地病人自费医疗收入</t>
        </is>
      </c>
      <c r="CK2" s="107" t="inlineStr">
        <is>
          <t>其中异地病人医疗收入</t>
        </is>
      </c>
      <c r="CL2" s="107" t="inlineStr">
        <is>
          <t>其中异地病人医保医疗收入</t>
        </is>
      </c>
      <c r="CM2" s="107" t="inlineStr">
        <is>
          <t>其中异地病人自费医疗收入</t>
        </is>
      </c>
      <c r="CN2" s="108" t="inlineStr">
        <is>
          <t>急诊收入</t>
        </is>
      </c>
      <c r="CO2" s="108" t="inlineStr">
        <is>
          <t>普通门诊收入</t>
        </is>
      </c>
      <c r="CP2" s="108" t="inlineStr">
        <is>
          <t>专家门诊收入</t>
        </is>
      </c>
      <c r="CQ2" s="108" t="inlineStr">
        <is>
          <t>专病门诊收入</t>
        </is>
      </c>
      <c r="CR2" s="108" t="inlineStr">
        <is>
          <t>特需门诊收入</t>
        </is>
      </c>
      <c r="CS2" s="108" t="inlineStr">
        <is>
          <t>MDT门诊收入</t>
        </is>
      </c>
      <c r="CT2" s="108" t="inlineStr">
        <is>
          <t>镜朗诊疗部收入</t>
        </is>
      </c>
      <c r="CU2" s="108" t="inlineStr">
        <is>
          <t>特需病房收入</t>
        </is>
      </c>
      <c r="CV2" s="108" t="inlineStr">
        <is>
          <t>门急诊人次</t>
        </is>
      </c>
      <c r="CW2" s="107" t="inlineStr">
        <is>
          <t>其中本地病人人次</t>
        </is>
      </c>
      <c r="CX2" s="107" t="inlineStr">
        <is>
          <t>其中本地病人医保人次</t>
        </is>
      </c>
      <c r="CY2" s="107" t="inlineStr">
        <is>
          <t>其中本地病人自费人次</t>
        </is>
      </c>
      <c r="CZ2" s="107" t="inlineStr">
        <is>
          <t>其中异地病人人次</t>
        </is>
      </c>
      <c r="DA2" s="107" t="inlineStr">
        <is>
          <t>其中异地病人医保人次</t>
        </is>
      </c>
      <c r="DB2" s="107" t="inlineStr">
        <is>
          <t>其中异地病人自费人次</t>
        </is>
      </c>
      <c r="DC2" s="108" t="inlineStr">
        <is>
          <t>普通门诊
(普通+专病)</t>
        </is>
      </c>
      <c r="DD2" s="108" t="inlineStr">
        <is>
          <t>互联网普通门诊人次</t>
        </is>
      </c>
      <c r="DE2" s="107" t="inlineStr">
        <is>
          <t>其中本地病人人次</t>
        </is>
      </c>
      <c r="DF2" s="107" t="inlineStr">
        <is>
          <t>其中本地病人医保人次</t>
        </is>
      </c>
      <c r="DG2" s="107" t="inlineStr">
        <is>
          <t>其中本地病人自费人次</t>
        </is>
      </c>
      <c r="DH2" s="107" t="inlineStr">
        <is>
          <t>其中异地病人人次</t>
        </is>
      </c>
      <c r="DI2" s="107" t="inlineStr">
        <is>
          <t>其中异地病人医保人次</t>
        </is>
      </c>
      <c r="DJ2" s="107" t="inlineStr">
        <is>
          <t>其中异地病人自费人次</t>
        </is>
      </c>
      <c r="DK2" s="108" t="inlineStr">
        <is>
          <t>专家门诊</t>
        </is>
      </c>
      <c r="DL2" s="107" t="inlineStr">
        <is>
          <t>其中本地病人人次</t>
        </is>
      </c>
      <c r="DM2" s="107" t="inlineStr">
        <is>
          <t>其中本地病人医保人次</t>
        </is>
      </c>
      <c r="DN2" s="107" t="inlineStr">
        <is>
          <t>其中本地病人自费人次</t>
        </is>
      </c>
      <c r="DO2" s="107" t="inlineStr">
        <is>
          <t>其中异地病人人次</t>
        </is>
      </c>
      <c r="DP2" s="107" t="inlineStr">
        <is>
          <t>其中异地病人医保人次</t>
        </is>
      </c>
      <c r="DQ2" s="107" t="inlineStr">
        <is>
          <t>其中异地病人自费人次</t>
        </is>
      </c>
      <c r="DR2" s="108" t="inlineStr">
        <is>
          <t>特需门诊
(特需+MDT)</t>
        </is>
      </c>
      <c r="DS2" s="108" t="inlineStr">
        <is>
          <t>互联网特需门诊人次</t>
        </is>
      </c>
      <c r="DT2" s="107" t="inlineStr">
        <is>
          <t>其中本地病人人次</t>
        </is>
      </c>
      <c r="DU2" s="107" t="inlineStr">
        <is>
          <t>其中本地病人医保人次</t>
        </is>
      </c>
      <c r="DV2" s="107" t="inlineStr">
        <is>
          <t>其中本地病人自费人次</t>
        </is>
      </c>
      <c r="DW2" s="107" t="inlineStr">
        <is>
          <t>其中异地病人人次</t>
        </is>
      </c>
      <c r="DX2" s="107" t="inlineStr">
        <is>
          <t>其中异地病人医保人次</t>
        </is>
      </c>
      <c r="DY2" s="107" t="inlineStr">
        <is>
          <t>其中异地病人自费人次</t>
        </is>
      </c>
      <c r="DZ2" s="108" t="inlineStr">
        <is>
          <t>急诊人次</t>
        </is>
      </c>
      <c r="EA2" s="107" t="inlineStr">
        <is>
          <t>其中本地病人人次</t>
        </is>
      </c>
      <c r="EB2" s="107" t="inlineStr">
        <is>
          <t>其中本地病人医保人次</t>
        </is>
      </c>
      <c r="EC2" s="107" t="inlineStr">
        <is>
          <t>其中本地病人自费人次</t>
        </is>
      </c>
      <c r="ED2" s="107" t="inlineStr">
        <is>
          <t>其中异地病人人次</t>
        </is>
      </c>
      <c r="EE2" s="107" t="inlineStr">
        <is>
          <t>其中异地病人医保人次</t>
        </is>
      </c>
      <c r="EF2" s="107" t="inlineStr">
        <is>
          <t>其中异地病人自费人次</t>
        </is>
      </c>
      <c r="EG2" s="108" t="inlineStr">
        <is>
          <t>住院人次</t>
        </is>
      </c>
      <c r="EH2" s="107" t="inlineStr">
        <is>
          <t>其中本地病人人次</t>
        </is>
      </c>
      <c r="EI2" s="107" t="inlineStr">
        <is>
          <t>其中本地病人医保人次</t>
        </is>
      </c>
      <c r="EJ2" s="107" t="inlineStr">
        <is>
          <t>其中本地病人自费人次</t>
        </is>
      </c>
      <c r="EK2" s="107" t="inlineStr">
        <is>
          <t>其中异地病人人次</t>
        </is>
      </c>
      <c r="EL2" s="107" t="inlineStr">
        <is>
          <t>其中异地病人医保人次</t>
        </is>
      </c>
      <c r="EM2" s="107" t="inlineStr">
        <is>
          <t>其中异地病人自费人次</t>
        </is>
      </c>
      <c r="EN2" s="108" t="inlineStr">
        <is>
          <t>手术人次与操作人次</t>
        </is>
      </c>
      <c r="EO2" s="108" t="inlineStr">
        <is>
          <t>手术人次</t>
        </is>
      </c>
      <c r="EP2" s="108" t="inlineStr">
        <is>
          <t>介入人次</t>
        </is>
      </c>
      <c r="EQ2" s="108" t="inlineStr">
        <is>
          <t>操作人次(治疗+诊断)</t>
        </is>
      </c>
      <c r="ER2" s="108" t="inlineStr">
        <is>
          <t>微创手术人次（手术）</t>
        </is>
      </c>
      <c r="ES2" s="108" t="inlineStr">
        <is>
          <t>微创手术人次（介入）</t>
        </is>
      </c>
      <c r="ET2" s="108" t="inlineStr">
        <is>
          <t>微创手术人次（操作）</t>
        </is>
      </c>
      <c r="EU2" s="108" t="inlineStr">
        <is>
          <t>三级手术</t>
        </is>
      </c>
      <c r="EV2" s="108" t="inlineStr">
        <is>
          <t>三级手术(手术)</t>
        </is>
      </c>
      <c r="EW2" s="108" t="inlineStr">
        <is>
          <t>三级手术(介入)</t>
        </is>
      </c>
      <c r="EX2" s="108" t="inlineStr">
        <is>
          <t>三级手术(操作)</t>
        </is>
      </c>
      <c r="EY2" s="108" t="inlineStr">
        <is>
          <t>四级手术</t>
        </is>
      </c>
      <c r="EZ2" s="108" t="inlineStr">
        <is>
          <t>四级手术(手术)</t>
        </is>
      </c>
      <c r="FA2" s="108" t="inlineStr">
        <is>
          <t>四级手术(介入)</t>
        </is>
      </c>
      <c r="FB2" s="109" t="inlineStr">
        <is>
          <t>重点病种人次</t>
        </is>
      </c>
    </row>
    <row r="3" ht="19.5" customHeight="1" s="247">
      <c r="A3" s="196" t="inlineStr">
        <is>
          <t>小计：</t>
        </is>
      </c>
      <c r="B3" s="289" t="n"/>
      <c r="C3" s="290" t="n"/>
      <c r="D3" s="110" t="n">
        <v>304762745.88</v>
      </c>
      <c r="E3" s="110" t="n">
        <v>133940592.05</v>
      </c>
      <c r="F3" s="110" t="n">
        <v>170822153.83</v>
      </c>
      <c r="G3" s="110" t="n">
        <v>454375</v>
      </c>
      <c r="H3" s="110" t="n">
        <v>15504</v>
      </c>
      <c r="I3" s="110" t="n">
        <v>23830756.5</v>
      </c>
      <c r="J3" s="110" t="n">
        <v>6184160.05</v>
      </c>
      <c r="K3" s="110" t="n">
        <v>2586256.24</v>
      </c>
      <c r="L3" s="110" t="n">
        <v>16825765.1</v>
      </c>
      <c r="M3" s="110" t="n">
        <v>43941230.35</v>
      </c>
      <c r="N3" s="110" t="n">
        <v>45012.893</v>
      </c>
      <c r="O3" s="110" t="n">
        <v>635290233.293</v>
      </c>
      <c r="P3" s="110" t="n">
        <v>426232007.28</v>
      </c>
      <c r="Q3" s="110" t="n">
        <v>389659628.63</v>
      </c>
      <c r="R3" s="110" t="n">
        <v>36572378.65</v>
      </c>
      <c r="S3" s="110" t="n">
        <v>209058226.013</v>
      </c>
      <c r="T3" s="110" t="n">
        <v>184801334.373</v>
      </c>
      <c r="U3" s="110" t="n">
        <v>24256891.64</v>
      </c>
      <c r="V3" s="110" t="n">
        <v>232003609.37</v>
      </c>
      <c r="W3" s="110" t="n">
        <v>189965448.47</v>
      </c>
      <c r="X3" s="110" t="n">
        <v>174109474.59</v>
      </c>
      <c r="Y3" s="110" t="n">
        <v>15855973.88</v>
      </c>
      <c r="Z3" s="110" t="n">
        <v>42038160.9</v>
      </c>
      <c r="AA3" s="110" t="n">
        <v>22706818.82</v>
      </c>
      <c r="AB3" s="110" t="n">
        <v>19331342.08</v>
      </c>
      <c r="AC3" s="110" t="n">
        <v>89682949.97</v>
      </c>
      <c r="AD3" s="110" t="n">
        <v>78384686.8</v>
      </c>
      <c r="AE3" s="110" t="n">
        <v>75588660.43000001</v>
      </c>
      <c r="AF3" s="110" t="n">
        <v>2796026.37</v>
      </c>
      <c r="AG3" s="110" t="n">
        <v>11298263.17</v>
      </c>
      <c r="AH3" s="110" t="n">
        <v>8423575.18</v>
      </c>
      <c r="AI3" s="110" t="n">
        <v>2874687.99</v>
      </c>
      <c r="AJ3" s="110" t="n">
        <v>8380067.35</v>
      </c>
      <c r="AK3" s="110" t="n">
        <v>7318138.97</v>
      </c>
      <c r="AL3" s="110" t="n">
        <v>6502668.11</v>
      </c>
      <c r="AM3" s="110" t="n">
        <v>815470.86</v>
      </c>
      <c r="AN3" s="110" t="n">
        <v>1061928.38</v>
      </c>
      <c r="AO3" s="110" t="n">
        <v>674129.09</v>
      </c>
      <c r="AP3" s="110" t="n">
        <v>387799.29</v>
      </c>
      <c r="AQ3" s="110" t="n">
        <v>75571405.5</v>
      </c>
      <c r="AR3" s="110" t="n">
        <v>61913801</v>
      </c>
      <c r="AS3" s="110" t="n">
        <v>56450219.5</v>
      </c>
      <c r="AT3" s="110" t="n">
        <v>5463581.5</v>
      </c>
      <c r="AU3" s="110" t="n">
        <v>13657604.5</v>
      </c>
      <c r="AV3" s="110" t="n">
        <v>7242125</v>
      </c>
      <c r="AW3" s="110" t="n">
        <v>6415479.5</v>
      </c>
      <c r="AX3" s="110" t="n">
        <v>58369186.55</v>
      </c>
      <c r="AY3" s="110" t="n">
        <v>42348821.7</v>
      </c>
      <c r="AZ3" s="110" t="n">
        <v>35567926.55</v>
      </c>
      <c r="BA3" s="110" t="n">
        <v>6780895.15</v>
      </c>
      <c r="BB3" s="110" t="n">
        <v>16020364.85</v>
      </c>
      <c r="BC3" s="110" t="n">
        <v>6366989.55</v>
      </c>
      <c r="BD3" s="110" t="n">
        <v>9653375.300000001</v>
      </c>
      <c r="BE3" s="110" t="n">
        <v>403286623.923</v>
      </c>
      <c r="BF3" s="110" t="n">
        <v>236266558.81</v>
      </c>
      <c r="BG3" s="110" t="n">
        <v>215550154.04</v>
      </c>
      <c r="BH3" s="110" t="n">
        <v>20716404.77</v>
      </c>
      <c r="BI3" s="110" t="n">
        <v>167020065.113</v>
      </c>
      <c r="BJ3" s="110" t="n">
        <v>162094515.553</v>
      </c>
      <c r="BK3" s="110" t="n">
        <v>4925549.56</v>
      </c>
      <c r="BL3" s="110" t="n">
        <v>62594215.343</v>
      </c>
      <c r="BM3" s="110" t="n">
        <v>32952609.52</v>
      </c>
      <c r="BN3" s="110" t="n">
        <v>30905033.68</v>
      </c>
      <c r="BO3" s="110" t="n">
        <v>2047575.84</v>
      </c>
      <c r="BP3" s="110" t="n">
        <v>29641605.823</v>
      </c>
      <c r="BQ3" s="110" t="n">
        <v>28710226.303</v>
      </c>
      <c r="BR3" s="110" t="n">
        <v>931379.52</v>
      </c>
      <c r="BS3" s="110" t="n">
        <v>169870254.75</v>
      </c>
      <c r="BT3" s="110" t="n">
        <v>102978091.94</v>
      </c>
      <c r="BU3" s="110" t="n">
        <v>96111701.79000001</v>
      </c>
      <c r="BV3" s="110" t="n">
        <v>6866390.15</v>
      </c>
      <c r="BW3" s="110" t="n">
        <v>66892162.81</v>
      </c>
      <c r="BX3" s="110" t="n">
        <v>65945065.52</v>
      </c>
      <c r="BY3" s="110" t="n">
        <v>947097.29</v>
      </c>
      <c r="BZ3" s="110" t="n">
        <v>70668172.25</v>
      </c>
      <c r="CA3" s="110" t="n">
        <v>43124065.55</v>
      </c>
      <c r="CB3" s="110" t="n">
        <v>39793004.25</v>
      </c>
      <c r="CC3" s="110" t="n">
        <v>3331061.3</v>
      </c>
      <c r="CD3" s="110" t="n">
        <v>27544106.7</v>
      </c>
      <c r="CE3" s="110" t="n">
        <v>26995138.45</v>
      </c>
      <c r="CF3" s="110" t="n">
        <v>548968.25</v>
      </c>
      <c r="CG3" s="110" t="n">
        <v>100153981.58</v>
      </c>
      <c r="CH3" s="110" t="n">
        <v>57211791.8</v>
      </c>
      <c r="CI3" s="110" t="n">
        <v>48740414.32</v>
      </c>
      <c r="CJ3" s="110" t="n">
        <v>8471377.48</v>
      </c>
      <c r="CK3" s="110" t="n">
        <v>42942189.78</v>
      </c>
      <c r="CL3" s="110" t="n">
        <v>40444085.28</v>
      </c>
      <c r="CM3" s="110" t="n">
        <v>2498104.5</v>
      </c>
      <c r="CN3" s="110" t="n">
        <v>30495393.56</v>
      </c>
      <c r="CO3" s="110" t="n">
        <v>82165320.75</v>
      </c>
      <c r="CP3" s="110" t="n">
        <v>57649477.66</v>
      </c>
      <c r="CQ3" s="110" t="n">
        <v>31223222.58</v>
      </c>
      <c r="CR3" s="110" t="n">
        <v>30181622.3</v>
      </c>
      <c r="CS3" s="110" t="n">
        <v>287165.52</v>
      </c>
      <c r="CT3" s="110" t="n">
        <v>8248119.25</v>
      </c>
      <c r="CU3" s="110" t="n">
        <v>0</v>
      </c>
      <c r="CV3" s="111" t="n">
        <v>454375</v>
      </c>
      <c r="CW3" s="111" t="n">
        <v>388783</v>
      </c>
      <c r="CX3" s="111" t="n">
        <v>355506</v>
      </c>
      <c r="CY3" s="111" t="n">
        <v>33277</v>
      </c>
      <c r="CZ3" s="111" t="n">
        <v>65592</v>
      </c>
      <c r="DA3" s="111" t="n">
        <v>35080</v>
      </c>
      <c r="DB3" s="111" t="n">
        <v>30512</v>
      </c>
      <c r="DC3" s="111" t="n">
        <v>245641</v>
      </c>
      <c r="DD3" s="111" t="n">
        <v>5812</v>
      </c>
      <c r="DE3" s="111" t="n">
        <v>216653</v>
      </c>
      <c r="DF3" s="111" t="n">
        <v>201402</v>
      </c>
      <c r="DG3" s="111" t="n">
        <v>15251</v>
      </c>
      <c r="DH3" s="111" t="n">
        <v>28988</v>
      </c>
      <c r="DI3" s="111" t="n">
        <v>16639</v>
      </c>
      <c r="DJ3" s="111" t="n">
        <v>12349</v>
      </c>
      <c r="DK3" s="111" t="n">
        <v>100478</v>
      </c>
      <c r="DL3" s="111" t="n">
        <v>82051</v>
      </c>
      <c r="DM3" s="111" t="n">
        <v>75437</v>
      </c>
      <c r="DN3" s="111" t="n">
        <v>6614</v>
      </c>
      <c r="DO3" s="111" t="n">
        <v>18427</v>
      </c>
      <c r="DP3" s="111" t="n">
        <v>10589</v>
      </c>
      <c r="DQ3" s="111" t="n">
        <v>7838</v>
      </c>
      <c r="DR3" s="111" t="n">
        <v>38113</v>
      </c>
      <c r="DS3" s="111" t="n">
        <v>143</v>
      </c>
      <c r="DT3" s="111" t="n">
        <v>28296</v>
      </c>
      <c r="DU3" s="111" t="n">
        <v>23810</v>
      </c>
      <c r="DV3" s="111" t="n">
        <v>4486</v>
      </c>
      <c r="DW3" s="111" t="n">
        <v>9817</v>
      </c>
      <c r="DX3" s="111" t="n">
        <v>3878</v>
      </c>
      <c r="DY3" s="111" t="n">
        <v>5939</v>
      </c>
      <c r="DZ3" s="111" t="n">
        <v>64188</v>
      </c>
      <c r="EA3" s="111" t="n">
        <v>56960</v>
      </c>
      <c r="EB3" s="111" t="n">
        <v>51037</v>
      </c>
      <c r="EC3" s="111" t="n">
        <v>5923</v>
      </c>
      <c r="ED3" s="111" t="n">
        <v>7228</v>
      </c>
      <c r="EE3" s="111" t="n">
        <v>3920</v>
      </c>
      <c r="EF3" s="111" t="n">
        <v>3308</v>
      </c>
      <c r="EG3" s="111" t="n">
        <v>15504</v>
      </c>
      <c r="EH3" s="111" t="n">
        <v>9790</v>
      </c>
      <c r="EI3" s="111" t="n">
        <v>8851</v>
      </c>
      <c r="EJ3" s="111" t="n">
        <v>939</v>
      </c>
      <c r="EK3" s="111" t="n">
        <v>5714</v>
      </c>
      <c r="EL3" s="111" t="n">
        <v>5439</v>
      </c>
      <c r="EM3" s="111" t="n">
        <v>275</v>
      </c>
      <c r="EN3" s="111" t="n">
        <v>12341</v>
      </c>
      <c r="EO3" s="111" t="n">
        <v>6537</v>
      </c>
      <c r="EP3" s="111" t="n">
        <v>892</v>
      </c>
      <c r="EQ3" s="111" t="n">
        <v>4912</v>
      </c>
      <c r="ER3" s="111" t="n">
        <v>1693</v>
      </c>
      <c r="ES3" s="111" t="n">
        <v>0</v>
      </c>
      <c r="ET3" s="111" t="n">
        <v>104</v>
      </c>
      <c r="EU3" s="111" t="n">
        <v>3260</v>
      </c>
      <c r="EV3" s="111" t="n">
        <v>2655</v>
      </c>
      <c r="EW3" s="111" t="n">
        <v>450</v>
      </c>
      <c r="EX3" s="111" t="n">
        <v>155</v>
      </c>
      <c r="EY3" s="111" t="n">
        <v>2174</v>
      </c>
      <c r="EZ3" s="111" t="n">
        <v>1920</v>
      </c>
      <c r="FA3" s="111" t="n">
        <v>254</v>
      </c>
      <c r="FB3" s="111" t="n">
        <v>4850</v>
      </c>
    </row>
    <row r="4" ht="19.5" customHeight="1" s="247">
      <c r="A4" s="107" t="n">
        <v>1</v>
      </c>
      <c r="B4" s="107" t="inlineStr">
        <is>
          <t>成人非手术</t>
        </is>
      </c>
      <c r="C4" s="107" t="inlineStr">
        <is>
          <t>内科</t>
        </is>
      </c>
      <c r="D4" s="110" t="n">
        <v>190440</v>
      </c>
      <c r="E4" s="110" t="n">
        <v>190440</v>
      </c>
      <c r="F4" s="110" t="n">
        <v>0</v>
      </c>
      <c r="G4" s="110" t="n">
        <v>986</v>
      </c>
      <c r="H4" s="110" t="n">
        <v>0</v>
      </c>
      <c r="I4" s="110" t="n">
        <v>166</v>
      </c>
      <c r="J4" s="110" t="n">
        <v>0</v>
      </c>
      <c r="K4" s="110" t="n">
        <v>0</v>
      </c>
      <c r="L4" s="110" t="n">
        <v>0</v>
      </c>
      <c r="M4" s="110" t="n">
        <v>0</v>
      </c>
      <c r="N4" s="110" t="n">
        <v>0</v>
      </c>
      <c r="O4" s="110" t="n">
        <v>460164.38</v>
      </c>
      <c r="P4" s="110" t="n">
        <v>431894.92</v>
      </c>
      <c r="Q4" s="110" t="n">
        <v>411754.28</v>
      </c>
      <c r="R4" s="110" t="n">
        <v>20140.64</v>
      </c>
      <c r="S4" s="110" t="n">
        <v>28269.46</v>
      </c>
      <c r="T4" s="110" t="n">
        <v>23236.39</v>
      </c>
      <c r="U4" s="110" t="n">
        <v>5033.07</v>
      </c>
      <c r="V4" s="110" t="n">
        <v>460164.38</v>
      </c>
      <c r="W4" s="110" t="n">
        <v>431894.92</v>
      </c>
      <c r="X4" s="110" t="n">
        <v>411754.28</v>
      </c>
      <c r="Y4" s="110" t="n">
        <v>20140.64</v>
      </c>
      <c r="Z4" s="110" t="n">
        <v>28269.46</v>
      </c>
      <c r="AA4" s="110" t="n">
        <v>23236.39</v>
      </c>
      <c r="AB4" s="110" t="n">
        <v>5033.07</v>
      </c>
      <c r="AC4" s="110" t="n">
        <v>268433.31</v>
      </c>
      <c r="AD4" s="110" t="n">
        <v>255132.85</v>
      </c>
      <c r="AE4" s="110" t="n">
        <v>250892.41</v>
      </c>
      <c r="AF4" s="110" t="n">
        <v>4240.44</v>
      </c>
      <c r="AG4" s="110" t="n">
        <v>13300.46</v>
      </c>
      <c r="AH4" s="110" t="n">
        <v>11166.39</v>
      </c>
      <c r="AI4" s="110" t="n">
        <v>2134.07</v>
      </c>
      <c r="AJ4" s="110" t="n">
        <v>1291.07</v>
      </c>
      <c r="AK4" s="110" t="n">
        <v>1167.07</v>
      </c>
      <c r="AL4" s="110" t="n">
        <v>992.87</v>
      </c>
      <c r="AM4" s="110" t="n">
        <v>174.2</v>
      </c>
      <c r="AN4" s="110" t="n">
        <v>124</v>
      </c>
      <c r="AO4" s="110" t="n">
        <v>43</v>
      </c>
      <c r="AP4" s="110" t="n">
        <v>81</v>
      </c>
      <c r="AQ4" s="110" t="n">
        <v>158181</v>
      </c>
      <c r="AR4" s="110" t="n">
        <v>145137</v>
      </c>
      <c r="AS4" s="110" t="n">
        <v>135482</v>
      </c>
      <c r="AT4" s="110" t="n">
        <v>9655</v>
      </c>
      <c r="AU4" s="110" t="n">
        <v>13044</v>
      </c>
      <c r="AV4" s="110" t="n">
        <v>10606</v>
      </c>
      <c r="AW4" s="110" t="n">
        <v>2438</v>
      </c>
      <c r="AX4" s="110" t="n">
        <v>32259</v>
      </c>
      <c r="AY4" s="110" t="n">
        <v>30458</v>
      </c>
      <c r="AZ4" s="110" t="n">
        <v>24387</v>
      </c>
      <c r="BA4" s="110" t="n">
        <v>6071</v>
      </c>
      <c r="BB4" s="110" t="n">
        <v>1801</v>
      </c>
      <c r="BC4" s="110" t="n">
        <v>1421</v>
      </c>
      <c r="BD4" s="110" t="n">
        <v>380</v>
      </c>
      <c r="BE4" s="110" t="n">
        <v>0</v>
      </c>
      <c r="BF4" s="110" t="n">
        <v>0</v>
      </c>
      <c r="BG4" s="110" t="n">
        <v>0</v>
      </c>
      <c r="BH4" s="110" t="n">
        <v>0</v>
      </c>
      <c r="BI4" s="110" t="n">
        <v>0</v>
      </c>
      <c r="BJ4" s="110" t="n">
        <v>0</v>
      </c>
      <c r="BK4" s="110" t="n">
        <v>0</v>
      </c>
      <c r="BL4" s="110" t="n">
        <v>0</v>
      </c>
      <c r="BM4" s="110" t="n">
        <v>0</v>
      </c>
      <c r="BN4" s="110" t="n">
        <v>0</v>
      </c>
      <c r="BO4" s="110" t="n">
        <v>0</v>
      </c>
      <c r="BP4" s="110" t="n">
        <v>0</v>
      </c>
      <c r="BQ4" s="110" t="n">
        <v>0</v>
      </c>
      <c r="BR4" s="110" t="n">
        <v>0</v>
      </c>
      <c r="BS4" s="110" t="n">
        <v>0</v>
      </c>
      <c r="BT4" s="110" t="n">
        <v>0</v>
      </c>
      <c r="BU4" s="110" t="n">
        <v>0</v>
      </c>
      <c r="BV4" s="110" t="n">
        <v>0</v>
      </c>
      <c r="BW4" s="110" t="n">
        <v>0</v>
      </c>
      <c r="BX4" s="110" t="n">
        <v>0</v>
      </c>
      <c r="BY4" s="110" t="n">
        <v>0</v>
      </c>
      <c r="BZ4" s="110" t="n">
        <v>0</v>
      </c>
      <c r="CA4" s="110" t="n">
        <v>0</v>
      </c>
      <c r="CB4" s="110" t="n">
        <v>0</v>
      </c>
      <c r="CC4" s="110" t="n">
        <v>0</v>
      </c>
      <c r="CD4" s="110" t="n">
        <v>0</v>
      </c>
      <c r="CE4" s="110" t="n">
        <v>0</v>
      </c>
      <c r="CF4" s="110" t="n">
        <v>0</v>
      </c>
      <c r="CG4" s="110" t="n">
        <v>0</v>
      </c>
      <c r="CH4" s="110" t="n">
        <v>0</v>
      </c>
      <c r="CI4" s="110" t="n">
        <v>0</v>
      </c>
      <c r="CJ4" s="110" t="n">
        <v>0</v>
      </c>
      <c r="CK4" s="110" t="n">
        <v>0</v>
      </c>
      <c r="CL4" s="110" t="n">
        <v>0</v>
      </c>
      <c r="CM4" s="110" t="n">
        <v>0</v>
      </c>
      <c r="CN4" s="110" t="n">
        <v>0</v>
      </c>
      <c r="CO4" s="110" t="n">
        <v>243161.06</v>
      </c>
      <c r="CP4" s="110" t="n">
        <v>106247.51</v>
      </c>
      <c r="CQ4" s="110" t="n">
        <v>89883.11</v>
      </c>
      <c r="CR4" s="110" t="n">
        <v>20872.7</v>
      </c>
      <c r="CS4" s="110" t="n">
        <v>0</v>
      </c>
      <c r="CT4" s="110" t="n">
        <v>0</v>
      </c>
      <c r="CU4" s="110" t="n">
        <v>0</v>
      </c>
      <c r="CV4" s="111" t="n">
        <v>986</v>
      </c>
      <c r="CW4" s="111" t="n">
        <v>905</v>
      </c>
      <c r="CX4" s="111" t="n">
        <v>871</v>
      </c>
      <c r="CY4" s="111" t="n">
        <v>34</v>
      </c>
      <c r="CZ4" s="111" t="n">
        <v>81</v>
      </c>
      <c r="DA4" s="111" t="n">
        <v>51</v>
      </c>
      <c r="DB4" s="111" t="n">
        <v>30</v>
      </c>
      <c r="DC4" s="111" t="n">
        <v>744</v>
      </c>
      <c r="DD4" s="111" t="n">
        <v>60</v>
      </c>
      <c r="DE4" s="111" t="n">
        <v>690</v>
      </c>
      <c r="DF4" s="111" t="n">
        <v>678</v>
      </c>
      <c r="DG4" s="111" t="n">
        <v>12</v>
      </c>
      <c r="DH4" s="111" t="n">
        <v>54</v>
      </c>
      <c r="DI4" s="111" t="n">
        <v>42</v>
      </c>
      <c r="DJ4" s="111" t="n">
        <v>12</v>
      </c>
      <c r="DK4" s="111" t="n">
        <v>164</v>
      </c>
      <c r="DL4" s="111" t="n">
        <v>154</v>
      </c>
      <c r="DM4" s="111" t="n">
        <v>151</v>
      </c>
      <c r="DN4" s="111" t="n">
        <v>3</v>
      </c>
      <c r="DO4" s="111" t="n">
        <v>10</v>
      </c>
      <c r="DP4" s="111" t="n">
        <v>8</v>
      </c>
      <c r="DQ4" s="111" t="n">
        <v>2</v>
      </c>
      <c r="DR4" s="111" t="n">
        <v>18</v>
      </c>
      <c r="DS4" s="111" t="n">
        <v>0</v>
      </c>
      <c r="DT4" s="111" t="n">
        <v>17</v>
      </c>
      <c r="DU4" s="111" t="n">
        <v>6</v>
      </c>
      <c r="DV4" s="111" t="n">
        <v>11</v>
      </c>
      <c r="DW4" s="111" t="n">
        <v>1</v>
      </c>
      <c r="DX4" s="111" t="n">
        <v>1</v>
      </c>
      <c r="DY4" s="111" t="n">
        <v>0</v>
      </c>
      <c r="DZ4" s="111" t="n">
        <v>0</v>
      </c>
      <c r="EA4" s="111" t="n">
        <v>0</v>
      </c>
      <c r="EB4" s="111" t="n">
        <v>0</v>
      </c>
      <c r="EC4" s="111" t="n">
        <v>0</v>
      </c>
      <c r="ED4" s="111" t="n">
        <v>0</v>
      </c>
      <c r="EE4" s="111" t="n">
        <v>0</v>
      </c>
      <c r="EF4" s="111" t="n">
        <v>0</v>
      </c>
      <c r="EG4" s="111" t="n">
        <v>0</v>
      </c>
      <c r="EH4" s="111" t="n">
        <v>0</v>
      </c>
      <c r="EI4" s="111" t="n">
        <v>0</v>
      </c>
      <c r="EJ4" s="111" t="n">
        <v>0</v>
      </c>
      <c r="EK4" s="111" t="n">
        <v>0</v>
      </c>
      <c r="EL4" s="111" t="n">
        <v>0</v>
      </c>
      <c r="EM4" s="111" t="n">
        <v>0</v>
      </c>
      <c r="EN4" s="111" t="n">
        <v>0</v>
      </c>
      <c r="EO4" s="111" t="n">
        <v>0</v>
      </c>
      <c r="EP4" s="111" t="n">
        <v>0</v>
      </c>
      <c r="EQ4" s="111" t="n">
        <v>0</v>
      </c>
      <c r="ER4" s="111" t="n">
        <v>0</v>
      </c>
      <c r="ES4" s="111" t="n">
        <v>0</v>
      </c>
      <c r="ET4" s="111" t="n">
        <v>0</v>
      </c>
      <c r="EU4" s="111" t="n">
        <v>0</v>
      </c>
      <c r="EV4" s="111" t="n">
        <v>0</v>
      </c>
      <c r="EW4" s="111" t="n">
        <v>0</v>
      </c>
      <c r="EX4" s="111" t="n">
        <v>0</v>
      </c>
      <c r="EY4" s="111" t="n">
        <v>0</v>
      </c>
      <c r="EZ4" s="111" t="n">
        <v>0</v>
      </c>
      <c r="FA4" s="111" t="n">
        <v>0</v>
      </c>
      <c r="FB4" s="111" t="n">
        <v>0</v>
      </c>
    </row>
    <row r="5" ht="19.5" customHeight="1" s="247">
      <c r="A5" s="107" t="n">
        <v>2</v>
      </c>
      <c r="B5" s="107" t="inlineStr">
        <is>
          <t>成人非手术</t>
        </is>
      </c>
      <c r="C5" s="107" t="inlineStr">
        <is>
          <t>呼吸内科</t>
        </is>
      </c>
      <c r="D5" s="110" t="n">
        <v>5468271.5</v>
      </c>
      <c r="E5" s="110" t="n">
        <v>2160548</v>
      </c>
      <c r="F5" s="110" t="n">
        <v>3307723.5</v>
      </c>
      <c r="G5" s="110" t="n">
        <v>10165</v>
      </c>
      <c r="H5" s="110" t="n">
        <v>329</v>
      </c>
      <c r="I5" s="110" t="n">
        <v>13988</v>
      </c>
      <c r="J5" s="110" t="n">
        <v>0</v>
      </c>
      <c r="K5" s="110" t="n">
        <v>0</v>
      </c>
      <c r="L5" s="110" t="n">
        <v>184144</v>
      </c>
      <c r="M5" s="110" t="n">
        <v>3028</v>
      </c>
      <c r="N5" s="110" t="n">
        <v>357</v>
      </c>
      <c r="O5" s="110" t="n">
        <v>10135077.89</v>
      </c>
      <c r="P5" s="110" t="n">
        <v>7341275.47</v>
      </c>
      <c r="Q5" s="110" t="n">
        <v>7170240.05</v>
      </c>
      <c r="R5" s="110" t="n">
        <v>171035.42</v>
      </c>
      <c r="S5" s="110" t="n">
        <v>2793802.42</v>
      </c>
      <c r="T5" s="110" t="n">
        <v>2629179.48</v>
      </c>
      <c r="U5" s="110" t="n">
        <v>164622.94</v>
      </c>
      <c r="V5" s="110" t="n">
        <v>4323553.8</v>
      </c>
      <c r="W5" s="110" t="n">
        <v>3800574.63</v>
      </c>
      <c r="X5" s="110" t="n">
        <v>3693507.82</v>
      </c>
      <c r="Y5" s="110" t="n">
        <v>107066.81</v>
      </c>
      <c r="Z5" s="110" t="n">
        <v>522979.17</v>
      </c>
      <c r="AA5" s="110" t="n">
        <v>376311.66</v>
      </c>
      <c r="AB5" s="110" t="n">
        <v>146667.51</v>
      </c>
      <c r="AC5" s="110" t="n">
        <v>2094052.22</v>
      </c>
      <c r="AD5" s="110" t="n">
        <v>1820730.24</v>
      </c>
      <c r="AE5" s="110" t="n">
        <v>1785224.43</v>
      </c>
      <c r="AF5" s="110" t="n">
        <v>35505.81</v>
      </c>
      <c r="AG5" s="110" t="n">
        <v>273321.98</v>
      </c>
      <c r="AH5" s="110" t="n">
        <v>206927.47</v>
      </c>
      <c r="AI5" s="110" t="n">
        <v>66394.50999999999</v>
      </c>
      <c r="AJ5" s="110" t="n">
        <v>68953.58</v>
      </c>
      <c r="AK5" s="110" t="n">
        <v>61664.39</v>
      </c>
      <c r="AL5" s="110" t="n">
        <v>59755.39</v>
      </c>
      <c r="AM5" s="110" t="n">
        <v>1909</v>
      </c>
      <c r="AN5" s="110" t="n">
        <v>7289.19</v>
      </c>
      <c r="AO5" s="110" t="n">
        <v>5025.19</v>
      </c>
      <c r="AP5" s="110" t="n">
        <v>2264</v>
      </c>
      <c r="AQ5" s="110" t="n">
        <v>1793278</v>
      </c>
      <c r="AR5" s="110" t="n">
        <v>1596099</v>
      </c>
      <c r="AS5" s="110" t="n">
        <v>1540079</v>
      </c>
      <c r="AT5" s="110" t="n">
        <v>56020</v>
      </c>
      <c r="AU5" s="110" t="n">
        <v>197179</v>
      </c>
      <c r="AV5" s="110" t="n">
        <v>132375</v>
      </c>
      <c r="AW5" s="110" t="n">
        <v>64804</v>
      </c>
      <c r="AX5" s="110" t="n">
        <v>367270</v>
      </c>
      <c r="AY5" s="110" t="n">
        <v>322081</v>
      </c>
      <c r="AZ5" s="110" t="n">
        <v>308449</v>
      </c>
      <c r="BA5" s="110" t="n">
        <v>13632</v>
      </c>
      <c r="BB5" s="110" t="n">
        <v>45189</v>
      </c>
      <c r="BC5" s="110" t="n">
        <v>31984</v>
      </c>
      <c r="BD5" s="110" t="n">
        <v>13205</v>
      </c>
      <c r="BE5" s="110" t="n">
        <v>5811524.09</v>
      </c>
      <c r="BF5" s="110" t="n">
        <v>3540700.84</v>
      </c>
      <c r="BG5" s="110" t="n">
        <v>3476732.23</v>
      </c>
      <c r="BH5" s="110" t="n">
        <v>63968.61</v>
      </c>
      <c r="BI5" s="110" t="n">
        <v>2270823.25</v>
      </c>
      <c r="BJ5" s="110" t="n">
        <v>2252867.82</v>
      </c>
      <c r="BK5" s="110" t="n">
        <v>17955.43</v>
      </c>
      <c r="BL5" s="110" t="n">
        <v>2295779.47</v>
      </c>
      <c r="BM5" s="110" t="n">
        <v>1357648.34</v>
      </c>
      <c r="BN5" s="110" t="n">
        <v>1338779.21</v>
      </c>
      <c r="BO5" s="110" t="n">
        <v>18869.13</v>
      </c>
      <c r="BP5" s="110" t="n">
        <v>938131.13</v>
      </c>
      <c r="BQ5" s="110" t="n">
        <v>933832.0600000001</v>
      </c>
      <c r="BR5" s="110" t="n">
        <v>4299.07</v>
      </c>
      <c r="BS5" s="110" t="n">
        <v>208021.12</v>
      </c>
      <c r="BT5" s="110" t="n">
        <v>126593</v>
      </c>
      <c r="BU5" s="110" t="n">
        <v>124679.02</v>
      </c>
      <c r="BV5" s="110" t="n">
        <v>1913.98</v>
      </c>
      <c r="BW5" s="110" t="n">
        <v>81428.12</v>
      </c>
      <c r="BX5" s="110" t="n">
        <v>80860.75999999999</v>
      </c>
      <c r="BY5" s="110" t="n">
        <v>567.36</v>
      </c>
      <c r="BZ5" s="110" t="n">
        <v>2631940</v>
      </c>
      <c r="CA5" s="110" t="n">
        <v>1639312</v>
      </c>
      <c r="CB5" s="110" t="n">
        <v>1607724</v>
      </c>
      <c r="CC5" s="110" t="n">
        <v>31588</v>
      </c>
      <c r="CD5" s="110" t="n">
        <v>992628</v>
      </c>
      <c r="CE5" s="110" t="n">
        <v>982412</v>
      </c>
      <c r="CF5" s="110" t="n">
        <v>10216</v>
      </c>
      <c r="CG5" s="110" t="n">
        <v>675783.5</v>
      </c>
      <c r="CH5" s="110" t="n">
        <v>417147.5</v>
      </c>
      <c r="CI5" s="110" t="n">
        <v>405550</v>
      </c>
      <c r="CJ5" s="110" t="n">
        <v>11597.5</v>
      </c>
      <c r="CK5" s="110" t="n">
        <v>258636</v>
      </c>
      <c r="CL5" s="110" t="n">
        <v>255763</v>
      </c>
      <c r="CM5" s="110" t="n">
        <v>2873</v>
      </c>
      <c r="CN5" s="110" t="n">
        <v>-75</v>
      </c>
      <c r="CO5" s="110" t="n">
        <v>2687316.97</v>
      </c>
      <c r="CP5" s="110" t="n">
        <v>1324630</v>
      </c>
      <c r="CQ5" s="110" t="n">
        <v>82831.97</v>
      </c>
      <c r="CR5" s="110" t="n">
        <v>228774.86</v>
      </c>
      <c r="CS5" s="110" t="n">
        <v>0</v>
      </c>
      <c r="CT5" s="110" t="n">
        <v>0</v>
      </c>
      <c r="CU5" s="110" t="n">
        <v>0</v>
      </c>
      <c r="CV5" s="111" t="n">
        <v>10165</v>
      </c>
      <c r="CW5" s="111" t="n">
        <v>9019</v>
      </c>
      <c r="CX5" s="111" t="n">
        <v>8712</v>
      </c>
      <c r="CY5" s="111" t="n">
        <v>307</v>
      </c>
      <c r="CZ5" s="111" t="n">
        <v>1146</v>
      </c>
      <c r="DA5" s="111" t="n">
        <v>796</v>
      </c>
      <c r="DB5" s="111" t="n">
        <v>350</v>
      </c>
      <c r="DC5" s="111" t="n">
        <v>7596</v>
      </c>
      <c r="DD5" s="111" t="n">
        <v>67</v>
      </c>
      <c r="DE5" s="111" t="n">
        <v>6812</v>
      </c>
      <c r="DF5" s="111" t="n">
        <v>6598</v>
      </c>
      <c r="DG5" s="111" t="n">
        <v>214</v>
      </c>
      <c r="DH5" s="111" t="n">
        <v>784</v>
      </c>
      <c r="DI5" s="111" t="n">
        <v>538</v>
      </c>
      <c r="DJ5" s="111" t="n">
        <v>246</v>
      </c>
      <c r="DK5" s="111" t="n">
        <v>2223</v>
      </c>
      <c r="DL5" s="111" t="n">
        <v>1908</v>
      </c>
      <c r="DM5" s="111" t="n">
        <v>1835</v>
      </c>
      <c r="DN5" s="111" t="n">
        <v>73</v>
      </c>
      <c r="DO5" s="111" t="n">
        <v>315</v>
      </c>
      <c r="DP5" s="111" t="n">
        <v>225</v>
      </c>
      <c r="DQ5" s="111" t="n">
        <v>90</v>
      </c>
      <c r="DR5" s="111" t="n">
        <v>277</v>
      </c>
      <c r="DS5" s="111" t="n">
        <v>2</v>
      </c>
      <c r="DT5" s="111" t="n">
        <v>234</v>
      </c>
      <c r="DU5" s="111" t="n">
        <v>215</v>
      </c>
      <c r="DV5" s="111" t="n">
        <v>19</v>
      </c>
      <c r="DW5" s="111" t="n">
        <v>43</v>
      </c>
      <c r="DX5" s="111" t="n">
        <v>33</v>
      </c>
      <c r="DY5" s="111" t="n">
        <v>10</v>
      </c>
      <c r="DZ5" s="111" t="n">
        <v>0</v>
      </c>
      <c r="EA5" s="111" t="n">
        <v>0</v>
      </c>
      <c r="EB5" s="111" t="n">
        <v>0</v>
      </c>
      <c r="EC5" s="111" t="n">
        <v>0</v>
      </c>
      <c r="ED5" s="111" t="n">
        <v>0</v>
      </c>
      <c r="EE5" s="111" t="n">
        <v>0</v>
      </c>
      <c r="EF5" s="111" t="n">
        <v>0</v>
      </c>
      <c r="EG5" s="111" t="n">
        <v>329</v>
      </c>
      <c r="EH5" s="111" t="n">
        <v>211</v>
      </c>
      <c r="EI5" s="111" t="n">
        <v>208</v>
      </c>
      <c r="EJ5" s="111" t="n">
        <v>3</v>
      </c>
      <c r="EK5" s="111" t="n">
        <v>118</v>
      </c>
      <c r="EL5" s="111" t="n">
        <v>117</v>
      </c>
      <c r="EM5" s="111" t="n">
        <v>1</v>
      </c>
      <c r="EN5" s="111" t="n">
        <v>208</v>
      </c>
      <c r="EO5" s="111" t="n">
        <v>1</v>
      </c>
      <c r="EP5" s="111" t="n">
        <v>0</v>
      </c>
      <c r="EQ5" s="111" t="n">
        <v>207</v>
      </c>
      <c r="ER5" s="111" t="n">
        <v>0</v>
      </c>
      <c r="ES5" s="111" t="n">
        <v>0</v>
      </c>
      <c r="ET5" s="111" t="n">
        <v>0</v>
      </c>
      <c r="EU5" s="111" t="n">
        <v>0</v>
      </c>
      <c r="EV5" s="111" t="n">
        <v>0</v>
      </c>
      <c r="EW5" s="111" t="n">
        <v>0</v>
      </c>
      <c r="EX5" s="111" t="n">
        <v>0</v>
      </c>
      <c r="EY5" s="111" t="n">
        <v>0</v>
      </c>
      <c r="EZ5" s="111" t="n">
        <v>0</v>
      </c>
      <c r="FA5" s="111" t="n">
        <v>0</v>
      </c>
      <c r="FB5" s="111" t="n">
        <v>96</v>
      </c>
    </row>
    <row r="6" ht="28.5" customHeight="1" s="247">
      <c r="A6" s="107" t="n">
        <v>3</v>
      </c>
      <c r="B6" s="107" t="inlineStr">
        <is>
          <t>成人非手术</t>
        </is>
      </c>
      <c r="C6" s="107" t="inlineStr">
        <is>
          <t>消化内科（内窥镜诊治部）</t>
        </is>
      </c>
      <c r="D6" s="110" t="n">
        <v>10993209.3</v>
      </c>
      <c r="E6" s="110" t="n">
        <v>6703879</v>
      </c>
      <c r="F6" s="110" t="n">
        <v>4289330.3</v>
      </c>
      <c r="G6" s="110" t="n">
        <v>21193</v>
      </c>
      <c r="H6" s="110" t="n">
        <v>715</v>
      </c>
      <c r="I6" s="110" t="n">
        <v>462650</v>
      </c>
      <c r="J6" s="110" t="n">
        <v>11400</v>
      </c>
      <c r="K6" s="110" t="n">
        <v>0</v>
      </c>
      <c r="L6" s="110" t="n">
        <v>388024.5</v>
      </c>
      <c r="M6" s="110" t="n">
        <v>530013</v>
      </c>
      <c r="N6" s="110" t="n">
        <v>1270.5</v>
      </c>
      <c r="O6" s="110" t="n">
        <v>19743330.69</v>
      </c>
      <c r="P6" s="110" t="n">
        <v>15905375.15</v>
      </c>
      <c r="Q6" s="110" t="n">
        <v>15202207.71</v>
      </c>
      <c r="R6" s="110" t="n">
        <v>703167.4399999999</v>
      </c>
      <c r="S6" s="110" t="n">
        <v>3837955.54</v>
      </c>
      <c r="T6" s="110" t="n">
        <v>3325493.59</v>
      </c>
      <c r="U6" s="110" t="n">
        <v>512461.95</v>
      </c>
      <c r="V6" s="110" t="n">
        <v>11740376.71</v>
      </c>
      <c r="W6" s="110" t="n">
        <v>10223424.37</v>
      </c>
      <c r="X6" s="110" t="n">
        <v>9655598.449999999</v>
      </c>
      <c r="Y6" s="110" t="n">
        <v>567825.92</v>
      </c>
      <c r="Z6" s="110" t="n">
        <v>1516952.34</v>
      </c>
      <c r="AA6" s="110" t="n">
        <v>1030490.96</v>
      </c>
      <c r="AB6" s="110" t="n">
        <v>486461.38</v>
      </c>
      <c r="AC6" s="110" t="n">
        <v>4352330.71</v>
      </c>
      <c r="AD6" s="110" t="n">
        <v>3847348.37</v>
      </c>
      <c r="AE6" s="110" t="n">
        <v>3737102.45</v>
      </c>
      <c r="AF6" s="110" t="n">
        <v>110245.92</v>
      </c>
      <c r="AG6" s="110" t="n">
        <v>504982.34</v>
      </c>
      <c r="AH6" s="110" t="n">
        <v>361485.96</v>
      </c>
      <c r="AI6" s="110" t="n">
        <v>143496.38</v>
      </c>
      <c r="AJ6" s="110" t="n">
        <v>684167</v>
      </c>
      <c r="AK6" s="110" t="n">
        <v>590578</v>
      </c>
      <c r="AL6" s="110" t="n">
        <v>567458</v>
      </c>
      <c r="AM6" s="110" t="n">
        <v>23120</v>
      </c>
      <c r="AN6" s="110" t="n">
        <v>93589</v>
      </c>
      <c r="AO6" s="110" t="n">
        <v>74826</v>
      </c>
      <c r="AP6" s="110" t="n">
        <v>18763</v>
      </c>
      <c r="AQ6" s="110" t="n">
        <v>4818752</v>
      </c>
      <c r="AR6" s="110" t="n">
        <v>4187500</v>
      </c>
      <c r="AS6" s="110" t="n">
        <v>4021101</v>
      </c>
      <c r="AT6" s="110" t="n">
        <v>166399</v>
      </c>
      <c r="AU6" s="110" t="n">
        <v>631252</v>
      </c>
      <c r="AV6" s="110" t="n">
        <v>439240</v>
      </c>
      <c r="AW6" s="110" t="n">
        <v>192012</v>
      </c>
      <c r="AX6" s="110" t="n">
        <v>1885127</v>
      </c>
      <c r="AY6" s="110" t="n">
        <v>1597998</v>
      </c>
      <c r="AZ6" s="110" t="n">
        <v>1329937</v>
      </c>
      <c r="BA6" s="110" t="n">
        <v>268061</v>
      </c>
      <c r="BB6" s="110" t="n">
        <v>287129</v>
      </c>
      <c r="BC6" s="110" t="n">
        <v>154939</v>
      </c>
      <c r="BD6" s="110" t="n">
        <v>132190</v>
      </c>
      <c r="BE6" s="110" t="n">
        <v>8002953.98</v>
      </c>
      <c r="BF6" s="110" t="n">
        <v>5681950.78</v>
      </c>
      <c r="BG6" s="110" t="n">
        <v>5546609.26</v>
      </c>
      <c r="BH6" s="110" t="n">
        <v>135341.52</v>
      </c>
      <c r="BI6" s="110" t="n">
        <v>2321003.2</v>
      </c>
      <c r="BJ6" s="110" t="n">
        <v>2295002.63</v>
      </c>
      <c r="BK6" s="110" t="n">
        <v>26000.57</v>
      </c>
      <c r="BL6" s="110" t="n">
        <v>1456545.6</v>
      </c>
      <c r="BM6" s="110" t="n">
        <v>1018119</v>
      </c>
      <c r="BN6" s="110" t="n">
        <v>996355.35</v>
      </c>
      <c r="BO6" s="110" t="n">
        <v>21763.65</v>
      </c>
      <c r="BP6" s="110" t="n">
        <v>438426.6</v>
      </c>
      <c r="BQ6" s="110" t="n">
        <v>433303.66</v>
      </c>
      <c r="BR6" s="110" t="n">
        <v>5122.94</v>
      </c>
      <c r="BS6" s="110" t="n">
        <v>2257078.08</v>
      </c>
      <c r="BT6" s="110" t="n">
        <v>1630047.98</v>
      </c>
      <c r="BU6" s="110" t="n">
        <v>1604531.41</v>
      </c>
      <c r="BV6" s="110" t="n">
        <v>25516.57</v>
      </c>
      <c r="BW6" s="110" t="n">
        <v>627030.1</v>
      </c>
      <c r="BX6" s="110" t="n">
        <v>626054.97</v>
      </c>
      <c r="BY6" s="110" t="n">
        <v>975.13</v>
      </c>
      <c r="BZ6" s="110" t="n">
        <v>2695778.8</v>
      </c>
      <c r="CA6" s="110" t="n">
        <v>1867159.8</v>
      </c>
      <c r="CB6" s="110" t="n">
        <v>1816779</v>
      </c>
      <c r="CC6" s="110" t="n">
        <v>50380.8</v>
      </c>
      <c r="CD6" s="110" t="n">
        <v>828619</v>
      </c>
      <c r="CE6" s="110" t="n">
        <v>814964</v>
      </c>
      <c r="CF6" s="110" t="n">
        <v>13655</v>
      </c>
      <c r="CG6" s="110" t="n">
        <v>1593551.5</v>
      </c>
      <c r="CH6" s="110" t="n">
        <v>1166624</v>
      </c>
      <c r="CI6" s="110" t="n">
        <v>1128943.5</v>
      </c>
      <c r="CJ6" s="110" t="n">
        <v>37680.5</v>
      </c>
      <c r="CK6" s="110" t="n">
        <v>426927.5</v>
      </c>
      <c r="CL6" s="110" t="n">
        <v>420680</v>
      </c>
      <c r="CM6" s="110" t="n">
        <v>6247.5</v>
      </c>
      <c r="CN6" s="110" t="n">
        <v>-50</v>
      </c>
      <c r="CO6" s="110" t="n">
        <v>5691556.02</v>
      </c>
      <c r="CP6" s="110" t="n">
        <v>2812994.72</v>
      </c>
      <c r="CQ6" s="110" t="n">
        <v>1761913.41</v>
      </c>
      <c r="CR6" s="110" t="n">
        <v>1473912.56</v>
      </c>
      <c r="CS6" s="110" t="n">
        <v>0</v>
      </c>
      <c r="CT6" s="110" t="n">
        <v>39371.86</v>
      </c>
      <c r="CU6" s="110" t="n">
        <v>0</v>
      </c>
      <c r="CV6" s="111" t="n">
        <v>21193</v>
      </c>
      <c r="CW6" s="111" t="n">
        <v>18498</v>
      </c>
      <c r="CX6" s="111" t="n">
        <v>17574</v>
      </c>
      <c r="CY6" s="111" t="n">
        <v>924</v>
      </c>
      <c r="CZ6" s="111" t="n">
        <v>2695</v>
      </c>
      <c r="DA6" s="111" t="n">
        <v>1790</v>
      </c>
      <c r="DB6" s="111" t="n">
        <v>905</v>
      </c>
      <c r="DC6" s="111" t="n">
        <v>14414</v>
      </c>
      <c r="DD6" s="111" t="n">
        <v>248</v>
      </c>
      <c r="DE6" s="111" t="n">
        <v>12695</v>
      </c>
      <c r="DF6" s="111" t="n">
        <v>12224</v>
      </c>
      <c r="DG6" s="111" t="n">
        <v>471</v>
      </c>
      <c r="DH6" s="111" t="n">
        <v>1719</v>
      </c>
      <c r="DI6" s="111" t="n">
        <v>1139</v>
      </c>
      <c r="DJ6" s="111" t="n">
        <v>580</v>
      </c>
      <c r="DK6" s="111" t="n">
        <v>5374</v>
      </c>
      <c r="DL6" s="111" t="n">
        <v>4624</v>
      </c>
      <c r="DM6" s="111" t="n">
        <v>4420</v>
      </c>
      <c r="DN6" s="111" t="n">
        <v>204</v>
      </c>
      <c r="DO6" s="111" t="n">
        <v>750</v>
      </c>
      <c r="DP6" s="111" t="n">
        <v>552</v>
      </c>
      <c r="DQ6" s="111" t="n">
        <v>198</v>
      </c>
      <c r="DR6" s="111" t="n">
        <v>1157</v>
      </c>
      <c r="DS6" s="111" t="n">
        <v>0</v>
      </c>
      <c r="DT6" s="111" t="n">
        <v>946</v>
      </c>
      <c r="DU6" s="111" t="n">
        <v>705</v>
      </c>
      <c r="DV6" s="111" t="n">
        <v>241</v>
      </c>
      <c r="DW6" s="111" t="n">
        <v>211</v>
      </c>
      <c r="DX6" s="111" t="n">
        <v>94</v>
      </c>
      <c r="DY6" s="111" t="n">
        <v>117</v>
      </c>
      <c r="DZ6" s="111" t="n">
        <v>0</v>
      </c>
      <c r="EA6" s="111" t="n">
        <v>0</v>
      </c>
      <c r="EB6" s="111" t="n">
        <v>0</v>
      </c>
      <c r="EC6" s="111" t="n">
        <v>0</v>
      </c>
      <c r="ED6" s="111" t="n">
        <v>0</v>
      </c>
      <c r="EE6" s="111" t="n">
        <v>0</v>
      </c>
      <c r="EF6" s="111" t="n">
        <v>0</v>
      </c>
      <c r="EG6" s="111" t="n">
        <v>715</v>
      </c>
      <c r="EH6" s="111" t="n">
        <v>513</v>
      </c>
      <c r="EI6" s="111" t="n">
        <v>501</v>
      </c>
      <c r="EJ6" s="111" t="n">
        <v>12</v>
      </c>
      <c r="EK6" s="111" t="n">
        <v>202</v>
      </c>
      <c r="EL6" s="111" t="n">
        <v>200</v>
      </c>
      <c r="EM6" s="111" t="n">
        <v>2</v>
      </c>
      <c r="EN6" s="111" t="n">
        <v>824</v>
      </c>
      <c r="EO6" s="111" t="n">
        <v>2</v>
      </c>
      <c r="EP6" s="111" t="n">
        <v>0</v>
      </c>
      <c r="EQ6" s="111" t="n">
        <v>822</v>
      </c>
      <c r="ER6" s="111" t="n">
        <v>0</v>
      </c>
      <c r="ES6" s="111" t="n">
        <v>0</v>
      </c>
      <c r="ET6" s="111" t="n">
        <v>99</v>
      </c>
      <c r="EU6" s="111" t="n">
        <v>78</v>
      </c>
      <c r="EV6" s="111" t="n">
        <v>1</v>
      </c>
      <c r="EW6" s="111" t="n">
        <v>0</v>
      </c>
      <c r="EX6" s="111" t="n">
        <v>77</v>
      </c>
      <c r="EY6" s="111" t="n">
        <v>0</v>
      </c>
      <c r="EZ6" s="111" t="n">
        <v>0</v>
      </c>
      <c r="FA6" s="111" t="n">
        <v>0</v>
      </c>
      <c r="FB6" s="111" t="n">
        <v>54</v>
      </c>
    </row>
    <row r="7" ht="19.5" customHeight="1" s="247">
      <c r="A7" s="107" t="n">
        <v>4</v>
      </c>
      <c r="B7" s="107" t="inlineStr">
        <is>
          <t>成人非手术</t>
        </is>
      </c>
      <c r="C7" s="107" t="inlineStr">
        <is>
          <t>神经内科</t>
        </is>
      </c>
      <c r="D7" s="110" t="n">
        <v>6279402.5</v>
      </c>
      <c r="E7" s="110" t="n">
        <v>3160499.5</v>
      </c>
      <c r="F7" s="110" t="n">
        <v>3118903</v>
      </c>
      <c r="G7" s="110" t="n">
        <v>13784</v>
      </c>
      <c r="H7" s="110" t="n">
        <v>301</v>
      </c>
      <c r="I7" s="110" t="n">
        <v>1076</v>
      </c>
      <c r="J7" s="110" t="n">
        <v>0</v>
      </c>
      <c r="K7" s="110" t="n">
        <v>77841.38</v>
      </c>
      <c r="L7" s="110" t="n">
        <v>180154</v>
      </c>
      <c r="M7" s="110" t="n">
        <v>74721</v>
      </c>
      <c r="N7" s="110" t="n">
        <v>803.6</v>
      </c>
      <c r="O7" s="110" t="n">
        <v>14467950.06</v>
      </c>
      <c r="P7" s="110" t="n">
        <v>11696477.01</v>
      </c>
      <c r="Q7" s="110" t="n">
        <v>11441252.77</v>
      </c>
      <c r="R7" s="110" t="n">
        <v>255224.24</v>
      </c>
      <c r="S7" s="110" t="n">
        <v>2771473.05</v>
      </c>
      <c r="T7" s="110" t="n">
        <v>2559079.78</v>
      </c>
      <c r="U7" s="110" t="n">
        <v>212393.27</v>
      </c>
      <c r="V7" s="110" t="n">
        <v>6854147.35</v>
      </c>
      <c r="W7" s="110" t="n">
        <v>6063633.23</v>
      </c>
      <c r="X7" s="110" t="n">
        <v>5827974.55</v>
      </c>
      <c r="Y7" s="110" t="n">
        <v>235658.68</v>
      </c>
      <c r="Z7" s="110" t="n">
        <v>790514.12</v>
      </c>
      <c r="AA7" s="110" t="n">
        <v>578120.85</v>
      </c>
      <c r="AB7" s="110" t="n">
        <v>212393.27</v>
      </c>
      <c r="AC7" s="110" t="n">
        <v>3683703.49</v>
      </c>
      <c r="AD7" s="110" t="n">
        <v>3338045.01</v>
      </c>
      <c r="AE7" s="110" t="n">
        <v>3243301.97</v>
      </c>
      <c r="AF7" s="110" t="n">
        <v>94743.03999999999</v>
      </c>
      <c r="AG7" s="110" t="n">
        <v>345658.48</v>
      </c>
      <c r="AH7" s="110" t="n">
        <v>264417.21</v>
      </c>
      <c r="AI7" s="110" t="n">
        <v>81241.27</v>
      </c>
      <c r="AJ7" s="110" t="n">
        <v>9944.360000000001</v>
      </c>
      <c r="AK7" s="110" t="n">
        <v>7888.72</v>
      </c>
      <c r="AL7" s="110" t="n">
        <v>7510.08</v>
      </c>
      <c r="AM7" s="110" t="n">
        <v>378.64</v>
      </c>
      <c r="AN7" s="110" t="n">
        <v>2055.64</v>
      </c>
      <c r="AO7" s="110" t="n">
        <v>1711.64</v>
      </c>
      <c r="AP7" s="110" t="n">
        <v>344</v>
      </c>
      <c r="AQ7" s="110" t="n">
        <v>2599627</v>
      </c>
      <c r="AR7" s="110" t="n">
        <v>2243434</v>
      </c>
      <c r="AS7" s="110" t="n">
        <v>2131853</v>
      </c>
      <c r="AT7" s="110" t="n">
        <v>111581</v>
      </c>
      <c r="AU7" s="110" t="n">
        <v>356193</v>
      </c>
      <c r="AV7" s="110" t="n">
        <v>254445</v>
      </c>
      <c r="AW7" s="110" t="n">
        <v>101748</v>
      </c>
      <c r="AX7" s="110" t="n">
        <v>560872.5</v>
      </c>
      <c r="AY7" s="110" t="n">
        <v>474265.5</v>
      </c>
      <c r="AZ7" s="110" t="n">
        <v>445309.5</v>
      </c>
      <c r="BA7" s="110" t="n">
        <v>28956</v>
      </c>
      <c r="BB7" s="110" t="n">
        <v>86607</v>
      </c>
      <c r="BC7" s="110" t="n">
        <v>57547</v>
      </c>
      <c r="BD7" s="110" t="n">
        <v>29060</v>
      </c>
      <c r="BE7" s="110" t="n">
        <v>7613802.71</v>
      </c>
      <c r="BF7" s="110" t="n">
        <v>5632843.78</v>
      </c>
      <c r="BG7" s="110" t="n">
        <v>5613278.22</v>
      </c>
      <c r="BH7" s="110" t="n">
        <v>19565.56</v>
      </c>
      <c r="BI7" s="110" t="n">
        <v>1980958.93</v>
      </c>
      <c r="BJ7" s="110" t="n">
        <v>1980958.93</v>
      </c>
      <c r="BK7" s="110" t="n">
        <v>0</v>
      </c>
      <c r="BL7" s="110" t="n">
        <v>1333451.44</v>
      </c>
      <c r="BM7" s="110" t="n">
        <v>1050578.58</v>
      </c>
      <c r="BN7" s="110" t="n">
        <v>1044611.88</v>
      </c>
      <c r="BO7" s="110" t="n">
        <v>5966.7</v>
      </c>
      <c r="BP7" s="110" t="n">
        <v>282872.86</v>
      </c>
      <c r="BQ7" s="110" t="n">
        <v>282872.86</v>
      </c>
      <c r="BR7" s="110" t="n">
        <v>0</v>
      </c>
      <c r="BS7" s="110" t="n">
        <v>3161448.27</v>
      </c>
      <c r="BT7" s="110" t="n">
        <v>2145121.7</v>
      </c>
      <c r="BU7" s="110" t="n">
        <v>2144832.34</v>
      </c>
      <c r="BV7" s="110" t="n">
        <v>289.36</v>
      </c>
      <c r="BW7" s="110" t="n">
        <v>1016326.57</v>
      </c>
      <c r="BX7" s="110" t="n">
        <v>1016326.57</v>
      </c>
      <c r="BY7" s="110" t="n">
        <v>0</v>
      </c>
      <c r="BZ7" s="110" t="n">
        <v>2213935</v>
      </c>
      <c r="CA7" s="110" t="n">
        <v>1701049</v>
      </c>
      <c r="CB7" s="110" t="n">
        <v>1689618</v>
      </c>
      <c r="CC7" s="110" t="n">
        <v>11431</v>
      </c>
      <c r="CD7" s="110" t="n">
        <v>512886</v>
      </c>
      <c r="CE7" s="110" t="n">
        <v>512886</v>
      </c>
      <c r="CF7" s="110" t="n">
        <v>0</v>
      </c>
      <c r="CG7" s="110" t="n">
        <v>904968</v>
      </c>
      <c r="CH7" s="110" t="n">
        <v>736094.5</v>
      </c>
      <c r="CI7" s="110" t="n">
        <v>734216</v>
      </c>
      <c r="CJ7" s="110" t="n">
        <v>1878.5</v>
      </c>
      <c r="CK7" s="110" t="n">
        <v>168873.5</v>
      </c>
      <c r="CL7" s="110" t="n">
        <v>168873.5</v>
      </c>
      <c r="CM7" s="110" t="n">
        <v>0</v>
      </c>
      <c r="CN7" s="110" t="n">
        <v>0</v>
      </c>
      <c r="CO7" s="110" t="n">
        <v>3345242.91</v>
      </c>
      <c r="CP7" s="110" t="n">
        <v>1429690.18</v>
      </c>
      <c r="CQ7" s="110" t="n">
        <v>1166977.78</v>
      </c>
      <c r="CR7" s="110" t="n">
        <v>912236.48</v>
      </c>
      <c r="CS7" s="110" t="n">
        <v>0</v>
      </c>
      <c r="CT7" s="110" t="n">
        <v>0</v>
      </c>
      <c r="CU7" s="110" t="n">
        <v>0</v>
      </c>
      <c r="CV7" s="111" t="n">
        <v>13784</v>
      </c>
      <c r="CW7" s="111" t="n">
        <v>12289</v>
      </c>
      <c r="CX7" s="111" t="n">
        <v>11790</v>
      </c>
      <c r="CY7" s="111" t="n">
        <v>499</v>
      </c>
      <c r="CZ7" s="111" t="n">
        <v>1495</v>
      </c>
      <c r="DA7" s="111" t="n">
        <v>1013</v>
      </c>
      <c r="DB7" s="111" t="n">
        <v>482</v>
      </c>
      <c r="DC7" s="111" t="n">
        <v>10314</v>
      </c>
      <c r="DD7" s="111" t="n">
        <v>261</v>
      </c>
      <c r="DE7" s="111" t="n">
        <v>9378</v>
      </c>
      <c r="DF7" s="111" t="n">
        <v>9062</v>
      </c>
      <c r="DG7" s="111" t="n">
        <v>316</v>
      </c>
      <c r="DH7" s="111" t="n">
        <v>936</v>
      </c>
      <c r="DI7" s="111" t="n">
        <v>627</v>
      </c>
      <c r="DJ7" s="111" t="n">
        <v>309</v>
      </c>
      <c r="DK7" s="111" t="n">
        <v>2305</v>
      </c>
      <c r="DL7" s="111" t="n">
        <v>1979</v>
      </c>
      <c r="DM7" s="111" t="n">
        <v>1884</v>
      </c>
      <c r="DN7" s="111" t="n">
        <v>95</v>
      </c>
      <c r="DO7" s="111" t="n">
        <v>326</v>
      </c>
      <c r="DP7" s="111" t="n">
        <v>249</v>
      </c>
      <c r="DQ7" s="111" t="n">
        <v>77</v>
      </c>
      <c r="DR7" s="111" t="n">
        <v>904</v>
      </c>
      <c r="DS7" s="111" t="n">
        <v>0</v>
      </c>
      <c r="DT7" s="111" t="n">
        <v>697</v>
      </c>
      <c r="DU7" s="111" t="n">
        <v>622</v>
      </c>
      <c r="DV7" s="111" t="n">
        <v>75</v>
      </c>
      <c r="DW7" s="111" t="n">
        <v>207</v>
      </c>
      <c r="DX7" s="111" t="n">
        <v>134</v>
      </c>
      <c r="DY7" s="111" t="n">
        <v>73</v>
      </c>
      <c r="DZ7" s="111" t="n">
        <v>0</v>
      </c>
      <c r="EA7" s="111" t="n">
        <v>0</v>
      </c>
      <c r="EB7" s="111" t="n">
        <v>0</v>
      </c>
      <c r="EC7" s="111" t="n">
        <v>0</v>
      </c>
      <c r="ED7" s="111" t="n">
        <v>0</v>
      </c>
      <c r="EE7" s="111" t="n">
        <v>0</v>
      </c>
      <c r="EF7" s="111" t="n">
        <v>0</v>
      </c>
      <c r="EG7" s="111" t="n">
        <v>301</v>
      </c>
      <c r="EH7" s="111" t="n">
        <v>237</v>
      </c>
      <c r="EI7" s="111" t="n">
        <v>234</v>
      </c>
      <c r="EJ7" s="111" t="n">
        <v>3</v>
      </c>
      <c r="EK7" s="111" t="n">
        <v>64</v>
      </c>
      <c r="EL7" s="111" t="n">
        <v>64</v>
      </c>
      <c r="EM7" s="111" t="n">
        <v>0</v>
      </c>
      <c r="EN7" s="111" t="n">
        <v>105</v>
      </c>
      <c r="EO7" s="111" t="n">
        <v>0</v>
      </c>
      <c r="EP7" s="111" t="n">
        <v>36</v>
      </c>
      <c r="EQ7" s="111" t="n">
        <v>69</v>
      </c>
      <c r="ER7" s="111" t="n">
        <v>0</v>
      </c>
      <c r="ES7" s="111" t="n">
        <v>0</v>
      </c>
      <c r="ET7" s="111" t="n">
        <v>0</v>
      </c>
      <c r="EU7" s="111" t="n">
        <v>6</v>
      </c>
      <c r="EV7" s="111" t="n">
        <v>0</v>
      </c>
      <c r="EW7" s="111" t="n">
        <v>6</v>
      </c>
      <c r="EX7" s="111" t="n">
        <v>0</v>
      </c>
      <c r="EY7" s="111" t="n">
        <v>30</v>
      </c>
      <c r="EZ7" s="111" t="n">
        <v>0</v>
      </c>
      <c r="FA7" s="111" t="n">
        <v>30</v>
      </c>
      <c r="FB7" s="111" t="n">
        <v>99</v>
      </c>
    </row>
    <row r="8" ht="19.5" customHeight="1" s="247">
      <c r="A8" s="107" t="n">
        <v>5</v>
      </c>
      <c r="B8" s="107" t="inlineStr">
        <is>
          <t>成人非手术</t>
        </is>
      </c>
      <c r="C8" s="107" t="inlineStr">
        <is>
          <t>心血管内科</t>
        </is>
      </c>
      <c r="D8" s="110" t="n">
        <v>16364809.75</v>
      </c>
      <c r="E8" s="110" t="n">
        <v>3955095</v>
      </c>
      <c r="F8" s="110" t="n">
        <v>12409714.75</v>
      </c>
      <c r="G8" s="110" t="n">
        <v>32529</v>
      </c>
      <c r="H8" s="110" t="n">
        <v>1186</v>
      </c>
      <c r="I8" s="110" t="n">
        <v>4676</v>
      </c>
      <c r="J8" s="110" t="n">
        <v>0</v>
      </c>
      <c r="K8" s="110" t="n">
        <v>0</v>
      </c>
      <c r="L8" s="110" t="n">
        <v>164607.75</v>
      </c>
      <c r="M8" s="110" t="n">
        <v>2580951.5</v>
      </c>
      <c r="N8" s="110" t="n">
        <v>97.5</v>
      </c>
      <c r="O8" s="110" t="n">
        <v>63680330.77</v>
      </c>
      <c r="P8" s="110" t="n">
        <v>47547832.63</v>
      </c>
      <c r="Q8" s="110" t="n">
        <v>47147947.64</v>
      </c>
      <c r="R8" s="110" t="n">
        <v>399884.99</v>
      </c>
      <c r="S8" s="110" t="n">
        <v>16132498.14</v>
      </c>
      <c r="T8" s="110" t="n">
        <v>15840885.98</v>
      </c>
      <c r="U8" s="110" t="n">
        <v>291612.16</v>
      </c>
      <c r="V8" s="110" t="n">
        <v>13771868.48</v>
      </c>
      <c r="W8" s="110" t="n">
        <v>12665014.32</v>
      </c>
      <c r="X8" s="110" t="n">
        <v>12484548.72</v>
      </c>
      <c r="Y8" s="110" t="n">
        <v>180465.6</v>
      </c>
      <c r="Z8" s="110" t="n">
        <v>1106854.16</v>
      </c>
      <c r="AA8" s="110" t="n">
        <v>886645.26</v>
      </c>
      <c r="AB8" s="110" t="n">
        <v>220208.9</v>
      </c>
      <c r="AC8" s="110" t="n">
        <v>9775565.68</v>
      </c>
      <c r="AD8" s="110" t="n">
        <v>9123385.52</v>
      </c>
      <c r="AE8" s="110" t="n">
        <v>9040423.92</v>
      </c>
      <c r="AF8" s="110" t="n">
        <v>82961.60000000001</v>
      </c>
      <c r="AG8" s="110" t="n">
        <v>652180.16</v>
      </c>
      <c r="AH8" s="110" t="n">
        <v>556948.26</v>
      </c>
      <c r="AI8" s="110" t="n">
        <v>95231.89999999999</v>
      </c>
      <c r="AJ8" s="110" t="n">
        <v>41207.8</v>
      </c>
      <c r="AK8" s="110" t="n">
        <v>35412.8</v>
      </c>
      <c r="AL8" s="110" t="n">
        <v>33993.8</v>
      </c>
      <c r="AM8" s="110" t="n">
        <v>1419</v>
      </c>
      <c r="AN8" s="110" t="n">
        <v>5795</v>
      </c>
      <c r="AO8" s="110" t="n">
        <v>3602</v>
      </c>
      <c r="AP8" s="110" t="n">
        <v>2193</v>
      </c>
      <c r="AQ8" s="110" t="n">
        <v>2837491</v>
      </c>
      <c r="AR8" s="110" t="n">
        <v>2511157</v>
      </c>
      <c r="AS8" s="110" t="n">
        <v>2440701</v>
      </c>
      <c r="AT8" s="110" t="n">
        <v>70456</v>
      </c>
      <c r="AU8" s="110" t="n">
        <v>326334</v>
      </c>
      <c r="AV8" s="110" t="n">
        <v>237803</v>
      </c>
      <c r="AW8" s="110" t="n">
        <v>88531</v>
      </c>
      <c r="AX8" s="110" t="n">
        <v>1117604</v>
      </c>
      <c r="AY8" s="110" t="n">
        <v>995059</v>
      </c>
      <c r="AZ8" s="110" t="n">
        <v>969430</v>
      </c>
      <c r="BA8" s="110" t="n">
        <v>25629</v>
      </c>
      <c r="BB8" s="110" t="n">
        <v>122545</v>
      </c>
      <c r="BC8" s="110" t="n">
        <v>88292</v>
      </c>
      <c r="BD8" s="110" t="n">
        <v>34253</v>
      </c>
      <c r="BE8" s="110" t="n">
        <v>49908462.29</v>
      </c>
      <c r="BF8" s="110" t="n">
        <v>34882818.31</v>
      </c>
      <c r="BG8" s="110" t="n">
        <v>34663398.92</v>
      </c>
      <c r="BH8" s="110" t="n">
        <v>219419.39</v>
      </c>
      <c r="BI8" s="110" t="n">
        <v>15025643.98</v>
      </c>
      <c r="BJ8" s="110" t="n">
        <v>14954240.72</v>
      </c>
      <c r="BK8" s="110" t="n">
        <v>71403.25999999999</v>
      </c>
      <c r="BL8" s="110" t="n">
        <v>2436157.56</v>
      </c>
      <c r="BM8" s="110" t="n">
        <v>1790204.63</v>
      </c>
      <c r="BN8" s="110" t="n">
        <v>1777009.44</v>
      </c>
      <c r="BO8" s="110" t="n">
        <v>13195.19</v>
      </c>
      <c r="BP8" s="110" t="n">
        <v>645952.9300000001</v>
      </c>
      <c r="BQ8" s="110" t="n">
        <v>640716.8100000001</v>
      </c>
      <c r="BR8" s="110" t="n">
        <v>5236.12</v>
      </c>
      <c r="BS8" s="110" t="n">
        <v>35062589.98</v>
      </c>
      <c r="BT8" s="110" t="n">
        <v>24126041.68</v>
      </c>
      <c r="BU8" s="110" t="n">
        <v>24022985.98</v>
      </c>
      <c r="BV8" s="110" t="n">
        <v>103055.7</v>
      </c>
      <c r="BW8" s="110" t="n">
        <v>10936548.3</v>
      </c>
      <c r="BX8" s="110" t="n">
        <v>10895293.66</v>
      </c>
      <c r="BY8" s="110" t="n">
        <v>41254.64</v>
      </c>
      <c r="BZ8" s="110" t="n">
        <v>7930500</v>
      </c>
      <c r="CA8" s="110" t="n">
        <v>5767731</v>
      </c>
      <c r="CB8" s="110" t="n">
        <v>5705519</v>
      </c>
      <c r="CC8" s="110" t="n">
        <v>62212</v>
      </c>
      <c r="CD8" s="110" t="n">
        <v>2162769</v>
      </c>
      <c r="CE8" s="110" t="n">
        <v>2151102</v>
      </c>
      <c r="CF8" s="110" t="n">
        <v>11667</v>
      </c>
      <c r="CG8" s="110" t="n">
        <v>4479214.75</v>
      </c>
      <c r="CH8" s="110" t="n">
        <v>3198841</v>
      </c>
      <c r="CI8" s="110" t="n">
        <v>3157884.5</v>
      </c>
      <c r="CJ8" s="110" t="n">
        <v>40956.5</v>
      </c>
      <c r="CK8" s="110" t="n">
        <v>1280373.75</v>
      </c>
      <c r="CL8" s="110" t="n">
        <v>1267128.25</v>
      </c>
      <c r="CM8" s="110" t="n">
        <v>13245.5</v>
      </c>
      <c r="CN8" s="110" t="n">
        <v>-25</v>
      </c>
      <c r="CO8" s="110" t="n">
        <v>6409354.34</v>
      </c>
      <c r="CP8" s="110" t="n">
        <v>4847064.33</v>
      </c>
      <c r="CQ8" s="110" t="n">
        <v>2127559.37</v>
      </c>
      <c r="CR8" s="110" t="n">
        <v>387890.44</v>
      </c>
      <c r="CS8" s="110" t="n">
        <v>0</v>
      </c>
      <c r="CT8" s="110" t="n">
        <v>41859.82</v>
      </c>
      <c r="CU8" s="110" t="n">
        <v>0</v>
      </c>
      <c r="CV8" s="111" t="n">
        <v>32529</v>
      </c>
      <c r="CW8" s="111" t="n">
        <v>29584</v>
      </c>
      <c r="CX8" s="111" t="n">
        <v>28994</v>
      </c>
      <c r="CY8" s="111" t="n">
        <v>590</v>
      </c>
      <c r="CZ8" s="111" t="n">
        <v>2945</v>
      </c>
      <c r="DA8" s="111" t="n">
        <v>2260</v>
      </c>
      <c r="DB8" s="111" t="n">
        <v>685</v>
      </c>
      <c r="DC8" s="111" t="n">
        <v>21990</v>
      </c>
      <c r="DD8" s="111" t="n">
        <v>499</v>
      </c>
      <c r="DE8" s="111" t="n">
        <v>20170</v>
      </c>
      <c r="DF8" s="111" t="n">
        <v>19849</v>
      </c>
      <c r="DG8" s="111" t="n">
        <v>321</v>
      </c>
      <c r="DH8" s="111" t="n">
        <v>1820</v>
      </c>
      <c r="DI8" s="111" t="n">
        <v>1405</v>
      </c>
      <c r="DJ8" s="111" t="n">
        <v>415</v>
      </c>
      <c r="DK8" s="111" t="n">
        <v>9567</v>
      </c>
      <c r="DL8" s="111" t="n">
        <v>8568</v>
      </c>
      <c r="DM8" s="111" t="n">
        <v>8324</v>
      </c>
      <c r="DN8" s="111" t="n">
        <v>244</v>
      </c>
      <c r="DO8" s="111" t="n">
        <v>999</v>
      </c>
      <c r="DP8" s="111" t="n">
        <v>784</v>
      </c>
      <c r="DQ8" s="111" t="n">
        <v>215</v>
      </c>
      <c r="DR8" s="111" t="n">
        <v>473</v>
      </c>
      <c r="DS8" s="111" t="n">
        <v>0</v>
      </c>
      <c r="DT8" s="111" t="n">
        <v>372</v>
      </c>
      <c r="DU8" s="111" t="n">
        <v>355</v>
      </c>
      <c r="DV8" s="111" t="n">
        <v>17</v>
      </c>
      <c r="DW8" s="111" t="n">
        <v>101</v>
      </c>
      <c r="DX8" s="111" t="n">
        <v>62</v>
      </c>
      <c r="DY8" s="111" t="n">
        <v>39</v>
      </c>
      <c r="DZ8" s="111" t="n">
        <v>0</v>
      </c>
      <c r="EA8" s="111" t="n">
        <v>0</v>
      </c>
      <c r="EB8" s="111" t="n">
        <v>0</v>
      </c>
      <c r="EC8" s="111" t="n">
        <v>0</v>
      </c>
      <c r="ED8" s="111" t="n">
        <v>0</v>
      </c>
      <c r="EE8" s="111" t="n">
        <v>0</v>
      </c>
      <c r="EF8" s="111" t="n">
        <v>0</v>
      </c>
      <c r="EG8" s="111" t="n">
        <v>1186</v>
      </c>
      <c r="EH8" s="111" t="n">
        <v>869</v>
      </c>
      <c r="EI8" s="111" t="n">
        <v>858</v>
      </c>
      <c r="EJ8" s="111" t="n">
        <v>11</v>
      </c>
      <c r="EK8" s="111" t="n">
        <v>317</v>
      </c>
      <c r="EL8" s="111" t="n">
        <v>315</v>
      </c>
      <c r="EM8" s="111" t="n">
        <v>2</v>
      </c>
      <c r="EN8" s="111" t="n">
        <v>1030</v>
      </c>
      <c r="EO8" s="111" t="n">
        <v>167</v>
      </c>
      <c r="EP8" s="111" t="n">
        <v>473</v>
      </c>
      <c r="EQ8" s="111" t="n">
        <v>390</v>
      </c>
      <c r="ER8" s="111" t="n">
        <v>0</v>
      </c>
      <c r="ES8" s="111" t="n">
        <v>0</v>
      </c>
      <c r="ET8" s="111" t="n">
        <v>0</v>
      </c>
      <c r="EU8" s="111" t="n">
        <v>467</v>
      </c>
      <c r="EV8" s="111" t="n">
        <v>163</v>
      </c>
      <c r="EW8" s="111" t="n">
        <v>304</v>
      </c>
      <c r="EX8" s="111" t="n">
        <v>0</v>
      </c>
      <c r="EY8" s="111" t="n">
        <v>25</v>
      </c>
      <c r="EZ8" s="111" t="n">
        <v>3</v>
      </c>
      <c r="FA8" s="111" t="n">
        <v>22</v>
      </c>
      <c r="FB8" s="111" t="n">
        <v>230</v>
      </c>
    </row>
    <row r="9" ht="19.5" customHeight="1" s="247">
      <c r="A9" s="107" t="n">
        <v>6</v>
      </c>
      <c r="B9" s="107" t="inlineStr">
        <is>
          <t>成人非手术</t>
        </is>
      </c>
      <c r="C9" s="107" t="inlineStr">
        <is>
          <t>血液内科</t>
        </is>
      </c>
      <c r="D9" s="110" t="n">
        <v>2250983.5</v>
      </c>
      <c r="E9" s="110" t="n">
        <v>259051</v>
      </c>
      <c r="F9" s="110" t="n">
        <v>1991932.5</v>
      </c>
      <c r="G9" s="110" t="n">
        <v>1387</v>
      </c>
      <c r="H9" s="110" t="n">
        <v>439</v>
      </c>
      <c r="I9" s="110" t="n">
        <v>1032</v>
      </c>
      <c r="J9" s="110" t="n">
        <v>0</v>
      </c>
      <c r="K9" s="110" t="n">
        <v>0</v>
      </c>
      <c r="L9" s="110" t="n">
        <v>208692</v>
      </c>
      <c r="M9" s="110" t="n">
        <v>2192</v>
      </c>
      <c r="N9" s="110" t="n">
        <v>259.56</v>
      </c>
      <c r="O9" s="110" t="n">
        <v>9333747.51</v>
      </c>
      <c r="P9" s="110" t="n">
        <v>3939958.83</v>
      </c>
      <c r="Q9" s="110" t="n">
        <v>3884466.5</v>
      </c>
      <c r="R9" s="110" t="n">
        <v>55492.33</v>
      </c>
      <c r="S9" s="110" t="n">
        <v>5393788.68</v>
      </c>
      <c r="T9" s="110" t="n">
        <v>5374452.23</v>
      </c>
      <c r="U9" s="110" t="n">
        <v>19336.45</v>
      </c>
      <c r="V9" s="110" t="n">
        <v>1110257.22</v>
      </c>
      <c r="W9" s="110" t="n">
        <v>909956.16</v>
      </c>
      <c r="X9" s="110" t="n">
        <v>891440.76</v>
      </c>
      <c r="Y9" s="110" t="n">
        <v>18515.4</v>
      </c>
      <c r="Z9" s="110" t="n">
        <v>200301.06</v>
      </c>
      <c r="AA9" s="110" t="n">
        <v>180964.61</v>
      </c>
      <c r="AB9" s="110" t="n">
        <v>19336.45</v>
      </c>
      <c r="AC9" s="110" t="n">
        <v>844297.92</v>
      </c>
      <c r="AD9" s="110" t="n">
        <v>712643.86</v>
      </c>
      <c r="AE9" s="110" t="n">
        <v>703246.46</v>
      </c>
      <c r="AF9" s="110" t="n">
        <v>9397.4</v>
      </c>
      <c r="AG9" s="110" t="n">
        <v>131654.06</v>
      </c>
      <c r="AH9" s="110" t="n">
        <v>122454.61</v>
      </c>
      <c r="AI9" s="110" t="n">
        <v>9199.450000000001</v>
      </c>
      <c r="AJ9" s="110" t="n">
        <v>6908.3</v>
      </c>
      <c r="AK9" s="110" t="n">
        <v>6822.3</v>
      </c>
      <c r="AL9" s="110" t="n">
        <v>6672.3</v>
      </c>
      <c r="AM9" s="110" t="n">
        <v>150</v>
      </c>
      <c r="AN9" s="110" t="n">
        <v>86</v>
      </c>
      <c r="AO9" s="110" t="n">
        <v>43</v>
      </c>
      <c r="AP9" s="110" t="n">
        <v>43</v>
      </c>
      <c r="AQ9" s="110" t="n">
        <v>206794</v>
      </c>
      <c r="AR9" s="110" t="n">
        <v>150243</v>
      </c>
      <c r="AS9" s="110" t="n">
        <v>143449</v>
      </c>
      <c r="AT9" s="110" t="n">
        <v>6794</v>
      </c>
      <c r="AU9" s="110" t="n">
        <v>56551</v>
      </c>
      <c r="AV9" s="110" t="n">
        <v>49294</v>
      </c>
      <c r="AW9" s="110" t="n">
        <v>7257</v>
      </c>
      <c r="AX9" s="110" t="n">
        <v>52257</v>
      </c>
      <c r="AY9" s="110" t="n">
        <v>40247</v>
      </c>
      <c r="AZ9" s="110" t="n">
        <v>38073</v>
      </c>
      <c r="BA9" s="110" t="n">
        <v>2174</v>
      </c>
      <c r="BB9" s="110" t="n">
        <v>12010</v>
      </c>
      <c r="BC9" s="110" t="n">
        <v>9173</v>
      </c>
      <c r="BD9" s="110" t="n">
        <v>2837</v>
      </c>
      <c r="BE9" s="110" t="n">
        <v>8223490.29</v>
      </c>
      <c r="BF9" s="110" t="n">
        <v>3030002.67</v>
      </c>
      <c r="BG9" s="110" t="n">
        <v>2993025.74</v>
      </c>
      <c r="BH9" s="110" t="n">
        <v>36976.93</v>
      </c>
      <c r="BI9" s="110" t="n">
        <v>5193487.62</v>
      </c>
      <c r="BJ9" s="110" t="n">
        <v>5193487.62</v>
      </c>
      <c r="BK9" s="110" t="n">
        <v>0</v>
      </c>
      <c r="BL9" s="110" t="n">
        <v>5859374.72</v>
      </c>
      <c r="BM9" s="110" t="n">
        <v>2237778.14</v>
      </c>
      <c r="BN9" s="110" t="n">
        <v>2228668.04</v>
      </c>
      <c r="BO9" s="110" t="n">
        <v>9110.1</v>
      </c>
      <c r="BP9" s="110" t="n">
        <v>3621596.58</v>
      </c>
      <c r="BQ9" s="110" t="n">
        <v>3621596.58</v>
      </c>
      <c r="BR9" s="110" t="n">
        <v>0</v>
      </c>
      <c r="BS9" s="110" t="n">
        <v>372183.07</v>
      </c>
      <c r="BT9" s="110" t="n">
        <v>71265.03</v>
      </c>
      <c r="BU9" s="110" t="n">
        <v>70062.2</v>
      </c>
      <c r="BV9" s="110" t="n">
        <v>1202.83</v>
      </c>
      <c r="BW9" s="110" t="n">
        <v>300918.04</v>
      </c>
      <c r="BX9" s="110" t="n">
        <v>300918.04</v>
      </c>
      <c r="BY9" s="110" t="n">
        <v>0</v>
      </c>
      <c r="BZ9" s="110" t="n">
        <v>1271761</v>
      </c>
      <c r="CA9" s="110" t="n">
        <v>542160</v>
      </c>
      <c r="CB9" s="110" t="n">
        <v>534104</v>
      </c>
      <c r="CC9" s="110" t="n">
        <v>8056</v>
      </c>
      <c r="CD9" s="110" t="n">
        <v>729601</v>
      </c>
      <c r="CE9" s="110" t="n">
        <v>729601</v>
      </c>
      <c r="CF9" s="110" t="n">
        <v>0</v>
      </c>
      <c r="CG9" s="110" t="n">
        <v>720171.5</v>
      </c>
      <c r="CH9" s="110" t="n">
        <v>178799.5</v>
      </c>
      <c r="CI9" s="110" t="n">
        <v>160191.5</v>
      </c>
      <c r="CJ9" s="110" t="n">
        <v>18608</v>
      </c>
      <c r="CK9" s="110" t="n">
        <v>541372</v>
      </c>
      <c r="CL9" s="110" t="n">
        <v>541372</v>
      </c>
      <c r="CM9" s="110" t="n">
        <v>0</v>
      </c>
      <c r="CN9" s="110" t="n">
        <v>0</v>
      </c>
      <c r="CO9" s="110" t="n">
        <v>279437.79</v>
      </c>
      <c r="CP9" s="110" t="n">
        <v>684566.74</v>
      </c>
      <c r="CQ9" s="110" t="n">
        <v>125257.87</v>
      </c>
      <c r="CR9" s="110" t="n">
        <v>20994.82</v>
      </c>
      <c r="CS9" s="110" t="n">
        <v>0</v>
      </c>
      <c r="CT9" s="110" t="n">
        <v>30270.71</v>
      </c>
      <c r="CU9" s="110" t="n">
        <v>0</v>
      </c>
      <c r="CV9" s="111" t="n">
        <v>1387</v>
      </c>
      <c r="CW9" s="111" t="n">
        <v>1079</v>
      </c>
      <c r="CX9" s="111" t="n">
        <v>1023</v>
      </c>
      <c r="CY9" s="111" t="n">
        <v>56</v>
      </c>
      <c r="CZ9" s="111" t="n">
        <v>308</v>
      </c>
      <c r="DA9" s="111" t="n">
        <v>256</v>
      </c>
      <c r="DB9" s="111" t="n">
        <v>52</v>
      </c>
      <c r="DC9" s="111" t="n">
        <v>871</v>
      </c>
      <c r="DD9" s="111" t="n">
        <v>0</v>
      </c>
      <c r="DE9" s="111" t="n">
        <v>667</v>
      </c>
      <c r="DF9" s="111" t="n">
        <v>633</v>
      </c>
      <c r="DG9" s="111" t="n">
        <v>34</v>
      </c>
      <c r="DH9" s="111" t="n">
        <v>204</v>
      </c>
      <c r="DI9" s="111" t="n">
        <v>173</v>
      </c>
      <c r="DJ9" s="111" t="n">
        <v>31</v>
      </c>
      <c r="DK9" s="111" t="n">
        <v>496</v>
      </c>
      <c r="DL9" s="111" t="n">
        <v>400</v>
      </c>
      <c r="DM9" s="111" t="n">
        <v>379</v>
      </c>
      <c r="DN9" s="111" t="n">
        <v>21</v>
      </c>
      <c r="DO9" s="111" t="n">
        <v>96</v>
      </c>
      <c r="DP9" s="111" t="n">
        <v>80</v>
      </c>
      <c r="DQ9" s="111" t="n">
        <v>16</v>
      </c>
      <c r="DR9" s="111" t="n">
        <v>20</v>
      </c>
      <c r="DS9" s="111" t="n">
        <v>0</v>
      </c>
      <c r="DT9" s="111" t="n">
        <v>12</v>
      </c>
      <c r="DU9" s="111" t="n">
        <v>11</v>
      </c>
      <c r="DV9" s="111" t="n">
        <v>1</v>
      </c>
      <c r="DW9" s="111" t="n">
        <v>8</v>
      </c>
      <c r="DX9" s="111" t="n">
        <v>3</v>
      </c>
      <c r="DY9" s="111" t="n">
        <v>5</v>
      </c>
      <c r="DZ9" s="111" t="n">
        <v>0</v>
      </c>
      <c r="EA9" s="111" t="n">
        <v>0</v>
      </c>
      <c r="EB9" s="111" t="n">
        <v>0</v>
      </c>
      <c r="EC9" s="111" t="n">
        <v>0</v>
      </c>
      <c r="ED9" s="111" t="n">
        <v>0</v>
      </c>
      <c r="EE9" s="111" t="n">
        <v>0</v>
      </c>
      <c r="EF9" s="111" t="n">
        <v>0</v>
      </c>
      <c r="EG9" s="111" t="n">
        <v>439</v>
      </c>
      <c r="EH9" s="111" t="n">
        <v>204</v>
      </c>
      <c r="EI9" s="111" t="n">
        <v>201</v>
      </c>
      <c r="EJ9" s="111" t="n">
        <v>3</v>
      </c>
      <c r="EK9" s="111" t="n">
        <v>235</v>
      </c>
      <c r="EL9" s="111" t="n">
        <v>235</v>
      </c>
      <c r="EM9" s="111" t="n">
        <v>0</v>
      </c>
      <c r="EN9" s="111" t="n">
        <v>307</v>
      </c>
      <c r="EO9" s="111" t="n">
        <v>0</v>
      </c>
      <c r="EP9" s="111" t="n">
        <v>0</v>
      </c>
      <c r="EQ9" s="111" t="n">
        <v>307</v>
      </c>
      <c r="ER9" s="111" t="n">
        <v>0</v>
      </c>
      <c r="ES9" s="111" t="n">
        <v>0</v>
      </c>
      <c r="ET9" s="111" t="n">
        <v>0</v>
      </c>
      <c r="EU9" s="111" t="n">
        <v>0</v>
      </c>
      <c r="EV9" s="111" t="n">
        <v>0</v>
      </c>
      <c r="EW9" s="111" t="n">
        <v>0</v>
      </c>
      <c r="EX9" s="111" t="n">
        <v>0</v>
      </c>
      <c r="EY9" s="111" t="n">
        <v>0</v>
      </c>
      <c r="EZ9" s="111" t="n">
        <v>0</v>
      </c>
      <c r="FA9" s="111" t="n">
        <v>0</v>
      </c>
      <c r="FB9" s="111" t="n">
        <v>24</v>
      </c>
    </row>
    <row r="10" ht="19.5" customHeight="1" s="247">
      <c r="A10" s="107" t="n">
        <v>7</v>
      </c>
      <c r="B10" s="107" t="inlineStr">
        <is>
          <t>成人非手术</t>
        </is>
      </c>
      <c r="C10" s="107" t="inlineStr">
        <is>
          <t>肾脏风湿免疫科</t>
        </is>
      </c>
      <c r="D10" s="110" t="n">
        <v>7311864.5</v>
      </c>
      <c r="E10" s="110" t="n">
        <v>5303081</v>
      </c>
      <c r="F10" s="110" t="n">
        <v>2008783.5</v>
      </c>
      <c r="G10" s="110" t="n">
        <v>8053</v>
      </c>
      <c r="H10" s="110" t="n">
        <v>245</v>
      </c>
      <c r="I10" s="110" t="n">
        <v>3658168</v>
      </c>
      <c r="J10" s="110" t="n">
        <v>0</v>
      </c>
      <c r="K10" s="110" t="n">
        <v>0</v>
      </c>
      <c r="L10" s="110" t="n">
        <v>146264.5</v>
      </c>
      <c r="M10" s="110" t="n">
        <v>21182</v>
      </c>
      <c r="N10" s="110" t="n">
        <v>0</v>
      </c>
      <c r="O10" s="110" t="n">
        <v>13207228.06</v>
      </c>
      <c r="P10" s="110" t="n">
        <v>11580470.94</v>
      </c>
      <c r="Q10" s="110" t="n">
        <v>11427628.6</v>
      </c>
      <c r="R10" s="110" t="n">
        <v>152842.34</v>
      </c>
      <c r="S10" s="110" t="n">
        <v>1626757.12</v>
      </c>
      <c r="T10" s="110" t="n">
        <v>1511943.7</v>
      </c>
      <c r="U10" s="110" t="n">
        <v>114813.42</v>
      </c>
      <c r="V10" s="110" t="n">
        <v>10061748.63</v>
      </c>
      <c r="W10" s="110" t="n">
        <v>9272024.960000001</v>
      </c>
      <c r="X10" s="110" t="n">
        <v>9153032.5</v>
      </c>
      <c r="Y10" s="110" t="n">
        <v>118992.46</v>
      </c>
      <c r="Z10" s="110" t="n">
        <v>789723.67</v>
      </c>
      <c r="AA10" s="110" t="n">
        <v>674910.25</v>
      </c>
      <c r="AB10" s="110" t="n">
        <v>114813.42</v>
      </c>
      <c r="AC10" s="110" t="n">
        <v>3755767.84</v>
      </c>
      <c r="AD10" s="110" t="n">
        <v>3441433</v>
      </c>
      <c r="AE10" s="110" t="n">
        <v>3393696.85</v>
      </c>
      <c r="AF10" s="110" t="n">
        <v>47736.15</v>
      </c>
      <c r="AG10" s="110" t="n">
        <v>314334.84</v>
      </c>
      <c r="AH10" s="110" t="n">
        <v>257902.96</v>
      </c>
      <c r="AI10" s="110" t="n">
        <v>56431.88</v>
      </c>
      <c r="AJ10" s="110" t="n">
        <v>1002899.79</v>
      </c>
      <c r="AK10" s="110" t="n">
        <v>958189.96</v>
      </c>
      <c r="AL10" s="110" t="n">
        <v>946484.65</v>
      </c>
      <c r="AM10" s="110" t="n">
        <v>11705.31</v>
      </c>
      <c r="AN10" s="110" t="n">
        <v>44709.83</v>
      </c>
      <c r="AO10" s="110" t="n">
        <v>42378.29</v>
      </c>
      <c r="AP10" s="110" t="n">
        <v>2331.54</v>
      </c>
      <c r="AQ10" s="110" t="n">
        <v>1366987</v>
      </c>
      <c r="AR10" s="110" t="n">
        <v>1214980</v>
      </c>
      <c r="AS10" s="110" t="n">
        <v>1187139</v>
      </c>
      <c r="AT10" s="110" t="n">
        <v>27841</v>
      </c>
      <c r="AU10" s="110" t="n">
        <v>152007</v>
      </c>
      <c r="AV10" s="110" t="n">
        <v>112391</v>
      </c>
      <c r="AW10" s="110" t="n">
        <v>39616</v>
      </c>
      <c r="AX10" s="110" t="n">
        <v>3936094</v>
      </c>
      <c r="AY10" s="110" t="n">
        <v>3657422</v>
      </c>
      <c r="AZ10" s="110" t="n">
        <v>3625712</v>
      </c>
      <c r="BA10" s="110" t="n">
        <v>31710</v>
      </c>
      <c r="BB10" s="110" t="n">
        <v>278672</v>
      </c>
      <c r="BC10" s="110" t="n">
        <v>262238</v>
      </c>
      <c r="BD10" s="110" t="n">
        <v>16434</v>
      </c>
      <c r="BE10" s="110" t="n">
        <v>3145479.43</v>
      </c>
      <c r="BF10" s="110" t="n">
        <v>2308445.98</v>
      </c>
      <c r="BG10" s="110" t="n">
        <v>2274596.1</v>
      </c>
      <c r="BH10" s="110" t="n">
        <v>33849.88</v>
      </c>
      <c r="BI10" s="110" t="n">
        <v>837033.45</v>
      </c>
      <c r="BJ10" s="110" t="n">
        <v>837033.45</v>
      </c>
      <c r="BK10" s="110" t="n">
        <v>0</v>
      </c>
      <c r="BL10" s="110" t="n">
        <v>895729.92</v>
      </c>
      <c r="BM10" s="110" t="n">
        <v>649457.36</v>
      </c>
      <c r="BN10" s="110" t="n">
        <v>638053.76</v>
      </c>
      <c r="BO10" s="110" t="n">
        <v>11403.6</v>
      </c>
      <c r="BP10" s="110" t="n">
        <v>246272.56</v>
      </c>
      <c r="BQ10" s="110" t="n">
        <v>246272.56</v>
      </c>
      <c r="BR10" s="110" t="n">
        <v>0</v>
      </c>
      <c r="BS10" s="110" t="n">
        <v>240966.01</v>
      </c>
      <c r="BT10" s="110" t="n">
        <v>194514.62</v>
      </c>
      <c r="BU10" s="110" t="n">
        <v>194336.34</v>
      </c>
      <c r="BV10" s="110" t="n">
        <v>178.28</v>
      </c>
      <c r="BW10" s="110" t="n">
        <v>46451.39</v>
      </c>
      <c r="BX10" s="110" t="n">
        <v>46451.39</v>
      </c>
      <c r="BY10" s="110" t="n">
        <v>0</v>
      </c>
      <c r="BZ10" s="110" t="n">
        <v>1492599</v>
      </c>
      <c r="CA10" s="110" t="n">
        <v>1087092</v>
      </c>
      <c r="CB10" s="110" t="n">
        <v>1067239</v>
      </c>
      <c r="CC10" s="110" t="n">
        <v>19853</v>
      </c>
      <c r="CD10" s="110" t="n">
        <v>405507</v>
      </c>
      <c r="CE10" s="110" t="n">
        <v>405507</v>
      </c>
      <c r="CF10" s="110" t="n">
        <v>0</v>
      </c>
      <c r="CG10" s="110" t="n">
        <v>516184.5</v>
      </c>
      <c r="CH10" s="110" t="n">
        <v>377382</v>
      </c>
      <c r="CI10" s="110" t="n">
        <v>374967</v>
      </c>
      <c r="CJ10" s="110" t="n">
        <v>2415</v>
      </c>
      <c r="CK10" s="110" t="n">
        <v>138802.5</v>
      </c>
      <c r="CL10" s="110" t="n">
        <v>138802.5</v>
      </c>
      <c r="CM10" s="110" t="n">
        <v>0</v>
      </c>
      <c r="CN10" s="110" t="n">
        <v>0</v>
      </c>
      <c r="CO10" s="110" t="n">
        <v>1453184.37</v>
      </c>
      <c r="CP10" s="110" t="n">
        <v>1434535.5</v>
      </c>
      <c r="CQ10" s="110" t="n">
        <v>6971380.02</v>
      </c>
      <c r="CR10" s="110" t="n">
        <v>202648.74</v>
      </c>
      <c r="CS10" s="110" t="n">
        <v>0</v>
      </c>
      <c r="CT10" s="110" t="n">
        <v>0</v>
      </c>
      <c r="CU10" s="110" t="n">
        <v>0</v>
      </c>
      <c r="CV10" s="111" t="n">
        <v>8053</v>
      </c>
      <c r="CW10" s="111" t="n">
        <v>7209</v>
      </c>
      <c r="CX10" s="111" t="n">
        <v>7008</v>
      </c>
      <c r="CY10" s="111" t="n">
        <v>201</v>
      </c>
      <c r="CZ10" s="111" t="n">
        <v>844</v>
      </c>
      <c r="DA10" s="111" t="n">
        <v>620</v>
      </c>
      <c r="DB10" s="111" t="n">
        <v>224</v>
      </c>
      <c r="DC10" s="111" t="n">
        <v>5939</v>
      </c>
      <c r="DD10" s="111" t="n">
        <v>111</v>
      </c>
      <c r="DE10" s="111" t="n">
        <v>5379</v>
      </c>
      <c r="DF10" s="111" t="n">
        <v>5240</v>
      </c>
      <c r="DG10" s="111" t="n">
        <v>139</v>
      </c>
      <c r="DH10" s="111" t="n">
        <v>560</v>
      </c>
      <c r="DI10" s="111" t="n">
        <v>419</v>
      </c>
      <c r="DJ10" s="111" t="n">
        <v>141</v>
      </c>
      <c r="DK10" s="111" t="n">
        <v>1865</v>
      </c>
      <c r="DL10" s="111" t="n">
        <v>1622</v>
      </c>
      <c r="DM10" s="111" t="n">
        <v>1566</v>
      </c>
      <c r="DN10" s="111" t="n">
        <v>56</v>
      </c>
      <c r="DO10" s="111" t="n">
        <v>243</v>
      </c>
      <c r="DP10" s="111" t="n">
        <v>177</v>
      </c>
      <c r="DQ10" s="111" t="n">
        <v>66</v>
      </c>
      <c r="DR10" s="111" t="n">
        <v>138</v>
      </c>
      <c r="DS10" s="111" t="n">
        <v>0</v>
      </c>
      <c r="DT10" s="111" t="n">
        <v>106</v>
      </c>
      <c r="DU10" s="111" t="n">
        <v>102</v>
      </c>
      <c r="DV10" s="111" t="n">
        <v>4</v>
      </c>
      <c r="DW10" s="111" t="n">
        <v>32</v>
      </c>
      <c r="DX10" s="111" t="n">
        <v>22</v>
      </c>
      <c r="DY10" s="111" t="n">
        <v>10</v>
      </c>
      <c r="DZ10" s="111" t="n">
        <v>0</v>
      </c>
      <c r="EA10" s="111" t="n">
        <v>0</v>
      </c>
      <c r="EB10" s="111" t="n">
        <v>0</v>
      </c>
      <c r="EC10" s="111" t="n">
        <v>0</v>
      </c>
      <c r="ED10" s="111" t="n">
        <v>0</v>
      </c>
      <c r="EE10" s="111" t="n">
        <v>0</v>
      </c>
      <c r="EF10" s="111" t="n">
        <v>0</v>
      </c>
      <c r="EG10" s="111" t="n">
        <v>245</v>
      </c>
      <c r="EH10" s="111" t="n">
        <v>181</v>
      </c>
      <c r="EI10" s="111" t="n">
        <v>176</v>
      </c>
      <c r="EJ10" s="111" t="n">
        <v>5</v>
      </c>
      <c r="EK10" s="111" t="n">
        <v>64</v>
      </c>
      <c r="EL10" s="111" t="n">
        <v>64</v>
      </c>
      <c r="EM10" s="111" t="n">
        <v>0</v>
      </c>
      <c r="EN10" s="111" t="n">
        <v>61</v>
      </c>
      <c r="EO10" s="111" t="n">
        <v>10</v>
      </c>
      <c r="EP10" s="111" t="n">
        <v>0</v>
      </c>
      <c r="EQ10" s="111" t="n">
        <v>51</v>
      </c>
      <c r="ER10" s="111" t="n">
        <v>0</v>
      </c>
      <c r="ES10" s="111" t="n">
        <v>0</v>
      </c>
      <c r="ET10" s="111" t="n">
        <v>0</v>
      </c>
      <c r="EU10" s="111" t="n">
        <v>0</v>
      </c>
      <c r="EV10" s="111" t="n">
        <v>0</v>
      </c>
      <c r="EW10" s="111" t="n">
        <v>0</v>
      </c>
      <c r="EX10" s="111" t="n">
        <v>0</v>
      </c>
      <c r="EY10" s="111" t="n">
        <v>0</v>
      </c>
      <c r="EZ10" s="111" t="n">
        <v>0</v>
      </c>
      <c r="FA10" s="111" t="n">
        <v>0</v>
      </c>
      <c r="FB10" s="111" t="n">
        <v>136</v>
      </c>
    </row>
    <row r="11" ht="19.5" customHeight="1" s="247">
      <c r="A11" s="107" t="n">
        <v>8</v>
      </c>
      <c r="B11" s="107" t="inlineStr">
        <is>
          <t>成人非手术</t>
        </is>
      </c>
      <c r="C11" s="107" t="inlineStr">
        <is>
          <t>内分泌科</t>
        </is>
      </c>
      <c r="D11" s="110" t="n">
        <v>6100953.5</v>
      </c>
      <c r="E11" s="110" t="n">
        <v>4175385</v>
      </c>
      <c r="F11" s="110" t="n">
        <v>1925568.5</v>
      </c>
      <c r="G11" s="110" t="n">
        <v>17407</v>
      </c>
      <c r="H11" s="110" t="n">
        <v>202</v>
      </c>
      <c r="I11" s="110" t="n">
        <v>6970</v>
      </c>
      <c r="J11" s="110" t="n">
        <v>574</v>
      </c>
      <c r="K11" s="110" t="n">
        <v>0</v>
      </c>
      <c r="L11" s="110" t="n">
        <v>195804</v>
      </c>
      <c r="M11" s="110" t="n">
        <v>9748</v>
      </c>
      <c r="N11" s="110" t="n">
        <v>0</v>
      </c>
      <c r="O11" s="110" t="n">
        <v>10521720.41</v>
      </c>
      <c r="P11" s="110" t="n">
        <v>9372690.859999999</v>
      </c>
      <c r="Q11" s="110" t="n">
        <v>9180521.26</v>
      </c>
      <c r="R11" s="110" t="n">
        <v>192169.6</v>
      </c>
      <c r="S11" s="110" t="n">
        <v>1149029.55</v>
      </c>
      <c r="T11" s="110" t="n">
        <v>1003175.6</v>
      </c>
      <c r="U11" s="110" t="n">
        <v>145853.95</v>
      </c>
      <c r="V11" s="110" t="n">
        <v>8078531.82</v>
      </c>
      <c r="W11" s="110" t="n">
        <v>7419690.06</v>
      </c>
      <c r="X11" s="110" t="n">
        <v>7227520.46</v>
      </c>
      <c r="Y11" s="110" t="n">
        <v>192169.6</v>
      </c>
      <c r="Z11" s="110" t="n">
        <v>658841.76</v>
      </c>
      <c r="AA11" s="110" t="n">
        <v>512987.81</v>
      </c>
      <c r="AB11" s="110" t="n">
        <v>145853.95</v>
      </c>
      <c r="AC11" s="110" t="n">
        <v>3827825.42</v>
      </c>
      <c r="AD11" s="110" t="n">
        <v>3554399.66</v>
      </c>
      <c r="AE11" s="110" t="n">
        <v>3493726.46</v>
      </c>
      <c r="AF11" s="110" t="n">
        <v>60673.2</v>
      </c>
      <c r="AG11" s="110" t="n">
        <v>273425.76</v>
      </c>
      <c r="AH11" s="110" t="n">
        <v>230946.21</v>
      </c>
      <c r="AI11" s="110" t="n">
        <v>42479.55</v>
      </c>
      <c r="AJ11" s="110" t="n">
        <v>75321.39999999999</v>
      </c>
      <c r="AK11" s="110" t="n">
        <v>70635.39999999999</v>
      </c>
      <c r="AL11" s="110" t="n">
        <v>69579</v>
      </c>
      <c r="AM11" s="110" t="n">
        <v>1056.4</v>
      </c>
      <c r="AN11" s="110" t="n">
        <v>4686</v>
      </c>
      <c r="AO11" s="110" t="n">
        <v>3397.6</v>
      </c>
      <c r="AP11" s="110" t="n">
        <v>1288.4</v>
      </c>
      <c r="AQ11" s="110" t="n">
        <v>3534589</v>
      </c>
      <c r="AR11" s="110" t="n">
        <v>3221056</v>
      </c>
      <c r="AS11" s="110" t="n">
        <v>3116399</v>
      </c>
      <c r="AT11" s="110" t="n">
        <v>104657</v>
      </c>
      <c r="AU11" s="110" t="n">
        <v>313533</v>
      </c>
      <c r="AV11" s="110" t="n">
        <v>232478</v>
      </c>
      <c r="AW11" s="110" t="n">
        <v>81055</v>
      </c>
      <c r="AX11" s="110" t="n">
        <v>640796</v>
      </c>
      <c r="AY11" s="110" t="n">
        <v>573599</v>
      </c>
      <c r="AZ11" s="110" t="n">
        <v>547816</v>
      </c>
      <c r="BA11" s="110" t="n">
        <v>25783</v>
      </c>
      <c r="BB11" s="110" t="n">
        <v>67197</v>
      </c>
      <c r="BC11" s="110" t="n">
        <v>46166</v>
      </c>
      <c r="BD11" s="110" t="n">
        <v>21031</v>
      </c>
      <c r="BE11" s="110" t="n">
        <v>2443188.59</v>
      </c>
      <c r="BF11" s="110" t="n">
        <v>1953000.8</v>
      </c>
      <c r="BG11" s="110" t="n">
        <v>1953000.8</v>
      </c>
      <c r="BH11" s="110" t="n">
        <v>0</v>
      </c>
      <c r="BI11" s="110" t="n">
        <v>490187.79</v>
      </c>
      <c r="BJ11" s="110" t="n">
        <v>490187.79</v>
      </c>
      <c r="BK11" s="110" t="n">
        <v>0</v>
      </c>
      <c r="BL11" s="110" t="n">
        <v>468706.79</v>
      </c>
      <c r="BM11" s="110" t="n">
        <v>377179.47</v>
      </c>
      <c r="BN11" s="110" t="n">
        <v>377179.47</v>
      </c>
      <c r="BO11" s="110" t="n">
        <v>0</v>
      </c>
      <c r="BP11" s="110" t="n">
        <v>91527.32000000001</v>
      </c>
      <c r="BQ11" s="110" t="n">
        <v>91527.32000000001</v>
      </c>
      <c r="BR11" s="110" t="n">
        <v>0</v>
      </c>
      <c r="BS11" s="110" t="n">
        <v>48913.3</v>
      </c>
      <c r="BT11" s="110" t="n">
        <v>36926.83</v>
      </c>
      <c r="BU11" s="110" t="n">
        <v>36926.83</v>
      </c>
      <c r="BV11" s="110" t="n">
        <v>0</v>
      </c>
      <c r="BW11" s="110" t="n">
        <v>11986.47</v>
      </c>
      <c r="BX11" s="110" t="n">
        <v>11986.47</v>
      </c>
      <c r="BY11" s="110" t="n">
        <v>0</v>
      </c>
      <c r="BZ11" s="110" t="n">
        <v>1483750</v>
      </c>
      <c r="CA11" s="110" t="n">
        <v>1185820</v>
      </c>
      <c r="CB11" s="110" t="n">
        <v>1185820</v>
      </c>
      <c r="CC11" s="110" t="n">
        <v>0</v>
      </c>
      <c r="CD11" s="110" t="n">
        <v>297930</v>
      </c>
      <c r="CE11" s="110" t="n">
        <v>297930</v>
      </c>
      <c r="CF11" s="110" t="n">
        <v>0</v>
      </c>
      <c r="CG11" s="110" t="n">
        <v>441818.5</v>
      </c>
      <c r="CH11" s="110" t="n">
        <v>353074.5</v>
      </c>
      <c r="CI11" s="110" t="n">
        <v>353074.5</v>
      </c>
      <c r="CJ11" s="110" t="n">
        <v>0</v>
      </c>
      <c r="CK11" s="110" t="n">
        <v>88744</v>
      </c>
      <c r="CL11" s="110" t="n">
        <v>88744</v>
      </c>
      <c r="CM11" s="110" t="n">
        <v>0</v>
      </c>
      <c r="CN11" s="110" t="n">
        <v>-25</v>
      </c>
      <c r="CO11" s="110" t="n">
        <v>4264574.24</v>
      </c>
      <c r="CP11" s="110" t="n">
        <v>2549082.86</v>
      </c>
      <c r="CQ11" s="110" t="n">
        <v>850924.02</v>
      </c>
      <c r="CR11" s="110" t="n">
        <v>413950.7</v>
      </c>
      <c r="CS11" s="110" t="n">
        <v>0</v>
      </c>
      <c r="CT11" s="110" t="n">
        <v>0</v>
      </c>
      <c r="CU11" s="110" t="n">
        <v>0</v>
      </c>
      <c r="CV11" s="111" t="n">
        <v>17407</v>
      </c>
      <c r="CW11" s="111" t="n">
        <v>15835</v>
      </c>
      <c r="CX11" s="111" t="n">
        <v>15360</v>
      </c>
      <c r="CY11" s="111" t="n">
        <v>475</v>
      </c>
      <c r="CZ11" s="111" t="n">
        <v>1572</v>
      </c>
      <c r="DA11" s="111" t="n">
        <v>1188</v>
      </c>
      <c r="DB11" s="111" t="n">
        <v>384</v>
      </c>
      <c r="DC11" s="111" t="n">
        <v>11767</v>
      </c>
      <c r="DD11" s="111" t="n">
        <v>200</v>
      </c>
      <c r="DE11" s="111" t="n">
        <v>10743</v>
      </c>
      <c r="DF11" s="111" t="n">
        <v>10446</v>
      </c>
      <c r="DG11" s="111" t="n">
        <v>297</v>
      </c>
      <c r="DH11" s="111" t="n">
        <v>1024</v>
      </c>
      <c r="DI11" s="111" t="n">
        <v>796</v>
      </c>
      <c r="DJ11" s="111" t="n">
        <v>228</v>
      </c>
      <c r="DK11" s="111" t="n">
        <v>4895</v>
      </c>
      <c r="DL11" s="111" t="n">
        <v>4446</v>
      </c>
      <c r="DM11" s="111" t="n">
        <v>4306</v>
      </c>
      <c r="DN11" s="111" t="n">
        <v>140</v>
      </c>
      <c r="DO11" s="111" t="n">
        <v>449</v>
      </c>
      <c r="DP11" s="111" t="n">
        <v>341</v>
      </c>
      <c r="DQ11" s="111" t="n">
        <v>108</v>
      </c>
      <c r="DR11" s="111" t="n">
        <v>537</v>
      </c>
      <c r="DS11" s="111" t="n">
        <v>8</v>
      </c>
      <c r="DT11" s="111" t="n">
        <v>450</v>
      </c>
      <c r="DU11" s="111" t="n">
        <v>413</v>
      </c>
      <c r="DV11" s="111" t="n">
        <v>37</v>
      </c>
      <c r="DW11" s="111" t="n">
        <v>87</v>
      </c>
      <c r="DX11" s="111" t="n">
        <v>51</v>
      </c>
      <c r="DY11" s="111" t="n">
        <v>36</v>
      </c>
      <c r="DZ11" s="111" t="n">
        <v>0</v>
      </c>
      <c r="EA11" s="111" t="n">
        <v>0</v>
      </c>
      <c r="EB11" s="111" t="n">
        <v>0</v>
      </c>
      <c r="EC11" s="111" t="n">
        <v>0</v>
      </c>
      <c r="ED11" s="111" t="n">
        <v>0</v>
      </c>
      <c r="EE11" s="111" t="n">
        <v>0</v>
      </c>
      <c r="EF11" s="111" t="n">
        <v>0</v>
      </c>
      <c r="EG11" s="111" t="n">
        <v>202</v>
      </c>
      <c r="EH11" s="111" t="n">
        <v>161</v>
      </c>
      <c r="EI11" s="111" t="n">
        <v>160</v>
      </c>
      <c r="EJ11" s="111" t="n">
        <v>1</v>
      </c>
      <c r="EK11" s="111" t="n">
        <v>41</v>
      </c>
      <c r="EL11" s="111" t="n">
        <v>41</v>
      </c>
      <c r="EM11" s="111" t="n">
        <v>0</v>
      </c>
      <c r="EN11" s="111" t="n">
        <v>2</v>
      </c>
      <c r="EO11" s="111" t="n">
        <v>0</v>
      </c>
      <c r="EP11" s="111" t="n">
        <v>0</v>
      </c>
      <c r="EQ11" s="111" t="n">
        <v>2</v>
      </c>
      <c r="ER11" s="111" t="n">
        <v>0</v>
      </c>
      <c r="ES11" s="111" t="n">
        <v>0</v>
      </c>
      <c r="ET11" s="111" t="n">
        <v>0</v>
      </c>
      <c r="EU11" s="111" t="n">
        <v>0</v>
      </c>
      <c r="EV11" s="111" t="n">
        <v>0</v>
      </c>
      <c r="EW11" s="111" t="n">
        <v>0</v>
      </c>
      <c r="EX11" s="111" t="n">
        <v>0</v>
      </c>
      <c r="EY11" s="111" t="n">
        <v>0</v>
      </c>
      <c r="EZ11" s="111" t="n">
        <v>0</v>
      </c>
      <c r="FA11" s="111" t="n">
        <v>0</v>
      </c>
      <c r="FB11" s="111" t="n">
        <v>179</v>
      </c>
    </row>
    <row r="12" ht="19.5" customHeight="1" s="247">
      <c r="A12" s="107" t="n">
        <v>9</v>
      </c>
      <c r="B12" s="107" t="inlineStr">
        <is>
          <t>成人非手术</t>
        </is>
      </c>
      <c r="C12" s="107" t="inlineStr">
        <is>
          <t>老年医学科</t>
        </is>
      </c>
      <c r="D12" s="110" t="n">
        <v>3963449.5</v>
      </c>
      <c r="E12" s="110" t="n">
        <v>224416</v>
      </c>
      <c r="F12" s="110" t="n">
        <v>3739033.5</v>
      </c>
      <c r="G12" s="110" t="n">
        <v>2025</v>
      </c>
      <c r="H12" s="110" t="n">
        <v>80</v>
      </c>
      <c r="I12" s="110" t="n">
        <v>7430</v>
      </c>
      <c r="J12" s="110" t="n">
        <v>0</v>
      </c>
      <c r="K12" s="110" t="n">
        <v>42064.32</v>
      </c>
      <c r="L12" s="110" t="n">
        <v>632551</v>
      </c>
      <c r="M12" s="110" t="n">
        <v>16102</v>
      </c>
      <c r="N12" s="110" t="n">
        <v>15516.45</v>
      </c>
      <c r="O12" s="110" t="n">
        <v>6922375.94</v>
      </c>
      <c r="P12" s="110" t="n">
        <v>6905819.24</v>
      </c>
      <c r="Q12" s="110" t="n">
        <v>6690594.65</v>
      </c>
      <c r="R12" s="110" t="n">
        <v>215224.59</v>
      </c>
      <c r="S12" s="110" t="n">
        <v>16556.7</v>
      </c>
      <c r="T12" s="110" t="n">
        <v>13724.2</v>
      </c>
      <c r="U12" s="110" t="n">
        <v>2832.5</v>
      </c>
      <c r="V12" s="110" t="n">
        <v>1229141.93</v>
      </c>
      <c r="W12" s="110" t="n">
        <v>1212585.23</v>
      </c>
      <c r="X12" s="110" t="n">
        <v>1209281.49</v>
      </c>
      <c r="Y12" s="110" t="n">
        <v>3303.74</v>
      </c>
      <c r="Z12" s="110" t="n">
        <v>16556.7</v>
      </c>
      <c r="AA12" s="110" t="n">
        <v>13724.2</v>
      </c>
      <c r="AB12" s="110" t="n">
        <v>2832.5</v>
      </c>
      <c r="AC12" s="110" t="n">
        <v>998788.75</v>
      </c>
      <c r="AD12" s="110" t="n">
        <v>988078.05</v>
      </c>
      <c r="AE12" s="110" t="n">
        <v>986143.3100000001</v>
      </c>
      <c r="AF12" s="110" t="n">
        <v>1934.74</v>
      </c>
      <c r="AG12" s="110" t="n">
        <v>10710.7</v>
      </c>
      <c r="AH12" s="110" t="n">
        <v>9105.200000000001</v>
      </c>
      <c r="AI12" s="110" t="n">
        <v>1605.5</v>
      </c>
      <c r="AJ12" s="110" t="n">
        <v>5937.18</v>
      </c>
      <c r="AK12" s="110" t="n">
        <v>5851.18</v>
      </c>
      <c r="AL12" s="110" t="n">
        <v>5808.18</v>
      </c>
      <c r="AM12" s="110" t="n">
        <v>43</v>
      </c>
      <c r="AN12" s="110" t="n">
        <v>86</v>
      </c>
      <c r="AO12" s="110" t="n">
        <v>86</v>
      </c>
      <c r="AP12" s="110" t="n">
        <v>0</v>
      </c>
      <c r="AQ12" s="110" t="n">
        <v>164644</v>
      </c>
      <c r="AR12" s="110" t="n">
        <v>159740</v>
      </c>
      <c r="AS12" s="110" t="n">
        <v>158756</v>
      </c>
      <c r="AT12" s="110" t="n">
        <v>984</v>
      </c>
      <c r="AU12" s="110" t="n">
        <v>4904</v>
      </c>
      <c r="AV12" s="110" t="n">
        <v>3838</v>
      </c>
      <c r="AW12" s="110" t="n">
        <v>1066</v>
      </c>
      <c r="AX12" s="110" t="n">
        <v>59772</v>
      </c>
      <c r="AY12" s="110" t="n">
        <v>58916</v>
      </c>
      <c r="AZ12" s="110" t="n">
        <v>58574</v>
      </c>
      <c r="BA12" s="110" t="n">
        <v>342</v>
      </c>
      <c r="BB12" s="110" t="n">
        <v>856</v>
      </c>
      <c r="BC12" s="110" t="n">
        <v>695</v>
      </c>
      <c r="BD12" s="110" t="n">
        <v>161</v>
      </c>
      <c r="BE12" s="110" t="n">
        <v>5693234.01</v>
      </c>
      <c r="BF12" s="110" t="n">
        <v>5693234.01</v>
      </c>
      <c r="BG12" s="110" t="n">
        <v>5481313.16</v>
      </c>
      <c r="BH12" s="110" t="n">
        <v>211920.85</v>
      </c>
      <c r="BI12" s="110" t="n">
        <v>0</v>
      </c>
      <c r="BJ12" s="110" t="n">
        <v>0</v>
      </c>
      <c r="BK12" s="110" t="n">
        <v>0</v>
      </c>
      <c r="BL12" s="110" t="n">
        <v>1796818.88</v>
      </c>
      <c r="BM12" s="110" t="n">
        <v>1796818.88</v>
      </c>
      <c r="BN12" s="110" t="n">
        <v>1723381.58</v>
      </c>
      <c r="BO12" s="110" t="n">
        <v>73437.3</v>
      </c>
      <c r="BP12" s="110" t="n">
        <v>0</v>
      </c>
      <c r="BQ12" s="110" t="n">
        <v>0</v>
      </c>
      <c r="BR12" s="110" t="n">
        <v>0</v>
      </c>
      <c r="BS12" s="110" t="n">
        <v>157381.63</v>
      </c>
      <c r="BT12" s="110" t="n">
        <v>157381.63</v>
      </c>
      <c r="BU12" s="110" t="n">
        <v>149127.58</v>
      </c>
      <c r="BV12" s="110" t="n">
        <v>8254.049999999999</v>
      </c>
      <c r="BW12" s="110" t="n">
        <v>0</v>
      </c>
      <c r="BX12" s="110" t="n">
        <v>0</v>
      </c>
      <c r="BY12" s="110" t="n">
        <v>0</v>
      </c>
      <c r="BZ12" s="110" t="n">
        <v>1793588</v>
      </c>
      <c r="CA12" s="110" t="n">
        <v>1793588</v>
      </c>
      <c r="CB12" s="110" t="n">
        <v>1725237</v>
      </c>
      <c r="CC12" s="110" t="n">
        <v>68351</v>
      </c>
      <c r="CD12" s="110" t="n">
        <v>0</v>
      </c>
      <c r="CE12" s="110" t="n">
        <v>0</v>
      </c>
      <c r="CF12" s="110" t="n">
        <v>0</v>
      </c>
      <c r="CG12" s="110" t="n">
        <v>1945445.5</v>
      </c>
      <c r="CH12" s="110" t="n">
        <v>1945445.5</v>
      </c>
      <c r="CI12" s="110" t="n">
        <v>1883567</v>
      </c>
      <c r="CJ12" s="110" t="n">
        <v>61878.5</v>
      </c>
      <c r="CK12" s="110" t="n">
        <v>0</v>
      </c>
      <c r="CL12" s="110" t="n">
        <v>0</v>
      </c>
      <c r="CM12" s="110" t="n">
        <v>0</v>
      </c>
      <c r="CN12" s="110" t="n">
        <v>0</v>
      </c>
      <c r="CO12" s="110" t="n">
        <v>1225927.93</v>
      </c>
      <c r="CP12" s="110" t="n">
        <v>0</v>
      </c>
      <c r="CQ12" s="110" t="n">
        <v>25</v>
      </c>
      <c r="CR12" s="110" t="n">
        <v>3189</v>
      </c>
      <c r="CS12" s="110" t="n">
        <v>0</v>
      </c>
      <c r="CT12" s="110" t="n">
        <v>0</v>
      </c>
      <c r="CU12" s="110" t="n">
        <v>0</v>
      </c>
      <c r="CV12" s="111" t="n">
        <v>2025</v>
      </c>
      <c r="CW12" s="111" t="n">
        <v>1998</v>
      </c>
      <c r="CX12" s="111" t="n">
        <v>1989</v>
      </c>
      <c r="CY12" s="111" t="n">
        <v>9</v>
      </c>
      <c r="CZ12" s="111" t="n">
        <v>27</v>
      </c>
      <c r="DA12" s="111" t="n">
        <v>25</v>
      </c>
      <c r="DB12" s="111" t="n">
        <v>2</v>
      </c>
      <c r="DC12" s="111" t="n">
        <v>2023</v>
      </c>
      <c r="DD12" s="111" t="n">
        <v>0</v>
      </c>
      <c r="DE12" s="111" t="n">
        <v>1997</v>
      </c>
      <c r="DF12" s="111" t="n">
        <v>1989</v>
      </c>
      <c r="DG12" s="111" t="n">
        <v>8</v>
      </c>
      <c r="DH12" s="111" t="n">
        <v>26</v>
      </c>
      <c r="DI12" s="111" t="n">
        <v>25</v>
      </c>
      <c r="DJ12" s="111" t="n">
        <v>1</v>
      </c>
      <c r="DK12" s="111" t="n">
        <v>0</v>
      </c>
      <c r="DL12" s="111" t="n">
        <v>0</v>
      </c>
      <c r="DM12" s="111" t="n">
        <v>0</v>
      </c>
      <c r="DN12" s="111" t="n">
        <v>0</v>
      </c>
      <c r="DO12" s="111" t="n">
        <v>0</v>
      </c>
      <c r="DP12" s="111" t="n">
        <v>0</v>
      </c>
      <c r="DQ12" s="111" t="n">
        <v>0</v>
      </c>
      <c r="DR12" s="111" t="n">
        <v>2</v>
      </c>
      <c r="DS12" s="111" t="n">
        <v>0</v>
      </c>
      <c r="DT12" s="111" t="n">
        <v>1</v>
      </c>
      <c r="DU12" s="111" t="n">
        <v>0</v>
      </c>
      <c r="DV12" s="111" t="n">
        <v>1</v>
      </c>
      <c r="DW12" s="111" t="n">
        <v>1</v>
      </c>
      <c r="DX12" s="111" t="n">
        <v>0</v>
      </c>
      <c r="DY12" s="111" t="n">
        <v>1</v>
      </c>
      <c r="DZ12" s="111" t="n">
        <v>0</v>
      </c>
      <c r="EA12" s="111" t="n">
        <v>0</v>
      </c>
      <c r="EB12" s="111" t="n">
        <v>0</v>
      </c>
      <c r="EC12" s="111" t="n">
        <v>0</v>
      </c>
      <c r="ED12" s="111" t="n">
        <v>0</v>
      </c>
      <c r="EE12" s="111" t="n">
        <v>0</v>
      </c>
      <c r="EF12" s="111" t="n">
        <v>0</v>
      </c>
      <c r="EG12" s="111" t="n">
        <v>80</v>
      </c>
      <c r="EH12" s="111" t="n">
        <v>80</v>
      </c>
      <c r="EI12" s="111" t="n">
        <v>79</v>
      </c>
      <c r="EJ12" s="111" t="n">
        <v>1</v>
      </c>
      <c r="EK12" s="111" t="n">
        <v>0</v>
      </c>
      <c r="EL12" s="111" t="n">
        <v>0</v>
      </c>
      <c r="EM12" s="111" t="n">
        <v>0</v>
      </c>
      <c r="EN12" s="111" t="n">
        <v>45</v>
      </c>
      <c r="EO12" s="111" t="n">
        <v>0</v>
      </c>
      <c r="EP12" s="111" t="n">
        <v>0</v>
      </c>
      <c r="EQ12" s="111" t="n">
        <v>45</v>
      </c>
      <c r="ER12" s="111" t="n">
        <v>0</v>
      </c>
      <c r="ES12" s="111" t="n">
        <v>0</v>
      </c>
      <c r="ET12" s="111" t="n">
        <v>0</v>
      </c>
      <c r="EU12" s="111" t="n">
        <v>0</v>
      </c>
      <c r="EV12" s="111" t="n">
        <v>0</v>
      </c>
      <c r="EW12" s="111" t="n">
        <v>0</v>
      </c>
      <c r="EX12" s="111" t="n">
        <v>0</v>
      </c>
      <c r="EY12" s="111" t="n">
        <v>0</v>
      </c>
      <c r="EZ12" s="111" t="n">
        <v>0</v>
      </c>
      <c r="FA12" s="111" t="n">
        <v>0</v>
      </c>
      <c r="FB12" s="111" t="n">
        <v>0</v>
      </c>
    </row>
    <row r="13" ht="19.5" customHeight="1" s="247">
      <c r="A13" s="107" t="n">
        <v>10</v>
      </c>
      <c r="B13" s="107" t="inlineStr">
        <is>
          <t>成人非手术</t>
        </is>
      </c>
      <c r="C13" s="107" t="inlineStr">
        <is>
          <t>全科医学科</t>
        </is>
      </c>
      <c r="D13" s="110" t="n">
        <v>2436244.25</v>
      </c>
      <c r="E13" s="110" t="n">
        <v>622677</v>
      </c>
      <c r="F13" s="110" t="n">
        <v>1813567.25</v>
      </c>
      <c r="G13" s="110" t="n">
        <v>3280</v>
      </c>
      <c r="H13" s="110" t="n">
        <v>112</v>
      </c>
      <c r="I13" s="110" t="n">
        <v>442</v>
      </c>
      <c r="J13" s="110" t="n">
        <v>0</v>
      </c>
      <c r="K13" s="110" t="n">
        <v>0</v>
      </c>
      <c r="L13" s="110" t="n">
        <v>86412.25</v>
      </c>
      <c r="M13" s="110" t="n">
        <v>46645</v>
      </c>
      <c r="N13" s="110" t="n">
        <v>129.15</v>
      </c>
      <c r="O13" s="110" t="n">
        <v>3556463.87</v>
      </c>
      <c r="P13" s="110" t="n">
        <v>2615182.32</v>
      </c>
      <c r="Q13" s="110" t="n">
        <v>2571299.57</v>
      </c>
      <c r="R13" s="110" t="n">
        <v>43882.75</v>
      </c>
      <c r="S13" s="110" t="n">
        <v>941281.55</v>
      </c>
      <c r="T13" s="110" t="n">
        <v>860156.36</v>
      </c>
      <c r="U13" s="110" t="n">
        <v>81125.19</v>
      </c>
      <c r="V13" s="110" t="n">
        <v>1337199.85</v>
      </c>
      <c r="W13" s="110" t="n">
        <v>1235124.22</v>
      </c>
      <c r="X13" s="110" t="n">
        <v>1215734.36</v>
      </c>
      <c r="Y13" s="110" t="n">
        <v>19389.86</v>
      </c>
      <c r="Z13" s="110" t="n">
        <v>102075.63</v>
      </c>
      <c r="AA13" s="110" t="n">
        <v>91752.81</v>
      </c>
      <c r="AB13" s="110" t="n">
        <v>10322.82</v>
      </c>
      <c r="AC13" s="110" t="n">
        <v>712973.85</v>
      </c>
      <c r="AD13" s="110" t="n">
        <v>675293.22</v>
      </c>
      <c r="AE13" s="110" t="n">
        <v>669067.36</v>
      </c>
      <c r="AF13" s="110" t="n">
        <v>6225.86</v>
      </c>
      <c r="AG13" s="110" t="n">
        <v>37680.63</v>
      </c>
      <c r="AH13" s="110" t="n">
        <v>36408.81</v>
      </c>
      <c r="AI13" s="110" t="n">
        <v>1271.82</v>
      </c>
      <c r="AJ13" s="110" t="n">
        <v>1549</v>
      </c>
      <c r="AK13" s="110" t="n">
        <v>1337</v>
      </c>
      <c r="AL13" s="110" t="n">
        <v>1294</v>
      </c>
      <c r="AM13" s="110" t="n">
        <v>43</v>
      </c>
      <c r="AN13" s="110" t="n">
        <v>212</v>
      </c>
      <c r="AO13" s="110" t="n">
        <v>212</v>
      </c>
      <c r="AP13" s="110" t="n">
        <v>0</v>
      </c>
      <c r="AQ13" s="110" t="n">
        <v>533811</v>
      </c>
      <c r="AR13" s="110" t="n">
        <v>477066</v>
      </c>
      <c r="AS13" s="110" t="n">
        <v>465421</v>
      </c>
      <c r="AT13" s="110" t="n">
        <v>11645</v>
      </c>
      <c r="AU13" s="110" t="n">
        <v>56745</v>
      </c>
      <c r="AV13" s="110" t="n">
        <v>48884</v>
      </c>
      <c r="AW13" s="110" t="n">
        <v>7861</v>
      </c>
      <c r="AX13" s="110" t="n">
        <v>88866</v>
      </c>
      <c r="AY13" s="110" t="n">
        <v>81428</v>
      </c>
      <c r="AZ13" s="110" t="n">
        <v>79952</v>
      </c>
      <c r="BA13" s="110" t="n">
        <v>1476</v>
      </c>
      <c r="BB13" s="110" t="n">
        <v>7438</v>
      </c>
      <c r="BC13" s="110" t="n">
        <v>6248</v>
      </c>
      <c r="BD13" s="110" t="n">
        <v>1190</v>
      </c>
      <c r="BE13" s="110" t="n">
        <v>2219264.02</v>
      </c>
      <c r="BF13" s="110" t="n">
        <v>1380058.1</v>
      </c>
      <c r="BG13" s="110" t="n">
        <v>1355565.21</v>
      </c>
      <c r="BH13" s="110" t="n">
        <v>24492.89</v>
      </c>
      <c r="BI13" s="110" t="n">
        <v>839205.92</v>
      </c>
      <c r="BJ13" s="110" t="n">
        <v>768403.55</v>
      </c>
      <c r="BK13" s="110" t="n">
        <v>70802.37</v>
      </c>
      <c r="BL13" s="110" t="n">
        <v>269274.98</v>
      </c>
      <c r="BM13" s="110" t="n">
        <v>189565.57</v>
      </c>
      <c r="BN13" s="110" t="n">
        <v>186354</v>
      </c>
      <c r="BO13" s="110" t="n">
        <v>3211.57</v>
      </c>
      <c r="BP13" s="110" t="n">
        <v>79709.41</v>
      </c>
      <c r="BQ13" s="110" t="n">
        <v>71308.74000000001</v>
      </c>
      <c r="BR13" s="110" t="n">
        <v>8400.67</v>
      </c>
      <c r="BS13" s="110" t="n">
        <v>136421.79</v>
      </c>
      <c r="BT13" s="110" t="n">
        <v>76839.28</v>
      </c>
      <c r="BU13" s="110" t="n">
        <v>76330.96000000001</v>
      </c>
      <c r="BV13" s="110" t="n">
        <v>508.32</v>
      </c>
      <c r="BW13" s="110" t="n">
        <v>59582.51</v>
      </c>
      <c r="BX13" s="110" t="n">
        <v>58132.31</v>
      </c>
      <c r="BY13" s="110" t="n">
        <v>1450.2</v>
      </c>
      <c r="BZ13" s="110" t="n">
        <v>740337</v>
      </c>
      <c r="CA13" s="110" t="n">
        <v>378704</v>
      </c>
      <c r="CB13" s="110" t="n">
        <v>376162</v>
      </c>
      <c r="CC13" s="110" t="n">
        <v>2542</v>
      </c>
      <c r="CD13" s="110" t="n">
        <v>361633</v>
      </c>
      <c r="CE13" s="110" t="n">
        <v>345654</v>
      </c>
      <c r="CF13" s="110" t="n">
        <v>15979</v>
      </c>
      <c r="CG13" s="110" t="n">
        <v>1073230.25</v>
      </c>
      <c r="CH13" s="110" t="n">
        <v>734949.25</v>
      </c>
      <c r="CI13" s="110" t="n">
        <v>716718.25</v>
      </c>
      <c r="CJ13" s="110" t="n">
        <v>18231</v>
      </c>
      <c r="CK13" s="110" t="n">
        <v>338281</v>
      </c>
      <c r="CL13" s="110" t="n">
        <v>293308.5</v>
      </c>
      <c r="CM13" s="110" t="n">
        <v>44972.5</v>
      </c>
      <c r="CN13" s="110" t="n">
        <v>0</v>
      </c>
      <c r="CO13" s="110" t="n">
        <v>1144695.13</v>
      </c>
      <c r="CP13" s="110" t="n">
        <v>162070.64</v>
      </c>
      <c r="CQ13" s="110" t="n">
        <v>5149.07</v>
      </c>
      <c r="CR13" s="110" t="n">
        <v>25285.01</v>
      </c>
      <c r="CS13" s="110" t="n">
        <v>0</v>
      </c>
      <c r="CT13" s="110" t="n">
        <v>0</v>
      </c>
      <c r="CU13" s="110" t="n">
        <v>0</v>
      </c>
      <c r="CV13" s="111" t="n">
        <v>3280</v>
      </c>
      <c r="CW13" s="111" t="n">
        <v>3003</v>
      </c>
      <c r="CX13" s="111" t="n">
        <v>2942</v>
      </c>
      <c r="CY13" s="111" t="n">
        <v>61</v>
      </c>
      <c r="CZ13" s="111" t="n">
        <v>277</v>
      </c>
      <c r="DA13" s="111" t="n">
        <v>228</v>
      </c>
      <c r="DB13" s="111" t="n">
        <v>49</v>
      </c>
      <c r="DC13" s="111" t="n">
        <v>2952</v>
      </c>
      <c r="DD13" s="111" t="n">
        <v>58</v>
      </c>
      <c r="DE13" s="111" t="n">
        <v>2710</v>
      </c>
      <c r="DF13" s="111" t="n">
        <v>2662</v>
      </c>
      <c r="DG13" s="111" t="n">
        <v>48</v>
      </c>
      <c r="DH13" s="111" t="n">
        <v>242</v>
      </c>
      <c r="DI13" s="111" t="n">
        <v>196</v>
      </c>
      <c r="DJ13" s="111" t="n">
        <v>46</v>
      </c>
      <c r="DK13" s="111" t="n">
        <v>241</v>
      </c>
      <c r="DL13" s="111" t="n">
        <v>212</v>
      </c>
      <c r="DM13" s="111" t="n">
        <v>209</v>
      </c>
      <c r="DN13" s="111" t="n">
        <v>3</v>
      </c>
      <c r="DO13" s="111" t="n">
        <v>29</v>
      </c>
      <c r="DP13" s="111" t="n">
        <v>28</v>
      </c>
      <c r="DQ13" s="111" t="n">
        <v>1</v>
      </c>
      <c r="DR13" s="111" t="n">
        <v>29</v>
      </c>
      <c r="DS13" s="111" t="n">
        <v>0</v>
      </c>
      <c r="DT13" s="111" t="n">
        <v>28</v>
      </c>
      <c r="DU13" s="111" t="n">
        <v>27</v>
      </c>
      <c r="DV13" s="111" t="n">
        <v>1</v>
      </c>
      <c r="DW13" s="111" t="n">
        <v>1</v>
      </c>
      <c r="DX13" s="111" t="n">
        <v>1</v>
      </c>
      <c r="DY13" s="111" t="n">
        <v>0</v>
      </c>
      <c r="DZ13" s="111" t="n">
        <v>0</v>
      </c>
      <c r="EA13" s="111" t="n">
        <v>0</v>
      </c>
      <c r="EB13" s="111" t="n">
        <v>0</v>
      </c>
      <c r="EC13" s="111" t="n">
        <v>0</v>
      </c>
      <c r="ED13" s="111" t="n">
        <v>0</v>
      </c>
      <c r="EE13" s="111" t="n">
        <v>0</v>
      </c>
      <c r="EF13" s="111" t="n">
        <v>0</v>
      </c>
      <c r="EG13" s="111" t="n">
        <v>112</v>
      </c>
      <c r="EH13" s="111" t="n">
        <v>67</v>
      </c>
      <c r="EI13" s="111" t="n">
        <v>65</v>
      </c>
      <c r="EJ13" s="111" t="n">
        <v>2</v>
      </c>
      <c r="EK13" s="111" t="n">
        <v>45</v>
      </c>
      <c r="EL13" s="111" t="n">
        <v>43</v>
      </c>
      <c r="EM13" s="111" t="n">
        <v>2</v>
      </c>
      <c r="EN13" s="111" t="n">
        <v>11</v>
      </c>
      <c r="EO13" s="111" t="n">
        <v>0</v>
      </c>
      <c r="EP13" s="111" t="n">
        <v>0</v>
      </c>
      <c r="EQ13" s="111" t="n">
        <v>11</v>
      </c>
      <c r="ER13" s="111" t="n">
        <v>0</v>
      </c>
      <c r="ES13" s="111" t="n">
        <v>0</v>
      </c>
      <c r="ET13" s="111" t="n">
        <v>0</v>
      </c>
      <c r="EU13" s="111" t="n">
        <v>0</v>
      </c>
      <c r="EV13" s="111" t="n">
        <v>0</v>
      </c>
      <c r="EW13" s="111" t="n">
        <v>0</v>
      </c>
      <c r="EX13" s="111" t="n">
        <v>0</v>
      </c>
      <c r="EY13" s="111" t="n">
        <v>0</v>
      </c>
      <c r="EZ13" s="111" t="n">
        <v>0</v>
      </c>
      <c r="FA13" s="111" t="n">
        <v>0</v>
      </c>
      <c r="FB13" s="111" t="n">
        <v>0</v>
      </c>
    </row>
    <row r="14" ht="19.5" customHeight="1" s="247">
      <c r="A14" s="107" t="n">
        <v>11</v>
      </c>
      <c r="B14" s="107" t="inlineStr">
        <is>
          <t>成人手术</t>
        </is>
      </c>
      <c r="C14" s="107" t="inlineStr">
        <is>
          <t>普外科</t>
        </is>
      </c>
      <c r="D14" s="110" t="n">
        <v>15156262.25</v>
      </c>
      <c r="E14" s="110" t="n">
        <v>2647631</v>
      </c>
      <c r="F14" s="110" t="n">
        <v>12508631.25</v>
      </c>
      <c r="G14" s="110" t="n">
        <v>11567</v>
      </c>
      <c r="H14" s="110" t="n">
        <v>1090</v>
      </c>
      <c r="I14" s="110" t="n">
        <v>185514</v>
      </c>
      <c r="J14" s="110" t="n">
        <v>136076</v>
      </c>
      <c r="K14" s="110" t="n">
        <v>45</v>
      </c>
      <c r="L14" s="110" t="n">
        <v>911564.25</v>
      </c>
      <c r="M14" s="110" t="n">
        <v>3927381.5</v>
      </c>
      <c r="N14" s="110" t="n">
        <v>2167.5</v>
      </c>
      <c r="O14" s="110" t="n">
        <v>30993485.44</v>
      </c>
      <c r="P14" s="110" t="n">
        <v>20694946.88</v>
      </c>
      <c r="Q14" s="110" t="n">
        <v>19903232.56</v>
      </c>
      <c r="R14" s="110" t="n">
        <v>791714.3199999999</v>
      </c>
      <c r="S14" s="110" t="n">
        <v>10298538.56</v>
      </c>
      <c r="T14" s="110" t="n">
        <v>9972803.810000001</v>
      </c>
      <c r="U14" s="110" t="n">
        <v>325734.75</v>
      </c>
      <c r="V14" s="110" t="n">
        <v>4240925.11</v>
      </c>
      <c r="W14" s="110" t="n">
        <v>3345677.01</v>
      </c>
      <c r="X14" s="110" t="n">
        <v>3206041.51</v>
      </c>
      <c r="Y14" s="110" t="n">
        <v>139635.5</v>
      </c>
      <c r="Z14" s="110" t="n">
        <v>895248.1</v>
      </c>
      <c r="AA14" s="110" t="n">
        <v>676621.11</v>
      </c>
      <c r="AB14" s="110" t="n">
        <v>218626.99</v>
      </c>
      <c r="AC14" s="110" t="n">
        <v>1132111</v>
      </c>
      <c r="AD14" s="110" t="n">
        <v>848573.45</v>
      </c>
      <c r="AE14" s="110" t="n">
        <v>824101.8199999999</v>
      </c>
      <c r="AF14" s="110" t="n">
        <v>24471.63</v>
      </c>
      <c r="AG14" s="110" t="n">
        <v>283537.55</v>
      </c>
      <c r="AH14" s="110" t="n">
        <v>240384.11</v>
      </c>
      <c r="AI14" s="110" t="n">
        <v>43153.44</v>
      </c>
      <c r="AJ14" s="110" t="n">
        <v>461183.11</v>
      </c>
      <c r="AK14" s="110" t="n">
        <v>406888.56</v>
      </c>
      <c r="AL14" s="110" t="n">
        <v>393337.69</v>
      </c>
      <c r="AM14" s="110" t="n">
        <v>13550.87</v>
      </c>
      <c r="AN14" s="110" t="n">
        <v>54294.55</v>
      </c>
      <c r="AO14" s="110" t="n">
        <v>38841</v>
      </c>
      <c r="AP14" s="110" t="n">
        <v>15453.55</v>
      </c>
      <c r="AQ14" s="110" t="n">
        <v>1910274</v>
      </c>
      <c r="AR14" s="110" t="n">
        <v>1475413</v>
      </c>
      <c r="AS14" s="110" t="n">
        <v>1405170</v>
      </c>
      <c r="AT14" s="110" t="n">
        <v>70243</v>
      </c>
      <c r="AU14" s="110" t="n">
        <v>434861</v>
      </c>
      <c r="AV14" s="110" t="n">
        <v>319090</v>
      </c>
      <c r="AW14" s="110" t="n">
        <v>115771</v>
      </c>
      <c r="AX14" s="110" t="n">
        <v>737357</v>
      </c>
      <c r="AY14" s="110" t="n">
        <v>614802</v>
      </c>
      <c r="AZ14" s="110" t="n">
        <v>583432</v>
      </c>
      <c r="BA14" s="110" t="n">
        <v>31370</v>
      </c>
      <c r="BB14" s="110" t="n">
        <v>122555</v>
      </c>
      <c r="BC14" s="110" t="n">
        <v>78306</v>
      </c>
      <c r="BD14" s="110" t="n">
        <v>44249</v>
      </c>
      <c r="BE14" s="110" t="n">
        <v>26752560.33</v>
      </c>
      <c r="BF14" s="110" t="n">
        <v>17349269.87</v>
      </c>
      <c r="BG14" s="110" t="n">
        <v>16697191.05</v>
      </c>
      <c r="BH14" s="110" t="n">
        <v>652078.8199999999</v>
      </c>
      <c r="BI14" s="110" t="n">
        <v>9403290.460000001</v>
      </c>
      <c r="BJ14" s="110" t="n">
        <v>9296182.699999999</v>
      </c>
      <c r="BK14" s="110" t="n">
        <v>107107.76</v>
      </c>
      <c r="BL14" s="110" t="n">
        <v>4709261.78</v>
      </c>
      <c r="BM14" s="110" t="n">
        <v>2931038.35</v>
      </c>
      <c r="BN14" s="110" t="n">
        <v>2841117.9</v>
      </c>
      <c r="BO14" s="110" t="n">
        <v>89920.45</v>
      </c>
      <c r="BP14" s="110" t="n">
        <v>1778223.43</v>
      </c>
      <c r="BQ14" s="110" t="n">
        <v>1756727.59</v>
      </c>
      <c r="BR14" s="110" t="n">
        <v>21495.84</v>
      </c>
      <c r="BS14" s="110" t="n">
        <v>9534667.300000001</v>
      </c>
      <c r="BT14" s="110" t="n">
        <v>6359459.02</v>
      </c>
      <c r="BU14" s="110" t="n">
        <v>6161297.65</v>
      </c>
      <c r="BV14" s="110" t="n">
        <v>198161.37</v>
      </c>
      <c r="BW14" s="110" t="n">
        <v>3175208.28</v>
      </c>
      <c r="BX14" s="110" t="n">
        <v>3139946.11</v>
      </c>
      <c r="BY14" s="110" t="n">
        <v>35262.17</v>
      </c>
      <c r="BZ14" s="110" t="n">
        <v>4526843</v>
      </c>
      <c r="CA14" s="110" t="n">
        <v>2707625</v>
      </c>
      <c r="CB14" s="110" t="n">
        <v>2621419</v>
      </c>
      <c r="CC14" s="110" t="n">
        <v>86206</v>
      </c>
      <c r="CD14" s="110" t="n">
        <v>1819218</v>
      </c>
      <c r="CE14" s="110" t="n">
        <v>1796747</v>
      </c>
      <c r="CF14" s="110" t="n">
        <v>22471</v>
      </c>
      <c r="CG14" s="110" t="n">
        <v>7981788.25</v>
      </c>
      <c r="CH14" s="110" t="n">
        <v>5351147.5</v>
      </c>
      <c r="CI14" s="110" t="n">
        <v>5073356.5</v>
      </c>
      <c r="CJ14" s="110" t="n">
        <v>277791</v>
      </c>
      <c r="CK14" s="110" t="n">
        <v>2630640.75</v>
      </c>
      <c r="CL14" s="110" t="n">
        <v>2602762</v>
      </c>
      <c r="CM14" s="110" t="n">
        <v>27878.75</v>
      </c>
      <c r="CN14" s="110" t="n">
        <v>1147547.25</v>
      </c>
      <c r="CO14" s="110" t="n">
        <v>1449234.08</v>
      </c>
      <c r="CP14" s="110" t="n">
        <v>1027895.57</v>
      </c>
      <c r="CQ14" s="110" t="n">
        <v>533761.7</v>
      </c>
      <c r="CR14" s="110" t="n">
        <v>82536.50999999999</v>
      </c>
      <c r="CS14" s="110" t="n">
        <v>0</v>
      </c>
      <c r="CT14" s="110" t="n">
        <v>260282.86</v>
      </c>
      <c r="CU14" s="110" t="n">
        <v>0</v>
      </c>
      <c r="CV14" s="111" t="n">
        <v>11567</v>
      </c>
      <c r="CW14" s="111" t="n">
        <v>9553</v>
      </c>
      <c r="CX14" s="111" t="n">
        <v>9098</v>
      </c>
      <c r="CY14" s="111" t="n">
        <v>455</v>
      </c>
      <c r="CZ14" s="111" t="n">
        <v>2014</v>
      </c>
      <c r="DA14" s="111" t="n">
        <v>1402</v>
      </c>
      <c r="DB14" s="111" t="n">
        <v>612</v>
      </c>
      <c r="DC14" s="111" t="n">
        <v>5646</v>
      </c>
      <c r="DD14" s="111" t="n">
        <v>23</v>
      </c>
      <c r="DE14" s="111" t="n">
        <v>4799</v>
      </c>
      <c r="DF14" s="111" t="n">
        <v>4559</v>
      </c>
      <c r="DG14" s="111" t="n">
        <v>240</v>
      </c>
      <c r="DH14" s="111" t="n">
        <v>847</v>
      </c>
      <c r="DI14" s="111" t="n">
        <v>585</v>
      </c>
      <c r="DJ14" s="111" t="n">
        <v>262</v>
      </c>
      <c r="DK14" s="111" t="n">
        <v>3010</v>
      </c>
      <c r="DL14" s="111" t="n">
        <v>2365</v>
      </c>
      <c r="DM14" s="111" t="n">
        <v>2261</v>
      </c>
      <c r="DN14" s="111" t="n">
        <v>104</v>
      </c>
      <c r="DO14" s="111" t="n">
        <v>645</v>
      </c>
      <c r="DP14" s="111" t="n">
        <v>454</v>
      </c>
      <c r="DQ14" s="111" t="n">
        <v>191</v>
      </c>
      <c r="DR14" s="111" t="n">
        <v>122</v>
      </c>
      <c r="DS14" s="111" t="n">
        <v>0</v>
      </c>
      <c r="DT14" s="111" t="n">
        <v>83</v>
      </c>
      <c r="DU14" s="111" t="n">
        <v>75</v>
      </c>
      <c r="DV14" s="111" t="n">
        <v>8</v>
      </c>
      <c r="DW14" s="111" t="n">
        <v>39</v>
      </c>
      <c r="DX14" s="111" t="n">
        <v>24</v>
      </c>
      <c r="DY14" s="111" t="n">
        <v>15</v>
      </c>
      <c r="DZ14" s="111" t="n">
        <v>2766</v>
      </c>
      <c r="EA14" s="111" t="n">
        <v>2285</v>
      </c>
      <c r="EB14" s="111" t="n">
        <v>2182</v>
      </c>
      <c r="EC14" s="111" t="n">
        <v>103</v>
      </c>
      <c r="ED14" s="111" t="n">
        <v>481</v>
      </c>
      <c r="EE14" s="111" t="n">
        <v>339</v>
      </c>
      <c r="EF14" s="111" t="n">
        <v>142</v>
      </c>
      <c r="EG14" s="111" t="n">
        <v>1090</v>
      </c>
      <c r="EH14" s="111" t="n">
        <v>750</v>
      </c>
      <c r="EI14" s="111" t="n">
        <v>721</v>
      </c>
      <c r="EJ14" s="111" t="n">
        <v>29</v>
      </c>
      <c r="EK14" s="111" t="n">
        <v>340</v>
      </c>
      <c r="EL14" s="111" t="n">
        <v>337</v>
      </c>
      <c r="EM14" s="111" t="n">
        <v>3</v>
      </c>
      <c r="EN14" s="111" t="n">
        <v>948</v>
      </c>
      <c r="EO14" s="111" t="n">
        <v>719</v>
      </c>
      <c r="EP14" s="111" t="n">
        <v>0</v>
      </c>
      <c r="EQ14" s="111" t="n">
        <v>229</v>
      </c>
      <c r="ER14" s="111" t="n">
        <v>409</v>
      </c>
      <c r="ES14" s="111" t="n">
        <v>0</v>
      </c>
      <c r="ET14" s="111" t="n">
        <v>0</v>
      </c>
      <c r="EU14" s="111" t="n">
        <v>288</v>
      </c>
      <c r="EV14" s="111" t="n">
        <v>234</v>
      </c>
      <c r="EW14" s="111" t="n">
        <v>0</v>
      </c>
      <c r="EX14" s="111" t="n">
        <v>54</v>
      </c>
      <c r="EY14" s="111" t="n">
        <v>201</v>
      </c>
      <c r="EZ14" s="111" t="n">
        <v>201</v>
      </c>
      <c r="FA14" s="111" t="n">
        <v>0</v>
      </c>
      <c r="FB14" s="111" t="n">
        <v>391</v>
      </c>
    </row>
    <row r="15" ht="19.5" customHeight="1" s="247">
      <c r="A15" s="107" t="n">
        <v>12</v>
      </c>
      <c r="B15" s="107" t="inlineStr">
        <is>
          <t>成人手术</t>
        </is>
      </c>
      <c r="C15" s="107" t="inlineStr">
        <is>
          <t>神经外科</t>
        </is>
      </c>
      <c r="D15" s="110" t="n">
        <v>9739809.25</v>
      </c>
      <c r="E15" s="110" t="n">
        <v>546218</v>
      </c>
      <c r="F15" s="110" t="n">
        <v>9193591.25</v>
      </c>
      <c r="G15" s="110" t="n">
        <v>2789</v>
      </c>
      <c r="H15" s="110" t="n">
        <v>588</v>
      </c>
      <c r="I15" s="110" t="n">
        <v>316</v>
      </c>
      <c r="J15" s="110" t="n">
        <v>0</v>
      </c>
      <c r="K15" s="110" t="n">
        <v>0</v>
      </c>
      <c r="L15" s="110" t="n">
        <v>666722.5</v>
      </c>
      <c r="M15" s="110" t="n">
        <v>2726276.25</v>
      </c>
      <c r="N15" s="110" t="n">
        <v>0</v>
      </c>
      <c r="O15" s="110" t="n">
        <v>36575367.11</v>
      </c>
      <c r="P15" s="110" t="n">
        <v>19813626.47</v>
      </c>
      <c r="Q15" s="110" t="n">
        <v>18934585.46</v>
      </c>
      <c r="R15" s="110" t="n">
        <v>879041.01</v>
      </c>
      <c r="S15" s="110" t="n">
        <v>16761740.64</v>
      </c>
      <c r="T15" s="110" t="n">
        <v>16654069.65</v>
      </c>
      <c r="U15" s="110" t="n">
        <v>107670.99</v>
      </c>
      <c r="V15" s="110" t="n">
        <v>851805.58</v>
      </c>
      <c r="W15" s="110" t="n">
        <v>677847.95</v>
      </c>
      <c r="X15" s="110" t="n">
        <v>621501.24</v>
      </c>
      <c r="Y15" s="110" t="n">
        <v>56346.71</v>
      </c>
      <c r="Z15" s="110" t="n">
        <v>173957.63</v>
      </c>
      <c r="AA15" s="110" t="n">
        <v>112742.8</v>
      </c>
      <c r="AB15" s="110" t="n">
        <v>61214.83</v>
      </c>
      <c r="AC15" s="110" t="n">
        <v>295413.58</v>
      </c>
      <c r="AD15" s="110" t="n">
        <v>249778.95</v>
      </c>
      <c r="AE15" s="110" t="n">
        <v>234809.24</v>
      </c>
      <c r="AF15" s="110" t="n">
        <v>14969.71</v>
      </c>
      <c r="AG15" s="110" t="n">
        <v>45634.63</v>
      </c>
      <c r="AH15" s="110" t="n">
        <v>33994.8</v>
      </c>
      <c r="AI15" s="110" t="n">
        <v>11639.83</v>
      </c>
      <c r="AJ15" s="110" t="n">
        <v>10174</v>
      </c>
      <c r="AK15" s="110" t="n">
        <v>8411</v>
      </c>
      <c r="AL15" s="110" t="n">
        <v>7938</v>
      </c>
      <c r="AM15" s="110" t="n">
        <v>473</v>
      </c>
      <c r="AN15" s="110" t="n">
        <v>1763</v>
      </c>
      <c r="AO15" s="110" t="n">
        <v>989</v>
      </c>
      <c r="AP15" s="110" t="n">
        <v>774</v>
      </c>
      <c r="AQ15" s="110" t="n">
        <v>436952</v>
      </c>
      <c r="AR15" s="110" t="n">
        <v>348015</v>
      </c>
      <c r="AS15" s="110" t="n">
        <v>313922</v>
      </c>
      <c r="AT15" s="110" t="n">
        <v>34093</v>
      </c>
      <c r="AU15" s="110" t="n">
        <v>88937</v>
      </c>
      <c r="AV15" s="110" t="n">
        <v>54208</v>
      </c>
      <c r="AW15" s="110" t="n">
        <v>34729</v>
      </c>
      <c r="AX15" s="110" t="n">
        <v>109266</v>
      </c>
      <c r="AY15" s="110" t="n">
        <v>71643</v>
      </c>
      <c r="AZ15" s="110" t="n">
        <v>64832</v>
      </c>
      <c r="BA15" s="110" t="n">
        <v>6811</v>
      </c>
      <c r="BB15" s="110" t="n">
        <v>37623</v>
      </c>
      <c r="BC15" s="110" t="n">
        <v>23551</v>
      </c>
      <c r="BD15" s="110" t="n">
        <v>14072</v>
      </c>
      <c r="BE15" s="110" t="n">
        <v>35723561.53</v>
      </c>
      <c r="BF15" s="110" t="n">
        <v>19135778.52</v>
      </c>
      <c r="BG15" s="110" t="n">
        <v>18313084.22</v>
      </c>
      <c r="BH15" s="110" t="n">
        <v>822694.3</v>
      </c>
      <c r="BI15" s="110" t="n">
        <v>16587783.01</v>
      </c>
      <c r="BJ15" s="110" t="n">
        <v>16541326.85</v>
      </c>
      <c r="BK15" s="110" t="n">
        <v>46456.16</v>
      </c>
      <c r="BL15" s="110" t="n">
        <v>3575350.84</v>
      </c>
      <c r="BM15" s="110" t="n">
        <v>1772766.73</v>
      </c>
      <c r="BN15" s="110" t="n">
        <v>1660095.65</v>
      </c>
      <c r="BO15" s="110" t="n">
        <v>112671.08</v>
      </c>
      <c r="BP15" s="110" t="n">
        <v>1802584.11</v>
      </c>
      <c r="BQ15" s="110" t="n">
        <v>1800882.93</v>
      </c>
      <c r="BR15" s="110" t="n">
        <v>1701.18</v>
      </c>
      <c r="BS15" s="110" t="n">
        <v>22954619.44</v>
      </c>
      <c r="BT15" s="110" t="n">
        <v>13012274.79</v>
      </c>
      <c r="BU15" s="110" t="n">
        <v>12619668.82</v>
      </c>
      <c r="BV15" s="110" t="n">
        <v>392605.97</v>
      </c>
      <c r="BW15" s="110" t="n">
        <v>9942344.65</v>
      </c>
      <c r="BX15" s="110" t="n">
        <v>9921519.67</v>
      </c>
      <c r="BY15" s="110" t="n">
        <v>20824.98</v>
      </c>
      <c r="BZ15" s="110" t="n">
        <v>3570783</v>
      </c>
      <c r="CA15" s="110" t="n">
        <v>1728856</v>
      </c>
      <c r="CB15" s="110" t="n">
        <v>1626190</v>
      </c>
      <c r="CC15" s="110" t="n">
        <v>102666</v>
      </c>
      <c r="CD15" s="110" t="n">
        <v>1841927</v>
      </c>
      <c r="CE15" s="110" t="n">
        <v>1839054</v>
      </c>
      <c r="CF15" s="110" t="n">
        <v>2873</v>
      </c>
      <c r="CG15" s="110" t="n">
        <v>5622808.25</v>
      </c>
      <c r="CH15" s="110" t="n">
        <v>2621881</v>
      </c>
      <c r="CI15" s="110" t="n">
        <v>2407129.75</v>
      </c>
      <c r="CJ15" s="110" t="n">
        <v>214751.25</v>
      </c>
      <c r="CK15" s="110" t="n">
        <v>3000927.25</v>
      </c>
      <c r="CL15" s="110" t="n">
        <v>2979870.25</v>
      </c>
      <c r="CM15" s="110" t="n">
        <v>21057</v>
      </c>
      <c r="CN15" s="110" t="n">
        <v>0</v>
      </c>
      <c r="CO15" s="110" t="n">
        <v>470210.91</v>
      </c>
      <c r="CP15" s="110" t="n">
        <v>307264.94</v>
      </c>
      <c r="CQ15" s="110" t="n">
        <v>48518.82</v>
      </c>
      <c r="CR15" s="110" t="n">
        <v>25810.91</v>
      </c>
      <c r="CS15" s="110" t="n">
        <v>0</v>
      </c>
      <c r="CT15" s="110" t="n">
        <v>216953.1</v>
      </c>
      <c r="CU15" s="110" t="n">
        <v>0</v>
      </c>
      <c r="CV15" s="111" t="n">
        <v>2789</v>
      </c>
      <c r="CW15" s="111" t="n">
        <v>2083</v>
      </c>
      <c r="CX15" s="111" t="n">
        <v>1891</v>
      </c>
      <c r="CY15" s="111" t="n">
        <v>192</v>
      </c>
      <c r="CZ15" s="111" t="n">
        <v>706</v>
      </c>
      <c r="DA15" s="111" t="n">
        <v>438</v>
      </c>
      <c r="DB15" s="111" t="n">
        <v>268</v>
      </c>
      <c r="DC15" s="111" t="n">
        <v>1580</v>
      </c>
      <c r="DD15" s="111" t="n">
        <v>16</v>
      </c>
      <c r="DE15" s="111" t="n">
        <v>1303</v>
      </c>
      <c r="DF15" s="111" t="n">
        <v>1178</v>
      </c>
      <c r="DG15" s="111" t="n">
        <v>125</v>
      </c>
      <c r="DH15" s="111" t="n">
        <v>277</v>
      </c>
      <c r="DI15" s="111" t="n">
        <v>167</v>
      </c>
      <c r="DJ15" s="111" t="n">
        <v>110</v>
      </c>
      <c r="DK15" s="111" t="n">
        <v>1133</v>
      </c>
      <c r="DL15" s="111" t="n">
        <v>753</v>
      </c>
      <c r="DM15" s="111" t="n">
        <v>689</v>
      </c>
      <c r="DN15" s="111" t="n">
        <v>64</v>
      </c>
      <c r="DO15" s="111" t="n">
        <v>380</v>
      </c>
      <c r="DP15" s="111" t="n">
        <v>241</v>
      </c>
      <c r="DQ15" s="111" t="n">
        <v>139</v>
      </c>
      <c r="DR15" s="111" t="n">
        <v>60</v>
      </c>
      <c r="DS15" s="111" t="n">
        <v>0</v>
      </c>
      <c r="DT15" s="111" t="n">
        <v>13</v>
      </c>
      <c r="DU15" s="111" t="n">
        <v>11</v>
      </c>
      <c r="DV15" s="111" t="n">
        <v>2</v>
      </c>
      <c r="DW15" s="111" t="n">
        <v>47</v>
      </c>
      <c r="DX15" s="111" t="n">
        <v>30</v>
      </c>
      <c r="DY15" s="111" t="n">
        <v>17</v>
      </c>
      <c r="DZ15" s="111" t="n">
        <v>0</v>
      </c>
      <c r="EA15" s="111" t="n">
        <v>0</v>
      </c>
      <c r="EB15" s="111" t="n">
        <v>0</v>
      </c>
      <c r="EC15" s="111" t="n">
        <v>0</v>
      </c>
      <c r="ED15" s="111" t="n">
        <v>0</v>
      </c>
      <c r="EE15" s="111" t="n">
        <v>0</v>
      </c>
      <c r="EF15" s="111" t="n">
        <v>0</v>
      </c>
      <c r="EG15" s="111" t="n">
        <v>588</v>
      </c>
      <c r="EH15" s="111" t="n">
        <v>316</v>
      </c>
      <c r="EI15" s="111" t="n">
        <v>296</v>
      </c>
      <c r="EJ15" s="111" t="n">
        <v>20</v>
      </c>
      <c r="EK15" s="111" t="n">
        <v>272</v>
      </c>
      <c r="EL15" s="111" t="n">
        <v>270</v>
      </c>
      <c r="EM15" s="111" t="n">
        <v>2</v>
      </c>
      <c r="EN15" s="111" t="n">
        <v>526</v>
      </c>
      <c r="EO15" s="111" t="n">
        <v>225</v>
      </c>
      <c r="EP15" s="111" t="n">
        <v>191</v>
      </c>
      <c r="EQ15" s="111" t="n">
        <v>110</v>
      </c>
      <c r="ER15" s="111" t="n">
        <v>107</v>
      </c>
      <c r="ES15" s="111" t="n">
        <v>0</v>
      </c>
      <c r="ET15" s="111" t="n">
        <v>0</v>
      </c>
      <c r="EU15" s="111" t="n">
        <v>96</v>
      </c>
      <c r="EV15" s="111" t="n">
        <v>71</v>
      </c>
      <c r="EW15" s="111" t="n">
        <v>10</v>
      </c>
      <c r="EX15" s="111" t="n">
        <v>15</v>
      </c>
      <c r="EY15" s="111" t="n">
        <v>291</v>
      </c>
      <c r="EZ15" s="111" t="n">
        <v>110</v>
      </c>
      <c r="FA15" s="111" t="n">
        <v>181</v>
      </c>
      <c r="FB15" s="111" t="n">
        <v>219</v>
      </c>
    </row>
    <row r="16" ht="19.5" customHeight="1" s="247">
      <c r="A16" s="107" t="n">
        <v>13</v>
      </c>
      <c r="B16" s="107" t="inlineStr">
        <is>
          <t>成人手术</t>
        </is>
      </c>
      <c r="C16" s="107" t="inlineStr">
        <is>
          <t>骨科</t>
        </is>
      </c>
      <c r="D16" s="110" t="n">
        <v>14260931.65</v>
      </c>
      <c r="E16" s="110" t="n">
        <v>3366047</v>
      </c>
      <c r="F16" s="110" t="n">
        <v>10894884.65</v>
      </c>
      <c r="G16" s="110" t="n">
        <v>18684</v>
      </c>
      <c r="H16" s="110" t="n">
        <v>851</v>
      </c>
      <c r="I16" s="110" t="n">
        <v>83694</v>
      </c>
      <c r="J16" s="110" t="n">
        <v>54024</v>
      </c>
      <c r="K16" s="110" t="n">
        <v>0</v>
      </c>
      <c r="L16" s="110" t="n">
        <v>974294.4</v>
      </c>
      <c r="M16" s="110" t="n">
        <v>5150099.25</v>
      </c>
      <c r="N16" s="110" t="n">
        <v>0</v>
      </c>
      <c r="O16" s="110" t="n">
        <v>42092461.01</v>
      </c>
      <c r="P16" s="110" t="n">
        <v>32006967.83</v>
      </c>
      <c r="Q16" s="110" t="n">
        <v>25979513.25</v>
      </c>
      <c r="R16" s="110" t="n">
        <v>6027454.58</v>
      </c>
      <c r="S16" s="110" t="n">
        <v>10085493.18</v>
      </c>
      <c r="T16" s="110" t="n">
        <v>9244114.35</v>
      </c>
      <c r="U16" s="110" t="n">
        <v>841378.83</v>
      </c>
      <c r="V16" s="110" t="n">
        <v>6763344.98</v>
      </c>
      <c r="W16" s="110" t="n">
        <v>5771972.19</v>
      </c>
      <c r="X16" s="110" t="n">
        <v>4660272.27</v>
      </c>
      <c r="Y16" s="110" t="n">
        <v>1111699.92</v>
      </c>
      <c r="Z16" s="110" t="n">
        <v>991372.79</v>
      </c>
      <c r="AA16" s="110" t="n">
        <v>450958.26</v>
      </c>
      <c r="AB16" s="110" t="n">
        <v>540414.53</v>
      </c>
      <c r="AC16" s="110" t="n">
        <v>2255123.78</v>
      </c>
      <c r="AD16" s="110" t="n">
        <v>1962459.96</v>
      </c>
      <c r="AE16" s="110" t="n">
        <v>1696447.87</v>
      </c>
      <c r="AF16" s="110" t="n">
        <v>266012.09</v>
      </c>
      <c r="AG16" s="110" t="n">
        <v>292663.82</v>
      </c>
      <c r="AH16" s="110" t="n">
        <v>147812.87</v>
      </c>
      <c r="AI16" s="110" t="n">
        <v>144850.95</v>
      </c>
      <c r="AJ16" s="110" t="n">
        <v>1142174.2</v>
      </c>
      <c r="AK16" s="110" t="n">
        <v>993271.73</v>
      </c>
      <c r="AL16" s="110" t="n">
        <v>685737.4</v>
      </c>
      <c r="AM16" s="110" t="n">
        <v>307534.33</v>
      </c>
      <c r="AN16" s="110" t="n">
        <v>148902.47</v>
      </c>
      <c r="AO16" s="110" t="n">
        <v>49327.39</v>
      </c>
      <c r="AP16" s="110" t="n">
        <v>99575.08</v>
      </c>
      <c r="AQ16" s="110" t="n">
        <v>2542934</v>
      </c>
      <c r="AR16" s="110" t="n">
        <v>2163218</v>
      </c>
      <c r="AS16" s="110" t="n">
        <v>1741448</v>
      </c>
      <c r="AT16" s="110" t="n">
        <v>421770</v>
      </c>
      <c r="AU16" s="110" t="n">
        <v>379716</v>
      </c>
      <c r="AV16" s="110" t="n">
        <v>174197</v>
      </c>
      <c r="AW16" s="110" t="n">
        <v>205519</v>
      </c>
      <c r="AX16" s="110" t="n">
        <v>823113</v>
      </c>
      <c r="AY16" s="110" t="n">
        <v>653022.5</v>
      </c>
      <c r="AZ16" s="110" t="n">
        <v>536639</v>
      </c>
      <c r="BA16" s="110" t="n">
        <v>116383.5</v>
      </c>
      <c r="BB16" s="110" t="n">
        <v>170090.5</v>
      </c>
      <c r="BC16" s="110" t="n">
        <v>79621</v>
      </c>
      <c r="BD16" s="110" t="n">
        <v>90469.5</v>
      </c>
      <c r="BE16" s="110" t="n">
        <v>35329116.03</v>
      </c>
      <c r="BF16" s="110" t="n">
        <v>26234995.64</v>
      </c>
      <c r="BG16" s="110" t="n">
        <v>21319240.98</v>
      </c>
      <c r="BH16" s="110" t="n">
        <v>4915754.66</v>
      </c>
      <c r="BI16" s="110" t="n">
        <v>9094120.390000001</v>
      </c>
      <c r="BJ16" s="110" t="n">
        <v>8793156.09</v>
      </c>
      <c r="BK16" s="110" t="n">
        <v>300964.3</v>
      </c>
      <c r="BL16" s="110" t="n">
        <v>2988956.11</v>
      </c>
      <c r="BM16" s="110" t="n">
        <v>2211888.58</v>
      </c>
      <c r="BN16" s="110" t="n">
        <v>1829695.92</v>
      </c>
      <c r="BO16" s="110" t="n">
        <v>382192.66</v>
      </c>
      <c r="BP16" s="110" t="n">
        <v>777067.53</v>
      </c>
      <c r="BQ16" s="110" t="n">
        <v>749038.6899999999</v>
      </c>
      <c r="BR16" s="110" t="n">
        <v>28028.84</v>
      </c>
      <c r="BS16" s="110" t="n">
        <v>21445275.27</v>
      </c>
      <c r="BT16" s="110" t="n">
        <v>15940617.06</v>
      </c>
      <c r="BU16" s="110" t="n">
        <v>12783454.31</v>
      </c>
      <c r="BV16" s="110" t="n">
        <v>3157162.75</v>
      </c>
      <c r="BW16" s="110" t="n">
        <v>5504658.21</v>
      </c>
      <c r="BX16" s="110" t="n">
        <v>5328108</v>
      </c>
      <c r="BY16" s="110" t="n">
        <v>176550.21</v>
      </c>
      <c r="BZ16" s="110" t="n">
        <v>2349715</v>
      </c>
      <c r="CA16" s="110" t="n">
        <v>1743882</v>
      </c>
      <c r="CB16" s="110" t="n">
        <v>1468071</v>
      </c>
      <c r="CC16" s="110" t="n">
        <v>275811</v>
      </c>
      <c r="CD16" s="110" t="n">
        <v>605833</v>
      </c>
      <c r="CE16" s="110" t="n">
        <v>586019</v>
      </c>
      <c r="CF16" s="110" t="n">
        <v>19814</v>
      </c>
      <c r="CG16" s="110" t="n">
        <v>8545169.65</v>
      </c>
      <c r="CH16" s="110" t="n">
        <v>6338608</v>
      </c>
      <c r="CI16" s="110" t="n">
        <v>5238019.75</v>
      </c>
      <c r="CJ16" s="110" t="n">
        <v>1100588.25</v>
      </c>
      <c r="CK16" s="110" t="n">
        <v>2206561.65</v>
      </c>
      <c r="CL16" s="110" t="n">
        <v>2129990.4</v>
      </c>
      <c r="CM16" s="110" t="n">
        <v>76571.25</v>
      </c>
      <c r="CN16" s="110" t="n">
        <v>2259417.52</v>
      </c>
      <c r="CO16" s="110" t="n">
        <v>2228918.39</v>
      </c>
      <c r="CP16" s="110" t="n">
        <v>1503296.28</v>
      </c>
      <c r="CQ16" s="110" t="n">
        <v>618311.1899999999</v>
      </c>
      <c r="CR16" s="110" t="n">
        <v>153406.6</v>
      </c>
      <c r="CS16" s="110" t="n">
        <v>0</v>
      </c>
      <c r="CT16" s="110" t="n">
        <v>183837.17</v>
      </c>
      <c r="CU16" s="110" t="n">
        <v>0</v>
      </c>
      <c r="CV16" s="111" t="n">
        <v>18684</v>
      </c>
      <c r="CW16" s="111" t="n">
        <v>15683</v>
      </c>
      <c r="CX16" s="111" t="n">
        <v>13168</v>
      </c>
      <c r="CY16" s="111" t="n">
        <v>2515</v>
      </c>
      <c r="CZ16" s="111" t="n">
        <v>3001</v>
      </c>
      <c r="DA16" s="111" t="n">
        <v>1424</v>
      </c>
      <c r="DB16" s="111" t="n">
        <v>1577</v>
      </c>
      <c r="DC16" s="111" t="n">
        <v>8691</v>
      </c>
      <c r="DD16" s="111" t="n">
        <v>27</v>
      </c>
      <c r="DE16" s="111" t="n">
        <v>7579</v>
      </c>
      <c r="DF16" s="111" t="n">
        <v>6748</v>
      </c>
      <c r="DG16" s="111" t="n">
        <v>831</v>
      </c>
      <c r="DH16" s="111" t="n">
        <v>1112</v>
      </c>
      <c r="DI16" s="111" t="n">
        <v>559</v>
      </c>
      <c r="DJ16" s="111" t="n">
        <v>553</v>
      </c>
      <c r="DK16" s="111" t="n">
        <v>5860</v>
      </c>
      <c r="DL16" s="111" t="n">
        <v>4814</v>
      </c>
      <c r="DM16" s="111" t="n">
        <v>4221</v>
      </c>
      <c r="DN16" s="111" t="n">
        <v>593</v>
      </c>
      <c r="DO16" s="111" t="n">
        <v>1046</v>
      </c>
      <c r="DP16" s="111" t="n">
        <v>589</v>
      </c>
      <c r="DQ16" s="111" t="n">
        <v>457</v>
      </c>
      <c r="DR16" s="111" t="n">
        <v>311</v>
      </c>
      <c r="DS16" s="111" t="n">
        <v>0</v>
      </c>
      <c r="DT16" s="111" t="n">
        <v>156</v>
      </c>
      <c r="DU16" s="111" t="n">
        <v>130</v>
      </c>
      <c r="DV16" s="111" t="n">
        <v>26</v>
      </c>
      <c r="DW16" s="111" t="n">
        <v>155</v>
      </c>
      <c r="DX16" s="111" t="n">
        <v>72</v>
      </c>
      <c r="DY16" s="111" t="n">
        <v>83</v>
      </c>
      <c r="DZ16" s="111" t="n">
        <v>3795</v>
      </c>
      <c r="EA16" s="111" t="n">
        <v>3107</v>
      </c>
      <c r="EB16" s="111" t="n">
        <v>2042</v>
      </c>
      <c r="EC16" s="111" t="n">
        <v>1065</v>
      </c>
      <c r="ED16" s="111" t="n">
        <v>688</v>
      </c>
      <c r="EE16" s="111" t="n">
        <v>204</v>
      </c>
      <c r="EF16" s="111" t="n">
        <v>484</v>
      </c>
      <c r="EG16" s="111" t="n">
        <v>851</v>
      </c>
      <c r="EH16" s="111" t="n">
        <v>641</v>
      </c>
      <c r="EI16" s="111" t="n">
        <v>526</v>
      </c>
      <c r="EJ16" s="111" t="n">
        <v>115</v>
      </c>
      <c r="EK16" s="111" t="n">
        <v>210</v>
      </c>
      <c r="EL16" s="111" t="n">
        <v>197</v>
      </c>
      <c r="EM16" s="111" t="n">
        <v>13</v>
      </c>
      <c r="EN16" s="111" t="n">
        <v>779</v>
      </c>
      <c r="EO16" s="111" t="n">
        <v>747</v>
      </c>
      <c r="EP16" s="111" t="n">
        <v>0</v>
      </c>
      <c r="EQ16" s="111" t="n">
        <v>32</v>
      </c>
      <c r="ER16" s="111" t="n">
        <v>261</v>
      </c>
      <c r="ES16" s="111" t="n">
        <v>0</v>
      </c>
      <c r="ET16" s="111" t="n">
        <v>0</v>
      </c>
      <c r="EU16" s="111" t="n">
        <v>263</v>
      </c>
      <c r="EV16" s="111" t="n">
        <v>263</v>
      </c>
      <c r="EW16" s="111" t="n">
        <v>0</v>
      </c>
      <c r="EX16" s="111" t="n">
        <v>0</v>
      </c>
      <c r="EY16" s="111" t="n">
        <v>211</v>
      </c>
      <c r="EZ16" s="111" t="n">
        <v>211</v>
      </c>
      <c r="FA16" s="111" t="n">
        <v>0</v>
      </c>
      <c r="FB16" s="111" t="n">
        <v>337</v>
      </c>
    </row>
    <row r="17" ht="19.5" customHeight="1" s="247">
      <c r="A17" s="107" t="n">
        <v>14</v>
      </c>
      <c r="B17" s="107" t="inlineStr">
        <is>
          <t>成人手术</t>
        </is>
      </c>
      <c r="C17" s="107" t="inlineStr">
        <is>
          <t>泌尿外科</t>
        </is>
      </c>
      <c r="D17" s="110" t="n">
        <v>12459683</v>
      </c>
      <c r="E17" s="110" t="n">
        <v>1906810</v>
      </c>
      <c r="F17" s="110" t="n">
        <v>10552873</v>
      </c>
      <c r="G17" s="110" t="n">
        <v>9392</v>
      </c>
      <c r="H17" s="110" t="n">
        <v>713</v>
      </c>
      <c r="I17" s="110" t="n">
        <v>119298</v>
      </c>
      <c r="J17" s="110" t="n">
        <v>9813</v>
      </c>
      <c r="K17" s="110" t="n">
        <v>0</v>
      </c>
      <c r="L17" s="110" t="n">
        <v>1518318</v>
      </c>
      <c r="M17" s="110" t="n">
        <v>4602538.5</v>
      </c>
      <c r="N17" s="110" t="n">
        <v>112.5</v>
      </c>
      <c r="O17" s="110" t="n">
        <v>23129550.56</v>
      </c>
      <c r="P17" s="110" t="n">
        <v>15420706.41</v>
      </c>
      <c r="Q17" s="110" t="n">
        <v>14893937.27</v>
      </c>
      <c r="R17" s="110" t="n">
        <v>526769.14</v>
      </c>
      <c r="S17" s="110" t="n">
        <v>7708844.15</v>
      </c>
      <c r="T17" s="110" t="n">
        <v>7434270.67</v>
      </c>
      <c r="U17" s="110" t="n">
        <v>274573.48</v>
      </c>
      <c r="V17" s="110" t="n">
        <v>6848142.9</v>
      </c>
      <c r="W17" s="110" t="n">
        <v>5453509.38</v>
      </c>
      <c r="X17" s="110" t="n">
        <v>5317213.83</v>
      </c>
      <c r="Y17" s="110" t="n">
        <v>136295.55</v>
      </c>
      <c r="Z17" s="110" t="n">
        <v>1394633.52</v>
      </c>
      <c r="AA17" s="110" t="n">
        <v>1173406.79</v>
      </c>
      <c r="AB17" s="110" t="n">
        <v>221226.73</v>
      </c>
      <c r="AC17" s="110" t="n">
        <v>4650379.91</v>
      </c>
      <c r="AD17" s="110" t="n">
        <v>3746197.73</v>
      </c>
      <c r="AE17" s="110" t="n">
        <v>3705709.79</v>
      </c>
      <c r="AF17" s="110" t="n">
        <v>40487.94</v>
      </c>
      <c r="AG17" s="110" t="n">
        <v>904182.1800000001</v>
      </c>
      <c r="AH17" s="110" t="n">
        <v>829083.54</v>
      </c>
      <c r="AI17" s="110" t="n">
        <v>75098.64</v>
      </c>
      <c r="AJ17" s="110" t="n">
        <v>290952.99</v>
      </c>
      <c r="AK17" s="110" t="n">
        <v>239783.65</v>
      </c>
      <c r="AL17" s="110" t="n">
        <v>229645.04</v>
      </c>
      <c r="AM17" s="110" t="n">
        <v>10138.61</v>
      </c>
      <c r="AN17" s="110" t="n">
        <v>51169.34</v>
      </c>
      <c r="AO17" s="110" t="n">
        <v>41723.25</v>
      </c>
      <c r="AP17" s="110" t="n">
        <v>9446.09</v>
      </c>
      <c r="AQ17" s="110" t="n">
        <v>1370309</v>
      </c>
      <c r="AR17" s="110" t="n">
        <v>1058180</v>
      </c>
      <c r="AS17" s="110" t="n">
        <v>997725</v>
      </c>
      <c r="AT17" s="110" t="n">
        <v>60455</v>
      </c>
      <c r="AU17" s="110" t="n">
        <v>312129</v>
      </c>
      <c r="AV17" s="110" t="n">
        <v>214638</v>
      </c>
      <c r="AW17" s="110" t="n">
        <v>97491</v>
      </c>
      <c r="AX17" s="110" t="n">
        <v>536501</v>
      </c>
      <c r="AY17" s="110" t="n">
        <v>409348</v>
      </c>
      <c r="AZ17" s="110" t="n">
        <v>384134</v>
      </c>
      <c r="BA17" s="110" t="n">
        <v>25214</v>
      </c>
      <c r="BB17" s="110" t="n">
        <v>127153</v>
      </c>
      <c r="BC17" s="110" t="n">
        <v>87962</v>
      </c>
      <c r="BD17" s="110" t="n">
        <v>39191</v>
      </c>
      <c r="BE17" s="110" t="n">
        <v>16281407.66</v>
      </c>
      <c r="BF17" s="110" t="n">
        <v>9967197.029999999</v>
      </c>
      <c r="BG17" s="110" t="n">
        <v>9576723.439999999</v>
      </c>
      <c r="BH17" s="110" t="n">
        <v>390473.59</v>
      </c>
      <c r="BI17" s="110" t="n">
        <v>6314210.63</v>
      </c>
      <c r="BJ17" s="110" t="n">
        <v>6260863.88</v>
      </c>
      <c r="BK17" s="110" t="n">
        <v>53346.75</v>
      </c>
      <c r="BL17" s="110" t="n">
        <v>1858113.77</v>
      </c>
      <c r="BM17" s="110" t="n">
        <v>1134505.52</v>
      </c>
      <c r="BN17" s="110" t="n">
        <v>1113267.09</v>
      </c>
      <c r="BO17" s="110" t="n">
        <v>21238.43</v>
      </c>
      <c r="BP17" s="110" t="n">
        <v>723608.25</v>
      </c>
      <c r="BQ17" s="110" t="n">
        <v>718023.14</v>
      </c>
      <c r="BR17" s="110" t="n">
        <v>5585.11</v>
      </c>
      <c r="BS17" s="110" t="n">
        <v>3870420.89</v>
      </c>
      <c r="BT17" s="110" t="n">
        <v>2533341.51</v>
      </c>
      <c r="BU17" s="110" t="n">
        <v>2394919.1</v>
      </c>
      <c r="BV17" s="110" t="n">
        <v>138422.41</v>
      </c>
      <c r="BW17" s="110" t="n">
        <v>1337079.38</v>
      </c>
      <c r="BX17" s="110" t="n">
        <v>1326809.74</v>
      </c>
      <c r="BY17" s="110" t="n">
        <v>10269.64</v>
      </c>
      <c r="BZ17" s="110" t="n">
        <v>3022546</v>
      </c>
      <c r="CA17" s="110" t="n">
        <v>1951485</v>
      </c>
      <c r="CB17" s="110" t="n">
        <v>1919814</v>
      </c>
      <c r="CC17" s="110" t="n">
        <v>31671</v>
      </c>
      <c r="CD17" s="110" t="n">
        <v>1071061</v>
      </c>
      <c r="CE17" s="110" t="n">
        <v>1060490</v>
      </c>
      <c r="CF17" s="110" t="n">
        <v>10571</v>
      </c>
      <c r="CG17" s="110" t="n">
        <v>7530327</v>
      </c>
      <c r="CH17" s="110" t="n">
        <v>4347865</v>
      </c>
      <c r="CI17" s="110" t="n">
        <v>4148723.25</v>
      </c>
      <c r="CJ17" s="110" t="n">
        <v>199141.75</v>
      </c>
      <c r="CK17" s="110" t="n">
        <v>3182462</v>
      </c>
      <c r="CL17" s="110" t="n">
        <v>3155541</v>
      </c>
      <c r="CM17" s="110" t="n">
        <v>26921</v>
      </c>
      <c r="CN17" s="110" t="n">
        <v>198565.33</v>
      </c>
      <c r="CO17" s="110" t="n">
        <v>1847818.95</v>
      </c>
      <c r="CP17" s="110" t="n">
        <v>3995235.52</v>
      </c>
      <c r="CQ17" s="110" t="n">
        <v>62333.42</v>
      </c>
      <c r="CR17" s="110" t="n">
        <v>742557.6800000001</v>
      </c>
      <c r="CS17" s="110" t="n">
        <v>1632</v>
      </c>
      <c r="CT17" s="110" t="n">
        <v>246847.78</v>
      </c>
      <c r="CU17" s="110" t="n">
        <v>0</v>
      </c>
      <c r="CV17" s="111" t="n">
        <v>9392</v>
      </c>
      <c r="CW17" s="111" t="n">
        <v>7885</v>
      </c>
      <c r="CX17" s="111" t="n">
        <v>7535</v>
      </c>
      <c r="CY17" s="111" t="n">
        <v>350</v>
      </c>
      <c r="CZ17" s="111" t="n">
        <v>1507</v>
      </c>
      <c r="DA17" s="111" t="n">
        <v>1060</v>
      </c>
      <c r="DB17" s="111" t="n">
        <v>447</v>
      </c>
      <c r="DC17" s="111" t="n">
        <v>4545</v>
      </c>
      <c r="DD17" s="111" t="n">
        <v>34</v>
      </c>
      <c r="DE17" s="111" t="n">
        <v>3972</v>
      </c>
      <c r="DF17" s="111" t="n">
        <v>3805</v>
      </c>
      <c r="DG17" s="111" t="n">
        <v>167</v>
      </c>
      <c r="DH17" s="111" t="n">
        <v>573</v>
      </c>
      <c r="DI17" s="111" t="n">
        <v>407</v>
      </c>
      <c r="DJ17" s="111" t="n">
        <v>166</v>
      </c>
      <c r="DK17" s="111" t="n">
        <v>3883</v>
      </c>
      <c r="DL17" s="111" t="n">
        <v>3250</v>
      </c>
      <c r="DM17" s="111" t="n">
        <v>3125</v>
      </c>
      <c r="DN17" s="111" t="n">
        <v>125</v>
      </c>
      <c r="DO17" s="111" t="n">
        <v>633</v>
      </c>
      <c r="DP17" s="111" t="n">
        <v>453</v>
      </c>
      <c r="DQ17" s="111" t="n">
        <v>180</v>
      </c>
      <c r="DR17" s="111" t="n">
        <v>377</v>
      </c>
      <c r="DS17" s="111" t="n">
        <v>0</v>
      </c>
      <c r="DT17" s="111" t="n">
        <v>179</v>
      </c>
      <c r="DU17" s="111" t="n">
        <v>162</v>
      </c>
      <c r="DV17" s="111" t="n">
        <v>17</v>
      </c>
      <c r="DW17" s="111" t="n">
        <v>198</v>
      </c>
      <c r="DX17" s="111" t="n">
        <v>139</v>
      </c>
      <c r="DY17" s="111" t="n">
        <v>59</v>
      </c>
      <c r="DZ17" s="111" t="n">
        <v>553</v>
      </c>
      <c r="EA17" s="111" t="n">
        <v>453</v>
      </c>
      <c r="EB17" s="111" t="n">
        <v>412</v>
      </c>
      <c r="EC17" s="111" t="n">
        <v>41</v>
      </c>
      <c r="ED17" s="111" t="n">
        <v>100</v>
      </c>
      <c r="EE17" s="111" t="n">
        <v>60</v>
      </c>
      <c r="EF17" s="111" t="n">
        <v>40</v>
      </c>
      <c r="EG17" s="111" t="n">
        <v>713</v>
      </c>
      <c r="EH17" s="111" t="n">
        <v>499</v>
      </c>
      <c r="EI17" s="111" t="n">
        <v>484</v>
      </c>
      <c r="EJ17" s="111" t="n">
        <v>15</v>
      </c>
      <c r="EK17" s="111" t="n">
        <v>214</v>
      </c>
      <c r="EL17" s="111" t="n">
        <v>211</v>
      </c>
      <c r="EM17" s="111" t="n">
        <v>3</v>
      </c>
      <c r="EN17" s="111" t="n">
        <v>684</v>
      </c>
      <c r="EO17" s="111" t="n">
        <v>533</v>
      </c>
      <c r="EP17" s="111" t="n">
        <v>0</v>
      </c>
      <c r="EQ17" s="111" t="n">
        <v>151</v>
      </c>
      <c r="ER17" s="111" t="n">
        <v>151</v>
      </c>
      <c r="ES17" s="111" t="n">
        <v>0</v>
      </c>
      <c r="ET17" s="111" t="n">
        <v>0</v>
      </c>
      <c r="EU17" s="111" t="n">
        <v>316</v>
      </c>
      <c r="EV17" s="111" t="n">
        <v>316</v>
      </c>
      <c r="EW17" s="111" t="n">
        <v>0</v>
      </c>
      <c r="EX17" s="111" t="n">
        <v>0</v>
      </c>
      <c r="EY17" s="111" t="n">
        <v>160</v>
      </c>
      <c r="EZ17" s="111" t="n">
        <v>160</v>
      </c>
      <c r="FA17" s="111" t="n">
        <v>0</v>
      </c>
      <c r="FB17" s="111" t="n">
        <v>286</v>
      </c>
    </row>
    <row r="18" ht="19.5" customHeight="1" s="247">
      <c r="A18" s="107" t="n">
        <v>15</v>
      </c>
      <c r="B18" s="107" t="inlineStr">
        <is>
          <t>成人手术</t>
        </is>
      </c>
      <c r="C18" s="107" t="inlineStr">
        <is>
          <t>心胸外科</t>
        </is>
      </c>
      <c r="D18" s="110" t="n">
        <v>10224432.35</v>
      </c>
      <c r="E18" s="110" t="n">
        <v>783022</v>
      </c>
      <c r="F18" s="110" t="n">
        <v>9441410.35</v>
      </c>
      <c r="G18" s="110" t="n">
        <v>3176</v>
      </c>
      <c r="H18" s="110" t="n">
        <v>359</v>
      </c>
      <c r="I18" s="110" t="n">
        <v>3146</v>
      </c>
      <c r="J18" s="110" t="n">
        <v>0</v>
      </c>
      <c r="K18" s="110" t="n">
        <v>0</v>
      </c>
      <c r="L18" s="110" t="n">
        <v>831443.55</v>
      </c>
      <c r="M18" s="110" t="n">
        <v>3387322.9</v>
      </c>
      <c r="N18" s="110" t="n">
        <v>14</v>
      </c>
      <c r="O18" s="110" t="n">
        <v>27032894.11</v>
      </c>
      <c r="P18" s="110" t="n">
        <v>11716194.69</v>
      </c>
      <c r="Q18" s="110" t="n">
        <v>10933746.57</v>
      </c>
      <c r="R18" s="110" t="n">
        <v>782448.12</v>
      </c>
      <c r="S18" s="110" t="n">
        <v>15316699.42</v>
      </c>
      <c r="T18" s="110" t="n">
        <v>15185431.59</v>
      </c>
      <c r="U18" s="110" t="n">
        <v>131267.83</v>
      </c>
      <c r="V18" s="110" t="n">
        <v>1069974.78</v>
      </c>
      <c r="W18" s="110" t="n">
        <v>736568.53</v>
      </c>
      <c r="X18" s="110" t="n">
        <v>676018.0699999999</v>
      </c>
      <c r="Y18" s="110" t="n">
        <v>60550.46</v>
      </c>
      <c r="Z18" s="110" t="n">
        <v>333406.25</v>
      </c>
      <c r="AA18" s="110" t="n">
        <v>202138.42</v>
      </c>
      <c r="AB18" s="110" t="n">
        <v>131267.83</v>
      </c>
      <c r="AC18" s="110" t="n">
        <v>282015.14</v>
      </c>
      <c r="AD18" s="110" t="n">
        <v>222894.89</v>
      </c>
      <c r="AE18" s="110" t="n">
        <v>215107.43</v>
      </c>
      <c r="AF18" s="110" t="n">
        <v>7787.46</v>
      </c>
      <c r="AG18" s="110" t="n">
        <v>59120.25</v>
      </c>
      <c r="AH18" s="110" t="n">
        <v>38183.42</v>
      </c>
      <c r="AI18" s="110" t="n">
        <v>20936.83</v>
      </c>
      <c r="AJ18" s="110" t="n">
        <v>4937.64</v>
      </c>
      <c r="AK18" s="110" t="n">
        <v>3190.64</v>
      </c>
      <c r="AL18" s="110" t="n">
        <v>2975.64</v>
      </c>
      <c r="AM18" s="110" t="n">
        <v>215</v>
      </c>
      <c r="AN18" s="110" t="n">
        <v>1747</v>
      </c>
      <c r="AO18" s="110" t="n">
        <v>938</v>
      </c>
      <c r="AP18" s="110" t="n">
        <v>809</v>
      </c>
      <c r="AQ18" s="110" t="n">
        <v>640494</v>
      </c>
      <c r="AR18" s="110" t="n">
        <v>417379</v>
      </c>
      <c r="AS18" s="110" t="n">
        <v>375876</v>
      </c>
      <c r="AT18" s="110" t="n">
        <v>41503</v>
      </c>
      <c r="AU18" s="110" t="n">
        <v>223115</v>
      </c>
      <c r="AV18" s="110" t="n">
        <v>131437</v>
      </c>
      <c r="AW18" s="110" t="n">
        <v>91678</v>
      </c>
      <c r="AX18" s="110" t="n">
        <v>142528</v>
      </c>
      <c r="AY18" s="110" t="n">
        <v>93104</v>
      </c>
      <c r="AZ18" s="110" t="n">
        <v>82059</v>
      </c>
      <c r="BA18" s="110" t="n">
        <v>11045</v>
      </c>
      <c r="BB18" s="110" t="n">
        <v>49424</v>
      </c>
      <c r="BC18" s="110" t="n">
        <v>31580</v>
      </c>
      <c r="BD18" s="110" t="n">
        <v>17844</v>
      </c>
      <c r="BE18" s="110" t="n">
        <v>25962919.33</v>
      </c>
      <c r="BF18" s="110" t="n">
        <v>10979626.16</v>
      </c>
      <c r="BG18" s="110" t="n">
        <v>10257728.5</v>
      </c>
      <c r="BH18" s="110" t="n">
        <v>721897.66</v>
      </c>
      <c r="BI18" s="110" t="n">
        <v>14983293.17</v>
      </c>
      <c r="BJ18" s="110" t="n">
        <v>14983293.17</v>
      </c>
      <c r="BK18" s="110" t="n">
        <v>0</v>
      </c>
      <c r="BL18" s="110" t="n">
        <v>3738280.75</v>
      </c>
      <c r="BM18" s="110" t="n">
        <v>1473518.35</v>
      </c>
      <c r="BN18" s="110" t="n">
        <v>1376802.15</v>
      </c>
      <c r="BO18" s="110" t="n">
        <v>96716.2</v>
      </c>
      <c r="BP18" s="110" t="n">
        <v>2264762.4</v>
      </c>
      <c r="BQ18" s="110" t="n">
        <v>2264762.4</v>
      </c>
      <c r="BR18" s="110" t="n">
        <v>0</v>
      </c>
      <c r="BS18" s="110" t="n">
        <v>12783228.23</v>
      </c>
      <c r="BT18" s="110" t="n">
        <v>5583552.61</v>
      </c>
      <c r="BU18" s="110" t="n">
        <v>5194172.5</v>
      </c>
      <c r="BV18" s="110" t="n">
        <v>389380.11</v>
      </c>
      <c r="BW18" s="110" t="n">
        <v>7199675.62</v>
      </c>
      <c r="BX18" s="110" t="n">
        <v>7199675.62</v>
      </c>
      <c r="BY18" s="110" t="n">
        <v>0</v>
      </c>
      <c r="BZ18" s="110" t="n">
        <v>3258543.2</v>
      </c>
      <c r="CA18" s="110" t="n">
        <v>1326950</v>
      </c>
      <c r="CB18" s="110" t="n">
        <v>1254051.5</v>
      </c>
      <c r="CC18" s="110" t="n">
        <v>72898.5</v>
      </c>
      <c r="CD18" s="110" t="n">
        <v>1931593.2</v>
      </c>
      <c r="CE18" s="110" t="n">
        <v>1931593.2</v>
      </c>
      <c r="CF18" s="110" t="n">
        <v>0</v>
      </c>
      <c r="CG18" s="110" t="n">
        <v>6182867.15</v>
      </c>
      <c r="CH18" s="110" t="n">
        <v>2595605.2</v>
      </c>
      <c r="CI18" s="110" t="n">
        <v>2432702.35</v>
      </c>
      <c r="CJ18" s="110" t="n">
        <v>162902.85</v>
      </c>
      <c r="CK18" s="110" t="n">
        <v>3587261.95</v>
      </c>
      <c r="CL18" s="110" t="n">
        <v>3587261.95</v>
      </c>
      <c r="CM18" s="110" t="n">
        <v>0</v>
      </c>
      <c r="CN18" s="110" t="n">
        <v>0</v>
      </c>
      <c r="CO18" s="110" t="n">
        <v>208617.48</v>
      </c>
      <c r="CP18" s="110" t="n">
        <v>802335.17</v>
      </c>
      <c r="CQ18" s="110" t="n">
        <v>39215.55</v>
      </c>
      <c r="CR18" s="110" t="n">
        <v>16478.58</v>
      </c>
      <c r="CS18" s="110" t="n">
        <v>3328</v>
      </c>
      <c r="CT18" s="110" t="n">
        <v>0</v>
      </c>
      <c r="CU18" s="110" t="n">
        <v>0</v>
      </c>
      <c r="CV18" s="111" t="n">
        <v>3176</v>
      </c>
      <c r="CW18" s="111" t="n">
        <v>2191</v>
      </c>
      <c r="CX18" s="111" t="n">
        <v>1958</v>
      </c>
      <c r="CY18" s="111" t="n">
        <v>233</v>
      </c>
      <c r="CZ18" s="111" t="n">
        <v>985</v>
      </c>
      <c r="DA18" s="111" t="n">
        <v>610</v>
      </c>
      <c r="DB18" s="111" t="n">
        <v>375</v>
      </c>
      <c r="DC18" s="111" t="n">
        <v>846</v>
      </c>
      <c r="DD18" s="111" t="n">
        <v>5</v>
      </c>
      <c r="DE18" s="111" t="n">
        <v>644</v>
      </c>
      <c r="DF18" s="111" t="n">
        <v>581</v>
      </c>
      <c r="DG18" s="111" t="n">
        <v>63</v>
      </c>
      <c r="DH18" s="111" t="n">
        <v>202</v>
      </c>
      <c r="DI18" s="111" t="n">
        <v>116</v>
      </c>
      <c r="DJ18" s="111" t="n">
        <v>86</v>
      </c>
      <c r="DK18" s="111" t="n">
        <v>2276</v>
      </c>
      <c r="DL18" s="111" t="n">
        <v>1531</v>
      </c>
      <c r="DM18" s="111" t="n">
        <v>1369</v>
      </c>
      <c r="DN18" s="111" t="n">
        <v>162</v>
      </c>
      <c r="DO18" s="111" t="n">
        <v>745</v>
      </c>
      <c r="DP18" s="111" t="n">
        <v>475</v>
      </c>
      <c r="DQ18" s="111" t="n">
        <v>270</v>
      </c>
      <c r="DR18" s="111" t="n">
        <v>42</v>
      </c>
      <c r="DS18" s="111" t="n">
        <v>7</v>
      </c>
      <c r="DT18" s="111" t="n">
        <v>13</v>
      </c>
      <c r="DU18" s="111" t="n">
        <v>7</v>
      </c>
      <c r="DV18" s="111" t="n">
        <v>6</v>
      </c>
      <c r="DW18" s="111" t="n">
        <v>29</v>
      </c>
      <c r="DX18" s="111" t="n">
        <v>18</v>
      </c>
      <c r="DY18" s="111" t="n">
        <v>11</v>
      </c>
      <c r="DZ18" s="111" t="n">
        <v>0</v>
      </c>
      <c r="EA18" s="111" t="n">
        <v>0</v>
      </c>
      <c r="EB18" s="111" t="n">
        <v>0</v>
      </c>
      <c r="EC18" s="111" t="n">
        <v>0</v>
      </c>
      <c r="ED18" s="111" t="n">
        <v>0</v>
      </c>
      <c r="EE18" s="111" t="n">
        <v>0</v>
      </c>
      <c r="EF18" s="111" t="n">
        <v>0</v>
      </c>
      <c r="EG18" s="111" t="n">
        <v>359</v>
      </c>
      <c r="EH18" s="111" t="n">
        <v>159</v>
      </c>
      <c r="EI18" s="111" t="n">
        <v>147</v>
      </c>
      <c r="EJ18" s="111" t="n">
        <v>12</v>
      </c>
      <c r="EK18" s="111" t="n">
        <v>200</v>
      </c>
      <c r="EL18" s="111" t="n">
        <v>200</v>
      </c>
      <c r="EM18" s="111" t="n">
        <v>0</v>
      </c>
      <c r="EN18" s="111" t="n">
        <v>295</v>
      </c>
      <c r="EO18" s="111" t="n">
        <v>268</v>
      </c>
      <c r="EP18" s="111" t="n">
        <v>7</v>
      </c>
      <c r="EQ18" s="111" t="n">
        <v>20</v>
      </c>
      <c r="ER18" s="111" t="n">
        <v>197</v>
      </c>
      <c r="ES18" s="111" t="n">
        <v>0</v>
      </c>
      <c r="ET18" s="111" t="n">
        <v>0</v>
      </c>
      <c r="EU18" s="111" t="n">
        <v>9</v>
      </c>
      <c r="EV18" s="111" t="n">
        <v>8</v>
      </c>
      <c r="EW18" s="111" t="n">
        <v>1</v>
      </c>
      <c r="EX18" s="111" t="n">
        <v>0</v>
      </c>
      <c r="EY18" s="111" t="n">
        <v>255</v>
      </c>
      <c r="EZ18" s="111" t="n">
        <v>252</v>
      </c>
      <c r="FA18" s="111" t="n">
        <v>3</v>
      </c>
      <c r="FB18" s="111" t="n">
        <v>189</v>
      </c>
    </row>
    <row r="19" ht="19.5" customHeight="1" s="247">
      <c r="A19" s="107" t="n">
        <v>16</v>
      </c>
      <c r="B19" s="107" t="inlineStr">
        <is>
          <t>成人手术</t>
        </is>
      </c>
      <c r="C19" s="107" t="inlineStr">
        <is>
          <t>整形外科</t>
        </is>
      </c>
      <c r="D19" s="110" t="n">
        <v>2419678.45</v>
      </c>
      <c r="E19" s="110" t="n">
        <v>1834262.2</v>
      </c>
      <c r="F19" s="110" t="n">
        <v>585416.25</v>
      </c>
      <c r="G19" s="110" t="n">
        <v>954</v>
      </c>
      <c r="H19" s="110" t="n">
        <v>25</v>
      </c>
      <c r="I19" s="110" t="n">
        <v>183996</v>
      </c>
      <c r="J19" s="110" t="n">
        <v>1556126.2</v>
      </c>
      <c r="K19" s="110" t="n">
        <v>0</v>
      </c>
      <c r="L19" s="110" t="n">
        <v>19154.5</v>
      </c>
      <c r="M19" s="110" t="n">
        <v>328902.25</v>
      </c>
      <c r="N19" s="110" t="n">
        <v>0</v>
      </c>
      <c r="O19" s="110" t="n">
        <v>2717246.84</v>
      </c>
      <c r="P19" s="110" t="n">
        <v>1658143.75</v>
      </c>
      <c r="Q19" s="110" t="n">
        <v>12191.36</v>
      </c>
      <c r="R19" s="110" t="n">
        <v>1645952.39</v>
      </c>
      <c r="S19" s="110" t="n">
        <v>1059103.09</v>
      </c>
      <c r="T19" s="110" t="n">
        <v>25</v>
      </c>
      <c r="U19" s="110" t="n">
        <v>1059078.09</v>
      </c>
      <c r="V19" s="110" t="n">
        <v>2017775.37</v>
      </c>
      <c r="W19" s="110" t="n">
        <v>1148403.37</v>
      </c>
      <c r="X19" s="110" t="n">
        <v>12191.36</v>
      </c>
      <c r="Y19" s="110" t="n">
        <v>1136212.01</v>
      </c>
      <c r="Z19" s="110" t="n">
        <v>869372</v>
      </c>
      <c r="AA19" s="110" t="n">
        <v>25</v>
      </c>
      <c r="AB19" s="110" t="n">
        <v>869347</v>
      </c>
      <c r="AC19" s="110" t="n">
        <v>145701.33</v>
      </c>
      <c r="AD19" s="110" t="n">
        <v>116524.56</v>
      </c>
      <c r="AE19" s="110" t="n">
        <v>466.31</v>
      </c>
      <c r="AF19" s="110" t="n">
        <v>116058.25</v>
      </c>
      <c r="AG19" s="110" t="n">
        <v>29176.77</v>
      </c>
      <c r="AH19" s="110" t="n">
        <v>0</v>
      </c>
      <c r="AI19" s="110" t="n">
        <v>29176.77</v>
      </c>
      <c r="AJ19" s="110" t="n">
        <v>37811.84</v>
      </c>
      <c r="AK19" s="110" t="n">
        <v>24184.66</v>
      </c>
      <c r="AL19" s="110" t="n">
        <v>302.8</v>
      </c>
      <c r="AM19" s="110" t="n">
        <v>23881.86</v>
      </c>
      <c r="AN19" s="110" t="n">
        <v>13627.18</v>
      </c>
      <c r="AO19" s="110" t="n">
        <v>0</v>
      </c>
      <c r="AP19" s="110" t="n">
        <v>13627.18</v>
      </c>
      <c r="AQ19" s="110" t="n">
        <v>8995</v>
      </c>
      <c r="AR19" s="110" t="n">
        <v>4842</v>
      </c>
      <c r="AS19" s="110" t="n">
        <v>0</v>
      </c>
      <c r="AT19" s="110" t="n">
        <v>4842</v>
      </c>
      <c r="AU19" s="110" t="n">
        <v>4153</v>
      </c>
      <c r="AV19" s="110" t="n">
        <v>0</v>
      </c>
      <c r="AW19" s="110" t="n">
        <v>4153</v>
      </c>
      <c r="AX19" s="110" t="n">
        <v>1825267.2</v>
      </c>
      <c r="AY19" s="110" t="n">
        <v>1002852.15</v>
      </c>
      <c r="AZ19" s="110" t="n">
        <v>11422.25</v>
      </c>
      <c r="BA19" s="110" t="n">
        <v>991429.9</v>
      </c>
      <c r="BB19" s="110" t="n">
        <v>822415.05</v>
      </c>
      <c r="BC19" s="110" t="n">
        <v>25</v>
      </c>
      <c r="BD19" s="110" t="n">
        <v>822390.05</v>
      </c>
      <c r="BE19" s="110" t="n">
        <v>699471.47</v>
      </c>
      <c r="BF19" s="110" t="n">
        <v>509740.38</v>
      </c>
      <c r="BG19" s="110" t="n">
        <v>0</v>
      </c>
      <c r="BH19" s="110" t="n">
        <v>509740.38</v>
      </c>
      <c r="BI19" s="110" t="n">
        <v>189731.09</v>
      </c>
      <c r="BJ19" s="110" t="n">
        <v>0</v>
      </c>
      <c r="BK19" s="110" t="n">
        <v>189731.09</v>
      </c>
      <c r="BL19" s="110" t="n">
        <v>26001.06</v>
      </c>
      <c r="BM19" s="110" t="n">
        <v>17769.7</v>
      </c>
      <c r="BN19" s="110" t="n">
        <v>0</v>
      </c>
      <c r="BO19" s="110" t="n">
        <v>17769.7</v>
      </c>
      <c r="BP19" s="110" t="n">
        <v>8231.360000000001</v>
      </c>
      <c r="BQ19" s="110" t="n">
        <v>0</v>
      </c>
      <c r="BR19" s="110" t="n">
        <v>8231.360000000001</v>
      </c>
      <c r="BS19" s="110" t="n">
        <v>88054.16</v>
      </c>
      <c r="BT19" s="110" t="n">
        <v>57772.93</v>
      </c>
      <c r="BU19" s="110" t="n">
        <v>0</v>
      </c>
      <c r="BV19" s="110" t="n">
        <v>57772.93</v>
      </c>
      <c r="BW19" s="110" t="n">
        <v>30281.23</v>
      </c>
      <c r="BX19" s="110" t="n">
        <v>0</v>
      </c>
      <c r="BY19" s="110" t="n">
        <v>30281.23</v>
      </c>
      <c r="BZ19" s="110" t="n">
        <v>25087</v>
      </c>
      <c r="CA19" s="110" t="n">
        <v>18706</v>
      </c>
      <c r="CB19" s="110" t="n">
        <v>0</v>
      </c>
      <c r="CC19" s="110" t="n">
        <v>18706</v>
      </c>
      <c r="CD19" s="110" t="n">
        <v>6381</v>
      </c>
      <c r="CE19" s="110" t="n">
        <v>0</v>
      </c>
      <c r="CF19" s="110" t="n">
        <v>6381</v>
      </c>
      <c r="CG19" s="110" t="n">
        <v>560329.25</v>
      </c>
      <c r="CH19" s="110" t="n">
        <v>415491.75</v>
      </c>
      <c r="CI19" s="110" t="n">
        <v>0</v>
      </c>
      <c r="CJ19" s="110" t="n">
        <v>415491.75</v>
      </c>
      <c r="CK19" s="110" t="n">
        <v>144837.5</v>
      </c>
      <c r="CL19" s="110" t="n">
        <v>0</v>
      </c>
      <c r="CM19" s="110" t="n">
        <v>144837.5</v>
      </c>
      <c r="CN19" s="110" t="n">
        <v>451771.47</v>
      </c>
      <c r="CO19" s="110" t="n">
        <v>498189.14</v>
      </c>
      <c r="CP19" s="110" t="n">
        <v>410006.09</v>
      </c>
      <c r="CQ19" s="110" t="n">
        <v>237437.51</v>
      </c>
      <c r="CR19" s="110" t="n">
        <v>420371.16</v>
      </c>
      <c r="CS19" s="110" t="n">
        <v>0</v>
      </c>
      <c r="CT19" s="110" t="n">
        <v>645444.96</v>
      </c>
      <c r="CU19" s="110" t="n">
        <v>0</v>
      </c>
      <c r="CV19" s="111" t="n">
        <v>954</v>
      </c>
      <c r="CW19" s="111" t="n">
        <v>577</v>
      </c>
      <c r="CX19" s="111" t="n">
        <v>9</v>
      </c>
      <c r="CY19" s="111" t="n">
        <v>568</v>
      </c>
      <c r="CZ19" s="111" t="n">
        <v>377</v>
      </c>
      <c r="DA19" s="111" t="n">
        <v>1</v>
      </c>
      <c r="DB19" s="111" t="n">
        <v>376</v>
      </c>
      <c r="DC19" s="111" t="n">
        <v>413</v>
      </c>
      <c r="DD19" s="111" t="n">
        <v>0</v>
      </c>
      <c r="DE19" s="111" t="n">
        <v>300</v>
      </c>
      <c r="DF19" s="111" t="n">
        <v>7</v>
      </c>
      <c r="DG19" s="111" t="n">
        <v>293</v>
      </c>
      <c r="DH19" s="111" t="n">
        <v>113</v>
      </c>
      <c r="DI19" s="111" t="n">
        <v>1</v>
      </c>
      <c r="DJ19" s="111" t="n">
        <v>112</v>
      </c>
      <c r="DK19" s="111" t="n">
        <v>238</v>
      </c>
      <c r="DL19" s="111" t="n">
        <v>117</v>
      </c>
      <c r="DM19" s="111" t="n">
        <v>2</v>
      </c>
      <c r="DN19" s="111" t="n">
        <v>115</v>
      </c>
      <c r="DO19" s="111" t="n">
        <v>121</v>
      </c>
      <c r="DP19" s="111" t="n">
        <v>0</v>
      </c>
      <c r="DQ19" s="111" t="n">
        <v>121</v>
      </c>
      <c r="DR19" s="111" t="n">
        <v>170</v>
      </c>
      <c r="DS19" s="111" t="n">
        <v>0</v>
      </c>
      <c r="DT19" s="111" t="n">
        <v>56</v>
      </c>
      <c r="DU19" s="111" t="n">
        <v>0</v>
      </c>
      <c r="DV19" s="111" t="n">
        <v>56</v>
      </c>
      <c r="DW19" s="111" t="n">
        <v>114</v>
      </c>
      <c r="DX19" s="111" t="n">
        <v>0</v>
      </c>
      <c r="DY19" s="111" t="n">
        <v>114</v>
      </c>
      <c r="DZ19" s="111" t="n">
        <v>133</v>
      </c>
      <c r="EA19" s="111" t="n">
        <v>104</v>
      </c>
      <c r="EB19" s="111" t="n">
        <v>0</v>
      </c>
      <c r="EC19" s="111" t="n">
        <v>104</v>
      </c>
      <c r="ED19" s="111" t="n">
        <v>29</v>
      </c>
      <c r="EE19" s="111" t="n">
        <v>0</v>
      </c>
      <c r="EF19" s="111" t="n">
        <v>29</v>
      </c>
      <c r="EG19" s="111" t="n">
        <v>25</v>
      </c>
      <c r="EH19" s="111" t="n">
        <v>17</v>
      </c>
      <c r="EI19" s="111" t="n">
        <v>0</v>
      </c>
      <c r="EJ19" s="111" t="n">
        <v>17</v>
      </c>
      <c r="EK19" s="111" t="n">
        <v>8</v>
      </c>
      <c r="EL19" s="111" t="n">
        <v>0</v>
      </c>
      <c r="EM19" s="111" t="n">
        <v>8</v>
      </c>
      <c r="EN19" s="111" t="n">
        <v>24</v>
      </c>
      <c r="EO19" s="111" t="n">
        <v>20</v>
      </c>
      <c r="EP19" s="111" t="n">
        <v>0</v>
      </c>
      <c r="EQ19" s="111" t="n">
        <v>4</v>
      </c>
      <c r="ER19" s="111" t="n">
        <v>0</v>
      </c>
      <c r="ES19" s="111" t="n">
        <v>0</v>
      </c>
      <c r="ET19" s="111" t="n">
        <v>0</v>
      </c>
      <c r="EU19" s="111" t="n">
        <v>18</v>
      </c>
      <c r="EV19" s="111" t="n">
        <v>18</v>
      </c>
      <c r="EW19" s="111" t="n">
        <v>0</v>
      </c>
      <c r="EX19" s="111" t="n">
        <v>0</v>
      </c>
      <c r="EY19" s="111" t="n">
        <v>0</v>
      </c>
      <c r="EZ19" s="111" t="n">
        <v>0</v>
      </c>
      <c r="FA19" s="111" t="n">
        <v>0</v>
      </c>
      <c r="FB19" s="111" t="n">
        <v>0</v>
      </c>
    </row>
    <row r="20" ht="19.5" customHeight="1" s="247">
      <c r="A20" s="107" t="n">
        <v>17</v>
      </c>
      <c r="B20" s="107" t="inlineStr">
        <is>
          <t>成人手术</t>
        </is>
      </c>
      <c r="C20" s="107" t="inlineStr">
        <is>
          <t>肛肠外科</t>
        </is>
      </c>
      <c r="D20" s="110" t="n">
        <v>4987315.5</v>
      </c>
      <c r="E20" s="110" t="n">
        <v>1146694.5</v>
      </c>
      <c r="F20" s="110" t="n">
        <v>3840621</v>
      </c>
      <c r="G20" s="110" t="n">
        <v>5898</v>
      </c>
      <c r="H20" s="110" t="n">
        <v>321</v>
      </c>
      <c r="I20" s="110" t="n">
        <v>85043</v>
      </c>
      <c r="J20" s="110" t="n">
        <v>22</v>
      </c>
      <c r="K20" s="110" t="n">
        <v>641.55</v>
      </c>
      <c r="L20" s="110" t="n">
        <v>290778</v>
      </c>
      <c r="M20" s="110" t="n">
        <v>1112629.5</v>
      </c>
      <c r="N20" s="110" t="n">
        <v>3397.95</v>
      </c>
      <c r="O20" s="110" t="n">
        <v>10449103.15</v>
      </c>
      <c r="P20" s="110" t="n">
        <v>6759579.22</v>
      </c>
      <c r="Q20" s="110" t="n">
        <v>6556118.55</v>
      </c>
      <c r="R20" s="110" t="n">
        <v>203460.67</v>
      </c>
      <c r="S20" s="110" t="n">
        <v>3689523.93</v>
      </c>
      <c r="T20" s="110" t="n">
        <v>3609415.95</v>
      </c>
      <c r="U20" s="110" t="n">
        <v>80107.98</v>
      </c>
      <c r="V20" s="110" t="n">
        <v>2724572.54</v>
      </c>
      <c r="W20" s="110" t="n">
        <v>2143245.06</v>
      </c>
      <c r="X20" s="110" t="n">
        <v>2095269.74</v>
      </c>
      <c r="Y20" s="110" t="n">
        <v>47975.32</v>
      </c>
      <c r="Z20" s="110" t="n">
        <v>581327.48</v>
      </c>
      <c r="AA20" s="110" t="n">
        <v>515660.28</v>
      </c>
      <c r="AB20" s="110" t="n">
        <v>65667.2</v>
      </c>
      <c r="AC20" s="110" t="n">
        <v>1345372.78</v>
      </c>
      <c r="AD20" s="110" t="n">
        <v>1035447.04</v>
      </c>
      <c r="AE20" s="110" t="n">
        <v>1022953.95</v>
      </c>
      <c r="AF20" s="110" t="n">
        <v>12493.09</v>
      </c>
      <c r="AG20" s="110" t="n">
        <v>309925.74</v>
      </c>
      <c r="AH20" s="110" t="n">
        <v>281332.38</v>
      </c>
      <c r="AI20" s="110" t="n">
        <v>28593.36</v>
      </c>
      <c r="AJ20" s="110" t="n">
        <v>232505.26</v>
      </c>
      <c r="AK20" s="110" t="n">
        <v>177237.02</v>
      </c>
      <c r="AL20" s="110" t="n">
        <v>174185.29</v>
      </c>
      <c r="AM20" s="110" t="n">
        <v>3051.73</v>
      </c>
      <c r="AN20" s="110" t="n">
        <v>55268.24</v>
      </c>
      <c r="AO20" s="110" t="n">
        <v>46196.4</v>
      </c>
      <c r="AP20" s="110" t="n">
        <v>9071.84</v>
      </c>
      <c r="AQ20" s="110" t="n">
        <v>859269</v>
      </c>
      <c r="AR20" s="110" t="n">
        <v>692057</v>
      </c>
      <c r="AS20" s="110" t="n">
        <v>672167</v>
      </c>
      <c r="AT20" s="110" t="n">
        <v>19890</v>
      </c>
      <c r="AU20" s="110" t="n">
        <v>167212</v>
      </c>
      <c r="AV20" s="110" t="n">
        <v>151794</v>
      </c>
      <c r="AW20" s="110" t="n">
        <v>15418</v>
      </c>
      <c r="AX20" s="110" t="n">
        <v>287425.5</v>
      </c>
      <c r="AY20" s="110" t="n">
        <v>238504</v>
      </c>
      <c r="AZ20" s="110" t="n">
        <v>225963.5</v>
      </c>
      <c r="BA20" s="110" t="n">
        <v>12540.5</v>
      </c>
      <c r="BB20" s="110" t="n">
        <v>48921.5</v>
      </c>
      <c r="BC20" s="110" t="n">
        <v>36337.5</v>
      </c>
      <c r="BD20" s="110" t="n">
        <v>12584</v>
      </c>
      <c r="BE20" s="110" t="n">
        <v>7724530.61</v>
      </c>
      <c r="BF20" s="110" t="n">
        <v>4616334.16</v>
      </c>
      <c r="BG20" s="110" t="n">
        <v>4460848.81</v>
      </c>
      <c r="BH20" s="110" t="n">
        <v>155485.35</v>
      </c>
      <c r="BI20" s="110" t="n">
        <v>3108196.45</v>
      </c>
      <c r="BJ20" s="110" t="n">
        <v>3093755.67</v>
      </c>
      <c r="BK20" s="110" t="n">
        <v>14440.78</v>
      </c>
      <c r="BL20" s="110" t="n">
        <v>1383371.31</v>
      </c>
      <c r="BM20" s="110" t="n">
        <v>786316.05</v>
      </c>
      <c r="BN20" s="110" t="n">
        <v>772353.08</v>
      </c>
      <c r="BO20" s="110" t="n">
        <v>13962.97</v>
      </c>
      <c r="BP20" s="110" t="n">
        <v>597055.26</v>
      </c>
      <c r="BQ20" s="110" t="n">
        <v>596725.97</v>
      </c>
      <c r="BR20" s="110" t="n">
        <v>329.29</v>
      </c>
      <c r="BS20" s="110" t="n">
        <v>2500538.3</v>
      </c>
      <c r="BT20" s="110" t="n">
        <v>1533345.36</v>
      </c>
      <c r="BU20" s="110" t="n">
        <v>1495300.48</v>
      </c>
      <c r="BV20" s="110" t="n">
        <v>38044.88</v>
      </c>
      <c r="BW20" s="110" t="n">
        <v>967192.9399999999</v>
      </c>
      <c r="BX20" s="110" t="n">
        <v>966243.45</v>
      </c>
      <c r="BY20" s="110" t="n">
        <v>949.49</v>
      </c>
      <c r="BZ20" s="110" t="n">
        <v>1669837</v>
      </c>
      <c r="CA20" s="110" t="n">
        <v>886869</v>
      </c>
      <c r="CB20" s="110" t="n">
        <v>878490</v>
      </c>
      <c r="CC20" s="110" t="n">
        <v>8379</v>
      </c>
      <c r="CD20" s="110" t="n">
        <v>782968</v>
      </c>
      <c r="CE20" s="110" t="n">
        <v>781987</v>
      </c>
      <c r="CF20" s="110" t="n">
        <v>981</v>
      </c>
      <c r="CG20" s="110" t="n">
        <v>2170784</v>
      </c>
      <c r="CH20" s="110" t="n">
        <v>1409803.75</v>
      </c>
      <c r="CI20" s="110" t="n">
        <v>1314705.25</v>
      </c>
      <c r="CJ20" s="110" t="n">
        <v>95098.5</v>
      </c>
      <c r="CK20" s="110" t="n">
        <v>760980.25</v>
      </c>
      <c r="CL20" s="110" t="n">
        <v>748799.25</v>
      </c>
      <c r="CM20" s="110" t="n">
        <v>12181</v>
      </c>
      <c r="CN20" s="110" t="n">
        <v>102679.11</v>
      </c>
      <c r="CO20" s="110" t="n">
        <v>1008104.88</v>
      </c>
      <c r="CP20" s="110" t="n">
        <v>1201173.81</v>
      </c>
      <c r="CQ20" s="110" t="n">
        <v>286975.17</v>
      </c>
      <c r="CR20" s="110" t="n">
        <v>125639.57</v>
      </c>
      <c r="CS20" s="110" t="n">
        <v>0</v>
      </c>
      <c r="CT20" s="110" t="n">
        <v>122616.86</v>
      </c>
      <c r="CU20" s="110" t="n">
        <v>0</v>
      </c>
      <c r="CV20" s="111" t="n">
        <v>5898</v>
      </c>
      <c r="CW20" s="111" t="n">
        <v>5031</v>
      </c>
      <c r="CX20" s="111" t="n">
        <v>4783</v>
      </c>
      <c r="CY20" s="111" t="n">
        <v>248</v>
      </c>
      <c r="CZ20" s="111" t="n">
        <v>867</v>
      </c>
      <c r="DA20" s="111" t="n">
        <v>625</v>
      </c>
      <c r="DB20" s="111" t="n">
        <v>242</v>
      </c>
      <c r="DC20" s="111" t="n">
        <v>4185</v>
      </c>
      <c r="DD20" s="111" t="n">
        <v>1</v>
      </c>
      <c r="DE20" s="111" t="n">
        <v>3612</v>
      </c>
      <c r="DF20" s="111" t="n">
        <v>3429</v>
      </c>
      <c r="DG20" s="111" t="n">
        <v>183</v>
      </c>
      <c r="DH20" s="111" t="n">
        <v>573</v>
      </c>
      <c r="DI20" s="111" t="n">
        <v>396</v>
      </c>
      <c r="DJ20" s="111" t="n">
        <v>177</v>
      </c>
      <c r="DK20" s="111" t="n">
        <v>1354</v>
      </c>
      <c r="DL20" s="111" t="n">
        <v>1128</v>
      </c>
      <c r="DM20" s="111" t="n">
        <v>1088</v>
      </c>
      <c r="DN20" s="111" t="n">
        <v>40</v>
      </c>
      <c r="DO20" s="111" t="n">
        <v>226</v>
      </c>
      <c r="DP20" s="111" t="n">
        <v>172</v>
      </c>
      <c r="DQ20" s="111" t="n">
        <v>54</v>
      </c>
      <c r="DR20" s="111" t="n">
        <v>95</v>
      </c>
      <c r="DS20" s="111" t="n">
        <v>0</v>
      </c>
      <c r="DT20" s="111" t="n">
        <v>72</v>
      </c>
      <c r="DU20" s="111" t="n">
        <v>64</v>
      </c>
      <c r="DV20" s="111" t="n">
        <v>8</v>
      </c>
      <c r="DW20" s="111" t="n">
        <v>23</v>
      </c>
      <c r="DX20" s="111" t="n">
        <v>16</v>
      </c>
      <c r="DY20" s="111" t="n">
        <v>7</v>
      </c>
      <c r="DZ20" s="111" t="n">
        <v>263</v>
      </c>
      <c r="EA20" s="111" t="n">
        <v>218</v>
      </c>
      <c r="EB20" s="111" t="n">
        <v>201</v>
      </c>
      <c r="EC20" s="111" t="n">
        <v>17</v>
      </c>
      <c r="ED20" s="111" t="n">
        <v>45</v>
      </c>
      <c r="EE20" s="111" t="n">
        <v>41</v>
      </c>
      <c r="EF20" s="111" t="n">
        <v>4</v>
      </c>
      <c r="EG20" s="111" t="n">
        <v>321</v>
      </c>
      <c r="EH20" s="111" t="n">
        <v>190</v>
      </c>
      <c r="EI20" s="111" t="n">
        <v>183</v>
      </c>
      <c r="EJ20" s="111" t="n">
        <v>7</v>
      </c>
      <c r="EK20" s="111" t="n">
        <v>131</v>
      </c>
      <c r="EL20" s="111" t="n">
        <v>130</v>
      </c>
      <c r="EM20" s="111" t="n">
        <v>1</v>
      </c>
      <c r="EN20" s="111" t="n">
        <v>311</v>
      </c>
      <c r="EO20" s="111" t="n">
        <v>204</v>
      </c>
      <c r="EP20" s="111" t="n">
        <v>0</v>
      </c>
      <c r="EQ20" s="111" t="n">
        <v>107</v>
      </c>
      <c r="ER20" s="111" t="n">
        <v>74</v>
      </c>
      <c r="ES20" s="111" t="n">
        <v>0</v>
      </c>
      <c r="ET20" s="111" t="n">
        <v>4</v>
      </c>
      <c r="EU20" s="111" t="n">
        <v>28</v>
      </c>
      <c r="EV20" s="111" t="n">
        <v>26</v>
      </c>
      <c r="EW20" s="111" t="n">
        <v>0</v>
      </c>
      <c r="EX20" s="111" t="n">
        <v>2</v>
      </c>
      <c r="EY20" s="111" t="n">
        <v>68</v>
      </c>
      <c r="EZ20" s="111" t="n">
        <v>68</v>
      </c>
      <c r="FA20" s="111" t="n">
        <v>0</v>
      </c>
      <c r="FB20" s="111" t="n">
        <v>56</v>
      </c>
    </row>
    <row r="21" ht="19.5" customHeight="1" s="247">
      <c r="A21" s="107" t="n">
        <v>18</v>
      </c>
      <c r="B21" s="107" t="inlineStr">
        <is>
          <t>成人手术</t>
        </is>
      </c>
      <c r="C21" s="107" t="inlineStr">
        <is>
          <t>脊柱中心</t>
        </is>
      </c>
      <c r="D21" s="110" t="n">
        <v>9488272.5</v>
      </c>
      <c r="E21" s="110" t="n">
        <v>1869439</v>
      </c>
      <c r="F21" s="110" t="n">
        <v>7618833.5</v>
      </c>
      <c r="G21" s="110" t="n">
        <v>7156</v>
      </c>
      <c r="H21" s="110" t="n">
        <v>570</v>
      </c>
      <c r="I21" s="110" t="n">
        <v>584</v>
      </c>
      <c r="J21" s="110" t="n">
        <v>0</v>
      </c>
      <c r="K21" s="110" t="n">
        <v>0</v>
      </c>
      <c r="L21" s="110" t="n">
        <v>254380</v>
      </c>
      <c r="M21" s="110" t="n">
        <v>3555156.5</v>
      </c>
      <c r="N21" s="110" t="n">
        <v>0</v>
      </c>
      <c r="O21" s="110" t="n">
        <v>27196392.16</v>
      </c>
      <c r="P21" s="110" t="n">
        <v>16031455.48</v>
      </c>
      <c r="Q21" s="110" t="n">
        <v>15009631.87</v>
      </c>
      <c r="R21" s="110" t="n">
        <v>1021823.61</v>
      </c>
      <c r="S21" s="110" t="n">
        <v>11164936.68</v>
      </c>
      <c r="T21" s="110" t="n">
        <v>10599444.38</v>
      </c>
      <c r="U21" s="110" t="n">
        <v>565492.3</v>
      </c>
      <c r="V21" s="110" t="n">
        <v>2124790.11</v>
      </c>
      <c r="W21" s="110" t="n">
        <v>1430014.91</v>
      </c>
      <c r="X21" s="110" t="n">
        <v>1323848.87</v>
      </c>
      <c r="Y21" s="110" t="n">
        <v>106166.04</v>
      </c>
      <c r="Z21" s="110" t="n">
        <v>694775.2</v>
      </c>
      <c r="AA21" s="110" t="n">
        <v>285622.55</v>
      </c>
      <c r="AB21" s="110" t="n">
        <v>409152.65</v>
      </c>
      <c r="AC21" s="110" t="n">
        <v>235081.11</v>
      </c>
      <c r="AD21" s="110" t="n">
        <v>204011.91</v>
      </c>
      <c r="AE21" s="110" t="n">
        <v>195750.87</v>
      </c>
      <c r="AF21" s="110" t="n">
        <v>8261.040000000001</v>
      </c>
      <c r="AG21" s="110" t="n">
        <v>31069.2</v>
      </c>
      <c r="AH21" s="110" t="n">
        <v>22458.55</v>
      </c>
      <c r="AI21" s="110" t="n">
        <v>8610.65</v>
      </c>
      <c r="AJ21" s="110" t="n">
        <v>20270</v>
      </c>
      <c r="AK21" s="110" t="n">
        <v>16352</v>
      </c>
      <c r="AL21" s="110" t="n">
        <v>16309</v>
      </c>
      <c r="AM21" s="110" t="n">
        <v>43</v>
      </c>
      <c r="AN21" s="110" t="n">
        <v>3918</v>
      </c>
      <c r="AO21" s="110" t="n">
        <v>1638</v>
      </c>
      <c r="AP21" s="110" t="n">
        <v>2280</v>
      </c>
      <c r="AQ21" s="110" t="n">
        <v>1423009</v>
      </c>
      <c r="AR21" s="110" t="n">
        <v>969532</v>
      </c>
      <c r="AS21" s="110" t="n">
        <v>902793</v>
      </c>
      <c r="AT21" s="110" t="n">
        <v>66739</v>
      </c>
      <c r="AU21" s="110" t="n">
        <v>453477</v>
      </c>
      <c r="AV21" s="110" t="n">
        <v>180746</v>
      </c>
      <c r="AW21" s="110" t="n">
        <v>272731</v>
      </c>
      <c r="AX21" s="110" t="n">
        <v>446430</v>
      </c>
      <c r="AY21" s="110" t="n">
        <v>240119</v>
      </c>
      <c r="AZ21" s="110" t="n">
        <v>208996</v>
      </c>
      <c r="BA21" s="110" t="n">
        <v>31123</v>
      </c>
      <c r="BB21" s="110" t="n">
        <v>206311</v>
      </c>
      <c r="BC21" s="110" t="n">
        <v>80780</v>
      </c>
      <c r="BD21" s="110" t="n">
        <v>125531</v>
      </c>
      <c r="BE21" s="110" t="n">
        <v>25071602.05</v>
      </c>
      <c r="BF21" s="110" t="n">
        <v>14601440.57</v>
      </c>
      <c r="BG21" s="110" t="n">
        <v>13685783</v>
      </c>
      <c r="BH21" s="110" t="n">
        <v>915657.5699999999</v>
      </c>
      <c r="BI21" s="110" t="n">
        <v>10470161.48</v>
      </c>
      <c r="BJ21" s="110" t="n">
        <v>10313821.83</v>
      </c>
      <c r="BK21" s="110" t="n">
        <v>156339.65</v>
      </c>
      <c r="BL21" s="110" t="n">
        <v>1479866</v>
      </c>
      <c r="BM21" s="110" t="n">
        <v>770000.04</v>
      </c>
      <c r="BN21" s="110" t="n">
        <v>722065.15</v>
      </c>
      <c r="BO21" s="110" t="n">
        <v>47934.89</v>
      </c>
      <c r="BP21" s="110" t="n">
        <v>709865.96</v>
      </c>
      <c r="BQ21" s="110" t="n">
        <v>703720.2</v>
      </c>
      <c r="BR21" s="110" t="n">
        <v>6145.76</v>
      </c>
      <c r="BS21" s="110" t="n">
        <v>15972902.55</v>
      </c>
      <c r="BT21" s="110" t="n">
        <v>9130875.029999999</v>
      </c>
      <c r="BU21" s="110" t="n">
        <v>8576125.35</v>
      </c>
      <c r="BV21" s="110" t="n">
        <v>554749.6800000001</v>
      </c>
      <c r="BW21" s="110" t="n">
        <v>6842027.52</v>
      </c>
      <c r="BX21" s="110" t="n">
        <v>6736310.88</v>
      </c>
      <c r="BY21" s="110" t="n">
        <v>105716.64</v>
      </c>
      <c r="BZ21" s="110" t="n">
        <v>2627186</v>
      </c>
      <c r="CA21" s="110" t="n">
        <v>1629357</v>
      </c>
      <c r="CB21" s="110" t="n">
        <v>1518924</v>
      </c>
      <c r="CC21" s="110" t="n">
        <v>110433</v>
      </c>
      <c r="CD21" s="110" t="n">
        <v>997829</v>
      </c>
      <c r="CE21" s="110" t="n">
        <v>980592</v>
      </c>
      <c r="CF21" s="110" t="n">
        <v>17237</v>
      </c>
      <c r="CG21" s="110" t="n">
        <v>4991647.5</v>
      </c>
      <c r="CH21" s="110" t="n">
        <v>3071208.5</v>
      </c>
      <c r="CI21" s="110" t="n">
        <v>2868668.5</v>
      </c>
      <c r="CJ21" s="110" t="n">
        <v>202540</v>
      </c>
      <c r="CK21" s="110" t="n">
        <v>1920439</v>
      </c>
      <c r="CL21" s="110" t="n">
        <v>1893198.75</v>
      </c>
      <c r="CM21" s="110" t="n">
        <v>27240.25</v>
      </c>
      <c r="CN21" s="110" t="n">
        <v>490</v>
      </c>
      <c r="CO21" s="110" t="n">
        <v>36211.94</v>
      </c>
      <c r="CP21" s="110" t="n">
        <v>1186800.3</v>
      </c>
      <c r="CQ21" s="110" t="n">
        <v>556781.03</v>
      </c>
      <c r="CR21" s="110" t="n">
        <v>344506.84</v>
      </c>
      <c r="CS21" s="110" t="n">
        <v>0</v>
      </c>
      <c r="CT21" s="110" t="n">
        <v>0</v>
      </c>
      <c r="CU21" s="110" t="n">
        <v>0</v>
      </c>
      <c r="CV21" s="111" t="n">
        <v>7156</v>
      </c>
      <c r="CW21" s="111" t="n">
        <v>5087</v>
      </c>
      <c r="CX21" s="111" t="n">
        <v>4674</v>
      </c>
      <c r="CY21" s="111" t="n">
        <v>413</v>
      </c>
      <c r="CZ21" s="111" t="n">
        <v>2069</v>
      </c>
      <c r="DA21" s="111" t="n">
        <v>890</v>
      </c>
      <c r="DB21" s="111" t="n">
        <v>1179</v>
      </c>
      <c r="DC21" s="111" t="n">
        <v>2214</v>
      </c>
      <c r="DD21" s="111" t="n">
        <v>0</v>
      </c>
      <c r="DE21" s="111" t="n">
        <v>1621</v>
      </c>
      <c r="DF21" s="111" t="n">
        <v>1506</v>
      </c>
      <c r="DG21" s="111" t="n">
        <v>115</v>
      </c>
      <c r="DH21" s="111" t="n">
        <v>593</v>
      </c>
      <c r="DI21" s="111" t="n">
        <v>248</v>
      </c>
      <c r="DJ21" s="111" t="n">
        <v>345</v>
      </c>
      <c r="DK21" s="111" t="n">
        <v>4424</v>
      </c>
      <c r="DL21" s="111" t="n">
        <v>3327</v>
      </c>
      <c r="DM21" s="111" t="n">
        <v>3069</v>
      </c>
      <c r="DN21" s="111" t="n">
        <v>258</v>
      </c>
      <c r="DO21" s="111" t="n">
        <v>1097</v>
      </c>
      <c r="DP21" s="111" t="n">
        <v>500</v>
      </c>
      <c r="DQ21" s="111" t="n">
        <v>597</v>
      </c>
      <c r="DR21" s="111" t="n">
        <v>516</v>
      </c>
      <c r="DS21" s="111" t="n">
        <v>0</v>
      </c>
      <c r="DT21" s="111" t="n">
        <v>139</v>
      </c>
      <c r="DU21" s="111" t="n">
        <v>99</v>
      </c>
      <c r="DV21" s="111" t="n">
        <v>40</v>
      </c>
      <c r="DW21" s="111" t="n">
        <v>377</v>
      </c>
      <c r="DX21" s="111" t="n">
        <v>141</v>
      </c>
      <c r="DY21" s="111" t="n">
        <v>236</v>
      </c>
      <c r="DZ21" s="111" t="n">
        <v>2</v>
      </c>
      <c r="EA21" s="111" t="n">
        <v>0</v>
      </c>
      <c r="EB21" s="111" t="n">
        <v>0</v>
      </c>
      <c r="EC21" s="111" t="n">
        <v>0</v>
      </c>
      <c r="ED21" s="111" t="n">
        <v>2</v>
      </c>
      <c r="EE21" s="111" t="n">
        <v>1</v>
      </c>
      <c r="EF21" s="111" t="n">
        <v>1</v>
      </c>
      <c r="EG21" s="111" t="n">
        <v>570</v>
      </c>
      <c r="EH21" s="111" t="n">
        <v>381</v>
      </c>
      <c r="EI21" s="111" t="n">
        <v>355</v>
      </c>
      <c r="EJ21" s="111" t="n">
        <v>26</v>
      </c>
      <c r="EK21" s="111" t="n">
        <v>189</v>
      </c>
      <c r="EL21" s="111" t="n">
        <v>185</v>
      </c>
      <c r="EM21" s="111" t="n">
        <v>4</v>
      </c>
      <c r="EN21" s="111" t="n">
        <v>529</v>
      </c>
      <c r="EO21" s="111" t="n">
        <v>522</v>
      </c>
      <c r="EP21" s="111" t="n">
        <v>0</v>
      </c>
      <c r="EQ21" s="111" t="n">
        <v>7</v>
      </c>
      <c r="ER21" s="111" t="n">
        <v>117</v>
      </c>
      <c r="ES21" s="111" t="n">
        <v>0</v>
      </c>
      <c r="ET21" s="111" t="n">
        <v>0</v>
      </c>
      <c r="EU21" s="111" t="n">
        <v>1</v>
      </c>
      <c r="EV21" s="111" t="n">
        <v>1</v>
      </c>
      <c r="EW21" s="111" t="n">
        <v>0</v>
      </c>
      <c r="EX21" s="111" t="n">
        <v>0</v>
      </c>
      <c r="EY21" s="111" t="n">
        <v>429</v>
      </c>
      <c r="EZ21" s="111" t="n">
        <v>429</v>
      </c>
      <c r="FA21" s="111" t="n">
        <v>0</v>
      </c>
      <c r="FB21" s="111" t="n">
        <v>433</v>
      </c>
    </row>
    <row r="22" ht="19.5" customHeight="1" s="247">
      <c r="A22" s="107" t="n">
        <v>19</v>
      </c>
      <c r="B22" s="107" t="inlineStr">
        <is>
          <t>成人手术</t>
        </is>
      </c>
      <c r="C22" s="107" t="inlineStr">
        <is>
          <t>移植科</t>
        </is>
      </c>
      <c r="D22" s="110" t="n">
        <v>365128.75</v>
      </c>
      <c r="E22" s="110" t="n">
        <v>5276</v>
      </c>
      <c r="F22" s="110" t="n">
        <v>359852.75</v>
      </c>
      <c r="G22" s="110" t="n">
        <v>17</v>
      </c>
      <c r="H22" s="110" t="n">
        <v>25</v>
      </c>
      <c r="I22" s="110" t="n">
        <v>18</v>
      </c>
      <c r="J22" s="110" t="n">
        <v>0</v>
      </c>
      <c r="K22" s="110" t="n">
        <v>0</v>
      </c>
      <c r="L22" s="110" t="n">
        <v>44966.5</v>
      </c>
      <c r="M22" s="110" t="n">
        <v>58562.75</v>
      </c>
      <c r="N22" s="110" t="n">
        <v>0</v>
      </c>
      <c r="O22" s="110" t="n">
        <v>825274.33</v>
      </c>
      <c r="P22" s="110" t="n">
        <v>227356.96</v>
      </c>
      <c r="Q22" s="110" t="n">
        <v>227356.96</v>
      </c>
      <c r="R22" s="110" t="n">
        <v>0</v>
      </c>
      <c r="S22" s="110" t="n">
        <v>597917.37</v>
      </c>
      <c r="T22" s="110" t="n">
        <v>597827.37</v>
      </c>
      <c r="U22" s="110" t="n">
        <v>90</v>
      </c>
      <c r="V22" s="110" t="n">
        <v>20627.73</v>
      </c>
      <c r="W22" s="110" t="n">
        <v>11459.68</v>
      </c>
      <c r="X22" s="110" t="n">
        <v>11459.68</v>
      </c>
      <c r="Y22" s="110" t="n">
        <v>0</v>
      </c>
      <c r="Z22" s="110" t="n">
        <v>9168.049999999999</v>
      </c>
      <c r="AA22" s="110" t="n">
        <v>9078.049999999999</v>
      </c>
      <c r="AB22" s="110" t="n">
        <v>90</v>
      </c>
      <c r="AC22" s="110" t="n">
        <v>15308.73</v>
      </c>
      <c r="AD22" s="110" t="n">
        <v>8492.68</v>
      </c>
      <c r="AE22" s="110" t="n">
        <v>8492.68</v>
      </c>
      <c r="AF22" s="110" t="n">
        <v>0</v>
      </c>
      <c r="AG22" s="110" t="n">
        <v>6816.05</v>
      </c>
      <c r="AH22" s="110" t="n">
        <v>6816.05</v>
      </c>
      <c r="AI22" s="110" t="n">
        <v>0</v>
      </c>
      <c r="AJ22" s="110" t="n">
        <v>43</v>
      </c>
      <c r="AK22" s="110" t="n">
        <v>0</v>
      </c>
      <c r="AL22" s="110" t="n">
        <v>0</v>
      </c>
      <c r="AM22" s="110" t="n">
        <v>0</v>
      </c>
      <c r="AN22" s="110" t="n">
        <v>43</v>
      </c>
      <c r="AO22" s="110" t="n">
        <v>43</v>
      </c>
      <c r="AP22" s="110" t="n">
        <v>0</v>
      </c>
      <c r="AQ22" s="110" t="n">
        <v>4513</v>
      </c>
      <c r="AR22" s="110" t="n">
        <v>2471</v>
      </c>
      <c r="AS22" s="110" t="n">
        <v>2471</v>
      </c>
      <c r="AT22" s="110" t="n">
        <v>0</v>
      </c>
      <c r="AU22" s="110" t="n">
        <v>2042</v>
      </c>
      <c r="AV22" s="110" t="n">
        <v>2042</v>
      </c>
      <c r="AW22" s="110" t="n">
        <v>0</v>
      </c>
      <c r="AX22" s="110" t="n">
        <v>763</v>
      </c>
      <c r="AY22" s="110" t="n">
        <v>496</v>
      </c>
      <c r="AZ22" s="110" t="n">
        <v>496</v>
      </c>
      <c r="BA22" s="110" t="n">
        <v>0</v>
      </c>
      <c r="BB22" s="110" t="n">
        <v>267</v>
      </c>
      <c r="BC22" s="110" t="n">
        <v>177</v>
      </c>
      <c r="BD22" s="110" t="n">
        <v>90</v>
      </c>
      <c r="BE22" s="110" t="n">
        <v>804646.6</v>
      </c>
      <c r="BF22" s="110" t="n">
        <v>215897.28</v>
      </c>
      <c r="BG22" s="110" t="n">
        <v>215897.28</v>
      </c>
      <c r="BH22" s="110" t="n">
        <v>0</v>
      </c>
      <c r="BI22" s="110" t="n">
        <v>588749.3199999999</v>
      </c>
      <c r="BJ22" s="110" t="n">
        <v>588749.3199999999</v>
      </c>
      <c r="BK22" s="110" t="n">
        <v>0</v>
      </c>
      <c r="BL22" s="110" t="n">
        <v>249029.64</v>
      </c>
      <c r="BM22" s="110" t="n">
        <v>44553.53</v>
      </c>
      <c r="BN22" s="110" t="n">
        <v>44553.53</v>
      </c>
      <c r="BO22" s="110" t="n">
        <v>0</v>
      </c>
      <c r="BP22" s="110" t="n">
        <v>204476.11</v>
      </c>
      <c r="BQ22" s="110" t="n">
        <v>204476.11</v>
      </c>
      <c r="BR22" s="110" t="n">
        <v>0</v>
      </c>
      <c r="BS22" s="110" t="n">
        <v>195764.21</v>
      </c>
      <c r="BT22" s="110" t="n">
        <v>58169</v>
      </c>
      <c r="BU22" s="110" t="n">
        <v>58169</v>
      </c>
      <c r="BV22" s="110" t="n">
        <v>0</v>
      </c>
      <c r="BW22" s="110" t="n">
        <v>137595.21</v>
      </c>
      <c r="BX22" s="110" t="n">
        <v>137595.21</v>
      </c>
      <c r="BY22" s="110" t="n">
        <v>0</v>
      </c>
      <c r="BZ22" s="110" t="n">
        <v>114434</v>
      </c>
      <c r="CA22" s="110" t="n">
        <v>28352</v>
      </c>
      <c r="CB22" s="110" t="n">
        <v>28352</v>
      </c>
      <c r="CC22" s="110" t="n">
        <v>0</v>
      </c>
      <c r="CD22" s="110" t="n">
        <v>86082</v>
      </c>
      <c r="CE22" s="110" t="n">
        <v>86082</v>
      </c>
      <c r="CF22" s="110" t="n">
        <v>0</v>
      </c>
      <c r="CG22" s="110" t="n">
        <v>245418.75</v>
      </c>
      <c r="CH22" s="110" t="n">
        <v>84822.75</v>
      </c>
      <c r="CI22" s="110" t="n">
        <v>84822.75</v>
      </c>
      <c r="CJ22" s="110" t="n">
        <v>0</v>
      </c>
      <c r="CK22" s="110" t="n">
        <v>160596</v>
      </c>
      <c r="CL22" s="110" t="n">
        <v>160596</v>
      </c>
      <c r="CM22" s="110" t="n">
        <v>0</v>
      </c>
      <c r="CN22" s="110" t="n">
        <v>0</v>
      </c>
      <c r="CO22" s="110" t="n">
        <v>25</v>
      </c>
      <c r="CP22" s="110" t="n">
        <v>20602.73</v>
      </c>
      <c r="CQ22" s="110" t="n">
        <v>0</v>
      </c>
      <c r="CR22" s="110" t="n">
        <v>0</v>
      </c>
      <c r="CS22" s="110" t="n">
        <v>0</v>
      </c>
      <c r="CT22" s="110" t="n">
        <v>0</v>
      </c>
      <c r="CU22" s="110" t="n">
        <v>0</v>
      </c>
      <c r="CV22" s="111" t="n">
        <v>17</v>
      </c>
      <c r="CW22" s="111" t="n">
        <v>11</v>
      </c>
      <c r="CX22" s="111" t="n">
        <v>11</v>
      </c>
      <c r="CY22" s="111" t="n">
        <v>0</v>
      </c>
      <c r="CZ22" s="111" t="n">
        <v>6</v>
      </c>
      <c r="DA22" s="111" t="n">
        <v>4</v>
      </c>
      <c r="DB22" s="111" t="n">
        <v>2</v>
      </c>
      <c r="DC22" s="111" t="n">
        <v>1</v>
      </c>
      <c r="DD22" s="111" t="n">
        <v>0</v>
      </c>
      <c r="DE22" s="111" t="n">
        <v>0</v>
      </c>
      <c r="DF22" s="111" t="n">
        <v>0</v>
      </c>
      <c r="DG22" s="111" t="n">
        <v>0</v>
      </c>
      <c r="DH22" s="111" t="n">
        <v>1</v>
      </c>
      <c r="DI22" s="111" t="n">
        <v>1</v>
      </c>
      <c r="DJ22" s="111" t="n">
        <v>0</v>
      </c>
      <c r="DK22" s="111" t="n">
        <v>16</v>
      </c>
      <c r="DL22" s="111" t="n">
        <v>11</v>
      </c>
      <c r="DM22" s="111" t="n">
        <v>11</v>
      </c>
      <c r="DN22" s="111" t="n">
        <v>0</v>
      </c>
      <c r="DO22" s="111" t="n">
        <v>5</v>
      </c>
      <c r="DP22" s="111" t="n">
        <v>3</v>
      </c>
      <c r="DQ22" s="111" t="n">
        <v>2</v>
      </c>
      <c r="DR22" s="111" t="n">
        <v>0</v>
      </c>
      <c r="DS22" s="111" t="n">
        <v>0</v>
      </c>
      <c r="DT22" s="111" t="n">
        <v>0</v>
      </c>
      <c r="DU22" s="111" t="n">
        <v>0</v>
      </c>
      <c r="DV22" s="111" t="n">
        <v>0</v>
      </c>
      <c r="DW22" s="111" t="n">
        <v>0</v>
      </c>
      <c r="DX22" s="111" t="n">
        <v>0</v>
      </c>
      <c r="DY22" s="111" t="n">
        <v>0</v>
      </c>
      <c r="DZ22" s="111" t="n">
        <v>0</v>
      </c>
      <c r="EA22" s="111" t="n">
        <v>0</v>
      </c>
      <c r="EB22" s="111" t="n">
        <v>0</v>
      </c>
      <c r="EC22" s="111" t="n">
        <v>0</v>
      </c>
      <c r="ED22" s="111" t="n">
        <v>0</v>
      </c>
      <c r="EE22" s="111" t="n">
        <v>0</v>
      </c>
      <c r="EF22" s="111" t="n">
        <v>0</v>
      </c>
      <c r="EG22" s="111" t="n">
        <v>25</v>
      </c>
      <c r="EH22" s="111" t="n">
        <v>10</v>
      </c>
      <c r="EI22" s="111" t="n">
        <v>10</v>
      </c>
      <c r="EJ22" s="111" t="n">
        <v>0</v>
      </c>
      <c r="EK22" s="111" t="n">
        <v>15</v>
      </c>
      <c r="EL22" s="111" t="n">
        <v>15</v>
      </c>
      <c r="EM22" s="111" t="n">
        <v>0</v>
      </c>
      <c r="EN22" s="111" t="n">
        <v>17</v>
      </c>
      <c r="EO22" s="111" t="n">
        <v>13</v>
      </c>
      <c r="EP22" s="111" t="n">
        <v>0</v>
      </c>
      <c r="EQ22" s="111" t="n">
        <v>4</v>
      </c>
      <c r="ER22" s="111" t="n">
        <v>5</v>
      </c>
      <c r="ES22" s="111" t="n">
        <v>0</v>
      </c>
      <c r="ET22" s="111" t="n">
        <v>0</v>
      </c>
      <c r="EU22" s="111" t="n">
        <v>4</v>
      </c>
      <c r="EV22" s="111" t="n">
        <v>4</v>
      </c>
      <c r="EW22" s="111" t="n">
        <v>0</v>
      </c>
      <c r="EX22" s="111" t="n">
        <v>0</v>
      </c>
      <c r="EY22" s="111" t="n">
        <v>5</v>
      </c>
      <c r="EZ22" s="111" t="n">
        <v>5</v>
      </c>
      <c r="FA22" s="111" t="n">
        <v>0</v>
      </c>
      <c r="FB22" s="111" t="n">
        <v>0</v>
      </c>
    </row>
    <row r="23" ht="19.5" customHeight="1" s="247">
      <c r="A23" s="107" t="n">
        <v>20</v>
      </c>
      <c r="B23" s="107" t="inlineStr">
        <is>
          <t>成人手术</t>
        </is>
      </c>
      <c r="C23" s="107" t="inlineStr">
        <is>
          <t>乳腺外科</t>
        </is>
      </c>
      <c r="D23" s="110" t="n">
        <v>3443264.75</v>
      </c>
      <c r="E23" s="110" t="n">
        <v>1608198</v>
      </c>
      <c r="F23" s="110" t="n">
        <v>1835066.75</v>
      </c>
      <c r="G23" s="110" t="n">
        <v>4199</v>
      </c>
      <c r="H23" s="110" t="n">
        <v>170</v>
      </c>
      <c r="I23" s="110" t="n">
        <v>11989</v>
      </c>
      <c r="J23" s="110" t="n">
        <v>950</v>
      </c>
      <c r="K23" s="110" t="n">
        <v>15</v>
      </c>
      <c r="L23" s="110" t="n">
        <v>89963.75</v>
      </c>
      <c r="M23" s="110" t="n">
        <v>599264</v>
      </c>
      <c r="N23" s="110" t="n">
        <v>0</v>
      </c>
      <c r="O23" s="110" t="n">
        <v>6358829.58</v>
      </c>
      <c r="P23" s="110" t="n">
        <v>4368541.8</v>
      </c>
      <c r="Q23" s="110" t="n">
        <v>4258287.39</v>
      </c>
      <c r="R23" s="110" t="n">
        <v>110254.41</v>
      </c>
      <c r="S23" s="110" t="n">
        <v>1990287.78</v>
      </c>
      <c r="T23" s="110" t="n">
        <v>1896934.09</v>
      </c>
      <c r="U23" s="110" t="n">
        <v>93353.69</v>
      </c>
      <c r="V23" s="110" t="n">
        <v>3544165.38</v>
      </c>
      <c r="W23" s="110" t="n">
        <v>2778554.6</v>
      </c>
      <c r="X23" s="110" t="n">
        <v>2704473.12</v>
      </c>
      <c r="Y23" s="110" t="n">
        <v>74081.48</v>
      </c>
      <c r="Z23" s="110" t="n">
        <v>765610.78</v>
      </c>
      <c r="AA23" s="110" t="n">
        <v>685160.67</v>
      </c>
      <c r="AB23" s="110" t="n">
        <v>80450.11</v>
      </c>
      <c r="AC23" s="110" t="n">
        <v>1889589.94</v>
      </c>
      <c r="AD23" s="110" t="n">
        <v>1444933.91</v>
      </c>
      <c r="AE23" s="110" t="n">
        <v>1418252.85</v>
      </c>
      <c r="AF23" s="110" t="n">
        <v>26681.06</v>
      </c>
      <c r="AG23" s="110" t="n">
        <v>444656.03</v>
      </c>
      <c r="AH23" s="110" t="n">
        <v>434129.92</v>
      </c>
      <c r="AI23" s="110" t="n">
        <v>10526.11</v>
      </c>
      <c r="AJ23" s="110" t="n">
        <v>46377.44</v>
      </c>
      <c r="AK23" s="110" t="n">
        <v>34649.69</v>
      </c>
      <c r="AL23" s="110" t="n">
        <v>33750.27</v>
      </c>
      <c r="AM23" s="110" t="n">
        <v>899.42</v>
      </c>
      <c r="AN23" s="110" t="n">
        <v>11727.75</v>
      </c>
      <c r="AO23" s="110" t="n">
        <v>10824.75</v>
      </c>
      <c r="AP23" s="110" t="n">
        <v>903</v>
      </c>
      <c r="AQ23" s="110" t="n">
        <v>1384340</v>
      </c>
      <c r="AR23" s="110" t="n">
        <v>1126719</v>
      </c>
      <c r="AS23" s="110" t="n">
        <v>1086954</v>
      </c>
      <c r="AT23" s="110" t="n">
        <v>39765</v>
      </c>
      <c r="AU23" s="110" t="n">
        <v>257621</v>
      </c>
      <c r="AV23" s="110" t="n">
        <v>203779</v>
      </c>
      <c r="AW23" s="110" t="n">
        <v>53842</v>
      </c>
      <c r="AX23" s="110" t="n">
        <v>223858</v>
      </c>
      <c r="AY23" s="110" t="n">
        <v>172252</v>
      </c>
      <c r="AZ23" s="110" t="n">
        <v>165516</v>
      </c>
      <c r="BA23" s="110" t="n">
        <v>6736</v>
      </c>
      <c r="BB23" s="110" t="n">
        <v>51606</v>
      </c>
      <c r="BC23" s="110" t="n">
        <v>36427</v>
      </c>
      <c r="BD23" s="110" t="n">
        <v>15179</v>
      </c>
      <c r="BE23" s="110" t="n">
        <v>2814664.2</v>
      </c>
      <c r="BF23" s="110" t="n">
        <v>1589987.2</v>
      </c>
      <c r="BG23" s="110" t="n">
        <v>1553814.27</v>
      </c>
      <c r="BH23" s="110" t="n">
        <v>36172.93</v>
      </c>
      <c r="BI23" s="110" t="n">
        <v>1224677</v>
      </c>
      <c r="BJ23" s="110" t="n">
        <v>1211773.42</v>
      </c>
      <c r="BK23" s="110" t="n">
        <v>12903.58</v>
      </c>
      <c r="BL23" s="110" t="n">
        <v>473428.9</v>
      </c>
      <c r="BM23" s="110" t="n">
        <v>218172.29</v>
      </c>
      <c r="BN23" s="110" t="n">
        <v>204226</v>
      </c>
      <c r="BO23" s="110" t="n">
        <v>13946.29</v>
      </c>
      <c r="BP23" s="110" t="n">
        <v>255256.61</v>
      </c>
      <c r="BQ23" s="110" t="n">
        <v>252894.77</v>
      </c>
      <c r="BR23" s="110" t="n">
        <v>2361.84</v>
      </c>
      <c r="BS23" s="110" t="n">
        <v>506168.55</v>
      </c>
      <c r="BT23" s="110" t="n">
        <v>303110.41</v>
      </c>
      <c r="BU23" s="110" t="n">
        <v>303037.77</v>
      </c>
      <c r="BV23" s="110" t="n">
        <v>72.64</v>
      </c>
      <c r="BW23" s="110" t="n">
        <v>203058.14</v>
      </c>
      <c r="BX23" s="110" t="n">
        <v>198657.65</v>
      </c>
      <c r="BY23" s="110" t="n">
        <v>4400.49</v>
      </c>
      <c r="BZ23" s="110" t="n">
        <v>866059</v>
      </c>
      <c r="CA23" s="110" t="n">
        <v>474525</v>
      </c>
      <c r="CB23" s="110" t="n">
        <v>470595</v>
      </c>
      <c r="CC23" s="110" t="n">
        <v>3930</v>
      </c>
      <c r="CD23" s="110" t="n">
        <v>391534</v>
      </c>
      <c r="CE23" s="110" t="n">
        <v>391248</v>
      </c>
      <c r="CF23" s="110" t="n">
        <v>286</v>
      </c>
      <c r="CG23" s="110" t="n">
        <v>969007.75</v>
      </c>
      <c r="CH23" s="110" t="n">
        <v>594179.5</v>
      </c>
      <c r="CI23" s="110" t="n">
        <v>575955.5</v>
      </c>
      <c r="CJ23" s="110" t="n">
        <v>18224</v>
      </c>
      <c r="CK23" s="110" t="n">
        <v>374828.25</v>
      </c>
      <c r="CL23" s="110" t="n">
        <v>368973</v>
      </c>
      <c r="CM23" s="110" t="n">
        <v>5855.25</v>
      </c>
      <c r="CN23" s="110" t="n">
        <v>0</v>
      </c>
      <c r="CO23" s="110" t="n">
        <v>1719319.4</v>
      </c>
      <c r="CP23" s="110" t="n">
        <v>1520566.13</v>
      </c>
      <c r="CQ23" s="110" t="n">
        <v>0</v>
      </c>
      <c r="CR23" s="110" t="n">
        <v>269933.77</v>
      </c>
      <c r="CS23" s="110" t="n">
        <v>34346.08</v>
      </c>
      <c r="CT23" s="110" t="n">
        <v>36172.93</v>
      </c>
      <c r="CU23" s="110" t="n">
        <v>0</v>
      </c>
      <c r="CV23" s="111" t="n">
        <v>4199</v>
      </c>
      <c r="CW23" s="111" t="n">
        <v>3476</v>
      </c>
      <c r="CX23" s="111" t="n">
        <v>3347</v>
      </c>
      <c r="CY23" s="111" t="n">
        <v>129</v>
      </c>
      <c r="CZ23" s="111" t="n">
        <v>723</v>
      </c>
      <c r="DA23" s="111" t="n">
        <v>543</v>
      </c>
      <c r="DB23" s="111" t="n">
        <v>180</v>
      </c>
      <c r="DC23" s="111" t="n">
        <v>1958</v>
      </c>
      <c r="DD23" s="111" t="n">
        <v>5</v>
      </c>
      <c r="DE23" s="111" t="n">
        <v>1675</v>
      </c>
      <c r="DF23" s="111" t="n">
        <v>1633</v>
      </c>
      <c r="DG23" s="111" t="n">
        <v>42</v>
      </c>
      <c r="DH23" s="111" t="n">
        <v>283</v>
      </c>
      <c r="DI23" s="111" t="n">
        <v>224</v>
      </c>
      <c r="DJ23" s="111" t="n">
        <v>59</v>
      </c>
      <c r="DK23" s="111" t="n">
        <v>1977</v>
      </c>
      <c r="DL23" s="111" t="n">
        <v>1605</v>
      </c>
      <c r="DM23" s="111" t="n">
        <v>1526</v>
      </c>
      <c r="DN23" s="111" t="n">
        <v>79</v>
      </c>
      <c r="DO23" s="111" t="n">
        <v>372</v>
      </c>
      <c r="DP23" s="111" t="n">
        <v>274</v>
      </c>
      <c r="DQ23" s="111" t="n">
        <v>98</v>
      </c>
      <c r="DR23" s="111" t="n">
        <v>259</v>
      </c>
      <c r="DS23" s="111" t="n">
        <v>0</v>
      </c>
      <c r="DT23" s="111" t="n">
        <v>191</v>
      </c>
      <c r="DU23" s="111" t="n">
        <v>183</v>
      </c>
      <c r="DV23" s="111" t="n">
        <v>8</v>
      </c>
      <c r="DW23" s="111" t="n">
        <v>68</v>
      </c>
      <c r="DX23" s="111" t="n">
        <v>45</v>
      </c>
      <c r="DY23" s="111" t="n">
        <v>23</v>
      </c>
      <c r="DZ23" s="111" t="n">
        <v>0</v>
      </c>
      <c r="EA23" s="111" t="n">
        <v>0</v>
      </c>
      <c r="EB23" s="111" t="n">
        <v>0</v>
      </c>
      <c r="EC23" s="111" t="n">
        <v>0</v>
      </c>
      <c r="ED23" s="111" t="n">
        <v>0</v>
      </c>
      <c r="EE23" s="111" t="n">
        <v>0</v>
      </c>
      <c r="EF23" s="111" t="n">
        <v>0</v>
      </c>
      <c r="EG23" s="111" t="n">
        <v>170</v>
      </c>
      <c r="EH23" s="111" t="n">
        <v>94</v>
      </c>
      <c r="EI23" s="111" t="n">
        <v>93</v>
      </c>
      <c r="EJ23" s="111" t="n">
        <v>1</v>
      </c>
      <c r="EK23" s="111" t="n">
        <v>76</v>
      </c>
      <c r="EL23" s="111" t="n">
        <v>75</v>
      </c>
      <c r="EM23" s="111" t="n">
        <v>1</v>
      </c>
      <c r="EN23" s="111" t="n">
        <v>158</v>
      </c>
      <c r="EO23" s="111" t="n">
        <v>136</v>
      </c>
      <c r="EP23" s="111" t="n">
        <v>0</v>
      </c>
      <c r="EQ23" s="111" t="n">
        <v>22</v>
      </c>
      <c r="ER23" s="111" t="n">
        <v>0</v>
      </c>
      <c r="ES23" s="111" t="n">
        <v>0</v>
      </c>
      <c r="ET23" s="111" t="n">
        <v>0</v>
      </c>
      <c r="EU23" s="111" t="n">
        <v>110</v>
      </c>
      <c r="EV23" s="111" t="n">
        <v>110</v>
      </c>
      <c r="EW23" s="111" t="n">
        <v>0</v>
      </c>
      <c r="EX23" s="111" t="n">
        <v>0</v>
      </c>
      <c r="EY23" s="111" t="n">
        <v>1</v>
      </c>
      <c r="EZ23" s="111" t="n">
        <v>1</v>
      </c>
      <c r="FA23" s="111" t="n">
        <v>0</v>
      </c>
      <c r="FB23" s="111" t="n">
        <v>48</v>
      </c>
    </row>
    <row r="24" ht="19.5" customHeight="1" s="247">
      <c r="A24" s="107" t="n">
        <v>21</v>
      </c>
      <c r="B24" s="107" t="inlineStr">
        <is>
          <t>成人手术</t>
        </is>
      </c>
      <c r="C24" s="107" t="inlineStr">
        <is>
          <t>介入血管外科</t>
        </is>
      </c>
      <c r="D24" s="110" t="n">
        <v>1957788</v>
      </c>
      <c r="E24" s="110" t="n">
        <v>320104</v>
      </c>
      <c r="F24" s="110" t="n">
        <v>1637684</v>
      </c>
      <c r="G24" s="110" t="n">
        <v>1587</v>
      </c>
      <c r="H24" s="110" t="n">
        <v>282</v>
      </c>
      <c r="I24" s="110" t="n">
        <v>673</v>
      </c>
      <c r="J24" s="110" t="n">
        <v>0</v>
      </c>
      <c r="K24" s="110" t="n">
        <v>0</v>
      </c>
      <c r="L24" s="110" t="n">
        <v>284907</v>
      </c>
      <c r="M24" s="110" t="n">
        <v>186022.5</v>
      </c>
      <c r="N24" s="110" t="n">
        <v>0</v>
      </c>
      <c r="O24" s="110" t="n">
        <v>13117990.46</v>
      </c>
      <c r="P24" s="110" t="n">
        <v>9287685.960000001</v>
      </c>
      <c r="Q24" s="110" t="n">
        <v>9222763.539999999</v>
      </c>
      <c r="R24" s="110" t="n">
        <v>64922.42</v>
      </c>
      <c r="S24" s="110" t="n">
        <v>3830304.5</v>
      </c>
      <c r="T24" s="110" t="n">
        <v>3787666.46</v>
      </c>
      <c r="U24" s="110" t="n">
        <v>42638.04</v>
      </c>
      <c r="V24" s="110" t="n">
        <v>605768.27</v>
      </c>
      <c r="W24" s="110" t="n">
        <v>512669.65</v>
      </c>
      <c r="X24" s="110" t="n">
        <v>483660.23</v>
      </c>
      <c r="Y24" s="110" t="n">
        <v>29009.42</v>
      </c>
      <c r="Z24" s="110" t="n">
        <v>93098.62</v>
      </c>
      <c r="AA24" s="110" t="n">
        <v>70808.58</v>
      </c>
      <c r="AB24" s="110" t="n">
        <v>22290.04</v>
      </c>
      <c r="AC24" s="110" t="n">
        <v>283508.77</v>
      </c>
      <c r="AD24" s="110" t="n">
        <v>247796.15</v>
      </c>
      <c r="AE24" s="110" t="n">
        <v>237204.73</v>
      </c>
      <c r="AF24" s="110" t="n">
        <v>10591.42</v>
      </c>
      <c r="AG24" s="110" t="n">
        <v>35712.62</v>
      </c>
      <c r="AH24" s="110" t="n">
        <v>27252.58</v>
      </c>
      <c r="AI24" s="110" t="n">
        <v>8460.040000000001</v>
      </c>
      <c r="AJ24" s="110" t="n">
        <v>2155.5</v>
      </c>
      <c r="AK24" s="110" t="n">
        <v>1596.5</v>
      </c>
      <c r="AL24" s="110" t="n">
        <v>1510.5</v>
      </c>
      <c r="AM24" s="110" t="n">
        <v>86</v>
      </c>
      <c r="AN24" s="110" t="n">
        <v>559</v>
      </c>
      <c r="AO24" s="110" t="n">
        <v>473</v>
      </c>
      <c r="AP24" s="110" t="n">
        <v>86</v>
      </c>
      <c r="AQ24" s="110" t="n">
        <v>256871</v>
      </c>
      <c r="AR24" s="110" t="n">
        <v>211079</v>
      </c>
      <c r="AS24" s="110" t="n">
        <v>195512</v>
      </c>
      <c r="AT24" s="110" t="n">
        <v>15567</v>
      </c>
      <c r="AU24" s="110" t="n">
        <v>45792</v>
      </c>
      <c r="AV24" s="110" t="n">
        <v>34668</v>
      </c>
      <c r="AW24" s="110" t="n">
        <v>11124</v>
      </c>
      <c r="AX24" s="110" t="n">
        <v>63233</v>
      </c>
      <c r="AY24" s="110" t="n">
        <v>52198</v>
      </c>
      <c r="AZ24" s="110" t="n">
        <v>49433</v>
      </c>
      <c r="BA24" s="110" t="n">
        <v>2765</v>
      </c>
      <c r="BB24" s="110" t="n">
        <v>11035</v>
      </c>
      <c r="BC24" s="110" t="n">
        <v>8415</v>
      </c>
      <c r="BD24" s="110" t="n">
        <v>2620</v>
      </c>
      <c r="BE24" s="110" t="n">
        <v>12512222.19</v>
      </c>
      <c r="BF24" s="110" t="n">
        <v>8775016.310000001</v>
      </c>
      <c r="BG24" s="110" t="n">
        <v>8739103.310000001</v>
      </c>
      <c r="BH24" s="110" t="n">
        <v>35913</v>
      </c>
      <c r="BI24" s="110" t="n">
        <v>3737205.88</v>
      </c>
      <c r="BJ24" s="110" t="n">
        <v>3716857.88</v>
      </c>
      <c r="BK24" s="110" t="n">
        <v>20348</v>
      </c>
      <c r="BL24" s="110" t="n">
        <v>604870.76</v>
      </c>
      <c r="BM24" s="110" t="n">
        <v>413882.72</v>
      </c>
      <c r="BN24" s="110" t="n">
        <v>413882.72</v>
      </c>
      <c r="BO24" s="110" t="n">
        <v>0</v>
      </c>
      <c r="BP24" s="110" t="n">
        <v>190988.04</v>
      </c>
      <c r="BQ24" s="110" t="n">
        <v>190988.04</v>
      </c>
      <c r="BR24" s="110" t="n">
        <v>0</v>
      </c>
      <c r="BS24" s="110" t="n">
        <v>10269667.43</v>
      </c>
      <c r="BT24" s="110" t="n">
        <v>7247030.09</v>
      </c>
      <c r="BU24" s="110" t="n">
        <v>7211117.09</v>
      </c>
      <c r="BV24" s="110" t="n">
        <v>35913</v>
      </c>
      <c r="BW24" s="110" t="n">
        <v>3022637.34</v>
      </c>
      <c r="BX24" s="110" t="n">
        <v>3002289.34</v>
      </c>
      <c r="BY24" s="110" t="n">
        <v>20348</v>
      </c>
      <c r="BZ24" s="110" t="n">
        <v>1013761</v>
      </c>
      <c r="CA24" s="110" t="n">
        <v>708301</v>
      </c>
      <c r="CB24" s="110" t="n">
        <v>708301</v>
      </c>
      <c r="CC24" s="110" t="n">
        <v>0</v>
      </c>
      <c r="CD24" s="110" t="n">
        <v>305460</v>
      </c>
      <c r="CE24" s="110" t="n">
        <v>305460</v>
      </c>
      <c r="CF24" s="110" t="n">
        <v>0</v>
      </c>
      <c r="CG24" s="110" t="n">
        <v>623923</v>
      </c>
      <c r="CH24" s="110" t="n">
        <v>405802.5</v>
      </c>
      <c r="CI24" s="110" t="n">
        <v>405802.5</v>
      </c>
      <c r="CJ24" s="110" t="n">
        <v>0</v>
      </c>
      <c r="CK24" s="110" t="n">
        <v>218120.5</v>
      </c>
      <c r="CL24" s="110" t="n">
        <v>218120.5</v>
      </c>
      <c r="CM24" s="110" t="n">
        <v>0</v>
      </c>
      <c r="CN24" s="110" t="n">
        <v>0</v>
      </c>
      <c r="CO24" s="110" t="n">
        <v>3364.55</v>
      </c>
      <c r="CP24" s="110" t="n">
        <v>389763.67</v>
      </c>
      <c r="CQ24" s="110" t="n">
        <v>212640.05</v>
      </c>
      <c r="CR24" s="110" t="n">
        <v>0</v>
      </c>
      <c r="CS24" s="110" t="n">
        <v>0</v>
      </c>
      <c r="CT24" s="110" t="n">
        <v>38571</v>
      </c>
      <c r="CU24" s="110" t="n">
        <v>0</v>
      </c>
      <c r="CV24" s="111" t="n">
        <v>1587</v>
      </c>
      <c r="CW24" s="111" t="n">
        <v>1327</v>
      </c>
      <c r="CX24" s="111" t="n">
        <v>1262</v>
      </c>
      <c r="CY24" s="111" t="n">
        <v>65</v>
      </c>
      <c r="CZ24" s="111" t="n">
        <v>260</v>
      </c>
      <c r="DA24" s="111" t="n">
        <v>196</v>
      </c>
      <c r="DB24" s="111" t="n">
        <v>64</v>
      </c>
      <c r="DC24" s="111" t="n">
        <v>624</v>
      </c>
      <c r="DD24" s="111" t="n">
        <v>15</v>
      </c>
      <c r="DE24" s="111" t="n">
        <v>549</v>
      </c>
      <c r="DF24" s="111" t="n">
        <v>534</v>
      </c>
      <c r="DG24" s="111" t="n">
        <v>15</v>
      </c>
      <c r="DH24" s="111" t="n">
        <v>75</v>
      </c>
      <c r="DI24" s="111" t="n">
        <v>53</v>
      </c>
      <c r="DJ24" s="111" t="n">
        <v>22</v>
      </c>
      <c r="DK24" s="111" t="n">
        <v>948</v>
      </c>
      <c r="DL24" s="111" t="n">
        <v>763</v>
      </c>
      <c r="DM24" s="111" t="n">
        <v>715</v>
      </c>
      <c r="DN24" s="111" t="n">
        <v>48</v>
      </c>
      <c r="DO24" s="111" t="n">
        <v>185</v>
      </c>
      <c r="DP24" s="111" t="n">
        <v>143</v>
      </c>
      <c r="DQ24" s="111" t="n">
        <v>42</v>
      </c>
      <c r="DR24" s="111" t="n">
        <v>0</v>
      </c>
      <c r="DS24" s="111" t="n">
        <v>0</v>
      </c>
      <c r="DT24" s="111" t="n">
        <v>0</v>
      </c>
      <c r="DU24" s="111" t="n">
        <v>0</v>
      </c>
      <c r="DV24" s="111" t="n">
        <v>0</v>
      </c>
      <c r="DW24" s="111" t="n">
        <v>0</v>
      </c>
      <c r="DX24" s="111" t="n">
        <v>0</v>
      </c>
      <c r="DY24" s="111" t="n">
        <v>0</v>
      </c>
      <c r="DZ24" s="111" t="n">
        <v>0</v>
      </c>
      <c r="EA24" s="111" t="n">
        <v>0</v>
      </c>
      <c r="EB24" s="111" t="n">
        <v>0</v>
      </c>
      <c r="EC24" s="111" t="n">
        <v>0</v>
      </c>
      <c r="ED24" s="111" t="n">
        <v>0</v>
      </c>
      <c r="EE24" s="111" t="n">
        <v>0</v>
      </c>
      <c r="EF24" s="111" t="n">
        <v>0</v>
      </c>
      <c r="EG24" s="111" t="n">
        <v>282</v>
      </c>
      <c r="EH24" s="111" t="n">
        <v>194</v>
      </c>
      <c r="EI24" s="111" t="n">
        <v>194</v>
      </c>
      <c r="EJ24" s="111" t="n">
        <v>0</v>
      </c>
      <c r="EK24" s="111" t="n">
        <v>88</v>
      </c>
      <c r="EL24" s="111" t="n">
        <v>88</v>
      </c>
      <c r="EM24" s="111" t="n">
        <v>0</v>
      </c>
      <c r="EN24" s="111" t="n">
        <v>346</v>
      </c>
      <c r="EO24" s="111" t="n">
        <v>102</v>
      </c>
      <c r="EP24" s="111" t="n">
        <v>170</v>
      </c>
      <c r="EQ24" s="111" t="n">
        <v>74</v>
      </c>
      <c r="ER24" s="111" t="n">
        <v>0</v>
      </c>
      <c r="ES24" s="111" t="n">
        <v>0</v>
      </c>
      <c r="ET24" s="111" t="n">
        <v>0</v>
      </c>
      <c r="EU24" s="111" t="n">
        <v>122</v>
      </c>
      <c r="EV24" s="111" t="n">
        <v>0</v>
      </c>
      <c r="EW24" s="111" t="n">
        <v>122</v>
      </c>
      <c r="EX24" s="111" t="n">
        <v>0</v>
      </c>
      <c r="EY24" s="111" t="n">
        <v>16</v>
      </c>
      <c r="EZ24" s="111" t="n">
        <v>0</v>
      </c>
      <c r="FA24" s="111" t="n">
        <v>16</v>
      </c>
      <c r="FB24" s="111" t="n">
        <v>92</v>
      </c>
    </row>
    <row r="25" ht="19.5" customHeight="1" s="247">
      <c r="A25" s="107" t="n">
        <v>22</v>
      </c>
      <c r="B25" s="107" t="inlineStr">
        <is>
          <t>成人手术</t>
        </is>
      </c>
      <c r="C25" s="107" t="inlineStr">
        <is>
          <t>妇产科</t>
        </is>
      </c>
      <c r="D25" s="110" t="n">
        <v>12047326.6</v>
      </c>
      <c r="E25" s="110" t="n">
        <v>5080272</v>
      </c>
      <c r="F25" s="110" t="n">
        <v>6967054.6</v>
      </c>
      <c r="G25" s="110" t="n">
        <v>13397</v>
      </c>
      <c r="H25" s="110" t="n">
        <v>869</v>
      </c>
      <c r="I25" s="110" t="n">
        <v>86200</v>
      </c>
      <c r="J25" s="110" t="n">
        <v>8243</v>
      </c>
      <c r="K25" s="110" t="n">
        <v>27804.45</v>
      </c>
      <c r="L25" s="110" t="n">
        <v>576103.25</v>
      </c>
      <c r="M25" s="110" t="n">
        <v>1686978.5</v>
      </c>
      <c r="N25" s="110" t="n">
        <v>2580.65</v>
      </c>
      <c r="O25" s="110" t="n">
        <v>16518490.68</v>
      </c>
      <c r="P25" s="110" t="n">
        <v>12198229.97</v>
      </c>
      <c r="Q25" s="110" t="n">
        <v>9408647.75</v>
      </c>
      <c r="R25" s="110" t="n">
        <v>2789582.22</v>
      </c>
      <c r="S25" s="110" t="n">
        <v>4320260.71</v>
      </c>
      <c r="T25" s="110" t="n">
        <v>3119892.7</v>
      </c>
      <c r="U25" s="110" t="n">
        <v>1200368.01</v>
      </c>
      <c r="V25" s="110" t="n">
        <v>6189894.61</v>
      </c>
      <c r="W25" s="110" t="n">
        <v>4876062.41</v>
      </c>
      <c r="X25" s="110" t="n">
        <v>3505472.75</v>
      </c>
      <c r="Y25" s="110" t="n">
        <v>1370589.66</v>
      </c>
      <c r="Z25" s="110" t="n">
        <v>1313832.2</v>
      </c>
      <c r="AA25" s="110" t="n">
        <v>540140.12</v>
      </c>
      <c r="AB25" s="110" t="n">
        <v>773692.08</v>
      </c>
      <c r="AC25" s="110" t="n">
        <v>1099055.64</v>
      </c>
      <c r="AD25" s="110" t="n">
        <v>913962.34</v>
      </c>
      <c r="AE25" s="110" t="n">
        <v>854118.76</v>
      </c>
      <c r="AF25" s="110" t="n">
        <v>59843.58</v>
      </c>
      <c r="AG25" s="110" t="n">
        <v>185093.3</v>
      </c>
      <c r="AH25" s="110" t="n">
        <v>125845.04</v>
      </c>
      <c r="AI25" s="110" t="n">
        <v>59248.26</v>
      </c>
      <c r="AJ25" s="110" t="n">
        <v>10566.97</v>
      </c>
      <c r="AK25" s="110" t="n">
        <v>7664.57</v>
      </c>
      <c r="AL25" s="110" t="n">
        <v>6500.99</v>
      </c>
      <c r="AM25" s="110" t="n">
        <v>1163.58</v>
      </c>
      <c r="AN25" s="110" t="n">
        <v>2902.4</v>
      </c>
      <c r="AO25" s="110" t="n">
        <v>1216.08</v>
      </c>
      <c r="AP25" s="110" t="n">
        <v>1686.32</v>
      </c>
      <c r="AQ25" s="110" t="n">
        <v>4362846.5</v>
      </c>
      <c r="AR25" s="110" t="n">
        <v>3389502</v>
      </c>
      <c r="AS25" s="110" t="n">
        <v>2275706.5</v>
      </c>
      <c r="AT25" s="110" t="n">
        <v>1113795.5</v>
      </c>
      <c r="AU25" s="110" t="n">
        <v>973344.5</v>
      </c>
      <c r="AV25" s="110" t="n">
        <v>357470</v>
      </c>
      <c r="AW25" s="110" t="n">
        <v>615874.5</v>
      </c>
      <c r="AX25" s="110" t="n">
        <v>717425.5</v>
      </c>
      <c r="AY25" s="110" t="n">
        <v>564933.5</v>
      </c>
      <c r="AZ25" s="110" t="n">
        <v>369146.5</v>
      </c>
      <c r="BA25" s="110" t="n">
        <v>195787</v>
      </c>
      <c r="BB25" s="110" t="n">
        <v>152492</v>
      </c>
      <c r="BC25" s="110" t="n">
        <v>55609</v>
      </c>
      <c r="BD25" s="110" t="n">
        <v>96883</v>
      </c>
      <c r="BE25" s="110" t="n">
        <v>10328596.07</v>
      </c>
      <c r="BF25" s="110" t="n">
        <v>7322167.56</v>
      </c>
      <c r="BG25" s="110" t="n">
        <v>5903175</v>
      </c>
      <c r="BH25" s="110" t="n">
        <v>1418992.56</v>
      </c>
      <c r="BI25" s="110" t="n">
        <v>3006428.51</v>
      </c>
      <c r="BJ25" s="110" t="n">
        <v>2579752.58</v>
      </c>
      <c r="BK25" s="110" t="n">
        <v>426675.93</v>
      </c>
      <c r="BL25" s="110" t="n">
        <v>1647607.29</v>
      </c>
      <c r="BM25" s="110" t="n">
        <v>1100108.18</v>
      </c>
      <c r="BN25" s="110" t="n">
        <v>952092.88</v>
      </c>
      <c r="BO25" s="110" t="n">
        <v>148015.3</v>
      </c>
      <c r="BP25" s="110" t="n">
        <v>547499.11</v>
      </c>
      <c r="BQ25" s="110" t="n">
        <v>511578.87</v>
      </c>
      <c r="BR25" s="110" t="n">
        <v>35920.24</v>
      </c>
      <c r="BS25" s="110" t="n">
        <v>1713934.18</v>
      </c>
      <c r="BT25" s="110" t="n">
        <v>1247399.03</v>
      </c>
      <c r="BU25" s="110" t="n">
        <v>1075294.12</v>
      </c>
      <c r="BV25" s="110" t="n">
        <v>172104.91</v>
      </c>
      <c r="BW25" s="110" t="n">
        <v>466535.15</v>
      </c>
      <c r="BX25" s="110" t="n">
        <v>420762.96</v>
      </c>
      <c r="BY25" s="110" t="n">
        <v>45772.19</v>
      </c>
      <c r="BZ25" s="110" t="n">
        <v>2469152.75</v>
      </c>
      <c r="CA25" s="110" t="n">
        <v>1799644.75</v>
      </c>
      <c r="CB25" s="110" t="n">
        <v>1547417.75</v>
      </c>
      <c r="CC25" s="110" t="n">
        <v>252227</v>
      </c>
      <c r="CD25" s="110" t="n">
        <v>669508</v>
      </c>
      <c r="CE25" s="110" t="n">
        <v>618215</v>
      </c>
      <c r="CF25" s="110" t="n">
        <v>51293</v>
      </c>
      <c r="CG25" s="110" t="n">
        <v>4497901.85</v>
      </c>
      <c r="CH25" s="110" t="n">
        <v>3175015.6</v>
      </c>
      <c r="CI25" s="110" t="n">
        <v>2328370.25</v>
      </c>
      <c r="CJ25" s="110" t="n">
        <v>846645.35</v>
      </c>
      <c r="CK25" s="110" t="n">
        <v>1322886.25</v>
      </c>
      <c r="CL25" s="110" t="n">
        <v>1029195.75</v>
      </c>
      <c r="CM25" s="110" t="n">
        <v>293690.5</v>
      </c>
      <c r="CN25" s="110" t="n">
        <v>156618.17</v>
      </c>
      <c r="CO25" s="110" t="n">
        <v>2170395.07</v>
      </c>
      <c r="CP25" s="110" t="n">
        <v>2197431.87</v>
      </c>
      <c r="CQ25" s="110" t="n">
        <v>844925.51</v>
      </c>
      <c r="CR25" s="110" t="n">
        <v>811515.0699999999</v>
      </c>
      <c r="CS25" s="110" t="n">
        <v>8662.92</v>
      </c>
      <c r="CT25" s="110" t="n">
        <v>15402.88</v>
      </c>
      <c r="CU25" s="110" t="n">
        <v>0</v>
      </c>
      <c r="CV25" s="111" t="n">
        <v>13397</v>
      </c>
      <c r="CW25" s="111" t="n">
        <v>10999</v>
      </c>
      <c r="CX25" s="111" t="n">
        <v>8622</v>
      </c>
      <c r="CY25" s="111" t="n">
        <v>2377</v>
      </c>
      <c r="CZ25" s="111" t="n">
        <v>2398</v>
      </c>
      <c r="DA25" s="111" t="n">
        <v>1001</v>
      </c>
      <c r="DB25" s="111" t="n">
        <v>1397</v>
      </c>
      <c r="DC25" s="111" t="n">
        <v>7928</v>
      </c>
      <c r="DD25" s="111" t="n">
        <v>89</v>
      </c>
      <c r="DE25" s="111" t="n">
        <v>6686</v>
      </c>
      <c r="DF25" s="111" t="n">
        <v>5537</v>
      </c>
      <c r="DG25" s="111" t="n">
        <v>1149</v>
      </c>
      <c r="DH25" s="111" t="n">
        <v>1242</v>
      </c>
      <c r="DI25" s="111" t="n">
        <v>464</v>
      </c>
      <c r="DJ25" s="111" t="n">
        <v>778</v>
      </c>
      <c r="DK25" s="111" t="n">
        <v>4042</v>
      </c>
      <c r="DL25" s="111" t="n">
        <v>3180</v>
      </c>
      <c r="DM25" s="111" t="n">
        <v>2498</v>
      </c>
      <c r="DN25" s="111" t="n">
        <v>682</v>
      </c>
      <c r="DO25" s="111" t="n">
        <v>862</v>
      </c>
      <c r="DP25" s="111" t="n">
        <v>467</v>
      </c>
      <c r="DQ25" s="111" t="n">
        <v>395</v>
      </c>
      <c r="DR25" s="111" t="n">
        <v>847</v>
      </c>
      <c r="DS25" s="111" t="n">
        <v>0</v>
      </c>
      <c r="DT25" s="111" t="n">
        <v>646</v>
      </c>
      <c r="DU25" s="111" t="n">
        <v>269</v>
      </c>
      <c r="DV25" s="111" t="n">
        <v>377</v>
      </c>
      <c r="DW25" s="111" t="n">
        <v>201</v>
      </c>
      <c r="DX25" s="111" t="n">
        <v>55</v>
      </c>
      <c r="DY25" s="111" t="n">
        <v>146</v>
      </c>
      <c r="DZ25" s="111" t="n">
        <v>491</v>
      </c>
      <c r="EA25" s="111" t="n">
        <v>399</v>
      </c>
      <c r="EB25" s="111" t="n">
        <v>231</v>
      </c>
      <c r="EC25" s="111" t="n">
        <v>168</v>
      </c>
      <c r="ED25" s="111" t="n">
        <v>92</v>
      </c>
      <c r="EE25" s="111" t="n">
        <v>14</v>
      </c>
      <c r="EF25" s="111" t="n">
        <v>78</v>
      </c>
      <c r="EG25" s="111" t="n">
        <v>869</v>
      </c>
      <c r="EH25" s="111" t="n">
        <v>664</v>
      </c>
      <c r="EI25" s="111" t="n">
        <v>579</v>
      </c>
      <c r="EJ25" s="111" t="n">
        <v>85</v>
      </c>
      <c r="EK25" s="111" t="n">
        <v>205</v>
      </c>
      <c r="EL25" s="111" t="n">
        <v>177</v>
      </c>
      <c r="EM25" s="111" t="n">
        <v>28</v>
      </c>
      <c r="EN25" s="111" t="n">
        <v>768</v>
      </c>
      <c r="EO25" s="111" t="n">
        <v>451</v>
      </c>
      <c r="EP25" s="111" t="n">
        <v>0</v>
      </c>
      <c r="EQ25" s="111" t="n">
        <v>317</v>
      </c>
      <c r="ER25" s="111" t="n">
        <v>100</v>
      </c>
      <c r="ES25" s="111" t="n">
        <v>0</v>
      </c>
      <c r="ET25" s="111" t="n">
        <v>0</v>
      </c>
      <c r="EU25" s="111" t="n">
        <v>245</v>
      </c>
      <c r="EV25" s="111" t="n">
        <v>239</v>
      </c>
      <c r="EW25" s="111" t="n">
        <v>0</v>
      </c>
      <c r="EX25" s="111" t="n">
        <v>6</v>
      </c>
      <c r="EY25" s="111" t="n">
        <v>66</v>
      </c>
      <c r="EZ25" s="111" t="n">
        <v>66</v>
      </c>
      <c r="FA25" s="111" t="n">
        <v>0</v>
      </c>
      <c r="FB25" s="111" t="n">
        <v>234</v>
      </c>
    </row>
    <row r="26" ht="19.5" customHeight="1" s="247">
      <c r="A26" s="107" t="n">
        <v>23</v>
      </c>
      <c r="B26" s="107" t="inlineStr">
        <is>
          <t>儿童非手术</t>
        </is>
      </c>
      <c r="C26" s="107" t="inlineStr">
        <is>
          <t>儿内科</t>
        </is>
      </c>
      <c r="D26" s="110" t="n">
        <v>1871454</v>
      </c>
      <c r="E26" s="110" t="n">
        <v>1871454</v>
      </c>
      <c r="F26" s="110" t="n">
        <v>0</v>
      </c>
      <c r="G26" s="110" t="n">
        <v>10345</v>
      </c>
      <c r="H26" s="110" t="n">
        <v>0</v>
      </c>
      <c r="I26" s="110" t="n">
        <v>44835</v>
      </c>
      <c r="J26" s="110" t="n">
        <v>0</v>
      </c>
      <c r="K26" s="110" t="n">
        <v>0</v>
      </c>
      <c r="L26" s="110" t="n">
        <v>0</v>
      </c>
      <c r="M26" s="110" t="n">
        <v>0</v>
      </c>
      <c r="N26" s="110" t="n">
        <v>0</v>
      </c>
      <c r="O26" s="110" t="n">
        <v>4512600.41</v>
      </c>
      <c r="P26" s="110" t="n">
        <v>4287344.5</v>
      </c>
      <c r="Q26" s="110" t="n">
        <v>4066295.58</v>
      </c>
      <c r="R26" s="110" t="n">
        <v>221048.92</v>
      </c>
      <c r="S26" s="110" t="n">
        <v>225255.91</v>
      </c>
      <c r="T26" s="110" t="n">
        <v>96949.37</v>
      </c>
      <c r="U26" s="110" t="n">
        <v>128306.54</v>
      </c>
      <c r="V26" s="110" t="n">
        <v>4512600.41</v>
      </c>
      <c r="W26" s="110" t="n">
        <v>4287344.5</v>
      </c>
      <c r="X26" s="110" t="n">
        <v>4066295.58</v>
      </c>
      <c r="Y26" s="110" t="n">
        <v>221048.92</v>
      </c>
      <c r="Z26" s="110" t="n">
        <v>225255.91</v>
      </c>
      <c r="AA26" s="110" t="n">
        <v>96949.37</v>
      </c>
      <c r="AB26" s="110" t="n">
        <v>128306.54</v>
      </c>
      <c r="AC26" s="110" t="n">
        <v>2551027.82</v>
      </c>
      <c r="AD26" s="110" t="n">
        <v>2439096.15</v>
      </c>
      <c r="AE26" s="110" t="n">
        <v>2320722.98</v>
      </c>
      <c r="AF26" s="110" t="n">
        <v>118373.17</v>
      </c>
      <c r="AG26" s="110" t="n">
        <v>111931.67</v>
      </c>
      <c r="AH26" s="110" t="n">
        <v>47097.21</v>
      </c>
      <c r="AI26" s="110" t="n">
        <v>64834.46</v>
      </c>
      <c r="AJ26" s="110" t="n">
        <v>90118.59</v>
      </c>
      <c r="AK26" s="110" t="n">
        <v>84709.35000000001</v>
      </c>
      <c r="AL26" s="110" t="n">
        <v>78842.60000000001</v>
      </c>
      <c r="AM26" s="110" t="n">
        <v>5866.75</v>
      </c>
      <c r="AN26" s="110" t="n">
        <v>5409.24</v>
      </c>
      <c r="AO26" s="110" t="n">
        <v>3194.16</v>
      </c>
      <c r="AP26" s="110" t="n">
        <v>2215.08</v>
      </c>
      <c r="AQ26" s="110" t="n">
        <v>1551967</v>
      </c>
      <c r="AR26" s="110" t="n">
        <v>1464985</v>
      </c>
      <c r="AS26" s="110" t="n">
        <v>1389006</v>
      </c>
      <c r="AT26" s="110" t="n">
        <v>75979</v>
      </c>
      <c r="AU26" s="110" t="n">
        <v>86982</v>
      </c>
      <c r="AV26" s="110" t="n">
        <v>37265</v>
      </c>
      <c r="AW26" s="110" t="n">
        <v>49717</v>
      </c>
      <c r="AX26" s="110" t="n">
        <v>319487</v>
      </c>
      <c r="AY26" s="110" t="n">
        <v>298554</v>
      </c>
      <c r="AZ26" s="110" t="n">
        <v>277724</v>
      </c>
      <c r="BA26" s="110" t="n">
        <v>20830</v>
      </c>
      <c r="BB26" s="110" t="n">
        <v>20933</v>
      </c>
      <c r="BC26" s="110" t="n">
        <v>9393</v>
      </c>
      <c r="BD26" s="110" t="n">
        <v>11540</v>
      </c>
      <c r="BE26" s="110" t="n">
        <v>0</v>
      </c>
      <c r="BF26" s="110" t="n">
        <v>0</v>
      </c>
      <c r="BG26" s="110" t="n">
        <v>0</v>
      </c>
      <c r="BH26" s="110" t="n">
        <v>0</v>
      </c>
      <c r="BI26" s="110" t="n">
        <v>0</v>
      </c>
      <c r="BJ26" s="110" t="n">
        <v>0</v>
      </c>
      <c r="BK26" s="110" t="n">
        <v>0</v>
      </c>
      <c r="BL26" s="110" t="n">
        <v>0</v>
      </c>
      <c r="BM26" s="110" t="n">
        <v>0</v>
      </c>
      <c r="BN26" s="110" t="n">
        <v>0</v>
      </c>
      <c r="BO26" s="110" t="n">
        <v>0</v>
      </c>
      <c r="BP26" s="110" t="n">
        <v>0</v>
      </c>
      <c r="BQ26" s="110" t="n">
        <v>0</v>
      </c>
      <c r="BR26" s="110" t="n">
        <v>0</v>
      </c>
      <c r="BS26" s="110" t="n">
        <v>0</v>
      </c>
      <c r="BT26" s="110" t="n">
        <v>0</v>
      </c>
      <c r="BU26" s="110" t="n">
        <v>0</v>
      </c>
      <c r="BV26" s="110" t="n">
        <v>0</v>
      </c>
      <c r="BW26" s="110" t="n">
        <v>0</v>
      </c>
      <c r="BX26" s="110" t="n">
        <v>0</v>
      </c>
      <c r="BY26" s="110" t="n">
        <v>0</v>
      </c>
      <c r="BZ26" s="110" t="n">
        <v>0</v>
      </c>
      <c r="CA26" s="110" t="n">
        <v>0</v>
      </c>
      <c r="CB26" s="110" t="n">
        <v>0</v>
      </c>
      <c r="CC26" s="110" t="n">
        <v>0</v>
      </c>
      <c r="CD26" s="110" t="n">
        <v>0</v>
      </c>
      <c r="CE26" s="110" t="n">
        <v>0</v>
      </c>
      <c r="CF26" s="110" t="n">
        <v>0</v>
      </c>
      <c r="CG26" s="110" t="n">
        <v>0</v>
      </c>
      <c r="CH26" s="110" t="n">
        <v>0</v>
      </c>
      <c r="CI26" s="110" t="n">
        <v>0</v>
      </c>
      <c r="CJ26" s="110" t="n">
        <v>0</v>
      </c>
      <c r="CK26" s="110" t="n">
        <v>0</v>
      </c>
      <c r="CL26" s="110" t="n">
        <v>0</v>
      </c>
      <c r="CM26" s="110" t="n">
        <v>0</v>
      </c>
      <c r="CN26" s="110" t="n">
        <v>237565.73</v>
      </c>
      <c r="CO26" s="110" t="n">
        <v>4256367.18</v>
      </c>
      <c r="CP26" s="110" t="n">
        <v>11140.55</v>
      </c>
      <c r="CQ26" s="110" t="n">
        <v>1646.59</v>
      </c>
      <c r="CR26" s="110" t="n">
        <v>5750.36</v>
      </c>
      <c r="CS26" s="110" t="n">
        <v>0</v>
      </c>
      <c r="CT26" s="110" t="n">
        <v>0</v>
      </c>
      <c r="CU26" s="110" t="n">
        <v>0</v>
      </c>
      <c r="CV26" s="111" t="n">
        <v>10345</v>
      </c>
      <c r="CW26" s="111" t="n">
        <v>9698</v>
      </c>
      <c r="CX26" s="111" t="n">
        <v>9042</v>
      </c>
      <c r="CY26" s="111" t="n">
        <v>656</v>
      </c>
      <c r="CZ26" s="111" t="n">
        <v>647</v>
      </c>
      <c r="DA26" s="111" t="n">
        <v>275</v>
      </c>
      <c r="DB26" s="111" t="n">
        <v>372</v>
      </c>
      <c r="DC26" s="111" t="n">
        <v>9681</v>
      </c>
      <c r="DD26" s="111" t="n">
        <v>1</v>
      </c>
      <c r="DE26" s="111" t="n">
        <v>9098</v>
      </c>
      <c r="DF26" s="111" t="n">
        <v>8515</v>
      </c>
      <c r="DG26" s="111" t="n">
        <v>583</v>
      </c>
      <c r="DH26" s="111" t="n">
        <v>583</v>
      </c>
      <c r="DI26" s="111" t="n">
        <v>243</v>
      </c>
      <c r="DJ26" s="111" t="n">
        <v>340</v>
      </c>
      <c r="DK26" s="111" t="n">
        <v>72</v>
      </c>
      <c r="DL26" s="111" t="n">
        <v>61</v>
      </c>
      <c r="DM26" s="111" t="n">
        <v>51</v>
      </c>
      <c r="DN26" s="111" t="n">
        <v>10</v>
      </c>
      <c r="DO26" s="111" t="n">
        <v>11</v>
      </c>
      <c r="DP26" s="111" t="n">
        <v>4</v>
      </c>
      <c r="DQ26" s="111" t="n">
        <v>7</v>
      </c>
      <c r="DR26" s="111" t="n">
        <v>19</v>
      </c>
      <c r="DS26" s="111" t="n">
        <v>2</v>
      </c>
      <c r="DT26" s="111" t="n">
        <v>15</v>
      </c>
      <c r="DU26" s="111" t="n">
        <v>11</v>
      </c>
      <c r="DV26" s="111" t="n">
        <v>4</v>
      </c>
      <c r="DW26" s="111" t="n">
        <v>4</v>
      </c>
      <c r="DX26" s="111" t="n">
        <v>1</v>
      </c>
      <c r="DY26" s="111" t="n">
        <v>3</v>
      </c>
      <c r="DZ26" s="111" t="n">
        <v>570</v>
      </c>
      <c r="EA26" s="111" t="n">
        <v>523</v>
      </c>
      <c r="EB26" s="111" t="n">
        <v>465</v>
      </c>
      <c r="EC26" s="111" t="n">
        <v>58</v>
      </c>
      <c r="ED26" s="111" t="n">
        <v>47</v>
      </c>
      <c r="EE26" s="111" t="n">
        <v>27</v>
      </c>
      <c r="EF26" s="111" t="n">
        <v>20</v>
      </c>
      <c r="EG26" s="111" t="n">
        <v>0</v>
      </c>
      <c r="EH26" s="111" t="n">
        <v>0</v>
      </c>
      <c r="EI26" s="111" t="n">
        <v>0</v>
      </c>
      <c r="EJ26" s="111" t="n">
        <v>0</v>
      </c>
      <c r="EK26" s="111" t="n">
        <v>0</v>
      </c>
      <c r="EL26" s="111" t="n">
        <v>0</v>
      </c>
      <c r="EM26" s="111" t="n">
        <v>0</v>
      </c>
      <c r="EN26" s="111" t="n">
        <v>0</v>
      </c>
      <c r="EO26" s="111" t="n">
        <v>0</v>
      </c>
      <c r="EP26" s="111" t="n">
        <v>0</v>
      </c>
      <c r="EQ26" s="111" t="n">
        <v>0</v>
      </c>
      <c r="ER26" s="111" t="n">
        <v>0</v>
      </c>
      <c r="ES26" s="111" t="n">
        <v>0</v>
      </c>
      <c r="ET26" s="111" t="n">
        <v>0</v>
      </c>
      <c r="EU26" s="111" t="n">
        <v>0</v>
      </c>
      <c r="EV26" s="111" t="n">
        <v>0</v>
      </c>
      <c r="EW26" s="111" t="n">
        <v>0</v>
      </c>
      <c r="EX26" s="111" t="n">
        <v>0</v>
      </c>
      <c r="EY26" s="111" t="n">
        <v>0</v>
      </c>
      <c r="EZ26" s="111" t="n">
        <v>0</v>
      </c>
      <c r="FA26" s="111" t="n">
        <v>0</v>
      </c>
      <c r="FB26" s="111" t="n">
        <v>0</v>
      </c>
    </row>
    <row r="27" ht="19.5" customHeight="1" s="247">
      <c r="A27" s="107" t="n">
        <v>24</v>
      </c>
      <c r="B27" s="107" t="inlineStr">
        <is>
          <t>儿童非手术</t>
        </is>
      </c>
      <c r="C27" s="107" t="inlineStr">
        <is>
          <t>儿消化营养科</t>
        </is>
      </c>
      <c r="D27" s="110" t="n">
        <v>2414644.75</v>
      </c>
      <c r="E27" s="110" t="n">
        <v>1283850</v>
      </c>
      <c r="F27" s="110" t="n">
        <v>1130794.75</v>
      </c>
      <c r="G27" s="110" t="n">
        <v>4919</v>
      </c>
      <c r="H27" s="110" t="n">
        <v>118</v>
      </c>
      <c r="I27" s="110" t="n">
        <v>11889</v>
      </c>
      <c r="J27" s="110" t="n">
        <v>132</v>
      </c>
      <c r="K27" s="110" t="n">
        <v>0</v>
      </c>
      <c r="L27" s="110" t="n">
        <v>69344.5</v>
      </c>
      <c r="M27" s="110" t="n">
        <v>122268.25</v>
      </c>
      <c r="N27" s="110" t="n">
        <v>480.613</v>
      </c>
      <c r="O27" s="110" t="n">
        <v>3930327.883</v>
      </c>
      <c r="P27" s="110" t="n">
        <v>2550937.96</v>
      </c>
      <c r="Q27" s="110" t="n">
        <v>2343829.31</v>
      </c>
      <c r="R27" s="110" t="n">
        <v>207108.65</v>
      </c>
      <c r="S27" s="110" t="n">
        <v>1379389.923</v>
      </c>
      <c r="T27" s="110" t="n">
        <v>1115982.743</v>
      </c>
      <c r="U27" s="110" t="n">
        <v>263407.18</v>
      </c>
      <c r="V27" s="110" t="n">
        <v>2055033.41</v>
      </c>
      <c r="W27" s="110" t="n">
        <v>1857580.98</v>
      </c>
      <c r="X27" s="110" t="n">
        <v>1698803.53</v>
      </c>
      <c r="Y27" s="110" t="n">
        <v>158777.45</v>
      </c>
      <c r="Z27" s="110" t="n">
        <v>197452.43</v>
      </c>
      <c r="AA27" s="110" t="n">
        <v>84626.87</v>
      </c>
      <c r="AB27" s="110" t="n">
        <v>112825.56</v>
      </c>
      <c r="AC27" s="110" t="n">
        <v>746758.11</v>
      </c>
      <c r="AD27" s="110" t="n">
        <v>690407.98</v>
      </c>
      <c r="AE27" s="110" t="n">
        <v>637559.13</v>
      </c>
      <c r="AF27" s="110" t="n">
        <v>52848.85</v>
      </c>
      <c r="AG27" s="110" t="n">
        <v>56350.13</v>
      </c>
      <c r="AH27" s="110" t="n">
        <v>22992.39</v>
      </c>
      <c r="AI27" s="110" t="n">
        <v>33357.74</v>
      </c>
      <c r="AJ27" s="110" t="n">
        <v>24425.3</v>
      </c>
      <c r="AK27" s="110" t="n">
        <v>21236</v>
      </c>
      <c r="AL27" s="110" t="n">
        <v>19090.4</v>
      </c>
      <c r="AM27" s="110" t="n">
        <v>2145.6</v>
      </c>
      <c r="AN27" s="110" t="n">
        <v>3189.3</v>
      </c>
      <c r="AO27" s="110" t="n">
        <v>2551.48</v>
      </c>
      <c r="AP27" s="110" t="n">
        <v>637.8200000000001</v>
      </c>
      <c r="AQ27" s="110" t="n">
        <v>1017388</v>
      </c>
      <c r="AR27" s="110" t="n">
        <v>916708</v>
      </c>
      <c r="AS27" s="110" t="n">
        <v>843527</v>
      </c>
      <c r="AT27" s="110" t="n">
        <v>73181</v>
      </c>
      <c r="AU27" s="110" t="n">
        <v>100680</v>
      </c>
      <c r="AV27" s="110" t="n">
        <v>45101</v>
      </c>
      <c r="AW27" s="110" t="n">
        <v>55579</v>
      </c>
      <c r="AX27" s="110" t="n">
        <v>266462</v>
      </c>
      <c r="AY27" s="110" t="n">
        <v>229229</v>
      </c>
      <c r="AZ27" s="110" t="n">
        <v>198627</v>
      </c>
      <c r="BA27" s="110" t="n">
        <v>30602</v>
      </c>
      <c r="BB27" s="110" t="n">
        <v>37233</v>
      </c>
      <c r="BC27" s="110" t="n">
        <v>13982</v>
      </c>
      <c r="BD27" s="110" t="n">
        <v>23251</v>
      </c>
      <c r="BE27" s="110" t="n">
        <v>1875294.473</v>
      </c>
      <c r="BF27" s="110" t="n">
        <v>693356.98</v>
      </c>
      <c r="BG27" s="110" t="n">
        <v>645025.78</v>
      </c>
      <c r="BH27" s="110" t="n">
        <v>48331.2</v>
      </c>
      <c r="BI27" s="110" t="n">
        <v>1181937.493</v>
      </c>
      <c r="BJ27" s="110" t="n">
        <v>1031355.873</v>
      </c>
      <c r="BK27" s="110" t="n">
        <v>150581.62</v>
      </c>
      <c r="BL27" s="110" t="n">
        <v>549305.633</v>
      </c>
      <c r="BM27" s="110" t="n">
        <v>264164.84</v>
      </c>
      <c r="BN27" s="110" t="n">
        <v>260660.38</v>
      </c>
      <c r="BO27" s="110" t="n">
        <v>3504.46</v>
      </c>
      <c r="BP27" s="110" t="n">
        <v>285140.793</v>
      </c>
      <c r="BQ27" s="110" t="n">
        <v>265850.813</v>
      </c>
      <c r="BR27" s="110" t="n">
        <v>19289.98</v>
      </c>
      <c r="BS27" s="110" t="n">
        <v>195194.09</v>
      </c>
      <c r="BT27" s="110" t="n">
        <v>72301.14</v>
      </c>
      <c r="BU27" s="110" t="n">
        <v>68999.89999999999</v>
      </c>
      <c r="BV27" s="110" t="n">
        <v>3301.24</v>
      </c>
      <c r="BW27" s="110" t="n">
        <v>122892.95</v>
      </c>
      <c r="BX27" s="110" t="n">
        <v>115188.31</v>
      </c>
      <c r="BY27" s="110" t="n">
        <v>7704.64</v>
      </c>
      <c r="BZ27" s="110" t="n">
        <v>537738</v>
      </c>
      <c r="CA27" s="110" t="n">
        <v>247817</v>
      </c>
      <c r="CB27" s="110" t="n">
        <v>234222</v>
      </c>
      <c r="CC27" s="110" t="n">
        <v>13595</v>
      </c>
      <c r="CD27" s="110" t="n">
        <v>289921</v>
      </c>
      <c r="CE27" s="110" t="n">
        <v>273508</v>
      </c>
      <c r="CF27" s="110" t="n">
        <v>16413</v>
      </c>
      <c r="CG27" s="110" t="n">
        <v>593056.75</v>
      </c>
      <c r="CH27" s="110" t="n">
        <v>109074</v>
      </c>
      <c r="CI27" s="110" t="n">
        <v>81143.5</v>
      </c>
      <c r="CJ27" s="110" t="n">
        <v>27930.5</v>
      </c>
      <c r="CK27" s="110" t="n">
        <v>483982.75</v>
      </c>
      <c r="CL27" s="110" t="n">
        <v>376808.75</v>
      </c>
      <c r="CM27" s="110" t="n">
        <v>107174</v>
      </c>
      <c r="CN27" s="110" t="n">
        <v>509366.98</v>
      </c>
      <c r="CO27" s="110" t="n">
        <v>458842.46</v>
      </c>
      <c r="CP27" s="110" t="n">
        <v>107812.4</v>
      </c>
      <c r="CQ27" s="110" t="n">
        <v>535899.34</v>
      </c>
      <c r="CR27" s="110" t="n">
        <v>443112.23</v>
      </c>
      <c r="CS27" s="110" t="n">
        <v>0</v>
      </c>
      <c r="CT27" s="110" t="n">
        <v>167886.43</v>
      </c>
      <c r="CU27" s="110" t="n">
        <v>0</v>
      </c>
      <c r="CV27" s="111" t="n">
        <v>4919</v>
      </c>
      <c r="CW27" s="111" t="n">
        <v>4380</v>
      </c>
      <c r="CX27" s="111" t="n">
        <v>3870</v>
      </c>
      <c r="CY27" s="111" t="n">
        <v>510</v>
      </c>
      <c r="CZ27" s="111" t="n">
        <v>539</v>
      </c>
      <c r="DA27" s="111" t="n">
        <v>208</v>
      </c>
      <c r="DB27" s="111" t="n">
        <v>331</v>
      </c>
      <c r="DC27" s="111" t="n">
        <v>2579</v>
      </c>
      <c r="DD27" s="111" t="n">
        <v>96</v>
      </c>
      <c r="DE27" s="111" t="n">
        <v>2318</v>
      </c>
      <c r="DF27" s="111" t="n">
        <v>2088</v>
      </c>
      <c r="DG27" s="111" t="n">
        <v>230</v>
      </c>
      <c r="DH27" s="111" t="n">
        <v>261</v>
      </c>
      <c r="DI27" s="111" t="n">
        <v>102</v>
      </c>
      <c r="DJ27" s="111" t="n">
        <v>159</v>
      </c>
      <c r="DK27" s="111" t="n">
        <v>274</v>
      </c>
      <c r="DL27" s="111" t="n">
        <v>232</v>
      </c>
      <c r="DM27" s="111" t="n">
        <v>197</v>
      </c>
      <c r="DN27" s="111" t="n">
        <v>35</v>
      </c>
      <c r="DO27" s="111" t="n">
        <v>42</v>
      </c>
      <c r="DP27" s="111" t="n">
        <v>12</v>
      </c>
      <c r="DQ27" s="111" t="n">
        <v>30</v>
      </c>
      <c r="DR27" s="111" t="n">
        <v>827</v>
      </c>
      <c r="DS27" s="111" t="n">
        <v>0</v>
      </c>
      <c r="DT27" s="111" t="n">
        <v>711</v>
      </c>
      <c r="DU27" s="111" t="n">
        <v>618</v>
      </c>
      <c r="DV27" s="111" t="n">
        <v>93</v>
      </c>
      <c r="DW27" s="111" t="n">
        <v>116</v>
      </c>
      <c r="DX27" s="111" t="n">
        <v>43</v>
      </c>
      <c r="DY27" s="111" t="n">
        <v>73</v>
      </c>
      <c r="DZ27" s="111" t="n">
        <v>1143</v>
      </c>
      <c r="EA27" s="111" t="n">
        <v>1044</v>
      </c>
      <c r="EB27" s="111" t="n">
        <v>909</v>
      </c>
      <c r="EC27" s="111" t="n">
        <v>135</v>
      </c>
      <c r="ED27" s="111" t="n">
        <v>99</v>
      </c>
      <c r="EE27" s="111" t="n">
        <v>51</v>
      </c>
      <c r="EF27" s="111" t="n">
        <v>48</v>
      </c>
      <c r="EG27" s="111" t="n">
        <v>118</v>
      </c>
      <c r="EH27" s="111" t="n">
        <v>59</v>
      </c>
      <c r="EI27" s="111" t="n">
        <v>54</v>
      </c>
      <c r="EJ27" s="111" t="n">
        <v>5</v>
      </c>
      <c r="EK27" s="111" t="n">
        <v>59</v>
      </c>
      <c r="EL27" s="111" t="n">
        <v>56</v>
      </c>
      <c r="EM27" s="111" t="n">
        <v>3</v>
      </c>
      <c r="EN27" s="111" t="n">
        <v>67</v>
      </c>
      <c r="EO27" s="111" t="n">
        <v>0</v>
      </c>
      <c r="EP27" s="111" t="n">
        <v>0</v>
      </c>
      <c r="EQ27" s="111" t="n">
        <v>67</v>
      </c>
      <c r="ER27" s="111" t="n">
        <v>0</v>
      </c>
      <c r="ES27" s="111" t="n">
        <v>0</v>
      </c>
      <c r="ET27" s="111" t="n">
        <v>0</v>
      </c>
      <c r="EU27" s="111" t="n">
        <v>0</v>
      </c>
      <c r="EV27" s="111" t="n">
        <v>0</v>
      </c>
      <c r="EW27" s="111" t="n">
        <v>0</v>
      </c>
      <c r="EX27" s="111" t="n">
        <v>0</v>
      </c>
      <c r="EY27" s="111" t="n">
        <v>0</v>
      </c>
      <c r="EZ27" s="111" t="n">
        <v>0</v>
      </c>
      <c r="FA27" s="111" t="n">
        <v>0</v>
      </c>
      <c r="FB27" s="111" t="n">
        <v>36</v>
      </c>
    </row>
    <row r="28" ht="19.5" customHeight="1" s="247">
      <c r="A28" s="107" t="n">
        <v>25</v>
      </c>
      <c r="B28" s="107" t="inlineStr">
        <is>
          <t>儿童非手术</t>
        </is>
      </c>
      <c r="C28" s="107" t="inlineStr">
        <is>
          <t>儿呼吸内科</t>
        </is>
      </c>
      <c r="D28" s="110" t="n">
        <v>5241687</v>
      </c>
      <c r="E28" s="110" t="n">
        <v>2797299</v>
      </c>
      <c r="F28" s="110" t="n">
        <v>2444388</v>
      </c>
      <c r="G28" s="110" t="n">
        <v>7516</v>
      </c>
      <c r="H28" s="110" t="n">
        <v>279</v>
      </c>
      <c r="I28" s="110" t="n">
        <v>23032</v>
      </c>
      <c r="J28" s="110" t="n">
        <v>0</v>
      </c>
      <c r="K28" s="110" t="n">
        <v>0</v>
      </c>
      <c r="L28" s="110" t="n">
        <v>106522</v>
      </c>
      <c r="M28" s="110" t="n">
        <v>0</v>
      </c>
      <c r="N28" s="110" t="n">
        <v>0</v>
      </c>
      <c r="O28" s="110" t="n">
        <v>7539127.64</v>
      </c>
      <c r="P28" s="110" t="n">
        <v>6644861.96</v>
      </c>
      <c r="Q28" s="110" t="n">
        <v>6063058.27</v>
      </c>
      <c r="R28" s="110" t="n">
        <v>581803.6899999999</v>
      </c>
      <c r="S28" s="110" t="n">
        <v>894265.6800000001</v>
      </c>
      <c r="T28" s="110" t="n">
        <v>573049.64</v>
      </c>
      <c r="U28" s="110" t="n">
        <v>321216.04</v>
      </c>
      <c r="V28" s="110" t="n">
        <v>4560154.9</v>
      </c>
      <c r="W28" s="110" t="n">
        <v>4071096.64</v>
      </c>
      <c r="X28" s="110" t="n">
        <v>3716640.15</v>
      </c>
      <c r="Y28" s="110" t="n">
        <v>354456.49</v>
      </c>
      <c r="Z28" s="110" t="n">
        <v>489058.26</v>
      </c>
      <c r="AA28" s="110" t="n">
        <v>222309.84</v>
      </c>
      <c r="AB28" s="110" t="n">
        <v>266748.42</v>
      </c>
      <c r="AC28" s="110" t="n">
        <v>1682287.54</v>
      </c>
      <c r="AD28" s="110" t="n">
        <v>1528667.32</v>
      </c>
      <c r="AE28" s="110" t="n">
        <v>1425746.19</v>
      </c>
      <c r="AF28" s="110" t="n">
        <v>102921.13</v>
      </c>
      <c r="AG28" s="110" t="n">
        <v>153620.22</v>
      </c>
      <c r="AH28" s="110" t="n">
        <v>68540.92</v>
      </c>
      <c r="AI28" s="110" t="n">
        <v>85079.3</v>
      </c>
      <c r="AJ28" s="110" t="n">
        <v>80568.36</v>
      </c>
      <c r="AK28" s="110" t="n">
        <v>72257.82000000001</v>
      </c>
      <c r="AL28" s="110" t="n">
        <v>67491.96000000001</v>
      </c>
      <c r="AM28" s="110" t="n">
        <v>4765.86</v>
      </c>
      <c r="AN28" s="110" t="n">
        <v>8310.540000000001</v>
      </c>
      <c r="AO28" s="110" t="n">
        <v>4212.92</v>
      </c>
      <c r="AP28" s="110" t="n">
        <v>4097.62</v>
      </c>
      <c r="AQ28" s="110" t="n">
        <v>1848386</v>
      </c>
      <c r="AR28" s="110" t="n">
        <v>1660963</v>
      </c>
      <c r="AS28" s="110" t="n">
        <v>1536770</v>
      </c>
      <c r="AT28" s="110" t="n">
        <v>124193</v>
      </c>
      <c r="AU28" s="110" t="n">
        <v>187423</v>
      </c>
      <c r="AV28" s="110" t="n">
        <v>93357</v>
      </c>
      <c r="AW28" s="110" t="n">
        <v>94066</v>
      </c>
      <c r="AX28" s="110" t="n">
        <v>948913</v>
      </c>
      <c r="AY28" s="110" t="n">
        <v>809208.5</v>
      </c>
      <c r="AZ28" s="110" t="n">
        <v>686632</v>
      </c>
      <c r="BA28" s="110" t="n">
        <v>122576.5</v>
      </c>
      <c r="BB28" s="110" t="n">
        <v>139704.5</v>
      </c>
      <c r="BC28" s="110" t="n">
        <v>56199</v>
      </c>
      <c r="BD28" s="110" t="n">
        <v>83505.5</v>
      </c>
      <c r="BE28" s="110" t="n">
        <v>2978972.74</v>
      </c>
      <c r="BF28" s="110" t="n">
        <v>2573765.32</v>
      </c>
      <c r="BG28" s="110" t="n">
        <v>2346418.12</v>
      </c>
      <c r="BH28" s="110" t="n">
        <v>227347.2</v>
      </c>
      <c r="BI28" s="110" t="n">
        <v>405207.42</v>
      </c>
      <c r="BJ28" s="110" t="n">
        <v>350739.8</v>
      </c>
      <c r="BK28" s="110" t="n">
        <v>54467.62</v>
      </c>
      <c r="BL28" s="110" t="n">
        <v>431276.39</v>
      </c>
      <c r="BM28" s="110" t="n">
        <v>375317.31</v>
      </c>
      <c r="BN28" s="110" t="n">
        <v>348058.83</v>
      </c>
      <c r="BO28" s="110" t="n">
        <v>27258.48</v>
      </c>
      <c r="BP28" s="110" t="n">
        <v>55959.08</v>
      </c>
      <c r="BQ28" s="110" t="n">
        <v>49708.21</v>
      </c>
      <c r="BR28" s="110" t="n">
        <v>6250.87</v>
      </c>
      <c r="BS28" s="110" t="n">
        <v>103308.35</v>
      </c>
      <c r="BT28" s="110" t="n">
        <v>88702.50999999999</v>
      </c>
      <c r="BU28" s="110" t="n">
        <v>82416.78999999999</v>
      </c>
      <c r="BV28" s="110" t="n">
        <v>6285.72</v>
      </c>
      <c r="BW28" s="110" t="n">
        <v>14605.84</v>
      </c>
      <c r="BX28" s="110" t="n">
        <v>12901.09</v>
      </c>
      <c r="BY28" s="110" t="n">
        <v>1704.75</v>
      </c>
      <c r="BZ28" s="110" t="n">
        <v>1620207</v>
      </c>
      <c r="CA28" s="110" t="n">
        <v>1394720</v>
      </c>
      <c r="CB28" s="110" t="n">
        <v>1316730</v>
      </c>
      <c r="CC28" s="110" t="n">
        <v>77990</v>
      </c>
      <c r="CD28" s="110" t="n">
        <v>225487</v>
      </c>
      <c r="CE28" s="110" t="n">
        <v>209292</v>
      </c>
      <c r="CF28" s="110" t="n">
        <v>16195</v>
      </c>
      <c r="CG28" s="110" t="n">
        <v>824181</v>
      </c>
      <c r="CH28" s="110" t="n">
        <v>715025.5</v>
      </c>
      <c r="CI28" s="110" t="n">
        <v>599212.5</v>
      </c>
      <c r="CJ28" s="110" t="n">
        <v>115813</v>
      </c>
      <c r="CK28" s="110" t="n">
        <v>109155.5</v>
      </c>
      <c r="CL28" s="110" t="n">
        <v>78838.5</v>
      </c>
      <c r="CM28" s="110" t="n">
        <v>30317</v>
      </c>
      <c r="CN28" s="110" t="n">
        <v>572407.4399999999</v>
      </c>
      <c r="CO28" s="110" t="n">
        <v>827412.26</v>
      </c>
      <c r="CP28" s="110" t="n">
        <v>493408.31</v>
      </c>
      <c r="CQ28" s="110" t="n">
        <v>675530.17</v>
      </c>
      <c r="CR28" s="110" t="n">
        <v>1991331.72</v>
      </c>
      <c r="CS28" s="110" t="n">
        <v>0</v>
      </c>
      <c r="CT28" s="110" t="n">
        <v>160381.87</v>
      </c>
      <c r="CU28" s="110" t="n">
        <v>0</v>
      </c>
      <c r="CV28" s="111" t="n">
        <v>7516</v>
      </c>
      <c r="CW28" s="111" t="n">
        <v>6797</v>
      </c>
      <c r="CX28" s="111" t="n">
        <v>6172</v>
      </c>
      <c r="CY28" s="111" t="n">
        <v>625</v>
      </c>
      <c r="CZ28" s="111" t="n">
        <v>719</v>
      </c>
      <c r="DA28" s="111" t="n">
        <v>320</v>
      </c>
      <c r="DB28" s="111" t="n">
        <v>399</v>
      </c>
      <c r="DC28" s="111" t="n">
        <v>2718</v>
      </c>
      <c r="DD28" s="111" t="n">
        <v>60</v>
      </c>
      <c r="DE28" s="111" t="n">
        <v>2553</v>
      </c>
      <c r="DF28" s="111" t="n">
        <v>2371</v>
      </c>
      <c r="DG28" s="111" t="n">
        <v>182</v>
      </c>
      <c r="DH28" s="111" t="n">
        <v>165</v>
      </c>
      <c r="DI28" s="111" t="n">
        <v>72</v>
      </c>
      <c r="DJ28" s="111" t="n">
        <v>93</v>
      </c>
      <c r="DK28" s="111" t="n">
        <v>956</v>
      </c>
      <c r="DL28" s="111" t="n">
        <v>857</v>
      </c>
      <c r="DM28" s="111" t="n">
        <v>810</v>
      </c>
      <c r="DN28" s="111" t="n">
        <v>47</v>
      </c>
      <c r="DO28" s="111" t="n">
        <v>99</v>
      </c>
      <c r="DP28" s="111" t="n">
        <v>44</v>
      </c>
      <c r="DQ28" s="111" t="n">
        <v>55</v>
      </c>
      <c r="DR28" s="111" t="n">
        <v>2175</v>
      </c>
      <c r="DS28" s="111" t="n">
        <v>3</v>
      </c>
      <c r="DT28" s="111" t="n">
        <v>1846</v>
      </c>
      <c r="DU28" s="111" t="n">
        <v>1620</v>
      </c>
      <c r="DV28" s="111" t="n">
        <v>226</v>
      </c>
      <c r="DW28" s="111" t="n">
        <v>329</v>
      </c>
      <c r="DX28" s="111" t="n">
        <v>139</v>
      </c>
      <c r="DY28" s="111" t="n">
        <v>190</v>
      </c>
      <c r="DZ28" s="111" t="n">
        <v>1604</v>
      </c>
      <c r="EA28" s="111" t="n">
        <v>1485</v>
      </c>
      <c r="EB28" s="111" t="n">
        <v>1322</v>
      </c>
      <c r="EC28" s="111" t="n">
        <v>163</v>
      </c>
      <c r="ED28" s="111" t="n">
        <v>119</v>
      </c>
      <c r="EE28" s="111" t="n">
        <v>65</v>
      </c>
      <c r="EF28" s="111" t="n">
        <v>54</v>
      </c>
      <c r="EG28" s="111" t="n">
        <v>279</v>
      </c>
      <c r="EH28" s="111" t="n">
        <v>243</v>
      </c>
      <c r="EI28" s="111" t="n">
        <v>223</v>
      </c>
      <c r="EJ28" s="111" t="n">
        <v>20</v>
      </c>
      <c r="EK28" s="111" t="n">
        <v>36</v>
      </c>
      <c r="EL28" s="111" t="n">
        <v>33</v>
      </c>
      <c r="EM28" s="111" t="n">
        <v>3</v>
      </c>
      <c r="EN28" s="111" t="n">
        <v>13</v>
      </c>
      <c r="EO28" s="111" t="n">
        <v>0</v>
      </c>
      <c r="EP28" s="111" t="n">
        <v>0</v>
      </c>
      <c r="EQ28" s="111" t="n">
        <v>13</v>
      </c>
      <c r="ER28" s="111" t="n">
        <v>0</v>
      </c>
      <c r="ES28" s="111" t="n">
        <v>0</v>
      </c>
      <c r="ET28" s="111" t="n">
        <v>0</v>
      </c>
      <c r="EU28" s="111" t="n">
        <v>0</v>
      </c>
      <c r="EV28" s="111" t="n">
        <v>0</v>
      </c>
      <c r="EW28" s="111" t="n">
        <v>0</v>
      </c>
      <c r="EX28" s="111" t="n">
        <v>0</v>
      </c>
      <c r="EY28" s="111" t="n">
        <v>0</v>
      </c>
      <c r="EZ28" s="111" t="n">
        <v>0</v>
      </c>
      <c r="FA28" s="111" t="n">
        <v>0</v>
      </c>
      <c r="FB28" s="111" t="n">
        <v>198</v>
      </c>
    </row>
    <row r="29" ht="19.5" customHeight="1" s="247">
      <c r="A29" s="107" t="n">
        <v>26</v>
      </c>
      <c r="B29" s="107" t="inlineStr">
        <is>
          <t>儿童非手术</t>
        </is>
      </c>
      <c r="C29" s="107" t="inlineStr">
        <is>
          <t>儿肾脏内科</t>
        </is>
      </c>
      <c r="D29" s="110" t="n">
        <v>2012355.75</v>
      </c>
      <c r="E29" s="110" t="n">
        <v>984599.5</v>
      </c>
      <c r="F29" s="110" t="n">
        <v>1027756.25</v>
      </c>
      <c r="G29" s="110" t="n">
        <v>4959</v>
      </c>
      <c r="H29" s="110" t="n">
        <v>108</v>
      </c>
      <c r="I29" s="110" t="n">
        <v>17654.5</v>
      </c>
      <c r="J29" s="110" t="n">
        <v>0</v>
      </c>
      <c r="K29" s="110" t="n">
        <v>0</v>
      </c>
      <c r="L29" s="110" t="n">
        <v>27860.25</v>
      </c>
      <c r="M29" s="110" t="n">
        <v>30521.5</v>
      </c>
      <c r="N29" s="110" t="n">
        <v>751.58</v>
      </c>
      <c r="O29" s="110" t="n">
        <v>3418870.16</v>
      </c>
      <c r="P29" s="110" t="n">
        <v>2237584.81</v>
      </c>
      <c r="Q29" s="110" t="n">
        <v>1989138.09</v>
      </c>
      <c r="R29" s="110" t="n">
        <v>248446.72</v>
      </c>
      <c r="S29" s="110" t="n">
        <v>1181285.35</v>
      </c>
      <c r="T29" s="110" t="n">
        <v>992740.9300000001</v>
      </c>
      <c r="U29" s="110" t="n">
        <v>188544.42</v>
      </c>
      <c r="V29" s="110" t="n">
        <v>1896244.21</v>
      </c>
      <c r="W29" s="110" t="n">
        <v>1680949.05</v>
      </c>
      <c r="X29" s="110" t="n">
        <v>1542708.2</v>
      </c>
      <c r="Y29" s="110" t="n">
        <v>138240.85</v>
      </c>
      <c r="Z29" s="110" t="n">
        <v>215295.16</v>
      </c>
      <c r="AA29" s="110" t="n">
        <v>69308.41</v>
      </c>
      <c r="AB29" s="110" t="n">
        <v>145986.75</v>
      </c>
      <c r="AC29" s="110" t="n">
        <v>875025.4399999999</v>
      </c>
      <c r="AD29" s="110" t="n">
        <v>797381.4</v>
      </c>
      <c r="AE29" s="110" t="n">
        <v>748220.97</v>
      </c>
      <c r="AF29" s="110" t="n">
        <v>49160.43</v>
      </c>
      <c r="AG29" s="110" t="n">
        <v>77644.03999999999</v>
      </c>
      <c r="AH29" s="110" t="n">
        <v>23373.77</v>
      </c>
      <c r="AI29" s="110" t="n">
        <v>54270.27</v>
      </c>
      <c r="AJ29" s="110" t="n">
        <v>36619.27</v>
      </c>
      <c r="AK29" s="110" t="n">
        <v>34388.15</v>
      </c>
      <c r="AL29" s="110" t="n">
        <v>31542.23</v>
      </c>
      <c r="AM29" s="110" t="n">
        <v>2845.92</v>
      </c>
      <c r="AN29" s="110" t="n">
        <v>2231.12</v>
      </c>
      <c r="AO29" s="110" t="n">
        <v>1015.64</v>
      </c>
      <c r="AP29" s="110" t="n">
        <v>1215.48</v>
      </c>
      <c r="AQ29" s="110" t="n">
        <v>646004</v>
      </c>
      <c r="AR29" s="110" t="n">
        <v>568299</v>
      </c>
      <c r="AS29" s="110" t="n">
        <v>518898</v>
      </c>
      <c r="AT29" s="110" t="n">
        <v>49401</v>
      </c>
      <c r="AU29" s="110" t="n">
        <v>77705</v>
      </c>
      <c r="AV29" s="110" t="n">
        <v>24415</v>
      </c>
      <c r="AW29" s="110" t="n">
        <v>53290</v>
      </c>
      <c r="AX29" s="110" t="n">
        <v>338595.5</v>
      </c>
      <c r="AY29" s="110" t="n">
        <v>280880.5</v>
      </c>
      <c r="AZ29" s="110" t="n">
        <v>244047</v>
      </c>
      <c r="BA29" s="110" t="n">
        <v>36833.5</v>
      </c>
      <c r="BB29" s="110" t="n">
        <v>57715</v>
      </c>
      <c r="BC29" s="110" t="n">
        <v>20504</v>
      </c>
      <c r="BD29" s="110" t="n">
        <v>37211</v>
      </c>
      <c r="BE29" s="110" t="n">
        <v>1522625.95</v>
      </c>
      <c r="BF29" s="110" t="n">
        <v>556635.76</v>
      </c>
      <c r="BG29" s="110" t="n">
        <v>446429.89</v>
      </c>
      <c r="BH29" s="110" t="n">
        <v>110205.87</v>
      </c>
      <c r="BI29" s="110" t="n">
        <v>965990.1899999999</v>
      </c>
      <c r="BJ29" s="110" t="n">
        <v>923432.52</v>
      </c>
      <c r="BK29" s="110" t="n">
        <v>42557.67</v>
      </c>
      <c r="BL29" s="110" t="n">
        <v>430707.93</v>
      </c>
      <c r="BM29" s="110" t="n">
        <v>107964.27</v>
      </c>
      <c r="BN29" s="110" t="n">
        <v>82559.16</v>
      </c>
      <c r="BO29" s="110" t="n">
        <v>25405.11</v>
      </c>
      <c r="BP29" s="110" t="n">
        <v>322743.66</v>
      </c>
      <c r="BQ29" s="110" t="n">
        <v>321130.93</v>
      </c>
      <c r="BR29" s="110" t="n">
        <v>1612.73</v>
      </c>
      <c r="BS29" s="110" t="n">
        <v>64161.77</v>
      </c>
      <c r="BT29" s="110" t="n">
        <v>12606.99</v>
      </c>
      <c r="BU29" s="110" t="n">
        <v>8435.23</v>
      </c>
      <c r="BV29" s="110" t="n">
        <v>4171.76</v>
      </c>
      <c r="BW29" s="110" t="n">
        <v>51554.78</v>
      </c>
      <c r="BX29" s="110" t="n">
        <v>51425.34</v>
      </c>
      <c r="BY29" s="110" t="n">
        <v>129.44</v>
      </c>
      <c r="BZ29" s="110" t="n">
        <v>645541</v>
      </c>
      <c r="CA29" s="110" t="n">
        <v>306638</v>
      </c>
      <c r="CB29" s="110" t="n">
        <v>262577</v>
      </c>
      <c r="CC29" s="110" t="n">
        <v>44061</v>
      </c>
      <c r="CD29" s="110" t="n">
        <v>338903</v>
      </c>
      <c r="CE29" s="110" t="n">
        <v>327007</v>
      </c>
      <c r="CF29" s="110" t="n">
        <v>11896</v>
      </c>
      <c r="CG29" s="110" t="n">
        <v>382215.25</v>
      </c>
      <c r="CH29" s="110" t="n">
        <v>129426.5</v>
      </c>
      <c r="CI29" s="110" t="n">
        <v>92858.5</v>
      </c>
      <c r="CJ29" s="110" t="n">
        <v>36568</v>
      </c>
      <c r="CK29" s="110" t="n">
        <v>252788.75</v>
      </c>
      <c r="CL29" s="110" t="n">
        <v>223869.25</v>
      </c>
      <c r="CM29" s="110" t="n">
        <v>28919.5</v>
      </c>
      <c r="CN29" s="110" t="n">
        <v>271301.89</v>
      </c>
      <c r="CO29" s="110" t="n">
        <v>505698.38</v>
      </c>
      <c r="CP29" s="110" t="n">
        <v>595984.67</v>
      </c>
      <c r="CQ29" s="110" t="n">
        <v>50381.52</v>
      </c>
      <c r="CR29" s="110" t="n">
        <v>472877.75</v>
      </c>
      <c r="CS29" s="110" t="n">
        <v>0</v>
      </c>
      <c r="CT29" s="110" t="n">
        <v>69465.13</v>
      </c>
      <c r="CU29" s="110" t="n">
        <v>0</v>
      </c>
      <c r="CV29" s="111" t="n">
        <v>4959</v>
      </c>
      <c r="CW29" s="111" t="n">
        <v>4415</v>
      </c>
      <c r="CX29" s="111" t="n">
        <v>4011</v>
      </c>
      <c r="CY29" s="111" t="n">
        <v>404</v>
      </c>
      <c r="CZ29" s="111" t="n">
        <v>544</v>
      </c>
      <c r="DA29" s="111" t="n">
        <v>209</v>
      </c>
      <c r="DB29" s="111" t="n">
        <v>335</v>
      </c>
      <c r="DC29" s="111" t="n">
        <v>1581</v>
      </c>
      <c r="DD29" s="111" t="n">
        <v>19</v>
      </c>
      <c r="DE29" s="111" t="n">
        <v>1462</v>
      </c>
      <c r="DF29" s="111" t="n">
        <v>1351</v>
      </c>
      <c r="DG29" s="111" t="n">
        <v>111</v>
      </c>
      <c r="DH29" s="111" t="n">
        <v>119</v>
      </c>
      <c r="DI29" s="111" t="n">
        <v>48</v>
      </c>
      <c r="DJ29" s="111" t="n">
        <v>71</v>
      </c>
      <c r="DK29" s="111" t="n">
        <v>1482</v>
      </c>
      <c r="DL29" s="111" t="n">
        <v>1263</v>
      </c>
      <c r="DM29" s="111" t="n">
        <v>1179</v>
      </c>
      <c r="DN29" s="111" t="n">
        <v>84</v>
      </c>
      <c r="DO29" s="111" t="n">
        <v>219</v>
      </c>
      <c r="DP29" s="111" t="n">
        <v>70</v>
      </c>
      <c r="DQ29" s="111" t="n">
        <v>149</v>
      </c>
      <c r="DR29" s="111" t="n">
        <v>787</v>
      </c>
      <c r="DS29" s="111" t="n">
        <v>0</v>
      </c>
      <c r="DT29" s="111" t="n">
        <v>665</v>
      </c>
      <c r="DU29" s="111" t="n">
        <v>593</v>
      </c>
      <c r="DV29" s="111" t="n">
        <v>72</v>
      </c>
      <c r="DW29" s="111" t="n">
        <v>122</v>
      </c>
      <c r="DX29" s="111" t="n">
        <v>38</v>
      </c>
      <c r="DY29" s="111" t="n">
        <v>84</v>
      </c>
      <c r="DZ29" s="111" t="n">
        <v>1090</v>
      </c>
      <c r="EA29" s="111" t="n">
        <v>1015</v>
      </c>
      <c r="EB29" s="111" t="n">
        <v>880</v>
      </c>
      <c r="EC29" s="111" t="n">
        <v>135</v>
      </c>
      <c r="ED29" s="111" t="n">
        <v>75</v>
      </c>
      <c r="EE29" s="111" t="n">
        <v>53</v>
      </c>
      <c r="EF29" s="111" t="n">
        <v>22</v>
      </c>
      <c r="EG29" s="111" t="n">
        <v>108</v>
      </c>
      <c r="EH29" s="111" t="n">
        <v>52</v>
      </c>
      <c r="EI29" s="111" t="n">
        <v>43</v>
      </c>
      <c r="EJ29" s="111" t="n">
        <v>9</v>
      </c>
      <c r="EK29" s="111" t="n">
        <v>56</v>
      </c>
      <c r="EL29" s="111" t="n">
        <v>54</v>
      </c>
      <c r="EM29" s="111" t="n">
        <v>2</v>
      </c>
      <c r="EN29" s="111" t="n">
        <v>5</v>
      </c>
      <c r="EO29" s="111" t="n">
        <v>0</v>
      </c>
      <c r="EP29" s="111" t="n">
        <v>0</v>
      </c>
      <c r="EQ29" s="111" t="n">
        <v>5</v>
      </c>
      <c r="ER29" s="111" t="n">
        <v>0</v>
      </c>
      <c r="ES29" s="111" t="n">
        <v>0</v>
      </c>
      <c r="ET29" s="111" t="n">
        <v>0</v>
      </c>
      <c r="EU29" s="111" t="n">
        <v>0</v>
      </c>
      <c r="EV29" s="111" t="n">
        <v>0</v>
      </c>
      <c r="EW29" s="111" t="n">
        <v>0</v>
      </c>
      <c r="EX29" s="111" t="n">
        <v>0</v>
      </c>
      <c r="EY29" s="111" t="n">
        <v>0</v>
      </c>
      <c r="EZ29" s="111" t="n">
        <v>0</v>
      </c>
      <c r="FA29" s="111" t="n">
        <v>0</v>
      </c>
      <c r="FB29" s="111" t="n">
        <v>44</v>
      </c>
    </row>
    <row r="30" ht="19.5" customHeight="1" s="247">
      <c r="A30" s="107" t="n">
        <v>27</v>
      </c>
      <c r="B30" s="107" t="inlineStr">
        <is>
          <t>儿童非手术</t>
        </is>
      </c>
      <c r="C30" s="107" t="inlineStr">
        <is>
          <t>儿血液肿瘤科</t>
        </is>
      </c>
      <c r="D30" s="110" t="n">
        <v>3633990</v>
      </c>
      <c r="E30" s="110" t="n">
        <v>1309189</v>
      </c>
      <c r="F30" s="110" t="n">
        <v>2324801</v>
      </c>
      <c r="G30" s="110" t="n">
        <v>5256</v>
      </c>
      <c r="H30" s="110" t="n">
        <v>248</v>
      </c>
      <c r="I30" s="110" t="n">
        <v>25808</v>
      </c>
      <c r="J30" s="110" t="n">
        <v>0</v>
      </c>
      <c r="K30" s="110" t="n">
        <v>3560.67</v>
      </c>
      <c r="L30" s="110" t="n">
        <v>315271.5</v>
      </c>
      <c r="M30" s="110" t="n">
        <v>5905</v>
      </c>
      <c r="N30" s="110" t="n">
        <v>4479.7</v>
      </c>
      <c r="O30" s="110" t="n">
        <v>8054989.09</v>
      </c>
      <c r="P30" s="110" t="n">
        <v>2970714.29</v>
      </c>
      <c r="Q30" s="110" t="n">
        <v>2607273.76</v>
      </c>
      <c r="R30" s="110" t="n">
        <v>363440.53</v>
      </c>
      <c r="S30" s="110" t="n">
        <v>5084274.8</v>
      </c>
      <c r="T30" s="110" t="n">
        <v>4389519.42</v>
      </c>
      <c r="U30" s="110" t="n">
        <v>694755.38</v>
      </c>
      <c r="V30" s="110" t="n">
        <v>2559489.13</v>
      </c>
      <c r="W30" s="110" t="n">
        <v>1909920.43</v>
      </c>
      <c r="X30" s="110" t="n">
        <v>1780332.04</v>
      </c>
      <c r="Y30" s="110" t="n">
        <v>129588.39</v>
      </c>
      <c r="Z30" s="110" t="n">
        <v>649568.7</v>
      </c>
      <c r="AA30" s="110" t="n">
        <v>477129.83</v>
      </c>
      <c r="AB30" s="110" t="n">
        <v>172438.87</v>
      </c>
      <c r="AC30" s="110" t="n">
        <v>1190060.7</v>
      </c>
      <c r="AD30" s="110" t="n">
        <v>933051.8</v>
      </c>
      <c r="AE30" s="110" t="n">
        <v>881389.45</v>
      </c>
      <c r="AF30" s="110" t="n">
        <v>51662.35</v>
      </c>
      <c r="AG30" s="110" t="n">
        <v>257008.9</v>
      </c>
      <c r="AH30" s="110" t="n">
        <v>212472.51</v>
      </c>
      <c r="AI30" s="110" t="n">
        <v>44536.39</v>
      </c>
      <c r="AJ30" s="110" t="n">
        <v>60239.43</v>
      </c>
      <c r="AK30" s="110" t="n">
        <v>35916.63</v>
      </c>
      <c r="AL30" s="110" t="n">
        <v>32507.09</v>
      </c>
      <c r="AM30" s="110" t="n">
        <v>3409.54</v>
      </c>
      <c r="AN30" s="110" t="n">
        <v>24322.8</v>
      </c>
      <c r="AO30" s="110" t="n">
        <v>21949.82</v>
      </c>
      <c r="AP30" s="110" t="n">
        <v>2372.98</v>
      </c>
      <c r="AQ30" s="110" t="n">
        <v>1008419</v>
      </c>
      <c r="AR30" s="110" t="n">
        <v>722273</v>
      </c>
      <c r="AS30" s="110" t="n">
        <v>671713</v>
      </c>
      <c r="AT30" s="110" t="n">
        <v>50560</v>
      </c>
      <c r="AU30" s="110" t="n">
        <v>286146</v>
      </c>
      <c r="AV30" s="110" t="n">
        <v>195205</v>
      </c>
      <c r="AW30" s="110" t="n">
        <v>90941</v>
      </c>
      <c r="AX30" s="110" t="n">
        <v>300770</v>
      </c>
      <c r="AY30" s="110" t="n">
        <v>218679</v>
      </c>
      <c r="AZ30" s="110" t="n">
        <v>194722.5</v>
      </c>
      <c r="BA30" s="110" t="n">
        <v>23956.5</v>
      </c>
      <c r="BB30" s="110" t="n">
        <v>82091</v>
      </c>
      <c r="BC30" s="110" t="n">
        <v>47502.5</v>
      </c>
      <c r="BD30" s="110" t="n">
        <v>34588.5</v>
      </c>
      <c r="BE30" s="110" t="n">
        <v>5495499.96</v>
      </c>
      <c r="BF30" s="110" t="n">
        <v>1060793.86</v>
      </c>
      <c r="BG30" s="110" t="n">
        <v>826941.72</v>
      </c>
      <c r="BH30" s="110" t="n">
        <v>233852.14</v>
      </c>
      <c r="BI30" s="110" t="n">
        <v>4434706.1</v>
      </c>
      <c r="BJ30" s="110" t="n">
        <v>3912389.59</v>
      </c>
      <c r="BK30" s="110" t="n">
        <v>522316.51</v>
      </c>
      <c r="BL30" s="110" t="n">
        <v>2979649.68</v>
      </c>
      <c r="BM30" s="110" t="n">
        <v>633902.87</v>
      </c>
      <c r="BN30" s="110" t="n">
        <v>431685.75</v>
      </c>
      <c r="BO30" s="110" t="n">
        <v>202217.12</v>
      </c>
      <c r="BP30" s="110" t="n">
        <v>2345746.81</v>
      </c>
      <c r="BQ30" s="110" t="n">
        <v>1868121.32</v>
      </c>
      <c r="BR30" s="110" t="n">
        <v>477625.49</v>
      </c>
      <c r="BS30" s="110" t="n">
        <v>191049.28</v>
      </c>
      <c r="BT30" s="110" t="n">
        <v>18512.49</v>
      </c>
      <c r="BU30" s="110" t="n">
        <v>17246.47</v>
      </c>
      <c r="BV30" s="110" t="n">
        <v>1266.02</v>
      </c>
      <c r="BW30" s="110" t="n">
        <v>172536.79</v>
      </c>
      <c r="BX30" s="110" t="n">
        <v>169433.77</v>
      </c>
      <c r="BY30" s="110" t="n">
        <v>3103.02</v>
      </c>
      <c r="BZ30" s="110" t="n">
        <v>1297855</v>
      </c>
      <c r="CA30" s="110" t="n">
        <v>212877</v>
      </c>
      <c r="CB30" s="110" t="n">
        <v>199231</v>
      </c>
      <c r="CC30" s="110" t="n">
        <v>13646</v>
      </c>
      <c r="CD30" s="110" t="n">
        <v>1084978</v>
      </c>
      <c r="CE30" s="110" t="n">
        <v>1057886</v>
      </c>
      <c r="CF30" s="110" t="n">
        <v>27092</v>
      </c>
      <c r="CG30" s="110" t="n">
        <v>1026946</v>
      </c>
      <c r="CH30" s="110" t="n">
        <v>195501.5</v>
      </c>
      <c r="CI30" s="110" t="n">
        <v>178778.5</v>
      </c>
      <c r="CJ30" s="110" t="n">
        <v>16723</v>
      </c>
      <c r="CK30" s="110" t="n">
        <v>831444.5</v>
      </c>
      <c r="CL30" s="110" t="n">
        <v>816948.5</v>
      </c>
      <c r="CM30" s="110" t="n">
        <v>14496</v>
      </c>
      <c r="CN30" s="110" t="n">
        <v>361608.6</v>
      </c>
      <c r="CO30" s="110" t="n">
        <v>941845.23</v>
      </c>
      <c r="CP30" s="110" t="n">
        <v>502321.54</v>
      </c>
      <c r="CQ30" s="110" t="n">
        <v>248619.83</v>
      </c>
      <c r="CR30" s="110" t="n">
        <v>505093.93</v>
      </c>
      <c r="CS30" s="110" t="n">
        <v>0</v>
      </c>
      <c r="CT30" s="110" t="n">
        <v>57899.74</v>
      </c>
      <c r="CU30" s="110" t="n">
        <v>0</v>
      </c>
      <c r="CV30" s="111" t="n">
        <v>5256</v>
      </c>
      <c r="CW30" s="111" t="n">
        <v>4312</v>
      </c>
      <c r="CX30" s="111" t="n">
        <v>3929</v>
      </c>
      <c r="CY30" s="111" t="n">
        <v>383</v>
      </c>
      <c r="CZ30" s="111" t="n">
        <v>944</v>
      </c>
      <c r="DA30" s="111" t="n">
        <v>602</v>
      </c>
      <c r="DB30" s="111" t="n">
        <v>342</v>
      </c>
      <c r="DC30" s="111" t="n">
        <v>2772</v>
      </c>
      <c r="DD30" s="111" t="n">
        <v>13</v>
      </c>
      <c r="DE30" s="111" t="n">
        <v>2371</v>
      </c>
      <c r="DF30" s="111" t="n">
        <v>2178</v>
      </c>
      <c r="DG30" s="111" t="n">
        <v>193</v>
      </c>
      <c r="DH30" s="111" t="n">
        <v>401</v>
      </c>
      <c r="DI30" s="111" t="n">
        <v>264</v>
      </c>
      <c r="DJ30" s="111" t="n">
        <v>137</v>
      </c>
      <c r="DK30" s="111" t="n">
        <v>743</v>
      </c>
      <c r="DL30" s="111" t="n">
        <v>462</v>
      </c>
      <c r="DM30" s="111" t="n">
        <v>431</v>
      </c>
      <c r="DN30" s="111" t="n">
        <v>31</v>
      </c>
      <c r="DO30" s="111" t="n">
        <v>281</v>
      </c>
      <c r="DP30" s="111" t="n">
        <v>205</v>
      </c>
      <c r="DQ30" s="111" t="n">
        <v>76</v>
      </c>
      <c r="DR30" s="111" t="n">
        <v>684</v>
      </c>
      <c r="DS30" s="111" t="n">
        <v>11</v>
      </c>
      <c r="DT30" s="111" t="n">
        <v>524</v>
      </c>
      <c r="DU30" s="111" t="n">
        <v>478</v>
      </c>
      <c r="DV30" s="111" t="n">
        <v>46</v>
      </c>
      <c r="DW30" s="111" t="n">
        <v>160</v>
      </c>
      <c r="DX30" s="111" t="n">
        <v>82</v>
      </c>
      <c r="DY30" s="111" t="n">
        <v>78</v>
      </c>
      <c r="DZ30" s="111" t="n">
        <v>1033</v>
      </c>
      <c r="EA30" s="111" t="n">
        <v>949</v>
      </c>
      <c r="EB30" s="111" t="n">
        <v>838</v>
      </c>
      <c r="EC30" s="111" t="n">
        <v>111</v>
      </c>
      <c r="ED30" s="111" t="n">
        <v>84</v>
      </c>
      <c r="EE30" s="111" t="n">
        <v>51</v>
      </c>
      <c r="EF30" s="111" t="n">
        <v>33</v>
      </c>
      <c r="EG30" s="111" t="n">
        <v>248</v>
      </c>
      <c r="EH30" s="111" t="n">
        <v>45</v>
      </c>
      <c r="EI30" s="111" t="n">
        <v>39</v>
      </c>
      <c r="EJ30" s="111" t="n">
        <v>6</v>
      </c>
      <c r="EK30" s="111" t="n">
        <v>203</v>
      </c>
      <c r="EL30" s="111" t="n">
        <v>196</v>
      </c>
      <c r="EM30" s="111" t="n">
        <v>7</v>
      </c>
      <c r="EN30" s="111" t="n">
        <v>213</v>
      </c>
      <c r="EO30" s="111" t="n">
        <v>0</v>
      </c>
      <c r="EP30" s="111" t="n">
        <v>0</v>
      </c>
      <c r="EQ30" s="111" t="n">
        <v>213</v>
      </c>
      <c r="ER30" s="111" t="n">
        <v>0</v>
      </c>
      <c r="ES30" s="111" t="n">
        <v>0</v>
      </c>
      <c r="ET30" s="111" t="n">
        <v>0</v>
      </c>
      <c r="EU30" s="111" t="n">
        <v>0</v>
      </c>
      <c r="EV30" s="111" t="n">
        <v>0</v>
      </c>
      <c r="EW30" s="111" t="n">
        <v>0</v>
      </c>
      <c r="EX30" s="111" t="n">
        <v>0</v>
      </c>
      <c r="EY30" s="111" t="n">
        <v>0</v>
      </c>
      <c r="EZ30" s="111" t="n">
        <v>0</v>
      </c>
      <c r="FA30" s="111" t="n">
        <v>0</v>
      </c>
      <c r="FB30" s="111" t="n">
        <v>44</v>
      </c>
    </row>
    <row r="31" ht="19.5" customHeight="1" s="247">
      <c r="A31" s="107" t="n">
        <v>28</v>
      </c>
      <c r="B31" s="107" t="inlineStr">
        <is>
          <t>儿童非手术</t>
        </is>
      </c>
      <c r="C31" s="107" t="inlineStr">
        <is>
          <t>儿内分泌遗传科</t>
        </is>
      </c>
      <c r="D31" s="110" t="n">
        <v>4478559</v>
      </c>
      <c r="E31" s="110" t="n">
        <v>3739651</v>
      </c>
      <c r="F31" s="110" t="n">
        <v>738908</v>
      </c>
      <c r="G31" s="110" t="n">
        <v>6152</v>
      </c>
      <c r="H31" s="110" t="n">
        <v>124</v>
      </c>
      <c r="I31" s="110" t="n">
        <v>8446</v>
      </c>
      <c r="J31" s="110" t="n">
        <v>0</v>
      </c>
      <c r="K31" s="110" t="n">
        <v>2070.02</v>
      </c>
      <c r="L31" s="110" t="n">
        <v>10909.5</v>
      </c>
      <c r="M31" s="110" t="n">
        <v>12512</v>
      </c>
      <c r="N31" s="110" t="n">
        <v>0</v>
      </c>
      <c r="O31" s="110" t="n">
        <v>7508201.98</v>
      </c>
      <c r="P31" s="110" t="n">
        <v>5616547.85</v>
      </c>
      <c r="Q31" s="110" t="n">
        <v>5031227.2</v>
      </c>
      <c r="R31" s="110" t="n">
        <v>585320.65</v>
      </c>
      <c r="S31" s="110" t="n">
        <v>1891654.13</v>
      </c>
      <c r="T31" s="110" t="n">
        <v>840602.01</v>
      </c>
      <c r="U31" s="110" t="n">
        <v>1051052.12</v>
      </c>
      <c r="V31" s="110" t="n">
        <v>6520243.6</v>
      </c>
      <c r="W31" s="110" t="n">
        <v>5056657.91</v>
      </c>
      <c r="X31" s="110" t="n">
        <v>4718744.5</v>
      </c>
      <c r="Y31" s="110" t="n">
        <v>337913.41</v>
      </c>
      <c r="Z31" s="110" t="n">
        <v>1463585.69</v>
      </c>
      <c r="AA31" s="110" t="n">
        <v>460587.33</v>
      </c>
      <c r="AB31" s="110" t="n">
        <v>1002998.36</v>
      </c>
      <c r="AC31" s="110" t="n">
        <v>2773993.15</v>
      </c>
      <c r="AD31" s="110" t="n">
        <v>2596144.38</v>
      </c>
      <c r="AE31" s="110" t="n">
        <v>2540856.77</v>
      </c>
      <c r="AF31" s="110" t="n">
        <v>55287.61</v>
      </c>
      <c r="AG31" s="110" t="n">
        <v>177848.77</v>
      </c>
      <c r="AH31" s="110" t="n">
        <v>67658.50999999999</v>
      </c>
      <c r="AI31" s="110" t="n">
        <v>110190.26</v>
      </c>
      <c r="AJ31" s="110" t="n">
        <v>6599.45</v>
      </c>
      <c r="AK31" s="110" t="n">
        <v>5927.53</v>
      </c>
      <c r="AL31" s="110" t="n">
        <v>5212.73</v>
      </c>
      <c r="AM31" s="110" t="n">
        <v>714.8</v>
      </c>
      <c r="AN31" s="110" t="n">
        <v>671.92</v>
      </c>
      <c r="AO31" s="110" t="n">
        <v>395.82</v>
      </c>
      <c r="AP31" s="110" t="n">
        <v>276.1</v>
      </c>
      <c r="AQ31" s="110" t="n">
        <v>2822895</v>
      </c>
      <c r="AR31" s="110" t="n">
        <v>1852648</v>
      </c>
      <c r="AS31" s="110" t="n">
        <v>1635319</v>
      </c>
      <c r="AT31" s="110" t="n">
        <v>217329</v>
      </c>
      <c r="AU31" s="110" t="n">
        <v>970247</v>
      </c>
      <c r="AV31" s="110" t="n">
        <v>290223</v>
      </c>
      <c r="AW31" s="110" t="n">
        <v>680024</v>
      </c>
      <c r="AX31" s="110" t="n">
        <v>916756</v>
      </c>
      <c r="AY31" s="110" t="n">
        <v>601938</v>
      </c>
      <c r="AZ31" s="110" t="n">
        <v>537356</v>
      </c>
      <c r="BA31" s="110" t="n">
        <v>64582</v>
      </c>
      <c r="BB31" s="110" t="n">
        <v>314818</v>
      </c>
      <c r="BC31" s="110" t="n">
        <v>102310</v>
      </c>
      <c r="BD31" s="110" t="n">
        <v>212508</v>
      </c>
      <c r="BE31" s="110" t="n">
        <v>987958.38</v>
      </c>
      <c r="BF31" s="110" t="n">
        <v>559889.9399999999</v>
      </c>
      <c r="BG31" s="110" t="n">
        <v>312482.7</v>
      </c>
      <c r="BH31" s="110" t="n">
        <v>247407.24</v>
      </c>
      <c r="BI31" s="110" t="n">
        <v>428068.44</v>
      </c>
      <c r="BJ31" s="110" t="n">
        <v>380014.68</v>
      </c>
      <c r="BK31" s="110" t="n">
        <v>48053.76</v>
      </c>
      <c r="BL31" s="110" t="n">
        <v>235411.74</v>
      </c>
      <c r="BM31" s="110" t="n">
        <v>186777.02</v>
      </c>
      <c r="BN31" s="110" t="n">
        <v>158441.28</v>
      </c>
      <c r="BO31" s="110" t="n">
        <v>28335.74</v>
      </c>
      <c r="BP31" s="110" t="n">
        <v>48634.72</v>
      </c>
      <c r="BQ31" s="110" t="n">
        <v>47948.64</v>
      </c>
      <c r="BR31" s="110" t="n">
        <v>686.08</v>
      </c>
      <c r="BS31" s="110" t="n">
        <v>13638.64</v>
      </c>
      <c r="BT31" s="110" t="n">
        <v>4141.92</v>
      </c>
      <c r="BU31" s="110" t="n">
        <v>2074.42</v>
      </c>
      <c r="BV31" s="110" t="n">
        <v>2067.5</v>
      </c>
      <c r="BW31" s="110" t="n">
        <v>9496.719999999999</v>
      </c>
      <c r="BX31" s="110" t="n">
        <v>8939.540000000001</v>
      </c>
      <c r="BY31" s="110" t="n">
        <v>557.1799999999999</v>
      </c>
      <c r="BZ31" s="110" t="n">
        <v>565634</v>
      </c>
      <c r="CA31" s="110" t="n">
        <v>283370</v>
      </c>
      <c r="CB31" s="110" t="n">
        <v>119831</v>
      </c>
      <c r="CC31" s="110" t="n">
        <v>163539</v>
      </c>
      <c r="CD31" s="110" t="n">
        <v>282264</v>
      </c>
      <c r="CE31" s="110" t="n">
        <v>251565</v>
      </c>
      <c r="CF31" s="110" t="n">
        <v>30699</v>
      </c>
      <c r="CG31" s="110" t="n">
        <v>173274</v>
      </c>
      <c r="CH31" s="110" t="n">
        <v>85601</v>
      </c>
      <c r="CI31" s="110" t="n">
        <v>32136</v>
      </c>
      <c r="CJ31" s="110" t="n">
        <v>53465</v>
      </c>
      <c r="CK31" s="110" t="n">
        <v>87673</v>
      </c>
      <c r="CL31" s="110" t="n">
        <v>71561.5</v>
      </c>
      <c r="CM31" s="110" t="n">
        <v>16111.5</v>
      </c>
      <c r="CN31" s="110" t="n">
        <v>291489.49</v>
      </c>
      <c r="CO31" s="110" t="n">
        <v>1548489.13</v>
      </c>
      <c r="CP31" s="110" t="n">
        <v>1941497.83</v>
      </c>
      <c r="CQ31" s="110" t="n">
        <v>39437.85</v>
      </c>
      <c r="CR31" s="110" t="n">
        <v>2698513.3</v>
      </c>
      <c r="CS31" s="110" t="n">
        <v>0</v>
      </c>
      <c r="CT31" s="110" t="n">
        <v>108846.01</v>
      </c>
      <c r="CU31" s="110" t="n">
        <v>0</v>
      </c>
      <c r="CV31" s="111" t="n">
        <v>6152</v>
      </c>
      <c r="CW31" s="111" t="n">
        <v>4561</v>
      </c>
      <c r="CX31" s="111" t="n">
        <v>4012</v>
      </c>
      <c r="CY31" s="111" t="n">
        <v>549</v>
      </c>
      <c r="CZ31" s="111" t="n">
        <v>1591</v>
      </c>
      <c r="DA31" s="111" t="n">
        <v>494</v>
      </c>
      <c r="DB31" s="111" t="n">
        <v>1097</v>
      </c>
      <c r="DC31" s="111" t="n">
        <v>1206</v>
      </c>
      <c r="DD31" s="111" t="n">
        <v>40</v>
      </c>
      <c r="DE31" s="111" t="n">
        <v>1034</v>
      </c>
      <c r="DF31" s="111" t="n">
        <v>880</v>
      </c>
      <c r="DG31" s="111" t="n">
        <v>154</v>
      </c>
      <c r="DH31" s="111" t="n">
        <v>172</v>
      </c>
      <c r="DI31" s="111" t="n">
        <v>34</v>
      </c>
      <c r="DJ31" s="111" t="n">
        <v>138</v>
      </c>
      <c r="DK31" s="111" t="n">
        <v>2023</v>
      </c>
      <c r="DL31" s="111" t="n">
        <v>1411</v>
      </c>
      <c r="DM31" s="111" t="n">
        <v>1226</v>
      </c>
      <c r="DN31" s="111" t="n">
        <v>185</v>
      </c>
      <c r="DO31" s="111" t="n">
        <v>612</v>
      </c>
      <c r="DP31" s="111" t="n">
        <v>177</v>
      </c>
      <c r="DQ31" s="111" t="n">
        <v>435</v>
      </c>
      <c r="DR31" s="111" t="n">
        <v>2407</v>
      </c>
      <c r="DS31" s="111" t="n">
        <v>0</v>
      </c>
      <c r="DT31" s="111" t="n">
        <v>1661</v>
      </c>
      <c r="DU31" s="111" t="n">
        <v>1519</v>
      </c>
      <c r="DV31" s="111" t="n">
        <v>142</v>
      </c>
      <c r="DW31" s="111" t="n">
        <v>746</v>
      </c>
      <c r="DX31" s="111" t="n">
        <v>254</v>
      </c>
      <c r="DY31" s="111" t="n">
        <v>492</v>
      </c>
      <c r="DZ31" s="111" t="n">
        <v>476</v>
      </c>
      <c r="EA31" s="111" t="n">
        <v>426</v>
      </c>
      <c r="EB31" s="111" t="n">
        <v>362</v>
      </c>
      <c r="EC31" s="111" t="n">
        <v>64</v>
      </c>
      <c r="ED31" s="111" t="n">
        <v>50</v>
      </c>
      <c r="EE31" s="111" t="n">
        <v>29</v>
      </c>
      <c r="EF31" s="111" t="n">
        <v>21</v>
      </c>
      <c r="EG31" s="111" t="n">
        <v>124</v>
      </c>
      <c r="EH31" s="111" t="n">
        <v>67</v>
      </c>
      <c r="EI31" s="111" t="n">
        <v>25</v>
      </c>
      <c r="EJ31" s="111" t="n">
        <v>42</v>
      </c>
      <c r="EK31" s="111" t="n">
        <v>57</v>
      </c>
      <c r="EL31" s="111" t="n">
        <v>43</v>
      </c>
      <c r="EM31" s="111" t="n">
        <v>14</v>
      </c>
      <c r="EN31" s="111" t="n">
        <v>3</v>
      </c>
      <c r="EO31" s="111" t="n">
        <v>0</v>
      </c>
      <c r="EP31" s="111" t="n">
        <v>0</v>
      </c>
      <c r="EQ31" s="111" t="n">
        <v>3</v>
      </c>
      <c r="ER31" s="111" t="n">
        <v>0</v>
      </c>
      <c r="ES31" s="111" t="n">
        <v>0</v>
      </c>
      <c r="ET31" s="111" t="n">
        <v>0</v>
      </c>
      <c r="EU31" s="111" t="n">
        <v>0</v>
      </c>
      <c r="EV31" s="111" t="n">
        <v>0</v>
      </c>
      <c r="EW31" s="111" t="n">
        <v>0</v>
      </c>
      <c r="EX31" s="111" t="n">
        <v>0</v>
      </c>
      <c r="EY31" s="111" t="n">
        <v>0</v>
      </c>
      <c r="EZ31" s="111" t="n">
        <v>0</v>
      </c>
      <c r="FA31" s="111" t="n">
        <v>0</v>
      </c>
      <c r="FB31" s="111" t="n">
        <v>14</v>
      </c>
    </row>
    <row r="32" ht="19.5" customHeight="1" s="247">
      <c r="A32" s="107" t="n">
        <v>29</v>
      </c>
      <c r="B32" s="107" t="inlineStr">
        <is>
          <t>儿童非手术</t>
        </is>
      </c>
      <c r="C32" s="107" t="inlineStr">
        <is>
          <t>新生儿科</t>
        </is>
      </c>
      <c r="D32" s="110" t="n">
        <v>7268803.64</v>
      </c>
      <c r="E32" s="110" t="n">
        <v>1344437.5</v>
      </c>
      <c r="F32" s="110" t="n">
        <v>5924366.14</v>
      </c>
      <c r="G32" s="110" t="n">
        <v>5804</v>
      </c>
      <c r="H32" s="110" t="n">
        <v>293</v>
      </c>
      <c r="I32" s="110" t="n">
        <v>20786.5</v>
      </c>
      <c r="J32" s="110" t="n">
        <v>0</v>
      </c>
      <c r="K32" s="110" t="n">
        <v>0</v>
      </c>
      <c r="L32" s="110" t="n">
        <v>879892.5</v>
      </c>
      <c r="M32" s="110" t="n">
        <v>162665.75</v>
      </c>
      <c r="N32" s="110" t="n">
        <v>0</v>
      </c>
      <c r="O32" s="110" t="n">
        <v>9151853.34</v>
      </c>
      <c r="P32" s="110" t="n">
        <v>6289912.76</v>
      </c>
      <c r="Q32" s="110" t="n">
        <v>3653532.92</v>
      </c>
      <c r="R32" s="110" t="n">
        <v>2636379.84</v>
      </c>
      <c r="S32" s="110" t="n">
        <v>2861940.58</v>
      </c>
      <c r="T32" s="110" t="n">
        <v>2728831.79</v>
      </c>
      <c r="U32" s="110" t="n">
        <v>133108.79</v>
      </c>
      <c r="V32" s="110" t="n">
        <v>2179082.48</v>
      </c>
      <c r="W32" s="110" t="n">
        <v>2000516.96</v>
      </c>
      <c r="X32" s="110" t="n">
        <v>1747380.39</v>
      </c>
      <c r="Y32" s="110" t="n">
        <v>253136.57</v>
      </c>
      <c r="Z32" s="110" t="n">
        <v>178565.52</v>
      </c>
      <c r="AA32" s="110" t="n">
        <v>75729.2</v>
      </c>
      <c r="AB32" s="110" t="n">
        <v>102836.32</v>
      </c>
      <c r="AC32" s="110" t="n">
        <v>791966.24</v>
      </c>
      <c r="AD32" s="110" t="n">
        <v>749841.78</v>
      </c>
      <c r="AE32" s="110" t="n">
        <v>684967.85</v>
      </c>
      <c r="AF32" s="110" t="n">
        <v>64873.93</v>
      </c>
      <c r="AG32" s="110" t="n">
        <v>42124.46</v>
      </c>
      <c r="AH32" s="110" t="n">
        <v>17401</v>
      </c>
      <c r="AI32" s="110" t="n">
        <v>24723.46</v>
      </c>
      <c r="AJ32" s="110" t="n">
        <v>42678.74</v>
      </c>
      <c r="AK32" s="110" t="n">
        <v>39860.18</v>
      </c>
      <c r="AL32" s="110" t="n">
        <v>36582.54</v>
      </c>
      <c r="AM32" s="110" t="n">
        <v>3277.64</v>
      </c>
      <c r="AN32" s="110" t="n">
        <v>2818.56</v>
      </c>
      <c r="AO32" s="110" t="n">
        <v>1262.7</v>
      </c>
      <c r="AP32" s="110" t="n">
        <v>1555.86</v>
      </c>
      <c r="AQ32" s="110" t="n">
        <v>931460</v>
      </c>
      <c r="AR32" s="110" t="n">
        <v>846612</v>
      </c>
      <c r="AS32" s="110" t="n">
        <v>737186</v>
      </c>
      <c r="AT32" s="110" t="n">
        <v>109426</v>
      </c>
      <c r="AU32" s="110" t="n">
        <v>84848</v>
      </c>
      <c r="AV32" s="110" t="n">
        <v>37177</v>
      </c>
      <c r="AW32" s="110" t="n">
        <v>47671</v>
      </c>
      <c r="AX32" s="110" t="n">
        <v>412977.5</v>
      </c>
      <c r="AY32" s="110" t="n">
        <v>364203</v>
      </c>
      <c r="AZ32" s="110" t="n">
        <v>288644</v>
      </c>
      <c r="BA32" s="110" t="n">
        <v>75559</v>
      </c>
      <c r="BB32" s="110" t="n">
        <v>48774.5</v>
      </c>
      <c r="BC32" s="110" t="n">
        <v>19888.5</v>
      </c>
      <c r="BD32" s="110" t="n">
        <v>28886</v>
      </c>
      <c r="BE32" s="110" t="n">
        <v>6972770.86</v>
      </c>
      <c r="BF32" s="110" t="n">
        <v>4289395.8</v>
      </c>
      <c r="BG32" s="110" t="n">
        <v>1906152.53</v>
      </c>
      <c r="BH32" s="110" t="n">
        <v>2383243.27</v>
      </c>
      <c r="BI32" s="110" t="n">
        <v>2683375.06</v>
      </c>
      <c r="BJ32" s="110" t="n">
        <v>2653102.59</v>
      </c>
      <c r="BK32" s="110" t="n">
        <v>30272.47</v>
      </c>
      <c r="BL32" s="110" t="n">
        <v>631885.85</v>
      </c>
      <c r="BM32" s="110" t="n">
        <v>323339.14</v>
      </c>
      <c r="BN32" s="110" t="n">
        <v>156286.93</v>
      </c>
      <c r="BO32" s="110" t="n">
        <v>167052.21</v>
      </c>
      <c r="BP32" s="110" t="n">
        <v>308546.71</v>
      </c>
      <c r="BQ32" s="110" t="n">
        <v>308056.86</v>
      </c>
      <c r="BR32" s="110" t="n">
        <v>489.85</v>
      </c>
      <c r="BS32" s="110" t="n">
        <v>416518.87</v>
      </c>
      <c r="BT32" s="110" t="n">
        <v>199576.26</v>
      </c>
      <c r="BU32" s="110" t="n">
        <v>106191.29</v>
      </c>
      <c r="BV32" s="110" t="n">
        <v>93384.97</v>
      </c>
      <c r="BW32" s="110" t="n">
        <v>216942.61</v>
      </c>
      <c r="BX32" s="110" t="n">
        <v>216332.99</v>
      </c>
      <c r="BY32" s="110" t="n">
        <v>609.62</v>
      </c>
      <c r="BZ32" s="110" t="n">
        <v>2596099</v>
      </c>
      <c r="CA32" s="110" t="n">
        <v>1762598</v>
      </c>
      <c r="CB32" s="110" t="n">
        <v>797394</v>
      </c>
      <c r="CC32" s="110" t="n">
        <v>965204</v>
      </c>
      <c r="CD32" s="110" t="n">
        <v>833501</v>
      </c>
      <c r="CE32" s="110" t="n">
        <v>830925</v>
      </c>
      <c r="CF32" s="110" t="n">
        <v>2576</v>
      </c>
      <c r="CG32" s="110" t="n">
        <v>3328267.14</v>
      </c>
      <c r="CH32" s="110" t="n">
        <v>2003882.4</v>
      </c>
      <c r="CI32" s="110" t="n">
        <v>846280.3100000001</v>
      </c>
      <c r="CJ32" s="110" t="n">
        <v>1157602.09</v>
      </c>
      <c r="CK32" s="110" t="n">
        <v>1324384.74</v>
      </c>
      <c r="CL32" s="110" t="n">
        <v>1297787.74</v>
      </c>
      <c r="CM32" s="110" t="n">
        <v>26597</v>
      </c>
      <c r="CN32" s="110" t="n">
        <v>651567.0600000001</v>
      </c>
      <c r="CO32" s="110" t="n">
        <v>302294.68</v>
      </c>
      <c r="CP32" s="110" t="n">
        <v>673606.25</v>
      </c>
      <c r="CQ32" s="110" t="n">
        <v>606</v>
      </c>
      <c r="CR32" s="110" t="n">
        <v>520118.3</v>
      </c>
      <c r="CS32" s="110" t="n">
        <v>30890.19</v>
      </c>
      <c r="CT32" s="110" t="n">
        <v>541449.78</v>
      </c>
      <c r="CU32" s="110" t="n">
        <v>0</v>
      </c>
      <c r="CV32" s="111" t="n">
        <v>5804</v>
      </c>
      <c r="CW32" s="111" t="n">
        <v>5270</v>
      </c>
      <c r="CX32" s="111" t="n">
        <v>4447</v>
      </c>
      <c r="CY32" s="111" t="n">
        <v>823</v>
      </c>
      <c r="CZ32" s="111" t="n">
        <v>534</v>
      </c>
      <c r="DA32" s="111" t="n">
        <v>192</v>
      </c>
      <c r="DB32" s="111" t="n">
        <v>342</v>
      </c>
      <c r="DC32" s="111" t="n">
        <v>971</v>
      </c>
      <c r="DD32" s="111" t="n">
        <v>407</v>
      </c>
      <c r="DE32" s="111" t="n">
        <v>892</v>
      </c>
      <c r="DF32" s="111" t="n">
        <v>786</v>
      </c>
      <c r="DG32" s="111" t="n">
        <v>106</v>
      </c>
      <c r="DH32" s="111" t="n">
        <v>79</v>
      </c>
      <c r="DI32" s="111" t="n">
        <v>22</v>
      </c>
      <c r="DJ32" s="111" t="n">
        <v>57</v>
      </c>
      <c r="DK32" s="111" t="n">
        <v>1770</v>
      </c>
      <c r="DL32" s="111" t="n">
        <v>1634</v>
      </c>
      <c r="DM32" s="111" t="n">
        <v>1407</v>
      </c>
      <c r="DN32" s="111" t="n">
        <v>227</v>
      </c>
      <c r="DO32" s="111" t="n">
        <v>136</v>
      </c>
      <c r="DP32" s="111" t="n">
        <v>52</v>
      </c>
      <c r="DQ32" s="111" t="n">
        <v>84</v>
      </c>
      <c r="DR32" s="111" t="n">
        <v>977</v>
      </c>
      <c r="DS32" s="111" t="n">
        <v>8</v>
      </c>
      <c r="DT32" s="111" t="n">
        <v>867</v>
      </c>
      <c r="DU32" s="111" t="n">
        <v>702</v>
      </c>
      <c r="DV32" s="111" t="n">
        <v>165</v>
      </c>
      <c r="DW32" s="111" t="n">
        <v>110</v>
      </c>
      <c r="DX32" s="111" t="n">
        <v>43</v>
      </c>
      <c r="DY32" s="111" t="n">
        <v>67</v>
      </c>
      <c r="DZ32" s="111" t="n">
        <v>1671</v>
      </c>
      <c r="EA32" s="111" t="n">
        <v>1532</v>
      </c>
      <c r="EB32" s="111" t="n">
        <v>1357</v>
      </c>
      <c r="EC32" s="111" t="n">
        <v>175</v>
      </c>
      <c r="ED32" s="111" t="n">
        <v>139</v>
      </c>
      <c r="EE32" s="111" t="n">
        <v>75</v>
      </c>
      <c r="EF32" s="111" t="n">
        <v>64</v>
      </c>
      <c r="EG32" s="111" t="n">
        <v>293</v>
      </c>
      <c r="EH32" s="111" t="n">
        <v>228</v>
      </c>
      <c r="EI32" s="111" t="n">
        <v>89</v>
      </c>
      <c r="EJ32" s="111" t="n">
        <v>139</v>
      </c>
      <c r="EK32" s="111" t="n">
        <v>65</v>
      </c>
      <c r="EL32" s="111" t="n">
        <v>63</v>
      </c>
      <c r="EM32" s="111" t="n">
        <v>2</v>
      </c>
      <c r="EN32" s="111" t="n">
        <v>156</v>
      </c>
      <c r="EO32" s="111" t="n">
        <v>0</v>
      </c>
      <c r="EP32" s="111" t="n">
        <v>0</v>
      </c>
      <c r="EQ32" s="111" t="n">
        <v>156</v>
      </c>
      <c r="ER32" s="111" t="n">
        <v>0</v>
      </c>
      <c r="ES32" s="111" t="n">
        <v>0</v>
      </c>
      <c r="ET32" s="111" t="n">
        <v>0</v>
      </c>
      <c r="EU32" s="111" t="n">
        <v>0</v>
      </c>
      <c r="EV32" s="111" t="n">
        <v>0</v>
      </c>
      <c r="EW32" s="111" t="n">
        <v>0</v>
      </c>
      <c r="EX32" s="111" t="n">
        <v>0</v>
      </c>
      <c r="EY32" s="111" t="n">
        <v>0</v>
      </c>
      <c r="EZ32" s="111" t="n">
        <v>0</v>
      </c>
      <c r="FA32" s="111" t="n">
        <v>0</v>
      </c>
      <c r="FB32" s="111" t="n">
        <v>131</v>
      </c>
    </row>
    <row r="33" ht="19.5" customHeight="1" s="247">
      <c r="A33" s="107" t="n">
        <v>30</v>
      </c>
      <c r="B33" s="107" t="inlineStr">
        <is>
          <t>儿童手术</t>
        </is>
      </c>
      <c r="C33" s="107" t="inlineStr">
        <is>
          <t>儿心脏中心</t>
        </is>
      </c>
      <c r="D33" s="110" t="n">
        <v>2860007.25</v>
      </c>
      <c r="E33" s="110" t="n">
        <v>952123</v>
      </c>
      <c r="F33" s="110" t="n">
        <v>1907884.25</v>
      </c>
      <c r="G33" s="110" t="n">
        <v>3135</v>
      </c>
      <c r="H33" s="110" t="n">
        <v>141</v>
      </c>
      <c r="I33" s="110" t="n">
        <v>8976</v>
      </c>
      <c r="J33" s="110" t="n">
        <v>57</v>
      </c>
      <c r="K33" s="110" t="n">
        <v>0</v>
      </c>
      <c r="L33" s="110" t="n">
        <v>162376</v>
      </c>
      <c r="M33" s="110" t="n">
        <v>395926.75</v>
      </c>
      <c r="N33" s="110" t="n">
        <v>0</v>
      </c>
      <c r="O33" s="110" t="n">
        <v>4309920.91</v>
      </c>
      <c r="P33" s="110" t="n">
        <v>2236673.11</v>
      </c>
      <c r="Q33" s="110" t="n">
        <v>2004040.77</v>
      </c>
      <c r="R33" s="110" t="n">
        <v>232632.34</v>
      </c>
      <c r="S33" s="110" t="n">
        <v>2073247.8</v>
      </c>
      <c r="T33" s="110" t="n">
        <v>1827183.97</v>
      </c>
      <c r="U33" s="110" t="n">
        <v>246063.83</v>
      </c>
      <c r="V33" s="110" t="n">
        <v>1317352.57</v>
      </c>
      <c r="W33" s="110" t="n">
        <v>1083893.11</v>
      </c>
      <c r="X33" s="110" t="n">
        <v>931188.8199999999</v>
      </c>
      <c r="Y33" s="110" t="n">
        <v>152704.29</v>
      </c>
      <c r="Z33" s="110" t="n">
        <v>233459.46</v>
      </c>
      <c r="AA33" s="110" t="n">
        <v>65215.49</v>
      </c>
      <c r="AB33" s="110" t="n">
        <v>168243.97</v>
      </c>
      <c r="AC33" s="110" t="n">
        <v>344240.22</v>
      </c>
      <c r="AD33" s="110" t="n">
        <v>327702.51</v>
      </c>
      <c r="AE33" s="110" t="n">
        <v>303989.14</v>
      </c>
      <c r="AF33" s="110" t="n">
        <v>23713.37</v>
      </c>
      <c r="AG33" s="110" t="n">
        <v>16537.71</v>
      </c>
      <c r="AH33" s="110" t="n">
        <v>6757.92</v>
      </c>
      <c r="AI33" s="110" t="n">
        <v>9779.790000000001</v>
      </c>
      <c r="AJ33" s="110" t="n">
        <v>20989.35</v>
      </c>
      <c r="AK33" s="110" t="n">
        <v>19142.1</v>
      </c>
      <c r="AL33" s="110" t="n">
        <v>17082.68</v>
      </c>
      <c r="AM33" s="110" t="n">
        <v>2059.42</v>
      </c>
      <c r="AN33" s="110" t="n">
        <v>1847.25</v>
      </c>
      <c r="AO33" s="110" t="n">
        <v>1086.57</v>
      </c>
      <c r="AP33" s="110" t="n">
        <v>760.6799999999999</v>
      </c>
      <c r="AQ33" s="110" t="n">
        <v>667555</v>
      </c>
      <c r="AR33" s="110" t="n">
        <v>542364.5</v>
      </c>
      <c r="AS33" s="110" t="n">
        <v>469761</v>
      </c>
      <c r="AT33" s="110" t="n">
        <v>72603.5</v>
      </c>
      <c r="AU33" s="110" t="n">
        <v>125190.5</v>
      </c>
      <c r="AV33" s="110" t="n">
        <v>44142</v>
      </c>
      <c r="AW33" s="110" t="n">
        <v>81048.5</v>
      </c>
      <c r="AX33" s="110" t="n">
        <v>284568</v>
      </c>
      <c r="AY33" s="110" t="n">
        <v>194684</v>
      </c>
      <c r="AZ33" s="110" t="n">
        <v>140356</v>
      </c>
      <c r="BA33" s="110" t="n">
        <v>54328</v>
      </c>
      <c r="BB33" s="110" t="n">
        <v>89884</v>
      </c>
      <c r="BC33" s="110" t="n">
        <v>13229</v>
      </c>
      <c r="BD33" s="110" t="n">
        <v>76655</v>
      </c>
      <c r="BE33" s="110" t="n">
        <v>2992568.34</v>
      </c>
      <c r="BF33" s="110" t="n">
        <v>1152780</v>
      </c>
      <c r="BG33" s="110" t="n">
        <v>1072851.95</v>
      </c>
      <c r="BH33" s="110" t="n">
        <v>79928.05</v>
      </c>
      <c r="BI33" s="110" t="n">
        <v>1839788.34</v>
      </c>
      <c r="BJ33" s="110" t="n">
        <v>1761968.48</v>
      </c>
      <c r="BK33" s="110" t="n">
        <v>77819.86</v>
      </c>
      <c r="BL33" s="110" t="n">
        <v>256643.59</v>
      </c>
      <c r="BM33" s="110" t="n">
        <v>110808.98</v>
      </c>
      <c r="BN33" s="110" t="n">
        <v>108617.84</v>
      </c>
      <c r="BO33" s="110" t="n">
        <v>2191.14</v>
      </c>
      <c r="BP33" s="110" t="n">
        <v>145834.61</v>
      </c>
      <c r="BQ33" s="110" t="n">
        <v>143508.37</v>
      </c>
      <c r="BR33" s="110" t="n">
        <v>2326.24</v>
      </c>
      <c r="BS33" s="110" t="n">
        <v>828040.5</v>
      </c>
      <c r="BT33" s="110" t="n">
        <v>274458.7</v>
      </c>
      <c r="BU33" s="110" t="n">
        <v>258391.29</v>
      </c>
      <c r="BV33" s="110" t="n">
        <v>16067.41</v>
      </c>
      <c r="BW33" s="110" t="n">
        <v>553581.8</v>
      </c>
      <c r="BX33" s="110" t="n">
        <v>524154.18</v>
      </c>
      <c r="BY33" s="110" t="n">
        <v>29427.62</v>
      </c>
      <c r="BZ33" s="110" t="n">
        <v>898207.5</v>
      </c>
      <c r="CA33" s="110" t="n">
        <v>390450</v>
      </c>
      <c r="CB33" s="110" t="n">
        <v>369224</v>
      </c>
      <c r="CC33" s="110" t="n">
        <v>21226</v>
      </c>
      <c r="CD33" s="110" t="n">
        <v>507757.5</v>
      </c>
      <c r="CE33" s="110" t="n">
        <v>482167.5</v>
      </c>
      <c r="CF33" s="110" t="n">
        <v>25590</v>
      </c>
      <c r="CG33" s="110" t="n">
        <v>1009676.75</v>
      </c>
      <c r="CH33" s="110" t="n">
        <v>377062.32</v>
      </c>
      <c r="CI33" s="110" t="n">
        <v>336618.82</v>
      </c>
      <c r="CJ33" s="110" t="n">
        <v>40443.5</v>
      </c>
      <c r="CK33" s="110" t="n">
        <v>632614.4300000001</v>
      </c>
      <c r="CL33" s="110" t="n">
        <v>612138.4300000001</v>
      </c>
      <c r="CM33" s="110" t="n">
        <v>20476</v>
      </c>
      <c r="CN33" s="110" t="n">
        <v>264667.97</v>
      </c>
      <c r="CO33" s="110" t="n">
        <v>19503.41</v>
      </c>
      <c r="CP33" s="110" t="n">
        <v>717017.17</v>
      </c>
      <c r="CQ33" s="110" t="n">
        <v>16072.12</v>
      </c>
      <c r="CR33" s="110" t="n">
        <v>300091.9</v>
      </c>
      <c r="CS33" s="110" t="n">
        <v>0</v>
      </c>
      <c r="CT33" s="110" t="n">
        <v>65641.42</v>
      </c>
      <c r="CU33" s="110" t="n">
        <v>0</v>
      </c>
      <c r="CV33" s="111" t="n">
        <v>3135</v>
      </c>
      <c r="CW33" s="111" t="n">
        <v>2662</v>
      </c>
      <c r="CX33" s="111" t="n">
        <v>2329</v>
      </c>
      <c r="CY33" s="111" t="n">
        <v>333</v>
      </c>
      <c r="CZ33" s="111" t="n">
        <v>473</v>
      </c>
      <c r="DA33" s="111" t="n">
        <v>162</v>
      </c>
      <c r="DB33" s="111" t="n">
        <v>311</v>
      </c>
      <c r="DC33" s="111" t="n">
        <v>137</v>
      </c>
      <c r="DD33" s="111" t="n">
        <v>10</v>
      </c>
      <c r="DE33" s="111" t="n">
        <v>124</v>
      </c>
      <c r="DF33" s="111" t="n">
        <v>112</v>
      </c>
      <c r="DG33" s="111" t="n">
        <v>12</v>
      </c>
      <c r="DH33" s="111" t="n">
        <v>13</v>
      </c>
      <c r="DI33" s="111" t="n">
        <v>8</v>
      </c>
      <c r="DJ33" s="111" t="n">
        <v>5</v>
      </c>
      <c r="DK33" s="111" t="n">
        <v>1885</v>
      </c>
      <c r="DL33" s="111" t="n">
        <v>1631</v>
      </c>
      <c r="DM33" s="111" t="n">
        <v>1472</v>
      </c>
      <c r="DN33" s="111" t="n">
        <v>159</v>
      </c>
      <c r="DO33" s="111" t="n">
        <v>254</v>
      </c>
      <c r="DP33" s="111" t="n">
        <v>108</v>
      </c>
      <c r="DQ33" s="111" t="n">
        <v>146</v>
      </c>
      <c r="DR33" s="111" t="n">
        <v>398</v>
      </c>
      <c r="DS33" s="111" t="n">
        <v>1</v>
      </c>
      <c r="DT33" s="111" t="n">
        <v>255</v>
      </c>
      <c r="DU33" s="111" t="n">
        <v>170</v>
      </c>
      <c r="DV33" s="111" t="n">
        <v>85</v>
      </c>
      <c r="DW33" s="111" t="n">
        <v>143</v>
      </c>
      <c r="DX33" s="111" t="n">
        <v>18</v>
      </c>
      <c r="DY33" s="111" t="n">
        <v>125</v>
      </c>
      <c r="DZ33" s="111" t="n">
        <v>704</v>
      </c>
      <c r="EA33" s="111" t="n">
        <v>646</v>
      </c>
      <c r="EB33" s="111" t="n">
        <v>569</v>
      </c>
      <c r="EC33" s="111" t="n">
        <v>77</v>
      </c>
      <c r="ED33" s="111" t="n">
        <v>58</v>
      </c>
      <c r="EE33" s="111" t="n">
        <v>28</v>
      </c>
      <c r="EF33" s="111" t="n">
        <v>30</v>
      </c>
      <c r="EG33" s="111" t="n">
        <v>141</v>
      </c>
      <c r="EH33" s="111" t="n">
        <v>80</v>
      </c>
      <c r="EI33" s="111" t="n">
        <v>73</v>
      </c>
      <c r="EJ33" s="111" t="n">
        <v>7</v>
      </c>
      <c r="EK33" s="111" t="n">
        <v>61</v>
      </c>
      <c r="EL33" s="111" t="n">
        <v>54</v>
      </c>
      <c r="EM33" s="111" t="n">
        <v>7</v>
      </c>
      <c r="EN33" s="111" t="n">
        <v>56</v>
      </c>
      <c r="EO33" s="111" t="n">
        <v>24</v>
      </c>
      <c r="EP33" s="111" t="n">
        <v>15</v>
      </c>
      <c r="EQ33" s="111" t="n">
        <v>17</v>
      </c>
      <c r="ER33" s="111" t="n">
        <v>0</v>
      </c>
      <c r="ES33" s="111" t="n">
        <v>0</v>
      </c>
      <c r="ET33" s="111" t="n">
        <v>0</v>
      </c>
      <c r="EU33" s="111" t="n">
        <v>10</v>
      </c>
      <c r="EV33" s="111" t="n">
        <v>3</v>
      </c>
      <c r="EW33" s="111" t="n">
        <v>7</v>
      </c>
      <c r="EX33" s="111" t="n">
        <v>0</v>
      </c>
      <c r="EY33" s="111" t="n">
        <v>23</v>
      </c>
      <c r="EZ33" s="111" t="n">
        <v>21</v>
      </c>
      <c r="FA33" s="111" t="n">
        <v>2</v>
      </c>
      <c r="FB33" s="111" t="n">
        <v>21</v>
      </c>
    </row>
    <row r="34" ht="19.5" customHeight="1" s="247">
      <c r="A34" s="107" t="n">
        <v>31</v>
      </c>
      <c r="B34" s="107" t="inlineStr">
        <is>
          <t>儿童非手术</t>
        </is>
      </c>
      <c r="C34" s="107" t="inlineStr">
        <is>
          <t>儿神经内科</t>
        </is>
      </c>
      <c r="D34" s="110" t="n">
        <v>3908731</v>
      </c>
      <c r="E34" s="110" t="n">
        <v>1723474</v>
      </c>
      <c r="F34" s="110" t="n">
        <v>2185257</v>
      </c>
      <c r="G34" s="110" t="n">
        <v>4494</v>
      </c>
      <c r="H34" s="110" t="n">
        <v>430</v>
      </c>
      <c r="I34" s="110" t="n">
        <v>8546</v>
      </c>
      <c r="J34" s="110" t="n">
        <v>0</v>
      </c>
      <c r="K34" s="110" t="n">
        <v>0</v>
      </c>
      <c r="L34" s="110" t="n">
        <v>25450.5</v>
      </c>
      <c r="M34" s="110" t="n">
        <v>23036</v>
      </c>
      <c r="N34" s="110" t="n">
        <v>487.83</v>
      </c>
      <c r="O34" s="110" t="n">
        <v>7929214.41</v>
      </c>
      <c r="P34" s="110" t="n">
        <v>3103955.9</v>
      </c>
      <c r="Q34" s="110" t="n">
        <v>2695046.56</v>
      </c>
      <c r="R34" s="110" t="n">
        <v>408909.34</v>
      </c>
      <c r="S34" s="110" t="n">
        <v>4825258.51</v>
      </c>
      <c r="T34" s="110" t="n">
        <v>3994557.99</v>
      </c>
      <c r="U34" s="110" t="n">
        <v>830700.52</v>
      </c>
      <c r="V34" s="110" t="n">
        <v>2463768.77</v>
      </c>
      <c r="W34" s="110" t="n">
        <v>1676300.73</v>
      </c>
      <c r="X34" s="110" t="n">
        <v>1498532.09</v>
      </c>
      <c r="Y34" s="110" t="n">
        <v>177768.64</v>
      </c>
      <c r="Z34" s="110" t="n">
        <v>787468.04</v>
      </c>
      <c r="AA34" s="110" t="n">
        <v>327102.18</v>
      </c>
      <c r="AB34" s="110" t="n">
        <v>460365.86</v>
      </c>
      <c r="AC34" s="110" t="n">
        <v>722455.11</v>
      </c>
      <c r="AD34" s="110" t="n">
        <v>523864.51</v>
      </c>
      <c r="AE34" s="110" t="n">
        <v>471193.61</v>
      </c>
      <c r="AF34" s="110" t="n">
        <v>52670.9</v>
      </c>
      <c r="AG34" s="110" t="n">
        <v>198590.6</v>
      </c>
      <c r="AH34" s="110" t="n">
        <v>89547.82000000001</v>
      </c>
      <c r="AI34" s="110" t="n">
        <v>109042.78</v>
      </c>
      <c r="AJ34" s="110" t="n">
        <v>17839.66</v>
      </c>
      <c r="AK34" s="110" t="n">
        <v>16676.22</v>
      </c>
      <c r="AL34" s="110" t="n">
        <v>14884.48</v>
      </c>
      <c r="AM34" s="110" t="n">
        <v>1791.74</v>
      </c>
      <c r="AN34" s="110" t="n">
        <v>1163.44</v>
      </c>
      <c r="AO34" s="110" t="n">
        <v>403.36</v>
      </c>
      <c r="AP34" s="110" t="n">
        <v>760.08</v>
      </c>
      <c r="AQ34" s="110" t="n">
        <v>1136251</v>
      </c>
      <c r="AR34" s="110" t="n">
        <v>782004</v>
      </c>
      <c r="AS34" s="110" t="n">
        <v>706531</v>
      </c>
      <c r="AT34" s="110" t="n">
        <v>75473</v>
      </c>
      <c r="AU34" s="110" t="n">
        <v>354247</v>
      </c>
      <c r="AV34" s="110" t="n">
        <v>150266</v>
      </c>
      <c r="AW34" s="110" t="n">
        <v>203981</v>
      </c>
      <c r="AX34" s="110" t="n">
        <v>587223</v>
      </c>
      <c r="AY34" s="110" t="n">
        <v>353756</v>
      </c>
      <c r="AZ34" s="110" t="n">
        <v>305923</v>
      </c>
      <c r="BA34" s="110" t="n">
        <v>47833</v>
      </c>
      <c r="BB34" s="110" t="n">
        <v>233467</v>
      </c>
      <c r="BC34" s="110" t="n">
        <v>86885</v>
      </c>
      <c r="BD34" s="110" t="n">
        <v>146582</v>
      </c>
      <c r="BE34" s="110" t="n">
        <v>5465445.64</v>
      </c>
      <c r="BF34" s="110" t="n">
        <v>1427655.17</v>
      </c>
      <c r="BG34" s="110" t="n">
        <v>1196514.47</v>
      </c>
      <c r="BH34" s="110" t="n">
        <v>231140.7</v>
      </c>
      <c r="BI34" s="110" t="n">
        <v>4037790.47</v>
      </c>
      <c r="BJ34" s="110" t="n">
        <v>3667455.81</v>
      </c>
      <c r="BK34" s="110" t="n">
        <v>370334.66</v>
      </c>
      <c r="BL34" s="110" t="n">
        <v>3213448.76</v>
      </c>
      <c r="BM34" s="110" t="n">
        <v>663466.75</v>
      </c>
      <c r="BN34" s="110" t="n">
        <v>613916.1899999999</v>
      </c>
      <c r="BO34" s="110" t="n">
        <v>49550.56</v>
      </c>
      <c r="BP34" s="110" t="n">
        <v>2549982.01</v>
      </c>
      <c r="BQ34" s="110" t="n">
        <v>2397338.29</v>
      </c>
      <c r="BR34" s="110" t="n">
        <v>152643.72</v>
      </c>
      <c r="BS34" s="110" t="n">
        <v>66739.88</v>
      </c>
      <c r="BT34" s="110" t="n">
        <v>19561.42</v>
      </c>
      <c r="BU34" s="110" t="n">
        <v>16923.78</v>
      </c>
      <c r="BV34" s="110" t="n">
        <v>2637.64</v>
      </c>
      <c r="BW34" s="110" t="n">
        <v>47178.46</v>
      </c>
      <c r="BX34" s="110" t="n">
        <v>44091.02</v>
      </c>
      <c r="BY34" s="110" t="n">
        <v>3087.44</v>
      </c>
      <c r="BZ34" s="110" t="n">
        <v>1396790</v>
      </c>
      <c r="CA34" s="110" t="n">
        <v>442725</v>
      </c>
      <c r="CB34" s="110" t="n">
        <v>365825</v>
      </c>
      <c r="CC34" s="110" t="n">
        <v>76900</v>
      </c>
      <c r="CD34" s="110" t="n">
        <v>954065</v>
      </c>
      <c r="CE34" s="110" t="n">
        <v>858469</v>
      </c>
      <c r="CF34" s="110" t="n">
        <v>95596</v>
      </c>
      <c r="CG34" s="110" t="n">
        <v>788467</v>
      </c>
      <c r="CH34" s="110" t="n">
        <v>301902</v>
      </c>
      <c r="CI34" s="110" t="n">
        <v>199849.5</v>
      </c>
      <c r="CJ34" s="110" t="n">
        <v>102052.5</v>
      </c>
      <c r="CK34" s="110" t="n">
        <v>486565</v>
      </c>
      <c r="CL34" s="110" t="n">
        <v>367557.5</v>
      </c>
      <c r="CM34" s="110" t="n">
        <v>119007.5</v>
      </c>
      <c r="CN34" s="110" t="n">
        <v>475740.09</v>
      </c>
      <c r="CO34" s="110" t="n">
        <v>119668.64</v>
      </c>
      <c r="CP34" s="110" t="n">
        <v>287999.2</v>
      </c>
      <c r="CQ34" s="110" t="n">
        <v>188518.68</v>
      </c>
      <c r="CR34" s="110" t="n">
        <v>1391777.16</v>
      </c>
      <c r="CS34" s="110" t="n">
        <v>0</v>
      </c>
      <c r="CT34" s="110" t="n">
        <v>404095.44</v>
      </c>
      <c r="CU34" s="110" t="n">
        <v>0</v>
      </c>
      <c r="CV34" s="111" t="n">
        <v>4494</v>
      </c>
      <c r="CW34" s="111" t="n">
        <v>3418</v>
      </c>
      <c r="CX34" s="111" t="n">
        <v>3047</v>
      </c>
      <c r="CY34" s="111" t="n">
        <v>371</v>
      </c>
      <c r="CZ34" s="111" t="n">
        <v>1076</v>
      </c>
      <c r="DA34" s="111" t="n">
        <v>365</v>
      </c>
      <c r="DB34" s="111" t="n">
        <v>711</v>
      </c>
      <c r="DC34" s="111" t="n">
        <v>791</v>
      </c>
      <c r="DD34" s="111" t="n">
        <v>227</v>
      </c>
      <c r="DE34" s="111" t="n">
        <v>694</v>
      </c>
      <c r="DF34" s="111" t="n">
        <v>638</v>
      </c>
      <c r="DG34" s="111" t="n">
        <v>56</v>
      </c>
      <c r="DH34" s="111" t="n">
        <v>97</v>
      </c>
      <c r="DI34" s="111" t="n">
        <v>35</v>
      </c>
      <c r="DJ34" s="111" t="n">
        <v>62</v>
      </c>
      <c r="DK34" s="111" t="n">
        <v>587</v>
      </c>
      <c r="DL34" s="111" t="n">
        <v>436</v>
      </c>
      <c r="DM34" s="111" t="n">
        <v>391</v>
      </c>
      <c r="DN34" s="111" t="n">
        <v>45</v>
      </c>
      <c r="DO34" s="111" t="n">
        <v>151</v>
      </c>
      <c r="DP34" s="111" t="n">
        <v>76</v>
      </c>
      <c r="DQ34" s="111" t="n">
        <v>75</v>
      </c>
      <c r="DR34" s="111" t="n">
        <v>1363</v>
      </c>
      <c r="DS34" s="111" t="n">
        <v>49</v>
      </c>
      <c r="DT34" s="111" t="n">
        <v>840</v>
      </c>
      <c r="DU34" s="111" t="n">
        <v>733</v>
      </c>
      <c r="DV34" s="111" t="n">
        <v>107</v>
      </c>
      <c r="DW34" s="111" t="n">
        <v>523</v>
      </c>
      <c r="DX34" s="111" t="n">
        <v>193</v>
      </c>
      <c r="DY34" s="111" t="n">
        <v>330</v>
      </c>
      <c r="DZ34" s="111" t="n">
        <v>1477</v>
      </c>
      <c r="EA34" s="111" t="n">
        <v>1349</v>
      </c>
      <c r="EB34" s="111" t="n">
        <v>1211</v>
      </c>
      <c r="EC34" s="111" t="n">
        <v>138</v>
      </c>
      <c r="ED34" s="111" t="n">
        <v>128</v>
      </c>
      <c r="EE34" s="111" t="n">
        <v>61</v>
      </c>
      <c r="EF34" s="111" t="n">
        <v>67</v>
      </c>
      <c r="EG34" s="111" t="n">
        <v>430</v>
      </c>
      <c r="EH34" s="111" t="n">
        <v>169</v>
      </c>
      <c r="EI34" s="111" t="n">
        <v>132</v>
      </c>
      <c r="EJ34" s="111" t="n">
        <v>37</v>
      </c>
      <c r="EK34" s="111" t="n">
        <v>261</v>
      </c>
      <c r="EL34" s="111" t="n">
        <v>231</v>
      </c>
      <c r="EM34" s="111" t="n">
        <v>30</v>
      </c>
      <c r="EN34" s="111" t="n">
        <v>201</v>
      </c>
      <c r="EO34" s="111" t="n">
        <v>0</v>
      </c>
      <c r="EP34" s="111" t="n">
        <v>0</v>
      </c>
      <c r="EQ34" s="111" t="n">
        <v>201</v>
      </c>
      <c r="ER34" s="111" t="n">
        <v>0</v>
      </c>
      <c r="ES34" s="111" t="n">
        <v>0</v>
      </c>
      <c r="ET34" s="111" t="n">
        <v>0</v>
      </c>
      <c r="EU34" s="111" t="n">
        <v>0</v>
      </c>
      <c r="EV34" s="111" t="n">
        <v>0</v>
      </c>
      <c r="EW34" s="111" t="n">
        <v>0</v>
      </c>
      <c r="EX34" s="111" t="n">
        <v>0</v>
      </c>
      <c r="EY34" s="111" t="n">
        <v>0</v>
      </c>
      <c r="EZ34" s="111" t="n">
        <v>0</v>
      </c>
      <c r="FA34" s="111" t="n">
        <v>0</v>
      </c>
      <c r="FB34" s="111" t="n">
        <v>400</v>
      </c>
    </row>
    <row r="35" ht="19.5" customHeight="1" s="247">
      <c r="A35" s="107" t="n">
        <v>32</v>
      </c>
      <c r="B35" s="107" t="inlineStr">
        <is>
          <t>儿童非手术</t>
        </is>
      </c>
      <c r="C35" s="107" t="inlineStr">
        <is>
          <t>儿感染科</t>
        </is>
      </c>
      <c r="D35" s="110" t="n">
        <v>3684481</v>
      </c>
      <c r="E35" s="110" t="n">
        <v>1840611.5</v>
      </c>
      <c r="F35" s="110" t="n">
        <v>1843869.5</v>
      </c>
      <c r="G35" s="110" t="n">
        <v>8107</v>
      </c>
      <c r="H35" s="110" t="n">
        <v>203</v>
      </c>
      <c r="I35" s="110" t="n">
        <v>31017.5</v>
      </c>
      <c r="J35" s="110" t="n">
        <v>0</v>
      </c>
      <c r="K35" s="110" t="n">
        <v>0</v>
      </c>
      <c r="L35" s="110" t="n">
        <v>41600</v>
      </c>
      <c r="M35" s="110" t="n">
        <v>5767</v>
      </c>
      <c r="N35" s="110" t="n">
        <v>0</v>
      </c>
      <c r="O35" s="110" t="n">
        <v>5686118.43</v>
      </c>
      <c r="P35" s="110" t="n">
        <v>5182105.96</v>
      </c>
      <c r="Q35" s="110" t="n">
        <v>4118358.93</v>
      </c>
      <c r="R35" s="110" t="n">
        <v>1063747.03</v>
      </c>
      <c r="S35" s="110" t="n">
        <v>504012.47</v>
      </c>
      <c r="T35" s="110" t="n">
        <v>308351.74</v>
      </c>
      <c r="U35" s="110" t="n">
        <v>195660.73</v>
      </c>
      <c r="V35" s="110" t="n">
        <v>3536201.69</v>
      </c>
      <c r="W35" s="110" t="n">
        <v>3328631.56</v>
      </c>
      <c r="X35" s="110" t="n">
        <v>3047791.41</v>
      </c>
      <c r="Y35" s="110" t="n">
        <v>280840.15</v>
      </c>
      <c r="Z35" s="110" t="n">
        <v>207570.13</v>
      </c>
      <c r="AA35" s="110" t="n">
        <v>93754.85000000001</v>
      </c>
      <c r="AB35" s="110" t="n">
        <v>113815.28</v>
      </c>
      <c r="AC35" s="110" t="n">
        <v>1630770.05</v>
      </c>
      <c r="AD35" s="110" t="n">
        <v>1547386.56</v>
      </c>
      <c r="AE35" s="110" t="n">
        <v>1431716.75</v>
      </c>
      <c r="AF35" s="110" t="n">
        <v>115669.81</v>
      </c>
      <c r="AG35" s="110" t="n">
        <v>83383.49000000001</v>
      </c>
      <c r="AH35" s="110" t="n">
        <v>39679.87</v>
      </c>
      <c r="AI35" s="110" t="n">
        <v>43703.62</v>
      </c>
      <c r="AJ35" s="110" t="n">
        <v>64820.14</v>
      </c>
      <c r="AK35" s="110" t="n">
        <v>62210.5</v>
      </c>
      <c r="AL35" s="110" t="n">
        <v>56453.16</v>
      </c>
      <c r="AM35" s="110" t="n">
        <v>5757.34</v>
      </c>
      <c r="AN35" s="110" t="n">
        <v>2609.64</v>
      </c>
      <c r="AO35" s="110" t="n">
        <v>-19.02</v>
      </c>
      <c r="AP35" s="110" t="n">
        <v>2628.66</v>
      </c>
      <c r="AQ35" s="110" t="n">
        <v>1331561</v>
      </c>
      <c r="AR35" s="110" t="n">
        <v>1245872</v>
      </c>
      <c r="AS35" s="110" t="n">
        <v>1153849</v>
      </c>
      <c r="AT35" s="110" t="n">
        <v>92023</v>
      </c>
      <c r="AU35" s="110" t="n">
        <v>85689</v>
      </c>
      <c r="AV35" s="110" t="n">
        <v>39441</v>
      </c>
      <c r="AW35" s="110" t="n">
        <v>46248</v>
      </c>
      <c r="AX35" s="110" t="n">
        <v>509050.5</v>
      </c>
      <c r="AY35" s="110" t="n">
        <v>473162.5</v>
      </c>
      <c r="AZ35" s="110" t="n">
        <v>405772.5</v>
      </c>
      <c r="BA35" s="110" t="n">
        <v>67390</v>
      </c>
      <c r="BB35" s="110" t="n">
        <v>35888</v>
      </c>
      <c r="BC35" s="110" t="n">
        <v>14653</v>
      </c>
      <c r="BD35" s="110" t="n">
        <v>21235</v>
      </c>
      <c r="BE35" s="110" t="n">
        <v>2149916.74</v>
      </c>
      <c r="BF35" s="110" t="n">
        <v>1853474.4</v>
      </c>
      <c r="BG35" s="110" t="n">
        <v>1070567.52</v>
      </c>
      <c r="BH35" s="110" t="n">
        <v>782906.88</v>
      </c>
      <c r="BI35" s="110" t="n">
        <v>296442.34</v>
      </c>
      <c r="BJ35" s="110" t="n">
        <v>214596.89</v>
      </c>
      <c r="BK35" s="110" t="n">
        <v>81845.45</v>
      </c>
      <c r="BL35" s="110" t="n">
        <v>248395.75</v>
      </c>
      <c r="BM35" s="110" t="n">
        <v>212580.88</v>
      </c>
      <c r="BN35" s="110" t="n">
        <v>156336.24</v>
      </c>
      <c r="BO35" s="110" t="n">
        <v>56244.64</v>
      </c>
      <c r="BP35" s="110" t="n">
        <v>35814.87</v>
      </c>
      <c r="BQ35" s="110" t="n">
        <v>34389.91</v>
      </c>
      <c r="BR35" s="110" t="n">
        <v>1424.96</v>
      </c>
      <c r="BS35" s="110" t="n">
        <v>57651.49</v>
      </c>
      <c r="BT35" s="110" t="n">
        <v>50134.52</v>
      </c>
      <c r="BU35" s="110" t="n">
        <v>32493.28</v>
      </c>
      <c r="BV35" s="110" t="n">
        <v>17641.24</v>
      </c>
      <c r="BW35" s="110" t="n">
        <v>7516.97</v>
      </c>
      <c r="BX35" s="110" t="n">
        <v>6256.48</v>
      </c>
      <c r="BY35" s="110" t="n">
        <v>1260.49</v>
      </c>
      <c r="BZ35" s="110" t="n">
        <v>975691</v>
      </c>
      <c r="CA35" s="110" t="n">
        <v>832287</v>
      </c>
      <c r="CB35" s="110" t="n">
        <v>644886</v>
      </c>
      <c r="CC35" s="110" t="n">
        <v>187401</v>
      </c>
      <c r="CD35" s="110" t="n">
        <v>143404</v>
      </c>
      <c r="CE35" s="110" t="n">
        <v>133614</v>
      </c>
      <c r="CF35" s="110" t="n">
        <v>9790</v>
      </c>
      <c r="CG35" s="110" t="n">
        <v>868178.5</v>
      </c>
      <c r="CH35" s="110" t="n">
        <v>758472</v>
      </c>
      <c r="CI35" s="110" t="n">
        <v>236852</v>
      </c>
      <c r="CJ35" s="110" t="n">
        <v>521620</v>
      </c>
      <c r="CK35" s="110" t="n">
        <v>109706.5</v>
      </c>
      <c r="CL35" s="110" t="n">
        <v>40336.5</v>
      </c>
      <c r="CM35" s="110" t="n">
        <v>69370</v>
      </c>
      <c r="CN35" s="110" t="n">
        <v>1078463.52</v>
      </c>
      <c r="CO35" s="110" t="n">
        <v>950423.96</v>
      </c>
      <c r="CP35" s="110" t="n">
        <v>467200.25</v>
      </c>
      <c r="CQ35" s="110" t="n">
        <v>8372.67</v>
      </c>
      <c r="CR35" s="110" t="n">
        <v>1031741.29</v>
      </c>
      <c r="CS35" s="110" t="n">
        <v>0</v>
      </c>
      <c r="CT35" s="110" t="n">
        <v>821410.13</v>
      </c>
      <c r="CU35" s="110" t="n">
        <v>0</v>
      </c>
      <c r="CV35" s="111" t="n">
        <v>8107</v>
      </c>
      <c r="CW35" s="111" t="n">
        <v>7565</v>
      </c>
      <c r="CX35" s="111" t="n">
        <v>6763</v>
      </c>
      <c r="CY35" s="111" t="n">
        <v>802</v>
      </c>
      <c r="CZ35" s="111" t="n">
        <v>542</v>
      </c>
      <c r="DA35" s="111" t="n">
        <v>249</v>
      </c>
      <c r="DB35" s="111" t="n">
        <v>293</v>
      </c>
      <c r="DC35" s="111" t="n">
        <v>2785</v>
      </c>
      <c r="DD35" s="111" t="n">
        <v>0</v>
      </c>
      <c r="DE35" s="111" t="n">
        <v>2631</v>
      </c>
      <c r="DF35" s="111" t="n">
        <v>2381</v>
      </c>
      <c r="DG35" s="111" t="n">
        <v>250</v>
      </c>
      <c r="DH35" s="111" t="n">
        <v>154</v>
      </c>
      <c r="DI35" s="111" t="n">
        <v>69</v>
      </c>
      <c r="DJ35" s="111" t="n">
        <v>85</v>
      </c>
      <c r="DK35" s="111" t="n">
        <v>1098</v>
      </c>
      <c r="DL35" s="111" t="n">
        <v>1004</v>
      </c>
      <c r="DM35" s="111" t="n">
        <v>891</v>
      </c>
      <c r="DN35" s="111" t="n">
        <v>113</v>
      </c>
      <c r="DO35" s="111" t="n">
        <v>94</v>
      </c>
      <c r="DP35" s="111" t="n">
        <v>44</v>
      </c>
      <c r="DQ35" s="111" t="n">
        <v>50</v>
      </c>
      <c r="DR35" s="111" t="n">
        <v>1457</v>
      </c>
      <c r="DS35" s="111" t="n">
        <v>0</v>
      </c>
      <c r="DT35" s="111" t="n">
        <v>1369</v>
      </c>
      <c r="DU35" s="111" t="n">
        <v>1196</v>
      </c>
      <c r="DV35" s="111" t="n">
        <v>173</v>
      </c>
      <c r="DW35" s="111" t="n">
        <v>88</v>
      </c>
      <c r="DX35" s="111" t="n">
        <v>32</v>
      </c>
      <c r="DY35" s="111" t="n">
        <v>56</v>
      </c>
      <c r="DZ35" s="111" t="n">
        <v>2767</v>
      </c>
      <c r="EA35" s="111" t="n">
        <v>2561</v>
      </c>
      <c r="EB35" s="111" t="n">
        <v>2295</v>
      </c>
      <c r="EC35" s="111" t="n">
        <v>266</v>
      </c>
      <c r="ED35" s="111" t="n">
        <v>206</v>
      </c>
      <c r="EE35" s="111" t="n">
        <v>104</v>
      </c>
      <c r="EF35" s="111" t="n">
        <v>102</v>
      </c>
      <c r="EG35" s="111" t="n">
        <v>203</v>
      </c>
      <c r="EH35" s="111" t="n">
        <v>177</v>
      </c>
      <c r="EI35" s="111" t="n">
        <v>122</v>
      </c>
      <c r="EJ35" s="111" t="n">
        <v>55</v>
      </c>
      <c r="EK35" s="111" t="n">
        <v>26</v>
      </c>
      <c r="EL35" s="111" t="n">
        <v>20</v>
      </c>
      <c r="EM35" s="111" t="n">
        <v>6</v>
      </c>
      <c r="EN35" s="111" t="n">
        <v>7</v>
      </c>
      <c r="EO35" s="111" t="n">
        <v>0</v>
      </c>
      <c r="EP35" s="111" t="n">
        <v>0</v>
      </c>
      <c r="EQ35" s="111" t="n">
        <v>7</v>
      </c>
      <c r="ER35" s="111" t="n">
        <v>0</v>
      </c>
      <c r="ES35" s="111" t="n">
        <v>0</v>
      </c>
      <c r="ET35" s="111" t="n">
        <v>0</v>
      </c>
      <c r="EU35" s="111" t="n">
        <v>0</v>
      </c>
      <c r="EV35" s="111" t="n">
        <v>0</v>
      </c>
      <c r="EW35" s="111" t="n">
        <v>0</v>
      </c>
      <c r="EX35" s="111" t="n">
        <v>0</v>
      </c>
      <c r="EY35" s="111" t="n">
        <v>0</v>
      </c>
      <c r="EZ35" s="111" t="n">
        <v>0</v>
      </c>
      <c r="FA35" s="111" t="n">
        <v>0</v>
      </c>
      <c r="FB35" s="111" t="n">
        <v>77</v>
      </c>
    </row>
    <row r="36" ht="19.5" customHeight="1" s="247">
      <c r="A36" s="107" t="n">
        <v>33</v>
      </c>
      <c r="B36" s="107" t="inlineStr">
        <is>
          <t>儿童非手术</t>
        </is>
      </c>
      <c r="C36" s="107" t="inlineStr">
        <is>
          <t>儿急危重症医学科</t>
        </is>
      </c>
      <c r="D36" s="110" t="n">
        <v>7487496.59</v>
      </c>
      <c r="E36" s="110" t="n">
        <v>1720264.5</v>
      </c>
      <c r="F36" s="110" t="n">
        <v>5767232.09</v>
      </c>
      <c r="G36" s="110" t="n">
        <v>5028</v>
      </c>
      <c r="H36" s="110" t="n">
        <v>74</v>
      </c>
      <c r="I36" s="110" t="n">
        <v>56487.5</v>
      </c>
      <c r="J36" s="110" t="n">
        <v>0</v>
      </c>
      <c r="K36" s="110" t="n">
        <v>0</v>
      </c>
      <c r="L36" s="110" t="n">
        <v>502669</v>
      </c>
      <c r="M36" s="110" t="n">
        <v>1428261.1</v>
      </c>
      <c r="N36" s="110" t="n">
        <v>0</v>
      </c>
      <c r="O36" s="110" t="n">
        <v>10955739.35</v>
      </c>
      <c r="P36" s="110" t="n">
        <v>4387142.51</v>
      </c>
      <c r="Q36" s="110" t="n">
        <v>3572102.13</v>
      </c>
      <c r="R36" s="110" t="n">
        <v>815040.38</v>
      </c>
      <c r="S36" s="110" t="n">
        <v>6568596.84</v>
      </c>
      <c r="T36" s="110" t="n">
        <v>6402445.38</v>
      </c>
      <c r="U36" s="110" t="n">
        <v>166151.46</v>
      </c>
      <c r="V36" s="110" t="n">
        <v>2649802.84</v>
      </c>
      <c r="W36" s="110" t="n">
        <v>2494226.05</v>
      </c>
      <c r="X36" s="110" t="n">
        <v>2249868.22</v>
      </c>
      <c r="Y36" s="110" t="n">
        <v>244357.83</v>
      </c>
      <c r="Z36" s="110" t="n">
        <v>155576.79</v>
      </c>
      <c r="AA36" s="110" t="n">
        <v>66211.60000000001</v>
      </c>
      <c r="AB36" s="110" t="n">
        <v>89365.19</v>
      </c>
      <c r="AC36" s="110" t="n">
        <v>885335</v>
      </c>
      <c r="AD36" s="110" t="n">
        <v>841173.01</v>
      </c>
      <c r="AE36" s="110" t="n">
        <v>778956.13</v>
      </c>
      <c r="AF36" s="110" t="n">
        <v>62216.88</v>
      </c>
      <c r="AG36" s="110" t="n">
        <v>44161.99</v>
      </c>
      <c r="AH36" s="110" t="n">
        <v>20654.91</v>
      </c>
      <c r="AI36" s="110" t="n">
        <v>23507.08</v>
      </c>
      <c r="AJ36" s="110" t="n">
        <v>44203.34</v>
      </c>
      <c r="AK36" s="110" t="n">
        <v>39468.04</v>
      </c>
      <c r="AL36" s="110" t="n">
        <v>35845.09</v>
      </c>
      <c r="AM36" s="110" t="n">
        <v>3622.95</v>
      </c>
      <c r="AN36" s="110" t="n">
        <v>4735.3</v>
      </c>
      <c r="AO36" s="110" t="n">
        <v>2278.69</v>
      </c>
      <c r="AP36" s="110" t="n">
        <v>2456.61</v>
      </c>
      <c r="AQ36" s="110" t="n">
        <v>1416312</v>
      </c>
      <c r="AR36" s="110" t="n">
        <v>1336065</v>
      </c>
      <c r="AS36" s="110" t="n">
        <v>1217085</v>
      </c>
      <c r="AT36" s="110" t="n">
        <v>118980</v>
      </c>
      <c r="AU36" s="110" t="n">
        <v>80247</v>
      </c>
      <c r="AV36" s="110" t="n">
        <v>33046</v>
      </c>
      <c r="AW36" s="110" t="n">
        <v>47201</v>
      </c>
      <c r="AX36" s="110" t="n">
        <v>303952.5</v>
      </c>
      <c r="AY36" s="110" t="n">
        <v>277520</v>
      </c>
      <c r="AZ36" s="110" t="n">
        <v>217982</v>
      </c>
      <c r="BA36" s="110" t="n">
        <v>59538</v>
      </c>
      <c r="BB36" s="110" t="n">
        <v>26432.5</v>
      </c>
      <c r="BC36" s="110" t="n">
        <v>10232</v>
      </c>
      <c r="BD36" s="110" t="n">
        <v>16200.5</v>
      </c>
      <c r="BE36" s="110" t="n">
        <v>8305936.51</v>
      </c>
      <c r="BF36" s="110" t="n">
        <v>1892916.46</v>
      </c>
      <c r="BG36" s="110" t="n">
        <v>1322233.91</v>
      </c>
      <c r="BH36" s="110" t="n">
        <v>570682.55</v>
      </c>
      <c r="BI36" s="110" t="n">
        <v>6413020.05</v>
      </c>
      <c r="BJ36" s="110" t="n">
        <v>6336233.78</v>
      </c>
      <c r="BK36" s="110" t="n">
        <v>76786.27</v>
      </c>
      <c r="BL36" s="110" t="n">
        <v>1068674.97</v>
      </c>
      <c r="BM36" s="110" t="n">
        <v>284332.33</v>
      </c>
      <c r="BN36" s="110" t="n">
        <v>194905.52</v>
      </c>
      <c r="BO36" s="110" t="n">
        <v>89426.81</v>
      </c>
      <c r="BP36" s="110" t="n">
        <v>784342.64</v>
      </c>
      <c r="BQ36" s="110" t="n">
        <v>775420.0600000001</v>
      </c>
      <c r="BR36" s="110" t="n">
        <v>8922.58</v>
      </c>
      <c r="BS36" s="110" t="n">
        <v>1470029.45</v>
      </c>
      <c r="BT36" s="110" t="n">
        <v>250624.8</v>
      </c>
      <c r="BU36" s="110" t="n">
        <v>157637.8</v>
      </c>
      <c r="BV36" s="110" t="n">
        <v>92987</v>
      </c>
      <c r="BW36" s="110" t="n">
        <v>1219404.65</v>
      </c>
      <c r="BX36" s="110" t="n">
        <v>1213539.96</v>
      </c>
      <c r="BY36" s="110" t="n">
        <v>5864.69</v>
      </c>
      <c r="BZ36" s="110" t="n">
        <v>2723113.5</v>
      </c>
      <c r="CA36" s="110" t="n">
        <v>796886</v>
      </c>
      <c r="CB36" s="110" t="n">
        <v>619392</v>
      </c>
      <c r="CC36" s="110" t="n">
        <v>177494</v>
      </c>
      <c r="CD36" s="110" t="n">
        <v>1926227.5</v>
      </c>
      <c r="CE36" s="110" t="n">
        <v>1894834.5</v>
      </c>
      <c r="CF36" s="110" t="n">
        <v>31393</v>
      </c>
      <c r="CG36" s="110" t="n">
        <v>3044118.59</v>
      </c>
      <c r="CH36" s="110" t="n">
        <v>561073.33</v>
      </c>
      <c r="CI36" s="110" t="n">
        <v>350298.59</v>
      </c>
      <c r="CJ36" s="110" t="n">
        <v>210774.74</v>
      </c>
      <c r="CK36" s="110" t="n">
        <v>2483045.26</v>
      </c>
      <c r="CL36" s="110" t="n">
        <v>2452439.26</v>
      </c>
      <c r="CM36" s="110" t="n">
        <v>30606</v>
      </c>
      <c r="CN36" s="110" t="n">
        <v>750963.71</v>
      </c>
      <c r="CO36" s="110" t="n">
        <v>1150056.96</v>
      </c>
      <c r="CP36" s="110" t="n">
        <v>262322.21</v>
      </c>
      <c r="CQ36" s="110" t="n">
        <v>6572.96</v>
      </c>
      <c r="CR36" s="110" t="n">
        <v>479887</v>
      </c>
      <c r="CS36" s="110" t="n">
        <v>0</v>
      </c>
      <c r="CT36" s="110" t="n">
        <v>86009.74000000001</v>
      </c>
      <c r="CU36" s="110" t="n">
        <v>0</v>
      </c>
      <c r="CV36" s="111" t="n">
        <v>5028</v>
      </c>
      <c r="CW36" s="111" t="n">
        <v>4630</v>
      </c>
      <c r="CX36" s="111" t="n">
        <v>4036</v>
      </c>
      <c r="CY36" s="111" t="n">
        <v>594</v>
      </c>
      <c r="CZ36" s="111" t="n">
        <v>398</v>
      </c>
      <c r="DA36" s="111" t="n">
        <v>171</v>
      </c>
      <c r="DB36" s="111" t="n">
        <v>227</v>
      </c>
      <c r="DC36" s="111" t="n">
        <v>2345</v>
      </c>
      <c r="DD36" s="111" t="n">
        <v>0</v>
      </c>
      <c r="DE36" s="111" t="n">
        <v>2185</v>
      </c>
      <c r="DF36" s="111" t="n">
        <v>1979</v>
      </c>
      <c r="DG36" s="111" t="n">
        <v>206</v>
      </c>
      <c r="DH36" s="111" t="n">
        <v>160</v>
      </c>
      <c r="DI36" s="111" t="n">
        <v>77</v>
      </c>
      <c r="DJ36" s="111" t="n">
        <v>83</v>
      </c>
      <c r="DK36" s="111" t="n">
        <v>454</v>
      </c>
      <c r="DL36" s="111" t="n">
        <v>422</v>
      </c>
      <c r="DM36" s="111" t="n">
        <v>378</v>
      </c>
      <c r="DN36" s="111" t="n">
        <v>44</v>
      </c>
      <c r="DO36" s="111" t="n">
        <v>32</v>
      </c>
      <c r="DP36" s="111" t="n">
        <v>8</v>
      </c>
      <c r="DQ36" s="111" t="n">
        <v>24</v>
      </c>
      <c r="DR36" s="111" t="n">
        <v>511</v>
      </c>
      <c r="DS36" s="111" t="n">
        <v>0</v>
      </c>
      <c r="DT36" s="111" t="n">
        <v>484</v>
      </c>
      <c r="DU36" s="111" t="n">
        <v>395</v>
      </c>
      <c r="DV36" s="111" t="n">
        <v>89</v>
      </c>
      <c r="DW36" s="111" t="n">
        <v>27</v>
      </c>
      <c r="DX36" s="111" t="n">
        <v>6</v>
      </c>
      <c r="DY36" s="111" t="n">
        <v>21</v>
      </c>
      <c r="DZ36" s="111" t="n">
        <v>1718</v>
      </c>
      <c r="EA36" s="111" t="n">
        <v>1539</v>
      </c>
      <c r="EB36" s="111" t="n">
        <v>1284</v>
      </c>
      <c r="EC36" s="111" t="n">
        <v>255</v>
      </c>
      <c r="ED36" s="111" t="n">
        <v>179</v>
      </c>
      <c r="EE36" s="111" t="n">
        <v>80</v>
      </c>
      <c r="EF36" s="111" t="n">
        <v>99</v>
      </c>
      <c r="EG36" s="111" t="n">
        <v>74</v>
      </c>
      <c r="EH36" s="111" t="n">
        <v>55</v>
      </c>
      <c r="EI36" s="111" t="n">
        <v>45</v>
      </c>
      <c r="EJ36" s="111" t="n">
        <v>10</v>
      </c>
      <c r="EK36" s="111" t="n">
        <v>19</v>
      </c>
      <c r="EL36" s="111" t="n">
        <v>16</v>
      </c>
      <c r="EM36" s="111" t="n">
        <v>3</v>
      </c>
      <c r="EN36" s="111" t="n">
        <v>27</v>
      </c>
      <c r="EO36" s="111" t="n">
        <v>0</v>
      </c>
      <c r="EP36" s="111" t="n">
        <v>0</v>
      </c>
      <c r="EQ36" s="111" t="n">
        <v>27</v>
      </c>
      <c r="ER36" s="111" t="n">
        <v>0</v>
      </c>
      <c r="ES36" s="111" t="n">
        <v>0</v>
      </c>
      <c r="ET36" s="111" t="n">
        <v>0</v>
      </c>
      <c r="EU36" s="111" t="n">
        <v>0</v>
      </c>
      <c r="EV36" s="111" t="n">
        <v>0</v>
      </c>
      <c r="EW36" s="111" t="n">
        <v>0</v>
      </c>
      <c r="EX36" s="111" t="n">
        <v>0</v>
      </c>
      <c r="EY36" s="111" t="n">
        <v>0</v>
      </c>
      <c r="EZ36" s="111" t="n">
        <v>0</v>
      </c>
      <c r="FA36" s="111" t="n">
        <v>0</v>
      </c>
      <c r="FB36" s="111" t="n">
        <v>0</v>
      </c>
    </row>
    <row r="37" ht="19.5" customHeight="1" s="247">
      <c r="A37" s="107" t="n">
        <v>34</v>
      </c>
      <c r="B37" s="107" t="inlineStr">
        <is>
          <t>儿童手术</t>
        </is>
      </c>
      <c r="C37" s="107" t="inlineStr">
        <is>
          <t>儿普外科</t>
        </is>
      </c>
      <c r="D37" s="110" t="n">
        <v>2601656.75</v>
      </c>
      <c r="E37" s="110" t="n">
        <v>512677</v>
      </c>
      <c r="F37" s="110" t="n">
        <v>2088979.75</v>
      </c>
      <c r="G37" s="110" t="n">
        <v>3356</v>
      </c>
      <c r="H37" s="110" t="n">
        <v>268</v>
      </c>
      <c r="I37" s="110" t="n">
        <v>26523</v>
      </c>
      <c r="J37" s="110" t="n">
        <v>9520</v>
      </c>
      <c r="K37" s="110" t="n">
        <v>0</v>
      </c>
      <c r="L37" s="110" t="n">
        <v>174548.5</v>
      </c>
      <c r="M37" s="110" t="n">
        <v>560837.25</v>
      </c>
      <c r="N37" s="110" t="n">
        <v>75</v>
      </c>
      <c r="O37" s="110" t="n">
        <v>3772458.35</v>
      </c>
      <c r="P37" s="110" t="n">
        <v>1724599.91</v>
      </c>
      <c r="Q37" s="110" t="n">
        <v>1305417.06</v>
      </c>
      <c r="R37" s="110" t="n">
        <v>419182.85</v>
      </c>
      <c r="S37" s="110" t="n">
        <v>2047858.44</v>
      </c>
      <c r="T37" s="110" t="n">
        <v>1757471.28</v>
      </c>
      <c r="U37" s="110" t="n">
        <v>290387.16</v>
      </c>
      <c r="V37" s="110" t="n">
        <v>613148.5699999999</v>
      </c>
      <c r="W37" s="110" t="n">
        <v>455391.36</v>
      </c>
      <c r="X37" s="110" t="n">
        <v>372574.77</v>
      </c>
      <c r="Y37" s="110" t="n">
        <v>82816.59</v>
      </c>
      <c r="Z37" s="110" t="n">
        <v>157757.21</v>
      </c>
      <c r="AA37" s="110" t="n">
        <v>64547.92</v>
      </c>
      <c r="AB37" s="110" t="n">
        <v>93209.28999999999</v>
      </c>
      <c r="AC37" s="110" t="n">
        <v>59690.32</v>
      </c>
      <c r="AD37" s="110" t="n">
        <v>50991.67</v>
      </c>
      <c r="AE37" s="110" t="n">
        <v>47638.44</v>
      </c>
      <c r="AF37" s="110" t="n">
        <v>3353.23</v>
      </c>
      <c r="AG37" s="110" t="n">
        <v>8698.65</v>
      </c>
      <c r="AH37" s="110" t="n">
        <v>4919.84</v>
      </c>
      <c r="AI37" s="110" t="n">
        <v>3778.81</v>
      </c>
      <c r="AJ37" s="110" t="n">
        <v>40781.25</v>
      </c>
      <c r="AK37" s="110" t="n">
        <v>32559.69</v>
      </c>
      <c r="AL37" s="110" t="n">
        <v>26189.33</v>
      </c>
      <c r="AM37" s="110" t="n">
        <v>6370.36</v>
      </c>
      <c r="AN37" s="110" t="n">
        <v>8221.559999999999</v>
      </c>
      <c r="AO37" s="110" t="n">
        <v>648.08</v>
      </c>
      <c r="AP37" s="110" t="n">
        <v>7573.48</v>
      </c>
      <c r="AQ37" s="110" t="n">
        <v>275091</v>
      </c>
      <c r="AR37" s="110" t="n">
        <v>209449</v>
      </c>
      <c r="AS37" s="110" t="n">
        <v>169691</v>
      </c>
      <c r="AT37" s="110" t="n">
        <v>39758</v>
      </c>
      <c r="AU37" s="110" t="n">
        <v>65642</v>
      </c>
      <c r="AV37" s="110" t="n">
        <v>31188</v>
      </c>
      <c r="AW37" s="110" t="n">
        <v>34454</v>
      </c>
      <c r="AX37" s="110" t="n">
        <v>237586</v>
      </c>
      <c r="AY37" s="110" t="n">
        <v>162391</v>
      </c>
      <c r="AZ37" s="110" t="n">
        <v>129056</v>
      </c>
      <c r="BA37" s="110" t="n">
        <v>33335</v>
      </c>
      <c r="BB37" s="110" t="n">
        <v>75195</v>
      </c>
      <c r="BC37" s="110" t="n">
        <v>27792</v>
      </c>
      <c r="BD37" s="110" t="n">
        <v>47403</v>
      </c>
      <c r="BE37" s="110" t="n">
        <v>3159309.78</v>
      </c>
      <c r="BF37" s="110" t="n">
        <v>1269208.55</v>
      </c>
      <c r="BG37" s="110" t="n">
        <v>932842.29</v>
      </c>
      <c r="BH37" s="110" t="n">
        <v>336366.26</v>
      </c>
      <c r="BI37" s="110" t="n">
        <v>1890101.23</v>
      </c>
      <c r="BJ37" s="110" t="n">
        <v>1692923.36</v>
      </c>
      <c r="BK37" s="110" t="n">
        <v>197177.87</v>
      </c>
      <c r="BL37" s="110" t="n">
        <v>321227.9</v>
      </c>
      <c r="BM37" s="110" t="n">
        <v>120601</v>
      </c>
      <c r="BN37" s="110" t="n">
        <v>104816.35</v>
      </c>
      <c r="BO37" s="110" t="n">
        <v>15784.65</v>
      </c>
      <c r="BP37" s="110" t="n">
        <v>200626.9</v>
      </c>
      <c r="BQ37" s="110" t="n">
        <v>193111.99</v>
      </c>
      <c r="BR37" s="110" t="n">
        <v>7514.91</v>
      </c>
      <c r="BS37" s="110" t="n">
        <v>749102.13</v>
      </c>
      <c r="BT37" s="110" t="n">
        <v>297731.05</v>
      </c>
      <c r="BU37" s="110" t="n">
        <v>256271.94</v>
      </c>
      <c r="BV37" s="110" t="n">
        <v>41459.11</v>
      </c>
      <c r="BW37" s="110" t="n">
        <v>451371.08</v>
      </c>
      <c r="BX37" s="110" t="n">
        <v>434267.12</v>
      </c>
      <c r="BY37" s="110" t="n">
        <v>17103.96</v>
      </c>
      <c r="BZ37" s="110" t="n">
        <v>557673</v>
      </c>
      <c r="CA37" s="110" t="n">
        <v>192061</v>
      </c>
      <c r="CB37" s="110" t="n">
        <v>166473</v>
      </c>
      <c r="CC37" s="110" t="n">
        <v>25588</v>
      </c>
      <c r="CD37" s="110" t="n">
        <v>365612</v>
      </c>
      <c r="CE37" s="110" t="n">
        <v>346170</v>
      </c>
      <c r="CF37" s="110" t="n">
        <v>19442</v>
      </c>
      <c r="CG37" s="110" t="n">
        <v>1531306.75</v>
      </c>
      <c r="CH37" s="110" t="n">
        <v>658815.5</v>
      </c>
      <c r="CI37" s="110" t="n">
        <v>405281</v>
      </c>
      <c r="CJ37" s="110" t="n">
        <v>253534.5</v>
      </c>
      <c r="CK37" s="110" t="n">
        <v>872491.25</v>
      </c>
      <c r="CL37" s="110" t="n">
        <v>719374.25</v>
      </c>
      <c r="CM37" s="110" t="n">
        <v>153117</v>
      </c>
      <c r="CN37" s="110" t="n">
        <v>247442.73</v>
      </c>
      <c r="CO37" s="110" t="n">
        <v>118507.34</v>
      </c>
      <c r="CP37" s="110" t="n">
        <v>89440.44</v>
      </c>
      <c r="CQ37" s="110" t="n">
        <v>12129.06</v>
      </c>
      <c r="CR37" s="110" t="n">
        <v>145599</v>
      </c>
      <c r="CS37" s="110" t="n">
        <v>0</v>
      </c>
      <c r="CT37" s="110" t="n">
        <v>465693.95</v>
      </c>
      <c r="CU37" s="110" t="n">
        <v>0</v>
      </c>
      <c r="CV37" s="111" t="n">
        <v>3356</v>
      </c>
      <c r="CW37" s="111" t="n">
        <v>2684</v>
      </c>
      <c r="CX37" s="111" t="n">
        <v>2244</v>
      </c>
      <c r="CY37" s="111" t="n">
        <v>440</v>
      </c>
      <c r="CZ37" s="111" t="n">
        <v>672</v>
      </c>
      <c r="DA37" s="111" t="n">
        <v>289</v>
      </c>
      <c r="DB37" s="111" t="n">
        <v>383</v>
      </c>
      <c r="DC37" s="111" t="n">
        <v>1026</v>
      </c>
      <c r="DD37" s="111" t="n">
        <v>4</v>
      </c>
      <c r="DE37" s="111" t="n">
        <v>854</v>
      </c>
      <c r="DF37" s="111" t="n">
        <v>724</v>
      </c>
      <c r="DG37" s="111" t="n">
        <v>130</v>
      </c>
      <c r="DH37" s="111" t="n">
        <v>172</v>
      </c>
      <c r="DI37" s="111" t="n">
        <v>83</v>
      </c>
      <c r="DJ37" s="111" t="n">
        <v>89</v>
      </c>
      <c r="DK37" s="111" t="n">
        <v>479</v>
      </c>
      <c r="DL37" s="111" t="n">
        <v>286</v>
      </c>
      <c r="DM37" s="111" t="n">
        <v>221</v>
      </c>
      <c r="DN37" s="111" t="n">
        <v>65</v>
      </c>
      <c r="DO37" s="111" t="n">
        <v>193</v>
      </c>
      <c r="DP37" s="111" t="n">
        <v>78</v>
      </c>
      <c r="DQ37" s="111" t="n">
        <v>115</v>
      </c>
      <c r="DR37" s="111" t="n">
        <v>317</v>
      </c>
      <c r="DS37" s="111" t="n">
        <v>1</v>
      </c>
      <c r="DT37" s="111" t="n">
        <v>164</v>
      </c>
      <c r="DU37" s="111" t="n">
        <v>123</v>
      </c>
      <c r="DV37" s="111" t="n">
        <v>41</v>
      </c>
      <c r="DW37" s="111" t="n">
        <v>153</v>
      </c>
      <c r="DX37" s="111" t="n">
        <v>52</v>
      </c>
      <c r="DY37" s="111" t="n">
        <v>101</v>
      </c>
      <c r="DZ37" s="111" t="n">
        <v>1529</v>
      </c>
      <c r="EA37" s="111" t="n">
        <v>1376</v>
      </c>
      <c r="EB37" s="111" t="n">
        <v>1173</v>
      </c>
      <c r="EC37" s="111" t="n">
        <v>203</v>
      </c>
      <c r="ED37" s="111" t="n">
        <v>153</v>
      </c>
      <c r="EE37" s="111" t="n">
        <v>76</v>
      </c>
      <c r="EF37" s="111" t="n">
        <v>77</v>
      </c>
      <c r="EG37" s="111" t="n">
        <v>268</v>
      </c>
      <c r="EH37" s="111" t="n">
        <v>121</v>
      </c>
      <c r="EI37" s="111" t="n">
        <v>89</v>
      </c>
      <c r="EJ37" s="111" t="n">
        <v>32</v>
      </c>
      <c r="EK37" s="111" t="n">
        <v>147</v>
      </c>
      <c r="EL37" s="111" t="n">
        <v>120</v>
      </c>
      <c r="EM37" s="111" t="n">
        <v>27</v>
      </c>
      <c r="EN37" s="111" t="n">
        <v>207</v>
      </c>
      <c r="EO37" s="111" t="n">
        <v>187</v>
      </c>
      <c r="EP37" s="111" t="n">
        <v>0</v>
      </c>
      <c r="EQ37" s="111" t="n">
        <v>20</v>
      </c>
      <c r="ER37" s="111" t="n">
        <v>93</v>
      </c>
      <c r="ES37" s="111" t="n">
        <v>0</v>
      </c>
      <c r="ET37" s="111" t="n">
        <v>0</v>
      </c>
      <c r="EU37" s="111" t="n">
        <v>54</v>
      </c>
      <c r="EV37" s="111" t="n">
        <v>54</v>
      </c>
      <c r="EW37" s="111" t="n">
        <v>0</v>
      </c>
      <c r="EX37" s="111" t="n">
        <v>0</v>
      </c>
      <c r="EY37" s="111" t="n">
        <v>27</v>
      </c>
      <c r="EZ37" s="111" t="n">
        <v>27</v>
      </c>
      <c r="FA37" s="111" t="n">
        <v>0</v>
      </c>
      <c r="FB37" s="111" t="n">
        <v>15</v>
      </c>
    </row>
    <row r="38" ht="19.5" customHeight="1" s="247">
      <c r="A38" s="107" t="n">
        <v>35</v>
      </c>
      <c r="B38" s="107" t="inlineStr">
        <is>
          <t>儿童手术</t>
        </is>
      </c>
      <c r="C38" s="107" t="inlineStr">
        <is>
          <t>儿泌尿外科</t>
        </is>
      </c>
      <c r="D38" s="110" t="n">
        <v>1286171.75</v>
      </c>
      <c r="E38" s="110" t="n">
        <v>147280</v>
      </c>
      <c r="F38" s="110" t="n">
        <v>1138891.75</v>
      </c>
      <c r="G38" s="110" t="n">
        <v>2002</v>
      </c>
      <c r="H38" s="110" t="n">
        <v>139</v>
      </c>
      <c r="I38" s="110" t="n">
        <v>2808</v>
      </c>
      <c r="J38" s="110" t="n">
        <v>390</v>
      </c>
      <c r="K38" s="110" t="n">
        <v>0</v>
      </c>
      <c r="L38" s="110" t="n">
        <v>84105.5</v>
      </c>
      <c r="M38" s="110" t="n">
        <v>460545.75</v>
      </c>
      <c r="N38" s="110" t="n">
        <v>0</v>
      </c>
      <c r="O38" s="110" t="n">
        <v>1780485.38</v>
      </c>
      <c r="P38" s="110" t="n">
        <v>1065846.41</v>
      </c>
      <c r="Q38" s="110" t="n">
        <v>594887.6</v>
      </c>
      <c r="R38" s="110" t="n">
        <v>470958.81</v>
      </c>
      <c r="S38" s="110" t="n">
        <v>714638.97</v>
      </c>
      <c r="T38" s="110" t="n">
        <v>681285.76</v>
      </c>
      <c r="U38" s="110" t="n">
        <v>33353.21</v>
      </c>
      <c r="V38" s="110" t="n">
        <v>164536.06</v>
      </c>
      <c r="W38" s="110" t="n">
        <v>122366.02</v>
      </c>
      <c r="X38" s="110" t="n">
        <v>104395.85</v>
      </c>
      <c r="Y38" s="110" t="n">
        <v>17970.17</v>
      </c>
      <c r="Z38" s="110" t="n">
        <v>42170.04</v>
      </c>
      <c r="AA38" s="110" t="n">
        <v>10131.08</v>
      </c>
      <c r="AB38" s="110" t="n">
        <v>32038.96</v>
      </c>
      <c r="AC38" s="110" t="n">
        <v>14492.33</v>
      </c>
      <c r="AD38" s="110" t="n">
        <v>9766.629999999999</v>
      </c>
      <c r="AE38" s="110" t="n">
        <v>8064.62</v>
      </c>
      <c r="AF38" s="110" t="n">
        <v>1702.01</v>
      </c>
      <c r="AG38" s="110" t="n">
        <v>4725.7</v>
      </c>
      <c r="AH38" s="110" t="n">
        <v>1057.12</v>
      </c>
      <c r="AI38" s="110" t="n">
        <v>3668.58</v>
      </c>
      <c r="AJ38" s="110" t="n">
        <v>2763.73</v>
      </c>
      <c r="AK38" s="110" t="n">
        <v>2391.39</v>
      </c>
      <c r="AL38" s="110" t="n">
        <v>2380.23</v>
      </c>
      <c r="AM38" s="110" t="n">
        <v>11.16</v>
      </c>
      <c r="AN38" s="110" t="n">
        <v>372.34</v>
      </c>
      <c r="AO38" s="110" t="n">
        <v>123.96</v>
      </c>
      <c r="AP38" s="110" t="n">
        <v>248.38</v>
      </c>
      <c r="AQ38" s="110" t="n">
        <v>56102</v>
      </c>
      <c r="AR38" s="110" t="n">
        <v>41956</v>
      </c>
      <c r="AS38" s="110" t="n">
        <v>35839</v>
      </c>
      <c r="AT38" s="110" t="n">
        <v>6117</v>
      </c>
      <c r="AU38" s="110" t="n">
        <v>14146</v>
      </c>
      <c r="AV38" s="110" t="n">
        <v>3690</v>
      </c>
      <c r="AW38" s="110" t="n">
        <v>10456</v>
      </c>
      <c r="AX38" s="110" t="n">
        <v>91178</v>
      </c>
      <c r="AY38" s="110" t="n">
        <v>68252</v>
      </c>
      <c r="AZ38" s="110" t="n">
        <v>58112</v>
      </c>
      <c r="BA38" s="110" t="n">
        <v>10140</v>
      </c>
      <c r="BB38" s="110" t="n">
        <v>22926</v>
      </c>
      <c r="BC38" s="110" t="n">
        <v>5260</v>
      </c>
      <c r="BD38" s="110" t="n">
        <v>17666</v>
      </c>
      <c r="BE38" s="110" t="n">
        <v>1615949.32</v>
      </c>
      <c r="BF38" s="110" t="n">
        <v>943480.39</v>
      </c>
      <c r="BG38" s="110" t="n">
        <v>490491.75</v>
      </c>
      <c r="BH38" s="110" t="n">
        <v>452988.64</v>
      </c>
      <c r="BI38" s="110" t="n">
        <v>672468.9300000001</v>
      </c>
      <c r="BJ38" s="110" t="n">
        <v>671154.6800000001</v>
      </c>
      <c r="BK38" s="110" t="n">
        <v>1314.25</v>
      </c>
      <c r="BL38" s="110" t="n">
        <v>122513.14</v>
      </c>
      <c r="BM38" s="110" t="n">
        <v>66078.98</v>
      </c>
      <c r="BN38" s="110" t="n">
        <v>42435.48</v>
      </c>
      <c r="BO38" s="110" t="n">
        <v>23643.5</v>
      </c>
      <c r="BP38" s="110" t="n">
        <v>56434.16</v>
      </c>
      <c r="BQ38" s="110" t="n">
        <v>56428.81</v>
      </c>
      <c r="BR38" s="110" t="n">
        <v>5.35</v>
      </c>
      <c r="BS38" s="110" t="n">
        <v>354544.43</v>
      </c>
      <c r="BT38" s="110" t="n">
        <v>207032.66</v>
      </c>
      <c r="BU38" s="110" t="n">
        <v>136386.02</v>
      </c>
      <c r="BV38" s="110" t="n">
        <v>70646.64</v>
      </c>
      <c r="BW38" s="110" t="n">
        <v>147511.77</v>
      </c>
      <c r="BX38" s="110" t="n">
        <v>147433.87</v>
      </c>
      <c r="BY38" s="110" t="n">
        <v>77.90000000000001</v>
      </c>
      <c r="BZ38" s="110" t="n">
        <v>217425</v>
      </c>
      <c r="CA38" s="110" t="n">
        <v>107478</v>
      </c>
      <c r="CB38" s="110" t="n">
        <v>64879</v>
      </c>
      <c r="CC38" s="110" t="n">
        <v>42599</v>
      </c>
      <c r="CD38" s="110" t="n">
        <v>109947</v>
      </c>
      <c r="CE38" s="110" t="n">
        <v>109482</v>
      </c>
      <c r="CF38" s="110" t="n">
        <v>465</v>
      </c>
      <c r="CG38" s="110" t="n">
        <v>921466.75</v>
      </c>
      <c r="CH38" s="110" t="n">
        <v>562890.75</v>
      </c>
      <c r="CI38" s="110" t="n">
        <v>246791.25</v>
      </c>
      <c r="CJ38" s="110" t="n">
        <v>316099.5</v>
      </c>
      <c r="CK38" s="110" t="n">
        <v>358576</v>
      </c>
      <c r="CL38" s="110" t="n">
        <v>357810</v>
      </c>
      <c r="CM38" s="110" t="n">
        <v>766</v>
      </c>
      <c r="CN38" s="110" t="n">
        <v>1743.41</v>
      </c>
      <c r="CO38" s="110" t="n">
        <v>72911.60000000001</v>
      </c>
      <c r="CP38" s="110" t="n">
        <v>49162.02</v>
      </c>
      <c r="CQ38" s="110" t="n">
        <v>6627.49</v>
      </c>
      <c r="CR38" s="110" t="n">
        <v>34066.54</v>
      </c>
      <c r="CS38" s="110" t="n">
        <v>0</v>
      </c>
      <c r="CT38" s="110" t="n">
        <v>379978.39</v>
      </c>
      <c r="CU38" s="110" t="n">
        <v>0</v>
      </c>
      <c r="CV38" s="111" t="n">
        <v>2002</v>
      </c>
      <c r="CW38" s="111" t="n">
        <v>1649</v>
      </c>
      <c r="CX38" s="111" t="n">
        <v>1470</v>
      </c>
      <c r="CY38" s="111" t="n">
        <v>179</v>
      </c>
      <c r="CZ38" s="111" t="n">
        <v>353</v>
      </c>
      <c r="DA38" s="111" t="n">
        <v>109</v>
      </c>
      <c r="DB38" s="111" t="n">
        <v>244</v>
      </c>
      <c r="DC38" s="111" t="n">
        <v>1267</v>
      </c>
      <c r="DD38" s="111" t="n">
        <v>16</v>
      </c>
      <c r="DE38" s="111" t="n">
        <v>1081</v>
      </c>
      <c r="DF38" s="111" t="n">
        <v>986</v>
      </c>
      <c r="DG38" s="111" t="n">
        <v>95</v>
      </c>
      <c r="DH38" s="111" t="n">
        <v>186</v>
      </c>
      <c r="DI38" s="111" t="n">
        <v>56</v>
      </c>
      <c r="DJ38" s="111" t="n">
        <v>130</v>
      </c>
      <c r="DK38" s="111" t="n">
        <v>600</v>
      </c>
      <c r="DL38" s="111" t="n">
        <v>475</v>
      </c>
      <c r="DM38" s="111" t="n">
        <v>411</v>
      </c>
      <c r="DN38" s="111" t="n">
        <v>64</v>
      </c>
      <c r="DO38" s="111" t="n">
        <v>125</v>
      </c>
      <c r="DP38" s="111" t="n">
        <v>45</v>
      </c>
      <c r="DQ38" s="111" t="n">
        <v>80</v>
      </c>
      <c r="DR38" s="111" t="n">
        <v>100</v>
      </c>
      <c r="DS38" s="111" t="n">
        <v>0</v>
      </c>
      <c r="DT38" s="111" t="n">
        <v>66</v>
      </c>
      <c r="DU38" s="111" t="n">
        <v>54</v>
      </c>
      <c r="DV38" s="111" t="n">
        <v>12</v>
      </c>
      <c r="DW38" s="111" t="n">
        <v>34</v>
      </c>
      <c r="DX38" s="111" t="n">
        <v>4</v>
      </c>
      <c r="DY38" s="111" t="n">
        <v>30</v>
      </c>
      <c r="DZ38" s="111" t="n">
        <v>19</v>
      </c>
      <c r="EA38" s="111" t="n">
        <v>12</v>
      </c>
      <c r="EB38" s="111" t="n">
        <v>11</v>
      </c>
      <c r="EC38" s="111" t="n">
        <v>1</v>
      </c>
      <c r="ED38" s="111" t="n">
        <v>7</v>
      </c>
      <c r="EE38" s="111" t="n">
        <v>4</v>
      </c>
      <c r="EF38" s="111" t="n">
        <v>3</v>
      </c>
      <c r="EG38" s="111" t="n">
        <v>139</v>
      </c>
      <c r="EH38" s="111" t="n">
        <v>76</v>
      </c>
      <c r="EI38" s="111" t="n">
        <v>55</v>
      </c>
      <c r="EJ38" s="111" t="n">
        <v>21</v>
      </c>
      <c r="EK38" s="111" t="n">
        <v>63</v>
      </c>
      <c r="EL38" s="111" t="n">
        <v>62</v>
      </c>
      <c r="EM38" s="111" t="n">
        <v>1</v>
      </c>
      <c r="EN38" s="111" t="n">
        <v>134</v>
      </c>
      <c r="EO38" s="111" t="n">
        <v>105</v>
      </c>
      <c r="EP38" s="111" t="n">
        <v>0</v>
      </c>
      <c r="EQ38" s="111" t="n">
        <v>29</v>
      </c>
      <c r="ER38" s="111" t="n">
        <v>60</v>
      </c>
      <c r="ES38" s="111" t="n">
        <v>0</v>
      </c>
      <c r="ET38" s="111" t="n">
        <v>0</v>
      </c>
      <c r="EU38" s="111" t="n">
        <v>45</v>
      </c>
      <c r="EV38" s="111" t="n">
        <v>45</v>
      </c>
      <c r="EW38" s="111" t="n">
        <v>0</v>
      </c>
      <c r="EX38" s="111" t="n">
        <v>0</v>
      </c>
      <c r="EY38" s="111" t="n">
        <v>16</v>
      </c>
      <c r="EZ38" s="111" t="n">
        <v>16</v>
      </c>
      <c r="FA38" s="111" t="n">
        <v>0</v>
      </c>
      <c r="FB38" s="111" t="n">
        <v>5</v>
      </c>
    </row>
    <row r="39" ht="19.5" customHeight="1" s="247">
      <c r="A39" s="107" t="n">
        <v>36</v>
      </c>
      <c r="B39" s="107" t="inlineStr">
        <is>
          <t>儿童手术</t>
        </is>
      </c>
      <c r="C39" s="107" t="inlineStr">
        <is>
          <t>儿骨科</t>
        </is>
      </c>
      <c r="D39" s="110" t="n">
        <v>3628767</v>
      </c>
      <c r="E39" s="110" t="n">
        <v>1271002</v>
      </c>
      <c r="F39" s="110" t="n">
        <v>2357765</v>
      </c>
      <c r="G39" s="110" t="n">
        <v>7695</v>
      </c>
      <c r="H39" s="110" t="n">
        <v>222</v>
      </c>
      <c r="I39" s="110" t="n">
        <v>35980</v>
      </c>
      <c r="J39" s="110" t="n">
        <v>101088</v>
      </c>
      <c r="K39" s="110" t="n">
        <v>0</v>
      </c>
      <c r="L39" s="110" t="n">
        <v>143443.25</v>
      </c>
      <c r="M39" s="110" t="n">
        <v>1437143.25</v>
      </c>
      <c r="N39" s="110" t="n">
        <v>0</v>
      </c>
      <c r="O39" s="110" t="n">
        <v>9256532.84</v>
      </c>
      <c r="P39" s="110" t="n">
        <v>5632120.6</v>
      </c>
      <c r="Q39" s="110" t="n">
        <v>4686156.79</v>
      </c>
      <c r="R39" s="110" t="n">
        <v>945963.8100000001</v>
      </c>
      <c r="S39" s="110" t="n">
        <v>3624412.24</v>
      </c>
      <c r="T39" s="110" t="n">
        <v>3393904.37</v>
      </c>
      <c r="U39" s="110" t="n">
        <v>230507.87</v>
      </c>
      <c r="V39" s="110" t="n">
        <v>2480706.46</v>
      </c>
      <c r="W39" s="110" t="n">
        <v>2195437.94</v>
      </c>
      <c r="X39" s="110" t="n">
        <v>1957766.82</v>
      </c>
      <c r="Y39" s="110" t="n">
        <v>237671.12</v>
      </c>
      <c r="Z39" s="110" t="n">
        <v>285268.52</v>
      </c>
      <c r="AA39" s="110" t="n">
        <v>103027.67</v>
      </c>
      <c r="AB39" s="110" t="n">
        <v>182240.85</v>
      </c>
      <c r="AC39" s="110" t="n">
        <v>89308.39999999999</v>
      </c>
      <c r="AD39" s="110" t="n">
        <v>82285.98</v>
      </c>
      <c r="AE39" s="110" t="n">
        <v>69424.31</v>
      </c>
      <c r="AF39" s="110" t="n">
        <v>12861.67</v>
      </c>
      <c r="AG39" s="110" t="n">
        <v>7022.42</v>
      </c>
      <c r="AH39" s="110" t="n">
        <v>2835.32</v>
      </c>
      <c r="AI39" s="110" t="n">
        <v>4187.1</v>
      </c>
      <c r="AJ39" s="110" t="n">
        <v>1120396.06</v>
      </c>
      <c r="AK39" s="110" t="n">
        <v>1063381.96</v>
      </c>
      <c r="AL39" s="110" t="n">
        <v>987271.51</v>
      </c>
      <c r="AM39" s="110" t="n">
        <v>76110.45</v>
      </c>
      <c r="AN39" s="110" t="n">
        <v>57014.1</v>
      </c>
      <c r="AO39" s="110" t="n">
        <v>22758.35</v>
      </c>
      <c r="AP39" s="110" t="n">
        <v>34255.75</v>
      </c>
      <c r="AQ39" s="110" t="n">
        <v>719224</v>
      </c>
      <c r="AR39" s="110" t="n">
        <v>620086</v>
      </c>
      <c r="AS39" s="110" t="n">
        <v>542362</v>
      </c>
      <c r="AT39" s="110" t="n">
        <v>77724</v>
      </c>
      <c r="AU39" s="110" t="n">
        <v>99138</v>
      </c>
      <c r="AV39" s="110" t="n">
        <v>31075</v>
      </c>
      <c r="AW39" s="110" t="n">
        <v>68063</v>
      </c>
      <c r="AX39" s="110" t="n">
        <v>551778</v>
      </c>
      <c r="AY39" s="110" t="n">
        <v>429684</v>
      </c>
      <c r="AZ39" s="110" t="n">
        <v>358709</v>
      </c>
      <c r="BA39" s="110" t="n">
        <v>70975</v>
      </c>
      <c r="BB39" s="110" t="n">
        <v>122094</v>
      </c>
      <c r="BC39" s="110" t="n">
        <v>46359</v>
      </c>
      <c r="BD39" s="110" t="n">
        <v>75735</v>
      </c>
      <c r="BE39" s="110" t="n">
        <v>6775826.38</v>
      </c>
      <c r="BF39" s="110" t="n">
        <v>3436682.66</v>
      </c>
      <c r="BG39" s="110" t="n">
        <v>2728389.97</v>
      </c>
      <c r="BH39" s="110" t="n">
        <v>708292.6899999999</v>
      </c>
      <c r="BI39" s="110" t="n">
        <v>3339143.72</v>
      </c>
      <c r="BJ39" s="110" t="n">
        <v>3290876.7</v>
      </c>
      <c r="BK39" s="110" t="n">
        <v>48267.02</v>
      </c>
      <c r="BL39" s="110" t="n">
        <v>394677.21</v>
      </c>
      <c r="BM39" s="110" t="n">
        <v>167704.28</v>
      </c>
      <c r="BN39" s="110" t="n">
        <v>139974.1</v>
      </c>
      <c r="BO39" s="110" t="n">
        <v>27730.18</v>
      </c>
      <c r="BP39" s="110" t="n">
        <v>226972.93</v>
      </c>
      <c r="BQ39" s="110" t="n">
        <v>224109.57</v>
      </c>
      <c r="BR39" s="110" t="n">
        <v>2863.36</v>
      </c>
      <c r="BS39" s="110" t="n">
        <v>4023384.17</v>
      </c>
      <c r="BT39" s="110" t="n">
        <v>2110113.88</v>
      </c>
      <c r="BU39" s="110" t="n">
        <v>1709445.37</v>
      </c>
      <c r="BV39" s="110" t="n">
        <v>400668.51</v>
      </c>
      <c r="BW39" s="110" t="n">
        <v>1913270.29</v>
      </c>
      <c r="BX39" s="110" t="n">
        <v>1894121.13</v>
      </c>
      <c r="BY39" s="110" t="n">
        <v>19149.16</v>
      </c>
      <c r="BZ39" s="110" t="n">
        <v>451083</v>
      </c>
      <c r="CA39" s="110" t="n">
        <v>198410</v>
      </c>
      <c r="CB39" s="110" t="n">
        <v>153727</v>
      </c>
      <c r="CC39" s="110" t="n">
        <v>44683</v>
      </c>
      <c r="CD39" s="110" t="n">
        <v>252673</v>
      </c>
      <c r="CE39" s="110" t="n">
        <v>246110</v>
      </c>
      <c r="CF39" s="110" t="n">
        <v>6563</v>
      </c>
      <c r="CG39" s="110" t="n">
        <v>1906682</v>
      </c>
      <c r="CH39" s="110" t="n">
        <v>960454.5</v>
      </c>
      <c r="CI39" s="110" t="n">
        <v>725243.5</v>
      </c>
      <c r="CJ39" s="110" t="n">
        <v>235211</v>
      </c>
      <c r="CK39" s="110" t="n">
        <v>946227.5</v>
      </c>
      <c r="CL39" s="110" t="n">
        <v>926536</v>
      </c>
      <c r="CM39" s="110" t="n">
        <v>19691.5</v>
      </c>
      <c r="CN39" s="110" t="n">
        <v>1529262.18</v>
      </c>
      <c r="CO39" s="110" t="n">
        <v>283040.87</v>
      </c>
      <c r="CP39" s="110" t="n">
        <v>365742.57</v>
      </c>
      <c r="CQ39" s="110" t="n">
        <v>6316.88</v>
      </c>
      <c r="CR39" s="110" t="n">
        <v>296343.96</v>
      </c>
      <c r="CS39" s="110" t="n">
        <v>0</v>
      </c>
      <c r="CT39" s="110" t="n">
        <v>165592.69</v>
      </c>
      <c r="CU39" s="110" t="n">
        <v>0</v>
      </c>
      <c r="CV39" s="111" t="n">
        <v>7695</v>
      </c>
      <c r="CW39" s="111" t="n">
        <v>6626</v>
      </c>
      <c r="CX39" s="111" t="n">
        <v>5757</v>
      </c>
      <c r="CY39" s="111" t="n">
        <v>869</v>
      </c>
      <c r="CZ39" s="111" t="n">
        <v>1069</v>
      </c>
      <c r="DA39" s="111" t="n">
        <v>400</v>
      </c>
      <c r="DB39" s="111" t="n">
        <v>669</v>
      </c>
      <c r="DC39" s="111" t="n">
        <v>1558</v>
      </c>
      <c r="DD39" s="111" t="n">
        <v>3</v>
      </c>
      <c r="DE39" s="111" t="n">
        <v>1418</v>
      </c>
      <c r="DF39" s="111" t="n">
        <v>1271</v>
      </c>
      <c r="DG39" s="111" t="n">
        <v>147</v>
      </c>
      <c r="DH39" s="111" t="n">
        <v>140</v>
      </c>
      <c r="DI39" s="111" t="n">
        <v>55</v>
      </c>
      <c r="DJ39" s="111" t="n">
        <v>85</v>
      </c>
      <c r="DK39" s="111" t="n">
        <v>1791</v>
      </c>
      <c r="DL39" s="111" t="n">
        <v>1280</v>
      </c>
      <c r="DM39" s="111" t="n">
        <v>1088</v>
      </c>
      <c r="DN39" s="111" t="n">
        <v>192</v>
      </c>
      <c r="DO39" s="111" t="n">
        <v>511</v>
      </c>
      <c r="DP39" s="111" t="n">
        <v>206</v>
      </c>
      <c r="DQ39" s="111" t="n">
        <v>305</v>
      </c>
      <c r="DR39" s="111" t="n">
        <v>640</v>
      </c>
      <c r="DS39" s="111" t="n">
        <v>6</v>
      </c>
      <c r="DT39" s="111" t="n">
        <v>439</v>
      </c>
      <c r="DU39" s="111" t="n">
        <v>359</v>
      </c>
      <c r="DV39" s="111" t="n">
        <v>80</v>
      </c>
      <c r="DW39" s="111" t="n">
        <v>201</v>
      </c>
      <c r="DX39" s="111" t="n">
        <v>75</v>
      </c>
      <c r="DY39" s="111" t="n">
        <v>126</v>
      </c>
      <c r="DZ39" s="111" t="n">
        <v>3697</v>
      </c>
      <c r="EA39" s="111" t="n">
        <v>3486</v>
      </c>
      <c r="EB39" s="111" t="n">
        <v>3037</v>
      </c>
      <c r="EC39" s="111" t="n">
        <v>449</v>
      </c>
      <c r="ED39" s="111" t="n">
        <v>211</v>
      </c>
      <c r="EE39" s="111" t="n">
        <v>64</v>
      </c>
      <c r="EF39" s="111" t="n">
        <v>147</v>
      </c>
      <c r="EG39" s="111" t="n">
        <v>222</v>
      </c>
      <c r="EH39" s="111" t="n">
        <v>125</v>
      </c>
      <c r="EI39" s="111" t="n">
        <v>107</v>
      </c>
      <c r="EJ39" s="111" t="n">
        <v>18</v>
      </c>
      <c r="EK39" s="111" t="n">
        <v>97</v>
      </c>
      <c r="EL39" s="111" t="n">
        <v>92</v>
      </c>
      <c r="EM39" s="111" t="n">
        <v>5</v>
      </c>
      <c r="EN39" s="111" t="n">
        <v>204</v>
      </c>
      <c r="EO39" s="111" t="n">
        <v>203</v>
      </c>
      <c r="EP39" s="111" t="n">
        <v>0</v>
      </c>
      <c r="EQ39" s="111" t="n">
        <v>1</v>
      </c>
      <c r="ER39" s="111" t="n">
        <v>2</v>
      </c>
      <c r="ES39" s="111" t="n">
        <v>0</v>
      </c>
      <c r="ET39" s="111" t="n">
        <v>0</v>
      </c>
      <c r="EU39" s="111" t="n">
        <v>109</v>
      </c>
      <c r="EV39" s="111" t="n">
        <v>109</v>
      </c>
      <c r="EW39" s="111" t="n">
        <v>0</v>
      </c>
      <c r="EX39" s="111" t="n">
        <v>0</v>
      </c>
      <c r="EY39" s="111" t="n">
        <v>12</v>
      </c>
      <c r="EZ39" s="111" t="n">
        <v>12</v>
      </c>
      <c r="FA39" s="111" t="n">
        <v>0</v>
      </c>
      <c r="FB39" s="111" t="n">
        <v>11</v>
      </c>
    </row>
    <row r="40" ht="19.5" customHeight="1" s="247">
      <c r="A40" s="107" t="n">
        <v>37</v>
      </c>
      <c r="B40" s="107" t="inlineStr">
        <is>
          <t>儿童手术</t>
        </is>
      </c>
      <c r="C40" s="107" t="inlineStr">
        <is>
          <t>儿神经外科</t>
        </is>
      </c>
      <c r="D40" s="110" t="n">
        <v>4371450.1</v>
      </c>
      <c r="E40" s="110" t="n">
        <v>856533</v>
      </c>
      <c r="F40" s="110" t="n">
        <v>3514917.1</v>
      </c>
      <c r="G40" s="110" t="n">
        <v>3902</v>
      </c>
      <c r="H40" s="110" t="n">
        <v>304</v>
      </c>
      <c r="I40" s="110" t="n">
        <v>18364</v>
      </c>
      <c r="J40" s="110" t="n">
        <v>0</v>
      </c>
      <c r="K40" s="110" t="n">
        <v>0</v>
      </c>
      <c r="L40" s="110" t="n">
        <v>208935</v>
      </c>
      <c r="M40" s="110" t="n">
        <v>1083331.75</v>
      </c>
      <c r="N40" s="110" t="n">
        <v>0</v>
      </c>
      <c r="O40" s="110" t="n">
        <v>13134900.26</v>
      </c>
      <c r="P40" s="110" t="n">
        <v>2231874.11</v>
      </c>
      <c r="Q40" s="110" t="n">
        <v>1380923.22</v>
      </c>
      <c r="R40" s="110" t="n">
        <v>850950.89</v>
      </c>
      <c r="S40" s="110" t="n">
        <v>10903026.15</v>
      </c>
      <c r="T40" s="110" t="n">
        <v>10482655.06</v>
      </c>
      <c r="U40" s="110" t="n">
        <v>420371.09</v>
      </c>
      <c r="V40" s="110" t="n">
        <v>1075921.76</v>
      </c>
      <c r="W40" s="110" t="n">
        <v>521499.45</v>
      </c>
      <c r="X40" s="110" t="n">
        <v>408669.6</v>
      </c>
      <c r="Y40" s="110" t="n">
        <v>112829.85</v>
      </c>
      <c r="Z40" s="110" t="n">
        <v>554422.3100000001</v>
      </c>
      <c r="AA40" s="110" t="n">
        <v>193360.79</v>
      </c>
      <c r="AB40" s="110" t="n">
        <v>361061.52</v>
      </c>
      <c r="AC40" s="110" t="n">
        <v>124365.76</v>
      </c>
      <c r="AD40" s="110" t="n">
        <v>113015.45</v>
      </c>
      <c r="AE40" s="110" t="n">
        <v>100262.6</v>
      </c>
      <c r="AF40" s="110" t="n">
        <v>12752.85</v>
      </c>
      <c r="AG40" s="110" t="n">
        <v>11350.31</v>
      </c>
      <c r="AH40" s="110" t="n">
        <v>3966.79</v>
      </c>
      <c r="AI40" s="110" t="n">
        <v>7383.52</v>
      </c>
      <c r="AJ40" s="110" t="n">
        <v>95023</v>
      </c>
      <c r="AK40" s="110" t="n">
        <v>80756</v>
      </c>
      <c r="AL40" s="110" t="n">
        <v>61478</v>
      </c>
      <c r="AM40" s="110" t="n">
        <v>19278</v>
      </c>
      <c r="AN40" s="110" t="n">
        <v>14267</v>
      </c>
      <c r="AO40" s="110" t="n">
        <v>5851</v>
      </c>
      <c r="AP40" s="110" t="n">
        <v>8416</v>
      </c>
      <c r="AQ40" s="110" t="n">
        <v>544425</v>
      </c>
      <c r="AR40" s="110" t="n">
        <v>212527</v>
      </c>
      <c r="AS40" s="110" t="n">
        <v>166998</v>
      </c>
      <c r="AT40" s="110" t="n">
        <v>45529</v>
      </c>
      <c r="AU40" s="110" t="n">
        <v>331898</v>
      </c>
      <c r="AV40" s="110" t="n">
        <v>121546</v>
      </c>
      <c r="AW40" s="110" t="n">
        <v>210352</v>
      </c>
      <c r="AX40" s="110" t="n">
        <v>312108</v>
      </c>
      <c r="AY40" s="110" t="n">
        <v>115201</v>
      </c>
      <c r="AZ40" s="110" t="n">
        <v>79931</v>
      </c>
      <c r="BA40" s="110" t="n">
        <v>35270</v>
      </c>
      <c r="BB40" s="110" t="n">
        <v>196907</v>
      </c>
      <c r="BC40" s="110" t="n">
        <v>61997</v>
      </c>
      <c r="BD40" s="110" t="n">
        <v>134910</v>
      </c>
      <c r="BE40" s="110" t="n">
        <v>12058978.5</v>
      </c>
      <c r="BF40" s="110" t="n">
        <v>1710374.66</v>
      </c>
      <c r="BG40" s="110" t="n">
        <v>972253.62</v>
      </c>
      <c r="BH40" s="110" t="n">
        <v>738121.04</v>
      </c>
      <c r="BI40" s="110" t="n">
        <v>10348603.84</v>
      </c>
      <c r="BJ40" s="110" t="n">
        <v>10289294.27</v>
      </c>
      <c r="BK40" s="110" t="n">
        <v>59309.57</v>
      </c>
      <c r="BL40" s="110" t="n">
        <v>1107098.24</v>
      </c>
      <c r="BM40" s="110" t="n">
        <v>104950.01</v>
      </c>
      <c r="BN40" s="110" t="n">
        <v>67317.94</v>
      </c>
      <c r="BO40" s="110" t="n">
        <v>37632.07</v>
      </c>
      <c r="BP40" s="110" t="n">
        <v>1002148.23</v>
      </c>
      <c r="BQ40" s="110" t="n">
        <v>999700.61</v>
      </c>
      <c r="BR40" s="110" t="n">
        <v>2447.62</v>
      </c>
      <c r="BS40" s="110" t="n">
        <v>7436963.16</v>
      </c>
      <c r="BT40" s="110" t="n">
        <v>983533.8</v>
      </c>
      <c r="BU40" s="110" t="n">
        <v>681913.58</v>
      </c>
      <c r="BV40" s="110" t="n">
        <v>301620.22</v>
      </c>
      <c r="BW40" s="110" t="n">
        <v>6453429.36</v>
      </c>
      <c r="BX40" s="110" t="n">
        <v>6431340.16</v>
      </c>
      <c r="BY40" s="110" t="n">
        <v>22089.2</v>
      </c>
      <c r="BZ40" s="110" t="n">
        <v>876361</v>
      </c>
      <c r="CA40" s="110" t="n">
        <v>96084</v>
      </c>
      <c r="CB40" s="110" t="n">
        <v>54382</v>
      </c>
      <c r="CC40" s="110" t="n">
        <v>41702</v>
      </c>
      <c r="CD40" s="110" t="n">
        <v>780277</v>
      </c>
      <c r="CE40" s="110" t="n">
        <v>774860</v>
      </c>
      <c r="CF40" s="110" t="n">
        <v>5417</v>
      </c>
      <c r="CG40" s="110" t="n">
        <v>2638556.1</v>
      </c>
      <c r="CH40" s="110" t="n">
        <v>525806.85</v>
      </c>
      <c r="CI40" s="110" t="n">
        <v>168640.1</v>
      </c>
      <c r="CJ40" s="110" t="n">
        <v>357166.75</v>
      </c>
      <c r="CK40" s="110" t="n">
        <v>2112749.25</v>
      </c>
      <c r="CL40" s="110" t="n">
        <v>2083393.5</v>
      </c>
      <c r="CM40" s="110" t="n">
        <v>29355.75</v>
      </c>
      <c r="CN40" s="110" t="n">
        <v>302160.19</v>
      </c>
      <c r="CO40" s="110" t="n">
        <v>97008.74000000001</v>
      </c>
      <c r="CP40" s="110" t="n">
        <v>418921.7</v>
      </c>
      <c r="CQ40" s="110" t="n">
        <v>17741.11</v>
      </c>
      <c r="CR40" s="110" t="n">
        <v>240090.02</v>
      </c>
      <c r="CS40" s="110" t="n">
        <v>0</v>
      </c>
      <c r="CT40" s="110" t="n">
        <v>500790.91</v>
      </c>
      <c r="CU40" s="110" t="n">
        <v>0</v>
      </c>
      <c r="CV40" s="111" t="n">
        <v>3902</v>
      </c>
      <c r="CW40" s="111" t="n">
        <v>2137</v>
      </c>
      <c r="CX40" s="111" t="n">
        <v>1586</v>
      </c>
      <c r="CY40" s="111" t="n">
        <v>551</v>
      </c>
      <c r="CZ40" s="111" t="n">
        <v>1765</v>
      </c>
      <c r="DA40" s="111" t="n">
        <v>636</v>
      </c>
      <c r="DB40" s="111" t="n">
        <v>1129</v>
      </c>
      <c r="DC40" s="111" t="n">
        <v>552</v>
      </c>
      <c r="DD40" s="111" t="n">
        <v>18</v>
      </c>
      <c r="DE40" s="111" t="n">
        <v>356</v>
      </c>
      <c r="DF40" s="111" t="n">
        <v>287</v>
      </c>
      <c r="DG40" s="111" t="n">
        <v>69</v>
      </c>
      <c r="DH40" s="111" t="n">
        <v>196</v>
      </c>
      <c r="DI40" s="111" t="n">
        <v>68</v>
      </c>
      <c r="DJ40" s="111" t="n">
        <v>128</v>
      </c>
      <c r="DK40" s="111" t="n">
        <v>1445</v>
      </c>
      <c r="DL40" s="111" t="n">
        <v>507</v>
      </c>
      <c r="DM40" s="111" t="n">
        <v>361</v>
      </c>
      <c r="DN40" s="111" t="n">
        <v>146</v>
      </c>
      <c r="DO40" s="111" t="n">
        <v>938</v>
      </c>
      <c r="DP40" s="111" t="n">
        <v>333</v>
      </c>
      <c r="DQ40" s="111" t="n">
        <v>605</v>
      </c>
      <c r="DR40" s="111" t="n">
        <v>449</v>
      </c>
      <c r="DS40" s="111" t="n">
        <v>0</v>
      </c>
      <c r="DT40" s="111" t="n">
        <v>84</v>
      </c>
      <c r="DU40" s="111" t="n">
        <v>56</v>
      </c>
      <c r="DV40" s="111" t="n">
        <v>28</v>
      </c>
      <c r="DW40" s="111" t="n">
        <v>365</v>
      </c>
      <c r="DX40" s="111" t="n">
        <v>110</v>
      </c>
      <c r="DY40" s="111" t="n">
        <v>255</v>
      </c>
      <c r="DZ40" s="111" t="n">
        <v>1438</v>
      </c>
      <c r="EA40" s="111" t="n">
        <v>1186</v>
      </c>
      <c r="EB40" s="111" t="n">
        <v>881</v>
      </c>
      <c r="EC40" s="111" t="n">
        <v>305</v>
      </c>
      <c r="ED40" s="111" t="n">
        <v>252</v>
      </c>
      <c r="EE40" s="111" t="n">
        <v>125</v>
      </c>
      <c r="EF40" s="111" t="n">
        <v>127</v>
      </c>
      <c r="EG40" s="111" t="n">
        <v>304</v>
      </c>
      <c r="EH40" s="111" t="n">
        <v>61</v>
      </c>
      <c r="EI40" s="111" t="n">
        <v>26</v>
      </c>
      <c r="EJ40" s="111" t="n">
        <v>35</v>
      </c>
      <c r="EK40" s="111" t="n">
        <v>243</v>
      </c>
      <c r="EL40" s="111" t="n">
        <v>239</v>
      </c>
      <c r="EM40" s="111" t="n">
        <v>4</v>
      </c>
      <c r="EN40" s="111" t="n">
        <v>268</v>
      </c>
      <c r="EO40" s="111" t="n">
        <v>247</v>
      </c>
      <c r="EP40" s="111" t="n">
        <v>0</v>
      </c>
      <c r="EQ40" s="111" t="n">
        <v>21</v>
      </c>
      <c r="ER40" s="111" t="n">
        <v>110</v>
      </c>
      <c r="ES40" s="111" t="n">
        <v>0</v>
      </c>
      <c r="ET40" s="111" t="n">
        <v>0</v>
      </c>
      <c r="EU40" s="111" t="n">
        <v>63</v>
      </c>
      <c r="EV40" s="111" t="n">
        <v>63</v>
      </c>
      <c r="EW40" s="111" t="n">
        <v>0</v>
      </c>
      <c r="EX40" s="111" t="n">
        <v>0</v>
      </c>
      <c r="EY40" s="111" t="n">
        <v>138</v>
      </c>
      <c r="EZ40" s="111" t="n">
        <v>138</v>
      </c>
      <c r="FA40" s="111" t="n">
        <v>0</v>
      </c>
      <c r="FB40" s="111" t="n">
        <v>66</v>
      </c>
    </row>
    <row r="41" ht="19.5" customHeight="1" s="247">
      <c r="A41" s="107" t="n">
        <v>38</v>
      </c>
      <c r="B41" s="107" t="inlineStr">
        <is>
          <t>儿童非手术</t>
        </is>
      </c>
      <c r="C41" s="107" t="inlineStr">
        <is>
          <t>发育行为儿童保健科</t>
        </is>
      </c>
      <c r="D41" s="110" t="n">
        <v>3927336.5</v>
      </c>
      <c r="E41" s="110" t="n">
        <v>3927336.5</v>
      </c>
      <c r="F41" s="110" t="n">
        <v>0</v>
      </c>
      <c r="G41" s="110" t="n">
        <v>10280</v>
      </c>
      <c r="H41" s="110" t="n">
        <v>0</v>
      </c>
      <c r="I41" s="110" t="n">
        <v>882838.5</v>
      </c>
      <c r="J41" s="110" t="n">
        <v>0</v>
      </c>
      <c r="K41" s="110" t="n">
        <v>0</v>
      </c>
      <c r="L41" s="110" t="n">
        <v>0</v>
      </c>
      <c r="M41" s="110" t="n">
        <v>0</v>
      </c>
      <c r="N41" s="110" t="n">
        <v>0</v>
      </c>
      <c r="O41" s="110" t="n">
        <v>5506374.57</v>
      </c>
      <c r="P41" s="110" t="n">
        <v>4232494.96</v>
      </c>
      <c r="Q41" s="110" t="n">
        <v>3712115.4</v>
      </c>
      <c r="R41" s="110" t="n">
        <v>520379.56</v>
      </c>
      <c r="S41" s="110" t="n">
        <v>1273879.61</v>
      </c>
      <c r="T41" s="110" t="n">
        <v>485822.64</v>
      </c>
      <c r="U41" s="110" t="n">
        <v>788056.97</v>
      </c>
      <c r="V41" s="110" t="n">
        <v>5506374.57</v>
      </c>
      <c r="W41" s="110" t="n">
        <v>4232494.96</v>
      </c>
      <c r="X41" s="110" t="n">
        <v>3712115.4</v>
      </c>
      <c r="Y41" s="110" t="n">
        <v>520379.56</v>
      </c>
      <c r="Z41" s="110" t="n">
        <v>1273879.61</v>
      </c>
      <c r="AA41" s="110" t="n">
        <v>485822.64</v>
      </c>
      <c r="AB41" s="110" t="n">
        <v>788056.97</v>
      </c>
      <c r="AC41" s="110" t="n">
        <v>1579038.07</v>
      </c>
      <c r="AD41" s="110" t="n">
        <v>1309716.46</v>
      </c>
      <c r="AE41" s="110" t="n">
        <v>1254966.9</v>
      </c>
      <c r="AF41" s="110" t="n">
        <v>54749.56</v>
      </c>
      <c r="AG41" s="110" t="n">
        <v>269321.61</v>
      </c>
      <c r="AH41" s="110" t="n">
        <v>102711.14</v>
      </c>
      <c r="AI41" s="110" t="n">
        <v>166610.47</v>
      </c>
      <c r="AJ41" s="110" t="n">
        <v>0</v>
      </c>
      <c r="AK41" s="110" t="n">
        <v>0</v>
      </c>
      <c r="AL41" s="110" t="n">
        <v>0</v>
      </c>
      <c r="AM41" s="110" t="n">
        <v>0</v>
      </c>
      <c r="AN41" s="110" t="n">
        <v>0</v>
      </c>
      <c r="AO41" s="110" t="n">
        <v>0</v>
      </c>
      <c r="AP41" s="110" t="n">
        <v>0</v>
      </c>
      <c r="AQ41" s="110" t="n">
        <v>2340907</v>
      </c>
      <c r="AR41" s="110" t="n">
        <v>1753355</v>
      </c>
      <c r="AS41" s="110" t="n">
        <v>1469245</v>
      </c>
      <c r="AT41" s="110" t="n">
        <v>284110</v>
      </c>
      <c r="AU41" s="110" t="n">
        <v>587552</v>
      </c>
      <c r="AV41" s="110" t="n">
        <v>232706</v>
      </c>
      <c r="AW41" s="110" t="n">
        <v>354846</v>
      </c>
      <c r="AX41" s="110" t="n">
        <v>1586429.5</v>
      </c>
      <c r="AY41" s="110" t="n">
        <v>1169423.5</v>
      </c>
      <c r="AZ41" s="110" t="n">
        <v>987903.5</v>
      </c>
      <c r="BA41" s="110" t="n">
        <v>181520</v>
      </c>
      <c r="BB41" s="110" t="n">
        <v>417006</v>
      </c>
      <c r="BC41" s="110" t="n">
        <v>150405.5</v>
      </c>
      <c r="BD41" s="110" t="n">
        <v>266600.5</v>
      </c>
      <c r="BE41" s="110" t="n">
        <v>0</v>
      </c>
      <c r="BF41" s="110" t="n">
        <v>0</v>
      </c>
      <c r="BG41" s="110" t="n">
        <v>0</v>
      </c>
      <c r="BH41" s="110" t="n">
        <v>0</v>
      </c>
      <c r="BI41" s="110" t="n">
        <v>0</v>
      </c>
      <c r="BJ41" s="110" t="n">
        <v>0</v>
      </c>
      <c r="BK41" s="110" t="n">
        <v>0</v>
      </c>
      <c r="BL41" s="110" t="n">
        <v>0</v>
      </c>
      <c r="BM41" s="110" t="n">
        <v>0</v>
      </c>
      <c r="BN41" s="110" t="n">
        <v>0</v>
      </c>
      <c r="BO41" s="110" t="n">
        <v>0</v>
      </c>
      <c r="BP41" s="110" t="n">
        <v>0</v>
      </c>
      <c r="BQ41" s="110" t="n">
        <v>0</v>
      </c>
      <c r="BR41" s="110" t="n">
        <v>0</v>
      </c>
      <c r="BS41" s="110" t="n">
        <v>0</v>
      </c>
      <c r="BT41" s="110" t="n">
        <v>0</v>
      </c>
      <c r="BU41" s="110" t="n">
        <v>0</v>
      </c>
      <c r="BV41" s="110" t="n">
        <v>0</v>
      </c>
      <c r="BW41" s="110" t="n">
        <v>0</v>
      </c>
      <c r="BX41" s="110" t="n">
        <v>0</v>
      </c>
      <c r="BY41" s="110" t="n">
        <v>0</v>
      </c>
      <c r="BZ41" s="110" t="n">
        <v>0</v>
      </c>
      <c r="CA41" s="110" t="n">
        <v>0</v>
      </c>
      <c r="CB41" s="110" t="n">
        <v>0</v>
      </c>
      <c r="CC41" s="110" t="n">
        <v>0</v>
      </c>
      <c r="CD41" s="110" t="n">
        <v>0</v>
      </c>
      <c r="CE41" s="110" t="n">
        <v>0</v>
      </c>
      <c r="CF41" s="110" t="n">
        <v>0</v>
      </c>
      <c r="CG41" s="110" t="n">
        <v>0</v>
      </c>
      <c r="CH41" s="110" t="n">
        <v>0</v>
      </c>
      <c r="CI41" s="110" t="n">
        <v>0</v>
      </c>
      <c r="CJ41" s="110" t="n">
        <v>0</v>
      </c>
      <c r="CK41" s="110" t="n">
        <v>0</v>
      </c>
      <c r="CL41" s="110" t="n">
        <v>0</v>
      </c>
      <c r="CM41" s="110" t="n">
        <v>0</v>
      </c>
      <c r="CN41" s="110" t="n">
        <v>-50</v>
      </c>
      <c r="CO41" s="110" t="n">
        <v>2102436.71</v>
      </c>
      <c r="CP41" s="110" t="n">
        <v>1625368.95</v>
      </c>
      <c r="CQ41" s="110" t="n">
        <v>565567.47</v>
      </c>
      <c r="CR41" s="110" t="n">
        <v>1212785.44</v>
      </c>
      <c r="CS41" s="110" t="n">
        <v>216</v>
      </c>
      <c r="CT41" s="110" t="n">
        <v>0</v>
      </c>
      <c r="CU41" s="110" t="n">
        <v>0</v>
      </c>
      <c r="CV41" s="111" t="n">
        <v>10280</v>
      </c>
      <c r="CW41" s="111" t="n">
        <v>8730</v>
      </c>
      <c r="CX41" s="111" t="n">
        <v>7607</v>
      </c>
      <c r="CY41" s="111" t="n">
        <v>1123</v>
      </c>
      <c r="CZ41" s="111" t="n">
        <v>1550</v>
      </c>
      <c r="DA41" s="111" t="n">
        <v>532</v>
      </c>
      <c r="DB41" s="111" t="n">
        <v>1018</v>
      </c>
      <c r="DC41" s="111" t="n">
        <v>6415</v>
      </c>
      <c r="DD41" s="111" t="n">
        <v>78</v>
      </c>
      <c r="DE41" s="111" t="n">
        <v>5740</v>
      </c>
      <c r="DF41" s="111" t="n">
        <v>5052</v>
      </c>
      <c r="DG41" s="111" t="n">
        <v>688</v>
      </c>
      <c r="DH41" s="111" t="n">
        <v>675</v>
      </c>
      <c r="DI41" s="111" t="n">
        <v>217</v>
      </c>
      <c r="DJ41" s="111" t="n">
        <v>458</v>
      </c>
      <c r="DK41" s="111" t="n">
        <v>2511</v>
      </c>
      <c r="DL41" s="111" t="n">
        <v>2044</v>
      </c>
      <c r="DM41" s="111" t="n">
        <v>1795</v>
      </c>
      <c r="DN41" s="111" t="n">
        <v>249</v>
      </c>
      <c r="DO41" s="111" t="n">
        <v>467</v>
      </c>
      <c r="DP41" s="111" t="n">
        <v>191</v>
      </c>
      <c r="DQ41" s="111" t="n">
        <v>276</v>
      </c>
      <c r="DR41" s="111" t="n">
        <v>1276</v>
      </c>
      <c r="DS41" s="111" t="n">
        <v>0</v>
      </c>
      <c r="DT41" s="111" t="n">
        <v>882</v>
      </c>
      <c r="DU41" s="111" t="n">
        <v>702</v>
      </c>
      <c r="DV41" s="111" t="n">
        <v>180</v>
      </c>
      <c r="DW41" s="111" t="n">
        <v>394</v>
      </c>
      <c r="DX41" s="111" t="n">
        <v>124</v>
      </c>
      <c r="DY41" s="111" t="n">
        <v>270</v>
      </c>
      <c r="DZ41" s="111" t="n">
        <v>0</v>
      </c>
      <c r="EA41" s="111" t="n">
        <v>0</v>
      </c>
      <c r="EB41" s="111" t="n">
        <v>0</v>
      </c>
      <c r="EC41" s="111" t="n">
        <v>0</v>
      </c>
      <c r="ED41" s="111" t="n">
        <v>0</v>
      </c>
      <c r="EE41" s="111" t="n">
        <v>0</v>
      </c>
      <c r="EF41" s="111" t="n">
        <v>0</v>
      </c>
      <c r="EG41" s="111" t="n">
        <v>0</v>
      </c>
      <c r="EH41" s="111" t="n">
        <v>0</v>
      </c>
      <c r="EI41" s="111" t="n">
        <v>0</v>
      </c>
      <c r="EJ41" s="111" t="n">
        <v>0</v>
      </c>
      <c r="EK41" s="111" t="n">
        <v>0</v>
      </c>
      <c r="EL41" s="111" t="n">
        <v>0</v>
      </c>
      <c r="EM41" s="111" t="n">
        <v>0</v>
      </c>
      <c r="EN41" s="111" t="n">
        <v>0</v>
      </c>
      <c r="EO41" s="111" t="n">
        <v>0</v>
      </c>
      <c r="EP41" s="111" t="n">
        <v>0</v>
      </c>
      <c r="EQ41" s="111" t="n">
        <v>0</v>
      </c>
      <c r="ER41" s="111" t="n">
        <v>0</v>
      </c>
      <c r="ES41" s="111" t="n">
        <v>0</v>
      </c>
      <c r="ET41" s="111" t="n">
        <v>0</v>
      </c>
      <c r="EU41" s="111" t="n">
        <v>0</v>
      </c>
      <c r="EV41" s="111" t="n">
        <v>0</v>
      </c>
      <c r="EW41" s="111" t="n">
        <v>0</v>
      </c>
      <c r="EX41" s="111" t="n">
        <v>0</v>
      </c>
      <c r="EY41" s="111" t="n">
        <v>0</v>
      </c>
      <c r="EZ41" s="111" t="n">
        <v>0</v>
      </c>
      <c r="FA41" s="111" t="n">
        <v>0</v>
      </c>
      <c r="FB41" s="111" t="n">
        <v>0</v>
      </c>
    </row>
    <row r="42" ht="19.5" customHeight="1" s="247">
      <c r="A42" s="107" t="n">
        <v>39</v>
      </c>
      <c r="B42" s="107" t="inlineStr">
        <is>
          <t>成人手术</t>
        </is>
      </c>
      <c r="C42" s="107" t="inlineStr">
        <is>
          <t>眼科</t>
        </is>
      </c>
      <c r="D42" s="110" t="n">
        <v>10471707.5</v>
      </c>
      <c r="E42" s="110" t="n">
        <v>5183218</v>
      </c>
      <c r="F42" s="110" t="n">
        <v>5288489.5</v>
      </c>
      <c r="G42" s="110" t="n">
        <v>23363</v>
      </c>
      <c r="H42" s="110" t="n">
        <v>912</v>
      </c>
      <c r="I42" s="110" t="n">
        <v>369151</v>
      </c>
      <c r="J42" s="110" t="n">
        <v>142874</v>
      </c>
      <c r="K42" s="110" t="n">
        <v>11127.43</v>
      </c>
      <c r="L42" s="110" t="n">
        <v>74550</v>
      </c>
      <c r="M42" s="110" t="n">
        <v>3059948</v>
      </c>
      <c r="N42" s="110" t="n">
        <v>0</v>
      </c>
      <c r="O42" s="110" t="n">
        <v>15704379.09</v>
      </c>
      <c r="P42" s="110" t="n">
        <v>10193749.34</v>
      </c>
      <c r="Q42" s="110" t="n">
        <v>9040879.6</v>
      </c>
      <c r="R42" s="110" t="n">
        <v>1152869.74</v>
      </c>
      <c r="S42" s="110" t="n">
        <v>5510629.75</v>
      </c>
      <c r="T42" s="110" t="n">
        <v>3276572.09</v>
      </c>
      <c r="U42" s="110" t="n">
        <v>2234057.66</v>
      </c>
      <c r="V42" s="110" t="n">
        <v>7793152.74</v>
      </c>
      <c r="W42" s="110" t="n">
        <v>5805552.45</v>
      </c>
      <c r="X42" s="110" t="n">
        <v>5503415.77</v>
      </c>
      <c r="Y42" s="110" t="n">
        <v>302136.68</v>
      </c>
      <c r="Z42" s="110" t="n">
        <v>1987600.29</v>
      </c>
      <c r="AA42" s="110" t="n">
        <v>1096754.95</v>
      </c>
      <c r="AB42" s="110" t="n">
        <v>890845.34</v>
      </c>
      <c r="AC42" s="110" t="n">
        <v>2606228.32</v>
      </c>
      <c r="AD42" s="110" t="n">
        <v>2129238.98</v>
      </c>
      <c r="AE42" s="110" t="n">
        <v>2056431.59</v>
      </c>
      <c r="AF42" s="110" t="n">
        <v>72807.39</v>
      </c>
      <c r="AG42" s="110" t="n">
        <v>476989.34</v>
      </c>
      <c r="AH42" s="110" t="n">
        <v>303381.7</v>
      </c>
      <c r="AI42" s="110" t="n">
        <v>173607.64</v>
      </c>
      <c r="AJ42" s="110" t="n">
        <v>3706.42</v>
      </c>
      <c r="AK42" s="110" t="n">
        <v>1916.47</v>
      </c>
      <c r="AL42" s="110" t="n">
        <v>1890.18</v>
      </c>
      <c r="AM42" s="110" t="n">
        <v>26.29</v>
      </c>
      <c r="AN42" s="110" t="n">
        <v>1789.95</v>
      </c>
      <c r="AO42" s="110" t="n">
        <v>1133.25</v>
      </c>
      <c r="AP42" s="110" t="n">
        <v>656.7</v>
      </c>
      <c r="AQ42" s="110" t="n">
        <v>3316452</v>
      </c>
      <c r="AR42" s="110" t="n">
        <v>2401101</v>
      </c>
      <c r="AS42" s="110" t="n">
        <v>2265711</v>
      </c>
      <c r="AT42" s="110" t="n">
        <v>135390</v>
      </c>
      <c r="AU42" s="110" t="n">
        <v>915351</v>
      </c>
      <c r="AV42" s="110" t="n">
        <v>498417</v>
      </c>
      <c r="AW42" s="110" t="n">
        <v>416934</v>
      </c>
      <c r="AX42" s="110" t="n">
        <v>1866766</v>
      </c>
      <c r="AY42" s="110" t="n">
        <v>1273296</v>
      </c>
      <c r="AZ42" s="110" t="n">
        <v>1179383</v>
      </c>
      <c r="BA42" s="110" t="n">
        <v>93913</v>
      </c>
      <c r="BB42" s="110" t="n">
        <v>593470</v>
      </c>
      <c r="BC42" s="110" t="n">
        <v>293823</v>
      </c>
      <c r="BD42" s="110" t="n">
        <v>299647</v>
      </c>
      <c r="BE42" s="110" t="n">
        <v>7911226.35</v>
      </c>
      <c r="BF42" s="110" t="n">
        <v>4388196.89</v>
      </c>
      <c r="BG42" s="110" t="n">
        <v>3537463.83</v>
      </c>
      <c r="BH42" s="110" t="n">
        <v>850733.0600000001</v>
      </c>
      <c r="BI42" s="110" t="n">
        <v>3523029.46</v>
      </c>
      <c r="BJ42" s="110" t="n">
        <v>2179817.14</v>
      </c>
      <c r="BK42" s="110" t="n">
        <v>1343212.32</v>
      </c>
      <c r="BL42" s="110" t="n">
        <v>315211.03</v>
      </c>
      <c r="BM42" s="110" t="n">
        <v>136768.09</v>
      </c>
      <c r="BN42" s="110" t="n">
        <v>91748.41</v>
      </c>
      <c r="BO42" s="110" t="n">
        <v>45019.68</v>
      </c>
      <c r="BP42" s="110" t="n">
        <v>178442.94</v>
      </c>
      <c r="BQ42" s="110" t="n">
        <v>114399.24</v>
      </c>
      <c r="BR42" s="110" t="n">
        <v>64043.7</v>
      </c>
      <c r="BS42" s="110" t="n">
        <v>2307525.82</v>
      </c>
      <c r="BT42" s="110" t="n">
        <v>1346405.05</v>
      </c>
      <c r="BU42" s="110" t="n">
        <v>1174637.42</v>
      </c>
      <c r="BV42" s="110" t="n">
        <v>171767.63</v>
      </c>
      <c r="BW42" s="110" t="n">
        <v>961120.77</v>
      </c>
      <c r="BX42" s="110" t="n">
        <v>682712.4</v>
      </c>
      <c r="BY42" s="110" t="n">
        <v>278408.37</v>
      </c>
      <c r="BZ42" s="110" t="n">
        <v>56089</v>
      </c>
      <c r="CA42" s="110" t="n">
        <v>22156</v>
      </c>
      <c r="CB42" s="110" t="n">
        <v>10889</v>
      </c>
      <c r="CC42" s="110" t="n">
        <v>11267</v>
      </c>
      <c r="CD42" s="110" t="n">
        <v>33933</v>
      </c>
      <c r="CE42" s="110" t="n">
        <v>18242</v>
      </c>
      <c r="CF42" s="110" t="n">
        <v>15691</v>
      </c>
      <c r="CG42" s="110" t="n">
        <v>5232400.5</v>
      </c>
      <c r="CH42" s="110" t="n">
        <v>2882867.75</v>
      </c>
      <c r="CI42" s="110" t="n">
        <v>2260189</v>
      </c>
      <c r="CJ42" s="110" t="n">
        <v>622678.75</v>
      </c>
      <c r="CK42" s="110" t="n">
        <v>2349532.75</v>
      </c>
      <c r="CL42" s="110" t="n">
        <v>1364463.5</v>
      </c>
      <c r="CM42" s="110" t="n">
        <v>985069.25</v>
      </c>
      <c r="CN42" s="110" t="n">
        <v>264894.38</v>
      </c>
      <c r="CO42" s="110" t="n">
        <v>2465277.12</v>
      </c>
      <c r="CP42" s="110" t="n">
        <v>3616428.76</v>
      </c>
      <c r="CQ42" s="110" t="n">
        <v>178349.32</v>
      </c>
      <c r="CR42" s="110" t="n">
        <v>1260018.16</v>
      </c>
      <c r="CS42" s="110" t="n">
        <v>8160</v>
      </c>
      <c r="CT42" s="110" t="n">
        <v>1654202.57</v>
      </c>
      <c r="CU42" s="110" t="n">
        <v>0</v>
      </c>
      <c r="CV42" s="111" t="n">
        <v>23363</v>
      </c>
      <c r="CW42" s="111" t="n">
        <v>19348</v>
      </c>
      <c r="CX42" s="111" t="n">
        <v>18113</v>
      </c>
      <c r="CY42" s="111" t="n">
        <v>1235</v>
      </c>
      <c r="CZ42" s="111" t="n">
        <v>4015</v>
      </c>
      <c r="DA42" s="111" t="n">
        <v>2059</v>
      </c>
      <c r="DB42" s="111" t="n">
        <v>1956</v>
      </c>
      <c r="DC42" s="111" t="n">
        <v>12306</v>
      </c>
      <c r="DD42" s="111" t="n">
        <v>4</v>
      </c>
      <c r="DE42" s="111" t="n">
        <v>10859</v>
      </c>
      <c r="DF42" s="111" t="n">
        <v>10266</v>
      </c>
      <c r="DG42" s="111" t="n">
        <v>593</v>
      </c>
      <c r="DH42" s="111" t="n">
        <v>1447</v>
      </c>
      <c r="DI42" s="111" t="n">
        <v>761</v>
      </c>
      <c r="DJ42" s="111" t="n">
        <v>686</v>
      </c>
      <c r="DK42" s="111" t="n">
        <v>7171</v>
      </c>
      <c r="DL42" s="111" t="n">
        <v>5688</v>
      </c>
      <c r="DM42" s="111" t="n">
        <v>5348</v>
      </c>
      <c r="DN42" s="111" t="n">
        <v>340</v>
      </c>
      <c r="DO42" s="111" t="n">
        <v>1483</v>
      </c>
      <c r="DP42" s="111" t="n">
        <v>839</v>
      </c>
      <c r="DQ42" s="111" t="n">
        <v>644</v>
      </c>
      <c r="DR42" s="111" t="n">
        <v>1679</v>
      </c>
      <c r="DS42" s="111" t="n">
        <v>0</v>
      </c>
      <c r="DT42" s="111" t="n">
        <v>856</v>
      </c>
      <c r="DU42" s="111" t="n">
        <v>750</v>
      </c>
      <c r="DV42" s="111" t="n">
        <v>106</v>
      </c>
      <c r="DW42" s="111" t="n">
        <v>823</v>
      </c>
      <c r="DX42" s="111" t="n">
        <v>359</v>
      </c>
      <c r="DY42" s="111" t="n">
        <v>464</v>
      </c>
      <c r="DZ42" s="111" t="n">
        <v>2203</v>
      </c>
      <c r="EA42" s="111" t="n">
        <v>1942</v>
      </c>
      <c r="EB42" s="111" t="n">
        <v>1749</v>
      </c>
      <c r="EC42" s="111" t="n">
        <v>193</v>
      </c>
      <c r="ED42" s="111" t="n">
        <v>261</v>
      </c>
      <c r="EE42" s="111" t="n">
        <v>100</v>
      </c>
      <c r="EF42" s="111" t="n">
        <v>161</v>
      </c>
      <c r="EG42" s="111" t="n">
        <v>912</v>
      </c>
      <c r="EH42" s="111" t="n">
        <v>552</v>
      </c>
      <c r="EI42" s="111" t="n">
        <v>490</v>
      </c>
      <c r="EJ42" s="111" t="n">
        <v>62</v>
      </c>
      <c r="EK42" s="111" t="n">
        <v>360</v>
      </c>
      <c r="EL42" s="111" t="n">
        <v>292</v>
      </c>
      <c r="EM42" s="111" t="n">
        <v>68</v>
      </c>
      <c r="EN42" s="111" t="n">
        <v>911</v>
      </c>
      <c r="EO42" s="111" t="n">
        <v>896</v>
      </c>
      <c r="EP42" s="111" t="n">
        <v>0</v>
      </c>
      <c r="EQ42" s="111" t="n">
        <v>15</v>
      </c>
      <c r="ER42" s="111" t="n">
        <v>0</v>
      </c>
      <c r="ES42" s="111" t="n">
        <v>0</v>
      </c>
      <c r="ET42" s="111" t="n">
        <v>0</v>
      </c>
      <c r="EU42" s="111" t="n">
        <v>612</v>
      </c>
      <c r="EV42" s="111" t="n">
        <v>612</v>
      </c>
      <c r="EW42" s="111" t="n">
        <v>0</v>
      </c>
      <c r="EX42" s="111" t="n">
        <v>0</v>
      </c>
      <c r="EY42" s="111" t="n">
        <v>152</v>
      </c>
      <c r="EZ42" s="111" t="n">
        <v>152</v>
      </c>
      <c r="FA42" s="111" t="n">
        <v>0</v>
      </c>
      <c r="FB42" s="111" t="n">
        <v>599</v>
      </c>
    </row>
    <row r="43" ht="19.5" customHeight="1" s="247">
      <c r="A43" s="107" t="n">
        <v>40</v>
      </c>
      <c r="B43" s="107" t="inlineStr">
        <is>
          <t>成人手术</t>
        </is>
      </c>
      <c r="C43" s="107" t="inlineStr">
        <is>
          <t>耳鼻咽喉-头颈外科</t>
        </is>
      </c>
      <c r="D43" s="110" t="n">
        <v>7661177.75</v>
      </c>
      <c r="E43" s="110" t="n">
        <v>3268116</v>
      </c>
      <c r="F43" s="110" t="n">
        <v>4393061.75</v>
      </c>
      <c r="G43" s="110" t="n">
        <v>20157</v>
      </c>
      <c r="H43" s="110" t="n">
        <v>460</v>
      </c>
      <c r="I43" s="110" t="n">
        <v>523303</v>
      </c>
      <c r="J43" s="110" t="n">
        <v>13505</v>
      </c>
      <c r="K43" s="110" t="n">
        <v>38260.26</v>
      </c>
      <c r="L43" s="110" t="n">
        <v>139203</v>
      </c>
      <c r="M43" s="110" t="n">
        <v>2109542.75</v>
      </c>
      <c r="N43" s="110" t="n">
        <v>0</v>
      </c>
      <c r="O43" s="110" t="n">
        <v>13860992.72</v>
      </c>
      <c r="P43" s="110" t="n">
        <v>10296303.34</v>
      </c>
      <c r="Q43" s="110" t="n">
        <v>9759419.93</v>
      </c>
      <c r="R43" s="110" t="n">
        <v>536883.41</v>
      </c>
      <c r="S43" s="110" t="n">
        <v>3564689.38</v>
      </c>
      <c r="T43" s="110" t="n">
        <v>3095624.88</v>
      </c>
      <c r="U43" s="110" t="n">
        <v>469064.5</v>
      </c>
      <c r="V43" s="110" t="n">
        <v>6690250.24</v>
      </c>
      <c r="W43" s="110" t="n">
        <v>5793576.03</v>
      </c>
      <c r="X43" s="110" t="n">
        <v>5452241.21</v>
      </c>
      <c r="Y43" s="110" t="n">
        <v>341334.82</v>
      </c>
      <c r="Z43" s="110" t="n">
        <v>896674.21</v>
      </c>
      <c r="AA43" s="110" t="n">
        <v>497647.65</v>
      </c>
      <c r="AB43" s="110" t="n">
        <v>399026.56</v>
      </c>
      <c r="AC43" s="110" t="n">
        <v>3267416.36</v>
      </c>
      <c r="AD43" s="110" t="n">
        <v>2891137.9</v>
      </c>
      <c r="AE43" s="110" t="n">
        <v>2760172.43</v>
      </c>
      <c r="AF43" s="110" t="n">
        <v>130965.47</v>
      </c>
      <c r="AG43" s="110" t="n">
        <v>376278.46</v>
      </c>
      <c r="AH43" s="110" t="n">
        <v>207627.86</v>
      </c>
      <c r="AI43" s="110" t="n">
        <v>168650.6</v>
      </c>
      <c r="AJ43" s="110" t="n">
        <v>154717.88</v>
      </c>
      <c r="AK43" s="110" t="n">
        <v>134991.13</v>
      </c>
      <c r="AL43" s="110" t="n">
        <v>126171.78</v>
      </c>
      <c r="AM43" s="110" t="n">
        <v>8819.35</v>
      </c>
      <c r="AN43" s="110" t="n">
        <v>19726.75</v>
      </c>
      <c r="AO43" s="110" t="n">
        <v>11110.79</v>
      </c>
      <c r="AP43" s="110" t="n">
        <v>8615.959999999999</v>
      </c>
      <c r="AQ43" s="110" t="n">
        <v>1866139</v>
      </c>
      <c r="AR43" s="110" t="n">
        <v>1561626</v>
      </c>
      <c r="AS43" s="110" t="n">
        <v>1453626</v>
      </c>
      <c r="AT43" s="110" t="n">
        <v>108000</v>
      </c>
      <c r="AU43" s="110" t="n">
        <v>304513</v>
      </c>
      <c r="AV43" s="110" t="n">
        <v>178299</v>
      </c>
      <c r="AW43" s="110" t="n">
        <v>126214</v>
      </c>
      <c r="AX43" s="110" t="n">
        <v>1401977</v>
      </c>
      <c r="AY43" s="110" t="n">
        <v>1205821</v>
      </c>
      <c r="AZ43" s="110" t="n">
        <v>1112271</v>
      </c>
      <c r="BA43" s="110" t="n">
        <v>93550</v>
      </c>
      <c r="BB43" s="110" t="n">
        <v>196156</v>
      </c>
      <c r="BC43" s="110" t="n">
        <v>100610</v>
      </c>
      <c r="BD43" s="110" t="n">
        <v>95546</v>
      </c>
      <c r="BE43" s="110" t="n">
        <v>7170742.48</v>
      </c>
      <c r="BF43" s="110" t="n">
        <v>4502727.31</v>
      </c>
      <c r="BG43" s="110" t="n">
        <v>4307178.72</v>
      </c>
      <c r="BH43" s="110" t="n">
        <v>195548.59</v>
      </c>
      <c r="BI43" s="110" t="n">
        <v>2668015.17</v>
      </c>
      <c r="BJ43" s="110" t="n">
        <v>2597977.23</v>
      </c>
      <c r="BK43" s="110" t="n">
        <v>70037.94</v>
      </c>
      <c r="BL43" s="110" t="n">
        <v>827325.63</v>
      </c>
      <c r="BM43" s="110" t="n">
        <v>523346.07</v>
      </c>
      <c r="BN43" s="110" t="n">
        <v>504085.38</v>
      </c>
      <c r="BO43" s="110" t="n">
        <v>19260.69</v>
      </c>
      <c r="BP43" s="110" t="n">
        <v>303979.56</v>
      </c>
      <c r="BQ43" s="110" t="n">
        <v>299076.42</v>
      </c>
      <c r="BR43" s="110" t="n">
        <v>4903.14</v>
      </c>
      <c r="BS43" s="110" t="n">
        <v>1950355.1</v>
      </c>
      <c r="BT43" s="110" t="n">
        <v>1193410.24</v>
      </c>
      <c r="BU43" s="110" t="n">
        <v>1155766.59</v>
      </c>
      <c r="BV43" s="110" t="n">
        <v>37643.65</v>
      </c>
      <c r="BW43" s="110" t="n">
        <v>756944.86</v>
      </c>
      <c r="BX43" s="110" t="n">
        <v>744482.0600000001</v>
      </c>
      <c r="BY43" s="110" t="n">
        <v>12462.8</v>
      </c>
      <c r="BZ43" s="110" t="n">
        <v>1258831</v>
      </c>
      <c r="CA43" s="110" t="n">
        <v>816288</v>
      </c>
      <c r="CB43" s="110" t="n">
        <v>788745</v>
      </c>
      <c r="CC43" s="110" t="n">
        <v>27543</v>
      </c>
      <c r="CD43" s="110" t="n">
        <v>442543</v>
      </c>
      <c r="CE43" s="110" t="n">
        <v>432995</v>
      </c>
      <c r="CF43" s="110" t="n">
        <v>9548</v>
      </c>
      <c r="CG43" s="110" t="n">
        <v>3134230.75</v>
      </c>
      <c r="CH43" s="110" t="n">
        <v>1969683</v>
      </c>
      <c r="CI43" s="110" t="n">
        <v>1858581.75</v>
      </c>
      <c r="CJ43" s="110" t="n">
        <v>111101.25</v>
      </c>
      <c r="CK43" s="110" t="n">
        <v>1164547.75</v>
      </c>
      <c r="CL43" s="110" t="n">
        <v>1121423.75</v>
      </c>
      <c r="CM43" s="110" t="n">
        <v>43124</v>
      </c>
      <c r="CN43" s="110" t="n">
        <v>646014.0600000001</v>
      </c>
      <c r="CO43" s="110" t="n">
        <v>1235201.88</v>
      </c>
      <c r="CP43" s="110" t="n">
        <v>1606779.04</v>
      </c>
      <c r="CQ43" s="110" t="n">
        <v>2567875.72</v>
      </c>
      <c r="CR43" s="110" t="n">
        <v>634229.54</v>
      </c>
      <c r="CS43" s="110" t="n">
        <v>0</v>
      </c>
      <c r="CT43" s="110" t="n">
        <v>135490.16</v>
      </c>
      <c r="CU43" s="110" t="n">
        <v>0</v>
      </c>
      <c r="CV43" s="111" t="n">
        <v>20157</v>
      </c>
      <c r="CW43" s="111" t="n">
        <v>17699</v>
      </c>
      <c r="CX43" s="111" t="n">
        <v>16495</v>
      </c>
      <c r="CY43" s="111" t="n">
        <v>1204</v>
      </c>
      <c r="CZ43" s="111" t="n">
        <v>2458</v>
      </c>
      <c r="DA43" s="111" t="n">
        <v>1261</v>
      </c>
      <c r="DB43" s="111" t="n">
        <v>1197</v>
      </c>
      <c r="DC43" s="111" t="n">
        <v>10894</v>
      </c>
      <c r="DD43" s="111" t="n">
        <v>84</v>
      </c>
      <c r="DE43" s="111" t="n">
        <v>9782</v>
      </c>
      <c r="DF43" s="111" t="n">
        <v>9232</v>
      </c>
      <c r="DG43" s="111" t="n">
        <v>550</v>
      </c>
      <c r="DH43" s="111" t="n">
        <v>1112</v>
      </c>
      <c r="DI43" s="111" t="n">
        <v>589</v>
      </c>
      <c r="DJ43" s="111" t="n">
        <v>523</v>
      </c>
      <c r="DK43" s="111" t="n">
        <v>4262</v>
      </c>
      <c r="DL43" s="111" t="n">
        <v>3469</v>
      </c>
      <c r="DM43" s="111" t="n">
        <v>3206</v>
      </c>
      <c r="DN43" s="111" t="n">
        <v>263</v>
      </c>
      <c r="DO43" s="111" t="n">
        <v>793</v>
      </c>
      <c r="DP43" s="111" t="n">
        <v>433</v>
      </c>
      <c r="DQ43" s="111" t="n">
        <v>360</v>
      </c>
      <c r="DR43" s="111" t="n">
        <v>1242</v>
      </c>
      <c r="DS43" s="111" t="n">
        <v>2</v>
      </c>
      <c r="DT43" s="111" t="n">
        <v>1036</v>
      </c>
      <c r="DU43" s="111" t="n">
        <v>918</v>
      </c>
      <c r="DV43" s="111" t="n">
        <v>118</v>
      </c>
      <c r="DW43" s="111" t="n">
        <v>206</v>
      </c>
      <c r="DX43" s="111" t="n">
        <v>93</v>
      </c>
      <c r="DY43" s="111" t="n">
        <v>113</v>
      </c>
      <c r="DZ43" s="111" t="n">
        <v>3673</v>
      </c>
      <c r="EA43" s="111" t="n">
        <v>3336</v>
      </c>
      <c r="EB43" s="111" t="n">
        <v>3066</v>
      </c>
      <c r="EC43" s="111" t="n">
        <v>270</v>
      </c>
      <c r="ED43" s="111" t="n">
        <v>337</v>
      </c>
      <c r="EE43" s="111" t="n">
        <v>146</v>
      </c>
      <c r="EF43" s="111" t="n">
        <v>191</v>
      </c>
      <c r="EG43" s="111" t="n">
        <v>460</v>
      </c>
      <c r="EH43" s="111" t="n">
        <v>305</v>
      </c>
      <c r="EI43" s="111" t="n">
        <v>290</v>
      </c>
      <c r="EJ43" s="111" t="n">
        <v>15</v>
      </c>
      <c r="EK43" s="111" t="n">
        <v>155</v>
      </c>
      <c r="EL43" s="111" t="n">
        <v>152</v>
      </c>
      <c r="EM43" s="111" t="n">
        <v>3</v>
      </c>
      <c r="EN43" s="111" t="n">
        <v>457</v>
      </c>
      <c r="EO43" s="111" t="n">
        <v>417</v>
      </c>
      <c r="EP43" s="111" t="n">
        <v>0</v>
      </c>
      <c r="EQ43" s="111" t="n">
        <v>40</v>
      </c>
      <c r="ER43" s="111" t="n">
        <v>1</v>
      </c>
      <c r="ES43" s="111" t="n">
        <v>0</v>
      </c>
      <c r="ET43" s="111" t="n">
        <v>0</v>
      </c>
      <c r="EU43" s="111" t="n">
        <v>298</v>
      </c>
      <c r="EV43" s="111" t="n">
        <v>298</v>
      </c>
      <c r="EW43" s="111" t="n">
        <v>0</v>
      </c>
      <c r="EX43" s="111" t="n">
        <v>0</v>
      </c>
      <c r="EY43" s="111" t="n">
        <v>40</v>
      </c>
      <c r="EZ43" s="111" t="n">
        <v>40</v>
      </c>
      <c r="FA43" s="111" t="n">
        <v>0</v>
      </c>
      <c r="FB43" s="111" t="n">
        <v>39</v>
      </c>
    </row>
    <row r="44" ht="19.5" customHeight="1" s="247">
      <c r="A44" s="107" t="n">
        <v>41</v>
      </c>
      <c r="B44" s="107" t="inlineStr">
        <is>
          <t>成人非手术</t>
        </is>
      </c>
      <c r="C44" s="107" t="inlineStr">
        <is>
          <t>口腔科</t>
        </is>
      </c>
      <c r="D44" s="110" t="n">
        <v>5124480.5</v>
      </c>
      <c r="E44" s="110" t="n">
        <v>5031242.5</v>
      </c>
      <c r="F44" s="110" t="n">
        <v>93238</v>
      </c>
      <c r="G44" s="110" t="n">
        <v>12204</v>
      </c>
      <c r="H44" s="110" t="n">
        <v>5</v>
      </c>
      <c r="I44" s="110" t="n">
        <v>3054119.5</v>
      </c>
      <c r="J44" s="110" t="n">
        <v>803294</v>
      </c>
      <c r="K44" s="110" t="n">
        <v>0</v>
      </c>
      <c r="L44" s="110" t="n">
        <v>45173</v>
      </c>
      <c r="M44" s="110" t="n">
        <v>11402</v>
      </c>
      <c r="N44" s="110" t="n">
        <v>0</v>
      </c>
      <c r="O44" s="110" t="n">
        <v>5503226.5</v>
      </c>
      <c r="P44" s="110" t="n">
        <v>4699210.34</v>
      </c>
      <c r="Q44" s="110" t="n">
        <v>3168950.12</v>
      </c>
      <c r="R44" s="110" t="n">
        <v>1530260.22</v>
      </c>
      <c r="S44" s="110" t="n">
        <v>804016.16</v>
      </c>
      <c r="T44" s="110" t="n">
        <v>200871.65</v>
      </c>
      <c r="U44" s="110" t="n">
        <v>603144.51</v>
      </c>
      <c r="V44" s="110" t="n">
        <v>5398356.3</v>
      </c>
      <c r="W44" s="110" t="n">
        <v>4594340.14</v>
      </c>
      <c r="X44" s="110" t="n">
        <v>3168950.12</v>
      </c>
      <c r="Y44" s="110" t="n">
        <v>1425390.02</v>
      </c>
      <c r="Z44" s="110" t="n">
        <v>804016.16</v>
      </c>
      <c r="AA44" s="110" t="n">
        <v>200871.65</v>
      </c>
      <c r="AB44" s="110" t="n">
        <v>603144.51</v>
      </c>
      <c r="AC44" s="110" t="n">
        <v>193941.57</v>
      </c>
      <c r="AD44" s="110" t="n">
        <v>162747.48</v>
      </c>
      <c r="AE44" s="110" t="n">
        <v>153755.92</v>
      </c>
      <c r="AF44" s="110" t="n">
        <v>8991.559999999999</v>
      </c>
      <c r="AG44" s="110" t="n">
        <v>31194.09</v>
      </c>
      <c r="AH44" s="110" t="n">
        <v>16087.06</v>
      </c>
      <c r="AI44" s="110" t="n">
        <v>15107.03</v>
      </c>
      <c r="AJ44" s="110" t="n">
        <v>173172.23</v>
      </c>
      <c r="AK44" s="110" t="n">
        <v>150373.16</v>
      </c>
      <c r="AL44" s="110" t="n">
        <v>11876.7</v>
      </c>
      <c r="AM44" s="110" t="n">
        <v>138496.46</v>
      </c>
      <c r="AN44" s="110" t="n">
        <v>22799.07</v>
      </c>
      <c r="AO44" s="110" t="n">
        <v>1301.59</v>
      </c>
      <c r="AP44" s="110" t="n">
        <v>21497.48</v>
      </c>
      <c r="AQ44" s="110" t="n">
        <v>537185</v>
      </c>
      <c r="AR44" s="110" t="n">
        <v>481469</v>
      </c>
      <c r="AS44" s="110" t="n">
        <v>410473</v>
      </c>
      <c r="AT44" s="110" t="n">
        <v>70996</v>
      </c>
      <c r="AU44" s="110" t="n">
        <v>55716</v>
      </c>
      <c r="AV44" s="110" t="n">
        <v>21648</v>
      </c>
      <c r="AW44" s="110" t="n">
        <v>34068</v>
      </c>
      <c r="AX44" s="110" t="n">
        <v>4494057.5</v>
      </c>
      <c r="AY44" s="110" t="n">
        <v>3799750.5</v>
      </c>
      <c r="AZ44" s="110" t="n">
        <v>2592844.5</v>
      </c>
      <c r="BA44" s="110" t="n">
        <v>1206906</v>
      </c>
      <c r="BB44" s="110" t="n">
        <v>694307</v>
      </c>
      <c r="BC44" s="110" t="n">
        <v>161835</v>
      </c>
      <c r="BD44" s="110" t="n">
        <v>532472</v>
      </c>
      <c r="BE44" s="110" t="n">
        <v>104870.2</v>
      </c>
      <c r="BF44" s="110" t="n">
        <v>104870.2</v>
      </c>
      <c r="BG44" s="110" t="n">
        <v>0</v>
      </c>
      <c r="BH44" s="110" t="n">
        <v>104870.2</v>
      </c>
      <c r="BI44" s="110" t="n">
        <v>0</v>
      </c>
      <c r="BJ44" s="110" t="n">
        <v>0</v>
      </c>
      <c r="BK44" s="110" t="n">
        <v>0</v>
      </c>
      <c r="BL44" s="110" t="n">
        <v>5463.66</v>
      </c>
      <c r="BM44" s="110" t="n">
        <v>5463.66</v>
      </c>
      <c r="BN44" s="110" t="n">
        <v>0</v>
      </c>
      <c r="BO44" s="110" t="n">
        <v>5463.66</v>
      </c>
      <c r="BP44" s="110" t="n">
        <v>0</v>
      </c>
      <c r="BQ44" s="110" t="n">
        <v>0</v>
      </c>
      <c r="BR44" s="110" t="n">
        <v>0</v>
      </c>
      <c r="BS44" s="110" t="n">
        <v>6168.54</v>
      </c>
      <c r="BT44" s="110" t="n">
        <v>6168.54</v>
      </c>
      <c r="BU44" s="110" t="n">
        <v>0</v>
      </c>
      <c r="BV44" s="110" t="n">
        <v>6168.54</v>
      </c>
      <c r="BW44" s="110" t="n">
        <v>0</v>
      </c>
      <c r="BX44" s="110" t="n">
        <v>0</v>
      </c>
      <c r="BY44" s="110" t="n">
        <v>0</v>
      </c>
      <c r="BZ44" s="110" t="n">
        <v>1021</v>
      </c>
      <c r="CA44" s="110" t="n">
        <v>1021</v>
      </c>
      <c r="CB44" s="110" t="n">
        <v>0</v>
      </c>
      <c r="CC44" s="110" t="n">
        <v>1021</v>
      </c>
      <c r="CD44" s="110" t="n">
        <v>0</v>
      </c>
      <c r="CE44" s="110" t="n">
        <v>0</v>
      </c>
      <c r="CF44" s="110" t="n">
        <v>0</v>
      </c>
      <c r="CG44" s="110" t="n">
        <v>92217</v>
      </c>
      <c r="CH44" s="110" t="n">
        <v>92217</v>
      </c>
      <c r="CI44" s="110" t="n">
        <v>0</v>
      </c>
      <c r="CJ44" s="110" t="n">
        <v>92217</v>
      </c>
      <c r="CK44" s="110" t="n">
        <v>0</v>
      </c>
      <c r="CL44" s="110" t="n">
        <v>0</v>
      </c>
      <c r="CM44" s="110" t="n">
        <v>0</v>
      </c>
      <c r="CN44" s="110" t="n">
        <v>8583.18</v>
      </c>
      <c r="CO44" s="110" t="n">
        <v>2475046.46</v>
      </c>
      <c r="CP44" s="110" t="n">
        <v>1240802.56</v>
      </c>
      <c r="CQ44" s="110" t="n">
        <v>964123.3199999999</v>
      </c>
      <c r="CR44" s="110" t="n">
        <v>693894.4</v>
      </c>
      <c r="CS44" s="110" t="n">
        <v>15816.38</v>
      </c>
      <c r="CT44" s="110" t="n">
        <v>104870.2</v>
      </c>
      <c r="CU44" s="110" t="n">
        <v>0</v>
      </c>
      <c r="CV44" s="111" t="n">
        <v>12204</v>
      </c>
      <c r="CW44" s="111" t="n">
        <v>10733</v>
      </c>
      <c r="CX44" s="111" t="n">
        <v>8871</v>
      </c>
      <c r="CY44" s="111" t="n">
        <v>1862</v>
      </c>
      <c r="CZ44" s="111" t="n">
        <v>1471</v>
      </c>
      <c r="DA44" s="111" t="n">
        <v>594</v>
      </c>
      <c r="DB44" s="111" t="n">
        <v>877</v>
      </c>
      <c r="DC44" s="111" t="n">
        <v>9322</v>
      </c>
      <c r="DD44" s="111" t="n">
        <v>5</v>
      </c>
      <c r="DE44" s="111" t="n">
        <v>8458</v>
      </c>
      <c r="DF44" s="111" t="n">
        <v>7170</v>
      </c>
      <c r="DG44" s="111" t="n">
        <v>1288</v>
      </c>
      <c r="DH44" s="111" t="n">
        <v>864</v>
      </c>
      <c r="DI44" s="111" t="n">
        <v>390</v>
      </c>
      <c r="DJ44" s="111" t="n">
        <v>474</v>
      </c>
      <c r="DK44" s="111" t="n">
        <v>1805</v>
      </c>
      <c r="DL44" s="111" t="n">
        <v>1541</v>
      </c>
      <c r="DM44" s="111" t="n">
        <v>1117</v>
      </c>
      <c r="DN44" s="111" t="n">
        <v>424</v>
      </c>
      <c r="DO44" s="111" t="n">
        <v>264</v>
      </c>
      <c r="DP44" s="111" t="n">
        <v>116</v>
      </c>
      <c r="DQ44" s="111" t="n">
        <v>148</v>
      </c>
      <c r="DR44" s="111" t="n">
        <v>1044</v>
      </c>
      <c r="DS44" s="111" t="n">
        <v>0</v>
      </c>
      <c r="DT44" s="111" t="n">
        <v>712</v>
      </c>
      <c r="DU44" s="111" t="n">
        <v>569</v>
      </c>
      <c r="DV44" s="111" t="n">
        <v>143</v>
      </c>
      <c r="DW44" s="111" t="n">
        <v>332</v>
      </c>
      <c r="DX44" s="111" t="n">
        <v>86</v>
      </c>
      <c r="DY44" s="111" t="n">
        <v>246</v>
      </c>
      <c r="DZ44" s="111" t="n">
        <v>28</v>
      </c>
      <c r="EA44" s="111" t="n">
        <v>20</v>
      </c>
      <c r="EB44" s="111" t="n">
        <v>13</v>
      </c>
      <c r="EC44" s="111" t="n">
        <v>7</v>
      </c>
      <c r="ED44" s="111" t="n">
        <v>8</v>
      </c>
      <c r="EE44" s="111" t="n">
        <v>2</v>
      </c>
      <c r="EF44" s="111" t="n">
        <v>6</v>
      </c>
      <c r="EG44" s="111" t="n">
        <v>5</v>
      </c>
      <c r="EH44" s="111" t="n">
        <v>5</v>
      </c>
      <c r="EI44" s="111" t="n">
        <v>0</v>
      </c>
      <c r="EJ44" s="111" t="n">
        <v>5</v>
      </c>
      <c r="EK44" s="111" t="n">
        <v>0</v>
      </c>
      <c r="EL44" s="111" t="n">
        <v>0</v>
      </c>
      <c r="EM44" s="111" t="n">
        <v>0</v>
      </c>
      <c r="EN44" s="111" t="n">
        <v>7</v>
      </c>
      <c r="EO44" s="111" t="n">
        <v>1</v>
      </c>
      <c r="EP44" s="111" t="n">
        <v>0</v>
      </c>
      <c r="EQ44" s="111" t="n">
        <v>6</v>
      </c>
      <c r="ER44" s="111" t="n">
        <v>0</v>
      </c>
      <c r="ES44" s="111" t="n">
        <v>0</v>
      </c>
      <c r="ET44" s="111" t="n">
        <v>0</v>
      </c>
      <c r="EU44" s="111" t="n">
        <v>0</v>
      </c>
      <c r="EV44" s="111" t="n">
        <v>0</v>
      </c>
      <c r="EW44" s="111" t="n">
        <v>0</v>
      </c>
      <c r="EX44" s="111" t="n">
        <v>0</v>
      </c>
      <c r="EY44" s="111" t="n">
        <v>0</v>
      </c>
      <c r="EZ44" s="111" t="n">
        <v>0</v>
      </c>
      <c r="FA44" s="111" t="n">
        <v>0</v>
      </c>
      <c r="FB44" s="111" t="n">
        <v>0</v>
      </c>
    </row>
    <row r="45" ht="19.5" customHeight="1" s="247">
      <c r="A45" s="107" t="n">
        <v>42</v>
      </c>
      <c r="B45" s="107" t="inlineStr">
        <is>
          <t>成人非手术</t>
        </is>
      </c>
      <c r="C45" s="107" t="inlineStr">
        <is>
          <t>皮肤疾病诊治中心</t>
        </is>
      </c>
      <c r="D45" s="110" t="n">
        <v>11510576.6</v>
      </c>
      <c r="E45" s="110" t="n">
        <v>10611062.85</v>
      </c>
      <c r="F45" s="110" t="n">
        <v>899513.75</v>
      </c>
      <c r="G45" s="110" t="n">
        <v>52185</v>
      </c>
      <c r="H45" s="110" t="n">
        <v>123</v>
      </c>
      <c r="I45" s="110" t="n">
        <v>3168574.5</v>
      </c>
      <c r="J45" s="110" t="n">
        <v>1611887.85</v>
      </c>
      <c r="K45" s="110" t="n">
        <v>9554.879999999999</v>
      </c>
      <c r="L45" s="110" t="n">
        <v>58474</v>
      </c>
      <c r="M45" s="110" t="n">
        <v>199778.75</v>
      </c>
      <c r="N45" s="110" t="n">
        <v>0</v>
      </c>
      <c r="O45" s="110" t="n">
        <v>17334611.69</v>
      </c>
      <c r="P45" s="110" t="n">
        <v>14592133.82</v>
      </c>
      <c r="Q45" s="110" t="n">
        <v>12324028.7</v>
      </c>
      <c r="R45" s="110" t="n">
        <v>2268105.12</v>
      </c>
      <c r="S45" s="110" t="n">
        <v>2742477.87</v>
      </c>
      <c r="T45" s="110" t="n">
        <v>1340801.33</v>
      </c>
      <c r="U45" s="110" t="n">
        <v>1401676.54</v>
      </c>
      <c r="V45" s="110" t="n">
        <v>16261278.1</v>
      </c>
      <c r="W45" s="110" t="n">
        <v>13946231.35</v>
      </c>
      <c r="X45" s="110" t="n">
        <v>11949754.31</v>
      </c>
      <c r="Y45" s="110" t="n">
        <v>1996477.04</v>
      </c>
      <c r="Z45" s="110" t="n">
        <v>2315046.75</v>
      </c>
      <c r="AA45" s="110" t="n">
        <v>1028386.38</v>
      </c>
      <c r="AB45" s="110" t="n">
        <v>1286660.37</v>
      </c>
      <c r="AC45" s="110" t="n">
        <v>5431987.06</v>
      </c>
      <c r="AD45" s="110" t="n">
        <v>4793334.22</v>
      </c>
      <c r="AE45" s="110" t="n">
        <v>4487094.94</v>
      </c>
      <c r="AF45" s="110" t="n">
        <v>306239.28</v>
      </c>
      <c r="AG45" s="110" t="n">
        <v>638652.84</v>
      </c>
      <c r="AH45" s="110" t="n">
        <v>324380.13</v>
      </c>
      <c r="AI45" s="110" t="n">
        <v>314272.71</v>
      </c>
      <c r="AJ45" s="110" t="n">
        <v>218228.19</v>
      </c>
      <c r="AK45" s="110" t="n">
        <v>190257.08</v>
      </c>
      <c r="AL45" s="110" t="n">
        <v>168163.07</v>
      </c>
      <c r="AM45" s="110" t="n">
        <v>22094.01</v>
      </c>
      <c r="AN45" s="110" t="n">
        <v>27971.11</v>
      </c>
      <c r="AO45" s="110" t="n">
        <v>14507.2</v>
      </c>
      <c r="AP45" s="110" t="n">
        <v>13463.91</v>
      </c>
      <c r="AQ45" s="110" t="n">
        <v>2751377</v>
      </c>
      <c r="AR45" s="110" t="n">
        <v>2313379</v>
      </c>
      <c r="AS45" s="110" t="n">
        <v>2127139</v>
      </c>
      <c r="AT45" s="110" t="n">
        <v>186240</v>
      </c>
      <c r="AU45" s="110" t="n">
        <v>437998</v>
      </c>
      <c r="AV45" s="110" t="n">
        <v>222026</v>
      </c>
      <c r="AW45" s="110" t="n">
        <v>215972</v>
      </c>
      <c r="AX45" s="110" t="n">
        <v>7859685.85</v>
      </c>
      <c r="AY45" s="110" t="n">
        <v>6649261.05</v>
      </c>
      <c r="AZ45" s="110" t="n">
        <v>5167357.3</v>
      </c>
      <c r="BA45" s="110" t="n">
        <v>1481903.75</v>
      </c>
      <c r="BB45" s="110" t="n">
        <v>1210424.8</v>
      </c>
      <c r="BC45" s="110" t="n">
        <v>467473.05</v>
      </c>
      <c r="BD45" s="110" t="n">
        <v>742951.75</v>
      </c>
      <c r="BE45" s="110" t="n">
        <v>1073333.59</v>
      </c>
      <c r="BF45" s="110" t="n">
        <v>645902.47</v>
      </c>
      <c r="BG45" s="110" t="n">
        <v>374274.39</v>
      </c>
      <c r="BH45" s="110" t="n">
        <v>271628.08</v>
      </c>
      <c r="BI45" s="110" t="n">
        <v>427431.12</v>
      </c>
      <c r="BJ45" s="110" t="n">
        <v>312414.95</v>
      </c>
      <c r="BK45" s="110" t="n">
        <v>115016.17</v>
      </c>
      <c r="BL45" s="110" t="n">
        <v>107987.82</v>
      </c>
      <c r="BM45" s="110" t="n">
        <v>45601.55</v>
      </c>
      <c r="BN45" s="110" t="n">
        <v>36774.12</v>
      </c>
      <c r="BO45" s="110" t="n">
        <v>8827.43</v>
      </c>
      <c r="BP45" s="110" t="n">
        <v>62386.27</v>
      </c>
      <c r="BQ45" s="110" t="n">
        <v>53001.87</v>
      </c>
      <c r="BR45" s="110" t="n">
        <v>9384.4</v>
      </c>
      <c r="BS45" s="110" t="n">
        <v>65832.02</v>
      </c>
      <c r="BT45" s="110" t="n">
        <v>40603.17</v>
      </c>
      <c r="BU45" s="110" t="n">
        <v>14623.77</v>
      </c>
      <c r="BV45" s="110" t="n">
        <v>25979.4</v>
      </c>
      <c r="BW45" s="110" t="n">
        <v>25228.85</v>
      </c>
      <c r="BX45" s="110" t="n">
        <v>9412.58</v>
      </c>
      <c r="BY45" s="110" t="n">
        <v>15816.27</v>
      </c>
      <c r="BZ45" s="110" t="n">
        <v>321410</v>
      </c>
      <c r="CA45" s="110" t="n">
        <v>182145</v>
      </c>
      <c r="CB45" s="110" t="n">
        <v>157825</v>
      </c>
      <c r="CC45" s="110" t="n">
        <v>24320</v>
      </c>
      <c r="CD45" s="110" t="n">
        <v>139265</v>
      </c>
      <c r="CE45" s="110" t="n">
        <v>124054</v>
      </c>
      <c r="CF45" s="110" t="n">
        <v>15211</v>
      </c>
      <c r="CG45" s="110" t="n">
        <v>578103.75</v>
      </c>
      <c r="CH45" s="110" t="n">
        <v>377552.75</v>
      </c>
      <c r="CI45" s="110" t="n">
        <v>165051.5</v>
      </c>
      <c r="CJ45" s="110" t="n">
        <v>212501.25</v>
      </c>
      <c r="CK45" s="110" t="n">
        <v>200551</v>
      </c>
      <c r="CL45" s="110" t="n">
        <v>125946.5</v>
      </c>
      <c r="CM45" s="110" t="n">
        <v>74604.5</v>
      </c>
      <c r="CN45" s="110" t="n">
        <v>503228.09</v>
      </c>
      <c r="CO45" s="110" t="n">
        <v>6144686.58</v>
      </c>
      <c r="CP45" s="110" t="n">
        <v>1801617.69</v>
      </c>
      <c r="CQ45" s="110" t="n">
        <v>2640806.43</v>
      </c>
      <c r="CR45" s="110" t="n">
        <v>5160960.99</v>
      </c>
      <c r="CS45" s="110" t="n">
        <v>9852.32</v>
      </c>
      <c r="CT45" s="110" t="n">
        <v>243815.85</v>
      </c>
      <c r="CU45" s="110" t="n">
        <v>0</v>
      </c>
      <c r="CV45" s="111" t="n">
        <v>52185</v>
      </c>
      <c r="CW45" s="111" t="n">
        <v>45320</v>
      </c>
      <c r="CX45" s="111" t="n">
        <v>40035</v>
      </c>
      <c r="CY45" s="111" t="n">
        <v>5285</v>
      </c>
      <c r="CZ45" s="111" t="n">
        <v>6865</v>
      </c>
      <c r="DA45" s="111" t="n">
        <v>2828</v>
      </c>
      <c r="DB45" s="111" t="n">
        <v>4037</v>
      </c>
      <c r="DC45" s="111" t="n">
        <v>29990</v>
      </c>
      <c r="DD45" s="111" t="n">
        <v>2906</v>
      </c>
      <c r="DE45" s="111" t="n">
        <v>26772</v>
      </c>
      <c r="DF45" s="111" t="n">
        <v>24092</v>
      </c>
      <c r="DG45" s="111" t="n">
        <v>2680</v>
      </c>
      <c r="DH45" s="111" t="n">
        <v>3218</v>
      </c>
      <c r="DI45" s="111" t="n">
        <v>1447</v>
      </c>
      <c r="DJ45" s="111" t="n">
        <v>1771</v>
      </c>
      <c r="DK45" s="111" t="n">
        <v>4239</v>
      </c>
      <c r="DL45" s="111" t="n">
        <v>3572</v>
      </c>
      <c r="DM45" s="111" t="n">
        <v>3069</v>
      </c>
      <c r="DN45" s="111" t="n">
        <v>503</v>
      </c>
      <c r="DO45" s="111" t="n">
        <v>667</v>
      </c>
      <c r="DP45" s="111" t="n">
        <v>289</v>
      </c>
      <c r="DQ45" s="111" t="n">
        <v>378</v>
      </c>
      <c r="DR45" s="111" t="n">
        <v>10578</v>
      </c>
      <c r="DS45" s="111" t="n">
        <v>42</v>
      </c>
      <c r="DT45" s="111" t="n">
        <v>8662</v>
      </c>
      <c r="DU45" s="111" t="n">
        <v>7537</v>
      </c>
      <c r="DV45" s="111" t="n">
        <v>1125</v>
      </c>
      <c r="DW45" s="111" t="n">
        <v>1916</v>
      </c>
      <c r="DX45" s="111" t="n">
        <v>871</v>
      </c>
      <c r="DY45" s="111" t="n">
        <v>1045</v>
      </c>
      <c r="DZ45" s="111" t="n">
        <v>4430</v>
      </c>
      <c r="EA45" s="111" t="n">
        <v>3968</v>
      </c>
      <c r="EB45" s="111" t="n">
        <v>3700</v>
      </c>
      <c r="EC45" s="111" t="n">
        <v>268</v>
      </c>
      <c r="ED45" s="111" t="n">
        <v>462</v>
      </c>
      <c r="EE45" s="111" t="n">
        <v>198</v>
      </c>
      <c r="EF45" s="111" t="n">
        <v>264</v>
      </c>
      <c r="EG45" s="111" t="n">
        <v>123</v>
      </c>
      <c r="EH45" s="111" t="n">
        <v>79</v>
      </c>
      <c r="EI45" s="111" t="n">
        <v>51</v>
      </c>
      <c r="EJ45" s="111" t="n">
        <v>28</v>
      </c>
      <c r="EK45" s="111" t="n">
        <v>44</v>
      </c>
      <c r="EL45" s="111" t="n">
        <v>31</v>
      </c>
      <c r="EM45" s="111" t="n">
        <v>13</v>
      </c>
      <c r="EN45" s="111" t="n">
        <v>77</v>
      </c>
      <c r="EO45" s="111" t="n">
        <v>60</v>
      </c>
      <c r="EP45" s="111" t="n">
        <v>0</v>
      </c>
      <c r="EQ45" s="111" t="n">
        <v>17</v>
      </c>
      <c r="ER45" s="111" t="n">
        <v>0</v>
      </c>
      <c r="ES45" s="111" t="n">
        <v>0</v>
      </c>
      <c r="ET45" s="111" t="n">
        <v>0</v>
      </c>
      <c r="EU45" s="111" t="n">
        <v>3</v>
      </c>
      <c r="EV45" s="111" t="n">
        <v>3</v>
      </c>
      <c r="EW45" s="111" t="n">
        <v>0</v>
      </c>
      <c r="EX45" s="111" t="n">
        <v>0</v>
      </c>
      <c r="EY45" s="111" t="n">
        <v>0</v>
      </c>
      <c r="EZ45" s="111" t="n">
        <v>0</v>
      </c>
      <c r="FA45" s="111" t="n">
        <v>0</v>
      </c>
      <c r="FB45" s="111" t="n">
        <v>0</v>
      </c>
    </row>
    <row r="46" ht="19.5" customHeight="1" s="247">
      <c r="A46" s="107" t="n">
        <v>43</v>
      </c>
      <c r="B46" s="107" t="inlineStr">
        <is>
          <t>成人非手术</t>
        </is>
      </c>
      <c r="C46" s="107" t="inlineStr">
        <is>
          <t>临床心理科</t>
        </is>
      </c>
      <c r="D46" s="110" t="n">
        <v>2106907</v>
      </c>
      <c r="E46" s="110" t="n">
        <v>2106907</v>
      </c>
      <c r="F46" s="110" t="n">
        <v>0</v>
      </c>
      <c r="G46" s="110" t="n">
        <v>6192</v>
      </c>
      <c r="H46" s="110" t="n">
        <v>0</v>
      </c>
      <c r="I46" s="110" t="n">
        <v>701322</v>
      </c>
      <c r="J46" s="110" t="n">
        <v>0</v>
      </c>
      <c r="K46" s="110" t="n">
        <v>787.5</v>
      </c>
      <c r="L46" s="110" t="n">
        <v>0</v>
      </c>
      <c r="M46" s="110" t="n">
        <v>0</v>
      </c>
      <c r="N46" s="110" t="n">
        <v>0</v>
      </c>
      <c r="O46" s="110" t="n">
        <v>3325662.89</v>
      </c>
      <c r="P46" s="110" t="n">
        <v>2874139.06</v>
      </c>
      <c r="Q46" s="110" t="n">
        <v>2678028.36</v>
      </c>
      <c r="R46" s="110" t="n">
        <v>196110.7</v>
      </c>
      <c r="S46" s="110" t="n">
        <v>451523.83</v>
      </c>
      <c r="T46" s="110" t="n">
        <v>196103.09</v>
      </c>
      <c r="U46" s="110" t="n">
        <v>255420.74</v>
      </c>
      <c r="V46" s="110" t="n">
        <v>3325662.89</v>
      </c>
      <c r="W46" s="110" t="n">
        <v>2874139.06</v>
      </c>
      <c r="X46" s="110" t="n">
        <v>2678028.36</v>
      </c>
      <c r="Y46" s="110" t="n">
        <v>196110.7</v>
      </c>
      <c r="Z46" s="110" t="n">
        <v>451523.83</v>
      </c>
      <c r="AA46" s="110" t="n">
        <v>196103.09</v>
      </c>
      <c r="AB46" s="110" t="n">
        <v>255420.74</v>
      </c>
      <c r="AC46" s="110" t="n">
        <v>1218755.89</v>
      </c>
      <c r="AD46" s="110" t="n">
        <v>1123305.06</v>
      </c>
      <c r="AE46" s="110" t="n">
        <v>1082636.36</v>
      </c>
      <c r="AF46" s="110" t="n">
        <v>40668.7</v>
      </c>
      <c r="AG46" s="110" t="n">
        <v>95450.83</v>
      </c>
      <c r="AH46" s="110" t="n">
        <v>44889.09</v>
      </c>
      <c r="AI46" s="110" t="n">
        <v>50561.74</v>
      </c>
      <c r="AJ46" s="110" t="n">
        <v>0</v>
      </c>
      <c r="AK46" s="110" t="n">
        <v>0</v>
      </c>
      <c r="AL46" s="110" t="n">
        <v>0</v>
      </c>
      <c r="AM46" s="110" t="n">
        <v>0</v>
      </c>
      <c r="AN46" s="110" t="n">
        <v>0</v>
      </c>
      <c r="AO46" s="110" t="n">
        <v>0</v>
      </c>
      <c r="AP46" s="110" t="n">
        <v>0</v>
      </c>
      <c r="AQ46" s="110" t="n">
        <v>1111280</v>
      </c>
      <c r="AR46" s="110" t="n">
        <v>924698</v>
      </c>
      <c r="AS46" s="110" t="n">
        <v>868502</v>
      </c>
      <c r="AT46" s="110" t="n">
        <v>56196</v>
      </c>
      <c r="AU46" s="110" t="n">
        <v>186582</v>
      </c>
      <c r="AV46" s="110" t="n">
        <v>83508</v>
      </c>
      <c r="AW46" s="110" t="n">
        <v>103074</v>
      </c>
      <c r="AX46" s="110" t="n">
        <v>995627</v>
      </c>
      <c r="AY46" s="110" t="n">
        <v>826136</v>
      </c>
      <c r="AZ46" s="110" t="n">
        <v>726890</v>
      </c>
      <c r="BA46" s="110" t="n">
        <v>99246</v>
      </c>
      <c r="BB46" s="110" t="n">
        <v>169491</v>
      </c>
      <c r="BC46" s="110" t="n">
        <v>67706</v>
      </c>
      <c r="BD46" s="110" t="n">
        <v>101785</v>
      </c>
      <c r="BE46" s="110" t="n">
        <v>0</v>
      </c>
      <c r="BF46" s="110" t="n">
        <v>0</v>
      </c>
      <c r="BG46" s="110" t="n">
        <v>0</v>
      </c>
      <c r="BH46" s="110" t="n">
        <v>0</v>
      </c>
      <c r="BI46" s="110" t="n">
        <v>0</v>
      </c>
      <c r="BJ46" s="110" t="n">
        <v>0</v>
      </c>
      <c r="BK46" s="110" t="n">
        <v>0</v>
      </c>
      <c r="BL46" s="110" t="n">
        <v>0</v>
      </c>
      <c r="BM46" s="110" t="n">
        <v>0</v>
      </c>
      <c r="BN46" s="110" t="n">
        <v>0</v>
      </c>
      <c r="BO46" s="110" t="n">
        <v>0</v>
      </c>
      <c r="BP46" s="110" t="n">
        <v>0</v>
      </c>
      <c r="BQ46" s="110" t="n">
        <v>0</v>
      </c>
      <c r="BR46" s="110" t="n">
        <v>0</v>
      </c>
      <c r="BS46" s="110" t="n">
        <v>0</v>
      </c>
      <c r="BT46" s="110" t="n">
        <v>0</v>
      </c>
      <c r="BU46" s="110" t="n">
        <v>0</v>
      </c>
      <c r="BV46" s="110" t="n">
        <v>0</v>
      </c>
      <c r="BW46" s="110" t="n">
        <v>0</v>
      </c>
      <c r="BX46" s="110" t="n">
        <v>0</v>
      </c>
      <c r="BY46" s="110" t="n">
        <v>0</v>
      </c>
      <c r="BZ46" s="110" t="n">
        <v>0</v>
      </c>
      <c r="CA46" s="110" t="n">
        <v>0</v>
      </c>
      <c r="CB46" s="110" t="n">
        <v>0</v>
      </c>
      <c r="CC46" s="110" t="n">
        <v>0</v>
      </c>
      <c r="CD46" s="110" t="n">
        <v>0</v>
      </c>
      <c r="CE46" s="110" t="n">
        <v>0</v>
      </c>
      <c r="CF46" s="110" t="n">
        <v>0</v>
      </c>
      <c r="CG46" s="110" t="n">
        <v>0</v>
      </c>
      <c r="CH46" s="110" t="n">
        <v>0</v>
      </c>
      <c r="CI46" s="110" t="n">
        <v>0</v>
      </c>
      <c r="CJ46" s="110" t="n">
        <v>0</v>
      </c>
      <c r="CK46" s="110" t="n">
        <v>0</v>
      </c>
      <c r="CL46" s="110" t="n">
        <v>0</v>
      </c>
      <c r="CM46" s="110" t="n">
        <v>0</v>
      </c>
      <c r="CN46" s="110" t="n">
        <v>-25</v>
      </c>
      <c r="CO46" s="110" t="n">
        <v>1998851.25</v>
      </c>
      <c r="CP46" s="110" t="n">
        <v>174807.36</v>
      </c>
      <c r="CQ46" s="110" t="n">
        <v>865972.76</v>
      </c>
      <c r="CR46" s="110" t="n">
        <v>286031.52</v>
      </c>
      <c r="CS46" s="110" t="n">
        <v>0</v>
      </c>
      <c r="CT46" s="110" t="n">
        <v>0</v>
      </c>
      <c r="CU46" s="110" t="n">
        <v>0</v>
      </c>
      <c r="CV46" s="111" t="n">
        <v>6192</v>
      </c>
      <c r="CW46" s="111" t="n">
        <v>5564</v>
      </c>
      <c r="CX46" s="111" t="n">
        <v>5115</v>
      </c>
      <c r="CY46" s="111" t="n">
        <v>449</v>
      </c>
      <c r="CZ46" s="111" t="n">
        <v>628</v>
      </c>
      <c r="DA46" s="111" t="n">
        <v>278</v>
      </c>
      <c r="DB46" s="111" t="n">
        <v>350</v>
      </c>
      <c r="DC46" s="111" t="n">
        <v>5674</v>
      </c>
      <c r="DD46" s="111" t="n">
        <v>0</v>
      </c>
      <c r="DE46" s="111" t="n">
        <v>5186</v>
      </c>
      <c r="DF46" s="111" t="n">
        <v>4771</v>
      </c>
      <c r="DG46" s="111" t="n">
        <v>415</v>
      </c>
      <c r="DH46" s="111" t="n">
        <v>488</v>
      </c>
      <c r="DI46" s="111" t="n">
        <v>219</v>
      </c>
      <c r="DJ46" s="111" t="n">
        <v>269</v>
      </c>
      <c r="DK46" s="111" t="n">
        <v>258</v>
      </c>
      <c r="DL46" s="111" t="n">
        <v>216</v>
      </c>
      <c r="DM46" s="111" t="n">
        <v>205</v>
      </c>
      <c r="DN46" s="111" t="n">
        <v>11</v>
      </c>
      <c r="DO46" s="111" t="n">
        <v>42</v>
      </c>
      <c r="DP46" s="111" t="n">
        <v>16</v>
      </c>
      <c r="DQ46" s="111" t="n">
        <v>26</v>
      </c>
      <c r="DR46" s="111" t="n">
        <v>260</v>
      </c>
      <c r="DS46" s="111" t="n">
        <v>0</v>
      </c>
      <c r="DT46" s="111" t="n">
        <v>162</v>
      </c>
      <c r="DU46" s="111" t="n">
        <v>139</v>
      </c>
      <c r="DV46" s="111" t="n">
        <v>23</v>
      </c>
      <c r="DW46" s="111" t="n">
        <v>98</v>
      </c>
      <c r="DX46" s="111" t="n">
        <v>43</v>
      </c>
      <c r="DY46" s="111" t="n">
        <v>55</v>
      </c>
      <c r="DZ46" s="111" t="n">
        <v>0</v>
      </c>
      <c r="EA46" s="111" t="n">
        <v>0</v>
      </c>
      <c r="EB46" s="111" t="n">
        <v>0</v>
      </c>
      <c r="EC46" s="111" t="n">
        <v>0</v>
      </c>
      <c r="ED46" s="111" t="n">
        <v>0</v>
      </c>
      <c r="EE46" s="111" t="n">
        <v>0</v>
      </c>
      <c r="EF46" s="111" t="n">
        <v>0</v>
      </c>
      <c r="EG46" s="111" t="n">
        <v>0</v>
      </c>
      <c r="EH46" s="111" t="n">
        <v>0</v>
      </c>
      <c r="EI46" s="111" t="n">
        <v>0</v>
      </c>
      <c r="EJ46" s="111" t="n">
        <v>0</v>
      </c>
      <c r="EK46" s="111" t="n">
        <v>0</v>
      </c>
      <c r="EL46" s="111" t="n">
        <v>0</v>
      </c>
      <c r="EM46" s="111" t="n">
        <v>0</v>
      </c>
      <c r="EN46" s="111" t="n">
        <v>0</v>
      </c>
      <c r="EO46" s="111" t="n">
        <v>0</v>
      </c>
      <c r="EP46" s="111" t="n">
        <v>0</v>
      </c>
      <c r="EQ46" s="111" t="n">
        <v>0</v>
      </c>
      <c r="ER46" s="111" t="n">
        <v>0</v>
      </c>
      <c r="ES46" s="111" t="n">
        <v>0</v>
      </c>
      <c r="ET46" s="111" t="n">
        <v>0</v>
      </c>
      <c r="EU46" s="111" t="n">
        <v>0</v>
      </c>
      <c r="EV46" s="111" t="n">
        <v>0</v>
      </c>
      <c r="EW46" s="111" t="n">
        <v>0</v>
      </c>
      <c r="EX46" s="111" t="n">
        <v>0</v>
      </c>
      <c r="EY46" s="111" t="n">
        <v>0</v>
      </c>
      <c r="EZ46" s="111" t="n">
        <v>0</v>
      </c>
      <c r="FA46" s="111" t="n">
        <v>0</v>
      </c>
      <c r="FB46" s="111" t="n">
        <v>0</v>
      </c>
    </row>
    <row r="47" ht="19.5" customHeight="1" s="247">
      <c r="A47" s="107" t="n">
        <v>44</v>
      </c>
      <c r="B47" s="107" t="inlineStr">
        <is>
          <t>成人非手术</t>
        </is>
      </c>
      <c r="C47" s="107" t="inlineStr">
        <is>
          <t>肿瘤内科</t>
        </is>
      </c>
      <c r="D47" s="110" t="n">
        <v>2784619</v>
      </c>
      <c r="E47" s="110" t="n">
        <v>1366757.5</v>
      </c>
      <c r="F47" s="110" t="n">
        <v>1417861.5</v>
      </c>
      <c r="G47" s="110" t="n">
        <v>5348</v>
      </c>
      <c r="H47" s="110" t="n">
        <v>576</v>
      </c>
      <c r="I47" s="110" t="n">
        <v>46388</v>
      </c>
      <c r="J47" s="110" t="n">
        <v>296</v>
      </c>
      <c r="K47" s="110" t="n">
        <v>246.07</v>
      </c>
      <c r="L47" s="110" t="n">
        <v>603857</v>
      </c>
      <c r="M47" s="110" t="n">
        <v>3950</v>
      </c>
      <c r="N47" s="110" t="n">
        <v>0</v>
      </c>
      <c r="O47" s="110" t="n">
        <v>12069483.7</v>
      </c>
      <c r="P47" s="110" t="n">
        <v>7214201.86</v>
      </c>
      <c r="Q47" s="110" t="n">
        <v>7109447.14</v>
      </c>
      <c r="R47" s="110" t="n">
        <v>104754.72</v>
      </c>
      <c r="S47" s="110" t="n">
        <v>4855281.84</v>
      </c>
      <c r="T47" s="110" t="n">
        <v>4732311.15</v>
      </c>
      <c r="U47" s="110" t="n">
        <v>122970.69</v>
      </c>
      <c r="V47" s="110" t="n">
        <v>6559765.23</v>
      </c>
      <c r="W47" s="110" t="n">
        <v>4803154.78</v>
      </c>
      <c r="X47" s="110" t="n">
        <v>4720949.99</v>
      </c>
      <c r="Y47" s="110" t="n">
        <v>82204.78999999999</v>
      </c>
      <c r="Z47" s="110" t="n">
        <v>1756610.45</v>
      </c>
      <c r="AA47" s="110" t="n">
        <v>1658960.25</v>
      </c>
      <c r="AB47" s="110" t="n">
        <v>97650.2</v>
      </c>
      <c r="AC47" s="110" t="n">
        <v>4977431.91</v>
      </c>
      <c r="AD47" s="110" t="n">
        <v>3662239.96</v>
      </c>
      <c r="AE47" s="110" t="n">
        <v>3619172.97</v>
      </c>
      <c r="AF47" s="110" t="n">
        <v>43066.99</v>
      </c>
      <c r="AG47" s="110" t="n">
        <v>1315191.95</v>
      </c>
      <c r="AH47" s="110" t="n">
        <v>1285837.06</v>
      </c>
      <c r="AI47" s="110" t="n">
        <v>29354.89</v>
      </c>
      <c r="AJ47" s="110" t="n">
        <v>215575.82</v>
      </c>
      <c r="AK47" s="110" t="n">
        <v>143827.82</v>
      </c>
      <c r="AL47" s="110" t="n">
        <v>142439.02</v>
      </c>
      <c r="AM47" s="110" t="n">
        <v>1388.8</v>
      </c>
      <c r="AN47" s="110" t="n">
        <v>71748</v>
      </c>
      <c r="AO47" s="110" t="n">
        <v>67473.69</v>
      </c>
      <c r="AP47" s="110" t="n">
        <v>4274.31</v>
      </c>
      <c r="AQ47" s="110" t="n">
        <v>1099088</v>
      </c>
      <c r="AR47" s="110" t="n">
        <v>822317</v>
      </c>
      <c r="AS47" s="110" t="n">
        <v>800904</v>
      </c>
      <c r="AT47" s="110" t="n">
        <v>21413</v>
      </c>
      <c r="AU47" s="110" t="n">
        <v>276771</v>
      </c>
      <c r="AV47" s="110" t="n">
        <v>236190</v>
      </c>
      <c r="AW47" s="110" t="n">
        <v>40581</v>
      </c>
      <c r="AX47" s="110" t="n">
        <v>267669.5</v>
      </c>
      <c r="AY47" s="110" t="n">
        <v>174770</v>
      </c>
      <c r="AZ47" s="110" t="n">
        <v>158434</v>
      </c>
      <c r="BA47" s="110" t="n">
        <v>16336</v>
      </c>
      <c r="BB47" s="110" t="n">
        <v>92899.5</v>
      </c>
      <c r="BC47" s="110" t="n">
        <v>69459.5</v>
      </c>
      <c r="BD47" s="110" t="n">
        <v>23440</v>
      </c>
      <c r="BE47" s="110" t="n">
        <v>5509718.47</v>
      </c>
      <c r="BF47" s="110" t="n">
        <v>2411047.08</v>
      </c>
      <c r="BG47" s="110" t="n">
        <v>2388497.15</v>
      </c>
      <c r="BH47" s="110" t="n">
        <v>22549.93</v>
      </c>
      <c r="BI47" s="110" t="n">
        <v>3098671.39</v>
      </c>
      <c r="BJ47" s="110" t="n">
        <v>3073350.9</v>
      </c>
      <c r="BK47" s="110" t="n">
        <v>25320.49</v>
      </c>
      <c r="BL47" s="110" t="n">
        <v>3883724.79</v>
      </c>
      <c r="BM47" s="110" t="n">
        <v>1757504.4</v>
      </c>
      <c r="BN47" s="110" t="n">
        <v>1751885.05</v>
      </c>
      <c r="BO47" s="110" t="n">
        <v>5619.35</v>
      </c>
      <c r="BP47" s="110" t="n">
        <v>2126220.39</v>
      </c>
      <c r="BQ47" s="110" t="n">
        <v>2105546.55</v>
      </c>
      <c r="BR47" s="110" t="n">
        <v>20673.84</v>
      </c>
      <c r="BS47" s="110" t="n">
        <v>208132.18</v>
      </c>
      <c r="BT47" s="110" t="n">
        <v>95606.67999999999</v>
      </c>
      <c r="BU47" s="110" t="n">
        <v>93928.10000000001</v>
      </c>
      <c r="BV47" s="110" t="n">
        <v>1678.58</v>
      </c>
      <c r="BW47" s="110" t="n">
        <v>112525.5</v>
      </c>
      <c r="BX47" s="110" t="n">
        <v>112000.35</v>
      </c>
      <c r="BY47" s="110" t="n">
        <v>525.15</v>
      </c>
      <c r="BZ47" s="110" t="n">
        <v>677407</v>
      </c>
      <c r="CA47" s="110" t="n">
        <v>274410</v>
      </c>
      <c r="CB47" s="110" t="n">
        <v>264039</v>
      </c>
      <c r="CC47" s="110" t="n">
        <v>10371</v>
      </c>
      <c r="CD47" s="110" t="n">
        <v>402997</v>
      </c>
      <c r="CE47" s="110" t="n">
        <v>399358</v>
      </c>
      <c r="CF47" s="110" t="n">
        <v>3639</v>
      </c>
      <c r="CG47" s="110" t="n">
        <v>740454.5</v>
      </c>
      <c r="CH47" s="110" t="n">
        <v>283526</v>
      </c>
      <c r="CI47" s="110" t="n">
        <v>278645</v>
      </c>
      <c r="CJ47" s="110" t="n">
        <v>4881</v>
      </c>
      <c r="CK47" s="110" t="n">
        <v>456928.5</v>
      </c>
      <c r="CL47" s="110" t="n">
        <v>456446</v>
      </c>
      <c r="CM47" s="110" t="n">
        <v>482.5</v>
      </c>
      <c r="CN47" s="110" t="n">
        <v>-50</v>
      </c>
      <c r="CO47" s="110" t="n">
        <v>2427858.16</v>
      </c>
      <c r="CP47" s="110" t="n">
        <v>3693002.47</v>
      </c>
      <c r="CQ47" s="110" t="n">
        <v>246064.75</v>
      </c>
      <c r="CR47" s="110" t="n">
        <v>73023.22</v>
      </c>
      <c r="CS47" s="110" t="n">
        <v>119816.63</v>
      </c>
      <c r="CT47" s="110" t="n">
        <v>6756.82</v>
      </c>
      <c r="CU47" s="110" t="n">
        <v>0</v>
      </c>
      <c r="CV47" s="111" t="n">
        <v>5348</v>
      </c>
      <c r="CW47" s="111" t="n">
        <v>3678</v>
      </c>
      <c r="CX47" s="111" t="n">
        <v>3578</v>
      </c>
      <c r="CY47" s="111" t="n">
        <v>100</v>
      </c>
      <c r="CZ47" s="111" t="n">
        <v>1670</v>
      </c>
      <c r="DA47" s="111" t="n">
        <v>1497</v>
      </c>
      <c r="DB47" s="111" t="n">
        <v>173</v>
      </c>
      <c r="DC47" s="111" t="n">
        <v>3767</v>
      </c>
      <c r="DD47" s="111" t="n">
        <v>0</v>
      </c>
      <c r="DE47" s="111" t="n">
        <v>2437</v>
      </c>
      <c r="DF47" s="111" t="n">
        <v>2396</v>
      </c>
      <c r="DG47" s="111" t="n">
        <v>41</v>
      </c>
      <c r="DH47" s="111" t="n">
        <v>1330</v>
      </c>
      <c r="DI47" s="111" t="n">
        <v>1219</v>
      </c>
      <c r="DJ47" s="111" t="n">
        <v>111</v>
      </c>
      <c r="DK47" s="111" t="n">
        <v>1463</v>
      </c>
      <c r="DL47" s="111" t="n">
        <v>1182</v>
      </c>
      <c r="DM47" s="111" t="n">
        <v>1150</v>
      </c>
      <c r="DN47" s="111" t="n">
        <v>32</v>
      </c>
      <c r="DO47" s="111" t="n">
        <v>281</v>
      </c>
      <c r="DP47" s="111" t="n">
        <v>251</v>
      </c>
      <c r="DQ47" s="111" t="n">
        <v>30</v>
      </c>
      <c r="DR47" s="111" t="n">
        <v>118</v>
      </c>
      <c r="DS47" s="111" t="n">
        <v>0</v>
      </c>
      <c r="DT47" s="111" t="n">
        <v>59</v>
      </c>
      <c r="DU47" s="111" t="n">
        <v>32</v>
      </c>
      <c r="DV47" s="111" t="n">
        <v>27</v>
      </c>
      <c r="DW47" s="111" t="n">
        <v>59</v>
      </c>
      <c r="DX47" s="111" t="n">
        <v>27</v>
      </c>
      <c r="DY47" s="111" t="n">
        <v>32</v>
      </c>
      <c r="DZ47" s="111" t="n">
        <v>0</v>
      </c>
      <c r="EA47" s="111" t="n">
        <v>0</v>
      </c>
      <c r="EB47" s="111" t="n">
        <v>0</v>
      </c>
      <c r="EC47" s="111" t="n">
        <v>0</v>
      </c>
      <c r="ED47" s="111" t="n">
        <v>0</v>
      </c>
      <c r="EE47" s="111" t="n">
        <v>0</v>
      </c>
      <c r="EF47" s="111" t="n">
        <v>0</v>
      </c>
      <c r="EG47" s="111" t="n">
        <v>576</v>
      </c>
      <c r="EH47" s="111" t="n">
        <v>260</v>
      </c>
      <c r="EI47" s="111" t="n">
        <v>256</v>
      </c>
      <c r="EJ47" s="111" t="n">
        <v>4</v>
      </c>
      <c r="EK47" s="111" t="n">
        <v>316</v>
      </c>
      <c r="EL47" s="111" t="n">
        <v>313</v>
      </c>
      <c r="EM47" s="111" t="n">
        <v>3</v>
      </c>
      <c r="EN47" s="111" t="n">
        <v>391</v>
      </c>
      <c r="EO47" s="111" t="n">
        <v>0</v>
      </c>
      <c r="EP47" s="111" t="n">
        <v>0</v>
      </c>
      <c r="EQ47" s="111" t="n">
        <v>391</v>
      </c>
      <c r="ER47" s="111" t="n">
        <v>0</v>
      </c>
      <c r="ES47" s="111" t="n">
        <v>0</v>
      </c>
      <c r="ET47" s="111" t="n">
        <v>0</v>
      </c>
      <c r="EU47" s="111" t="n">
        <v>0</v>
      </c>
      <c r="EV47" s="111" t="n">
        <v>0</v>
      </c>
      <c r="EW47" s="111" t="n">
        <v>0</v>
      </c>
      <c r="EX47" s="111" t="n">
        <v>0</v>
      </c>
      <c r="EY47" s="111" t="n">
        <v>0</v>
      </c>
      <c r="EZ47" s="111" t="n">
        <v>0</v>
      </c>
      <c r="FA47" s="111" t="n">
        <v>0</v>
      </c>
      <c r="FB47" s="111" t="n">
        <v>0</v>
      </c>
    </row>
    <row r="48" ht="19.5" customHeight="1" s="247">
      <c r="A48" s="107" t="n">
        <v>45</v>
      </c>
      <c r="B48" s="107" t="inlineStr">
        <is>
          <t>成人非手术</t>
        </is>
      </c>
      <c r="C48" s="107" t="inlineStr">
        <is>
          <t>急诊医学科</t>
        </is>
      </c>
      <c r="D48" s="110" t="n">
        <v>12854890.5</v>
      </c>
      <c r="E48" s="110" t="n">
        <v>10523891</v>
      </c>
      <c r="F48" s="110" t="n">
        <v>2330999.5</v>
      </c>
      <c r="G48" s="110" t="n">
        <v>23988</v>
      </c>
      <c r="H48" s="110" t="n">
        <v>137</v>
      </c>
      <c r="I48" s="110" t="n">
        <v>781976</v>
      </c>
      <c r="J48" s="110" t="n">
        <v>9128</v>
      </c>
      <c r="K48" s="110" t="n">
        <v>0</v>
      </c>
      <c r="L48" s="110" t="n">
        <v>199015.5</v>
      </c>
      <c r="M48" s="110" t="n">
        <v>24100.5</v>
      </c>
      <c r="N48" s="110" t="n">
        <v>1852.78</v>
      </c>
      <c r="O48" s="110" t="n">
        <v>20990662.03</v>
      </c>
      <c r="P48" s="110" t="n">
        <v>18498652.81</v>
      </c>
      <c r="Q48" s="110" t="n">
        <v>17580222.17</v>
      </c>
      <c r="R48" s="110" t="n">
        <v>918430.64</v>
      </c>
      <c r="S48" s="110" t="n">
        <v>2492009.22</v>
      </c>
      <c r="T48" s="110" t="n">
        <v>1950651.37</v>
      </c>
      <c r="U48" s="110" t="n">
        <v>541357.85</v>
      </c>
      <c r="V48" s="110" t="n">
        <v>16862041.74</v>
      </c>
      <c r="W48" s="110" t="n">
        <v>14972170.99</v>
      </c>
      <c r="X48" s="110" t="n">
        <v>14208868.9</v>
      </c>
      <c r="Y48" s="110" t="n">
        <v>763302.09</v>
      </c>
      <c r="Z48" s="110" t="n">
        <v>1889870.75</v>
      </c>
      <c r="AA48" s="110" t="n">
        <v>1348512.9</v>
      </c>
      <c r="AB48" s="110" t="n">
        <v>541357.85</v>
      </c>
      <c r="AC48" s="110" t="n">
        <v>5410582.57</v>
      </c>
      <c r="AD48" s="110" t="n">
        <v>4866739.96</v>
      </c>
      <c r="AE48" s="110" t="n">
        <v>4675607.38</v>
      </c>
      <c r="AF48" s="110" t="n">
        <v>191132.58</v>
      </c>
      <c r="AG48" s="110" t="n">
        <v>543842.61</v>
      </c>
      <c r="AH48" s="110" t="n">
        <v>406727.85</v>
      </c>
      <c r="AI48" s="110" t="n">
        <v>137114.76</v>
      </c>
      <c r="AJ48" s="110" t="n">
        <v>927568.17</v>
      </c>
      <c r="AK48" s="110" t="n">
        <v>796736.53</v>
      </c>
      <c r="AL48" s="110" t="n">
        <v>720242.52</v>
      </c>
      <c r="AM48" s="110" t="n">
        <v>76494.00999999999</v>
      </c>
      <c r="AN48" s="110" t="n">
        <v>130831.64</v>
      </c>
      <c r="AO48" s="110" t="n">
        <v>87193.55</v>
      </c>
      <c r="AP48" s="110" t="n">
        <v>43638.09</v>
      </c>
      <c r="AQ48" s="110" t="n">
        <v>8828096</v>
      </c>
      <c r="AR48" s="110" t="n">
        <v>7798591</v>
      </c>
      <c r="AS48" s="110" t="n">
        <v>7389904</v>
      </c>
      <c r="AT48" s="110" t="n">
        <v>408687</v>
      </c>
      <c r="AU48" s="110" t="n">
        <v>1029505</v>
      </c>
      <c r="AV48" s="110" t="n">
        <v>720516</v>
      </c>
      <c r="AW48" s="110" t="n">
        <v>308989</v>
      </c>
      <c r="AX48" s="110" t="n">
        <v>1695795</v>
      </c>
      <c r="AY48" s="110" t="n">
        <v>1510103.5</v>
      </c>
      <c r="AZ48" s="110" t="n">
        <v>1423115</v>
      </c>
      <c r="BA48" s="110" t="n">
        <v>86988.5</v>
      </c>
      <c r="BB48" s="110" t="n">
        <v>185691.5</v>
      </c>
      <c r="BC48" s="110" t="n">
        <v>134075.5</v>
      </c>
      <c r="BD48" s="110" t="n">
        <v>51616</v>
      </c>
      <c r="BE48" s="110" t="n">
        <v>4128620.29</v>
      </c>
      <c r="BF48" s="110" t="n">
        <v>3526481.82</v>
      </c>
      <c r="BG48" s="110" t="n">
        <v>3371353.27</v>
      </c>
      <c r="BH48" s="110" t="n">
        <v>155128.55</v>
      </c>
      <c r="BI48" s="110" t="n">
        <v>602138.47</v>
      </c>
      <c r="BJ48" s="110" t="n">
        <v>602138.47</v>
      </c>
      <c r="BK48" s="110" t="n">
        <v>0</v>
      </c>
      <c r="BL48" s="110" t="n">
        <v>1391745.92</v>
      </c>
      <c r="BM48" s="110" t="n">
        <v>1151724.07</v>
      </c>
      <c r="BN48" s="110" t="n">
        <v>1099712.18</v>
      </c>
      <c r="BO48" s="110" t="n">
        <v>52011.89</v>
      </c>
      <c r="BP48" s="110" t="n">
        <v>240021.85</v>
      </c>
      <c r="BQ48" s="110" t="n">
        <v>240021.85</v>
      </c>
      <c r="BR48" s="110" t="n">
        <v>0</v>
      </c>
      <c r="BS48" s="110" t="n">
        <v>405874.87</v>
      </c>
      <c r="BT48" s="110" t="n">
        <v>366595.25</v>
      </c>
      <c r="BU48" s="110" t="n">
        <v>339520.59</v>
      </c>
      <c r="BV48" s="110" t="n">
        <v>27074.66</v>
      </c>
      <c r="BW48" s="110" t="n">
        <v>39279.62</v>
      </c>
      <c r="BX48" s="110" t="n">
        <v>39279.62</v>
      </c>
      <c r="BY48" s="110" t="n">
        <v>0</v>
      </c>
      <c r="BZ48" s="110" t="n">
        <v>1271829.5</v>
      </c>
      <c r="CA48" s="110" t="n">
        <v>1096095.5</v>
      </c>
      <c r="CB48" s="110" t="n">
        <v>1052923.5</v>
      </c>
      <c r="CC48" s="110" t="n">
        <v>43172</v>
      </c>
      <c r="CD48" s="110" t="n">
        <v>175734</v>
      </c>
      <c r="CE48" s="110" t="n">
        <v>175734</v>
      </c>
      <c r="CF48" s="110" t="n">
        <v>0</v>
      </c>
      <c r="CG48" s="110" t="n">
        <v>1059170</v>
      </c>
      <c r="CH48" s="110" t="n">
        <v>912067</v>
      </c>
      <c r="CI48" s="110" t="n">
        <v>879197</v>
      </c>
      <c r="CJ48" s="110" t="n">
        <v>32870</v>
      </c>
      <c r="CK48" s="110" t="n">
        <v>147103</v>
      </c>
      <c r="CL48" s="110" t="n">
        <v>147103</v>
      </c>
      <c r="CM48" s="110" t="n">
        <v>0</v>
      </c>
      <c r="CN48" s="110" t="n">
        <v>16805133.48</v>
      </c>
      <c r="CO48" s="110" t="n">
        <v>54898.26</v>
      </c>
      <c r="CP48" s="110" t="n">
        <v>1872</v>
      </c>
      <c r="CQ48" s="110" t="n">
        <v>30</v>
      </c>
      <c r="CR48" s="110" t="n">
        <v>48</v>
      </c>
      <c r="CS48" s="110" t="n">
        <v>0</v>
      </c>
      <c r="CT48" s="110" t="n">
        <v>8207.15</v>
      </c>
      <c r="CU48" s="110" t="n">
        <v>0</v>
      </c>
      <c r="CV48" s="111" t="n">
        <v>23988</v>
      </c>
      <c r="CW48" s="111" t="n">
        <v>21118</v>
      </c>
      <c r="CX48" s="111" t="n">
        <v>19988</v>
      </c>
      <c r="CY48" s="111" t="n">
        <v>1130</v>
      </c>
      <c r="CZ48" s="111" t="n">
        <v>2870</v>
      </c>
      <c r="DA48" s="111" t="n">
        <v>1888</v>
      </c>
      <c r="DB48" s="111" t="n">
        <v>982</v>
      </c>
      <c r="DC48" s="111" t="n">
        <v>50</v>
      </c>
      <c r="DD48" s="111" t="n">
        <v>0</v>
      </c>
      <c r="DE48" s="111" t="n">
        <v>42</v>
      </c>
      <c r="DF48" s="111" t="n">
        <v>38</v>
      </c>
      <c r="DG48" s="111" t="n">
        <v>4</v>
      </c>
      <c r="DH48" s="111" t="n">
        <v>8</v>
      </c>
      <c r="DI48" s="111" t="n">
        <v>4</v>
      </c>
      <c r="DJ48" s="111" t="n">
        <v>4</v>
      </c>
      <c r="DK48" s="111" t="n">
        <v>1</v>
      </c>
      <c r="DL48" s="111" t="n">
        <v>1</v>
      </c>
      <c r="DM48" s="111" t="n">
        <v>1</v>
      </c>
      <c r="DN48" s="111" t="n">
        <v>0</v>
      </c>
      <c r="DO48" s="111" t="n">
        <v>0</v>
      </c>
      <c r="DP48" s="111" t="n">
        <v>0</v>
      </c>
      <c r="DQ48" s="111" t="n">
        <v>0</v>
      </c>
      <c r="DR48" s="111" t="n">
        <v>0</v>
      </c>
      <c r="DS48" s="111" t="n">
        <v>0</v>
      </c>
      <c r="DT48" s="111" t="n">
        <v>0</v>
      </c>
      <c r="DU48" s="111" t="n">
        <v>0</v>
      </c>
      <c r="DV48" s="111" t="n">
        <v>0</v>
      </c>
      <c r="DW48" s="111" t="n">
        <v>0</v>
      </c>
      <c r="DX48" s="111" t="n">
        <v>0</v>
      </c>
      <c r="DY48" s="111" t="n">
        <v>0</v>
      </c>
      <c r="DZ48" s="111" t="n">
        <v>23937</v>
      </c>
      <c r="EA48" s="111" t="n">
        <v>21075</v>
      </c>
      <c r="EB48" s="111" t="n">
        <v>19949</v>
      </c>
      <c r="EC48" s="111" t="n">
        <v>1126</v>
      </c>
      <c r="ED48" s="111" t="n">
        <v>2862</v>
      </c>
      <c r="EE48" s="111" t="n">
        <v>1884</v>
      </c>
      <c r="EF48" s="111" t="n">
        <v>978</v>
      </c>
      <c r="EG48" s="111" t="n">
        <v>137</v>
      </c>
      <c r="EH48" s="111" t="n">
        <v>113</v>
      </c>
      <c r="EI48" s="111" t="n">
        <v>110</v>
      </c>
      <c r="EJ48" s="111" t="n">
        <v>3</v>
      </c>
      <c r="EK48" s="111" t="n">
        <v>24</v>
      </c>
      <c r="EL48" s="111" t="n">
        <v>24</v>
      </c>
      <c r="EM48" s="111" t="n">
        <v>0</v>
      </c>
      <c r="EN48" s="111" t="n">
        <v>45</v>
      </c>
      <c r="EO48" s="111" t="n">
        <v>1</v>
      </c>
      <c r="EP48" s="111" t="n">
        <v>0</v>
      </c>
      <c r="EQ48" s="111" t="n">
        <v>44</v>
      </c>
      <c r="ER48" s="111" t="n">
        <v>0</v>
      </c>
      <c r="ES48" s="111" t="n">
        <v>0</v>
      </c>
      <c r="ET48" s="111" t="n">
        <v>0</v>
      </c>
      <c r="EU48" s="111" t="n">
        <v>1</v>
      </c>
      <c r="EV48" s="111" t="n">
        <v>1</v>
      </c>
      <c r="EW48" s="111" t="n">
        <v>0</v>
      </c>
      <c r="EX48" s="111" t="n">
        <v>0</v>
      </c>
      <c r="EY48" s="111" t="n">
        <v>0</v>
      </c>
      <c r="EZ48" s="111" t="n">
        <v>0</v>
      </c>
      <c r="FA48" s="111" t="n">
        <v>0</v>
      </c>
      <c r="FB48" s="111" t="n">
        <v>0</v>
      </c>
    </row>
    <row r="49" ht="19.5" customHeight="1" s="247">
      <c r="A49" s="107" t="n">
        <v>46</v>
      </c>
      <c r="B49" s="107" t="inlineStr">
        <is>
          <t>成人非手术</t>
        </is>
      </c>
      <c r="C49" s="107" t="inlineStr">
        <is>
          <t>康复医学科</t>
        </is>
      </c>
      <c r="D49" s="110" t="n">
        <v>1415068</v>
      </c>
      <c r="E49" s="110" t="n">
        <v>1272432</v>
      </c>
      <c r="F49" s="110" t="n">
        <v>142636</v>
      </c>
      <c r="G49" s="110" t="n">
        <v>1516</v>
      </c>
      <c r="H49" s="110" t="n">
        <v>14</v>
      </c>
      <c r="I49" s="110" t="n">
        <v>1082496</v>
      </c>
      <c r="J49" s="110" t="n">
        <v>0</v>
      </c>
      <c r="K49" s="110" t="n">
        <v>0</v>
      </c>
      <c r="L49" s="110" t="n">
        <v>111975</v>
      </c>
      <c r="M49" s="110" t="n">
        <v>0</v>
      </c>
      <c r="N49" s="110" t="n">
        <v>122.32</v>
      </c>
      <c r="O49" s="110" t="n">
        <v>1422559.96</v>
      </c>
      <c r="P49" s="110" t="n">
        <v>1216089.83</v>
      </c>
      <c r="Q49" s="110" t="n">
        <v>1162735.95</v>
      </c>
      <c r="R49" s="110" t="n">
        <v>53353.88</v>
      </c>
      <c r="S49" s="110" t="n">
        <v>206470.13</v>
      </c>
      <c r="T49" s="110" t="n">
        <v>165889.13</v>
      </c>
      <c r="U49" s="110" t="n">
        <v>40581</v>
      </c>
      <c r="V49" s="110" t="n">
        <v>1279508.99</v>
      </c>
      <c r="W49" s="110" t="n">
        <v>1180309.47</v>
      </c>
      <c r="X49" s="110" t="n">
        <v>1144587.63</v>
      </c>
      <c r="Y49" s="110" t="n">
        <v>35721.84</v>
      </c>
      <c r="Z49" s="110" t="n">
        <v>99199.52</v>
      </c>
      <c r="AA49" s="110" t="n">
        <v>58618.52</v>
      </c>
      <c r="AB49" s="110" t="n">
        <v>40581</v>
      </c>
      <c r="AC49" s="110" t="n">
        <v>4182.99</v>
      </c>
      <c r="AD49" s="110" t="n">
        <v>4111.47</v>
      </c>
      <c r="AE49" s="110" t="n">
        <v>3789.63</v>
      </c>
      <c r="AF49" s="110" t="n">
        <v>321.84</v>
      </c>
      <c r="AG49" s="110" t="n">
        <v>71.52</v>
      </c>
      <c r="AH49" s="110" t="n">
        <v>71.52</v>
      </c>
      <c r="AI49" s="110" t="n">
        <v>0</v>
      </c>
      <c r="AJ49" s="110" t="n">
        <v>2894</v>
      </c>
      <c r="AK49" s="110" t="n">
        <v>2666</v>
      </c>
      <c r="AL49" s="110" t="n">
        <v>2552</v>
      </c>
      <c r="AM49" s="110" t="n">
        <v>114</v>
      </c>
      <c r="AN49" s="110" t="n">
        <v>228</v>
      </c>
      <c r="AO49" s="110" t="n">
        <v>152</v>
      </c>
      <c r="AP49" s="110" t="n">
        <v>76</v>
      </c>
      <c r="AQ49" s="110" t="n">
        <v>138113</v>
      </c>
      <c r="AR49" s="110" t="n">
        <v>123017</v>
      </c>
      <c r="AS49" s="110" t="n">
        <v>115402</v>
      </c>
      <c r="AT49" s="110" t="n">
        <v>7615</v>
      </c>
      <c r="AU49" s="110" t="n">
        <v>15096</v>
      </c>
      <c r="AV49" s="110" t="n">
        <v>6743</v>
      </c>
      <c r="AW49" s="110" t="n">
        <v>8353</v>
      </c>
      <c r="AX49" s="110" t="n">
        <v>1134319</v>
      </c>
      <c r="AY49" s="110" t="n">
        <v>1050515</v>
      </c>
      <c r="AZ49" s="110" t="n">
        <v>1022844</v>
      </c>
      <c r="BA49" s="110" t="n">
        <v>27671</v>
      </c>
      <c r="BB49" s="110" t="n">
        <v>83804</v>
      </c>
      <c r="BC49" s="110" t="n">
        <v>51652</v>
      </c>
      <c r="BD49" s="110" t="n">
        <v>32152</v>
      </c>
      <c r="BE49" s="110" t="n">
        <v>143050.97</v>
      </c>
      <c r="BF49" s="110" t="n">
        <v>35780.36</v>
      </c>
      <c r="BG49" s="110" t="n">
        <v>18148.32</v>
      </c>
      <c r="BH49" s="110" t="n">
        <v>17632.04</v>
      </c>
      <c r="BI49" s="110" t="n">
        <v>107270.61</v>
      </c>
      <c r="BJ49" s="110" t="n">
        <v>107270.61</v>
      </c>
      <c r="BK49" s="110" t="n">
        <v>0</v>
      </c>
      <c r="BL49" s="110" t="n">
        <v>414.97</v>
      </c>
      <c r="BM49" s="110" t="n">
        <v>193.36</v>
      </c>
      <c r="BN49" s="110" t="n">
        <v>122.32</v>
      </c>
      <c r="BO49" s="110" t="n">
        <v>71.04000000000001</v>
      </c>
      <c r="BP49" s="110" t="n">
        <v>221.61</v>
      </c>
      <c r="BQ49" s="110" t="n">
        <v>221.61</v>
      </c>
      <c r="BR49" s="110" t="n">
        <v>0</v>
      </c>
      <c r="BS49" s="110" t="n">
        <v>0</v>
      </c>
      <c r="BT49" s="110" t="n">
        <v>0</v>
      </c>
      <c r="BU49" s="110" t="n">
        <v>0</v>
      </c>
      <c r="BV49" s="110" t="n">
        <v>0</v>
      </c>
      <c r="BW49" s="110" t="n">
        <v>0</v>
      </c>
      <c r="BX49" s="110" t="n">
        <v>0</v>
      </c>
      <c r="BY49" s="110" t="n">
        <v>0</v>
      </c>
      <c r="BZ49" s="110" t="n">
        <v>10218</v>
      </c>
      <c r="CA49" s="110" t="n">
        <v>3697</v>
      </c>
      <c r="CB49" s="110" t="n">
        <v>3039</v>
      </c>
      <c r="CC49" s="110" t="n">
        <v>658</v>
      </c>
      <c r="CD49" s="110" t="n">
        <v>6521</v>
      </c>
      <c r="CE49" s="110" t="n">
        <v>6521</v>
      </c>
      <c r="CF49" s="110" t="n">
        <v>0</v>
      </c>
      <c r="CG49" s="110" t="n">
        <v>132418</v>
      </c>
      <c r="CH49" s="110" t="n">
        <v>31890</v>
      </c>
      <c r="CI49" s="110" t="n">
        <v>14987</v>
      </c>
      <c r="CJ49" s="110" t="n">
        <v>16903</v>
      </c>
      <c r="CK49" s="110" t="n">
        <v>100528</v>
      </c>
      <c r="CL49" s="110" t="n">
        <v>100528</v>
      </c>
      <c r="CM49" s="110" t="n">
        <v>0</v>
      </c>
      <c r="CN49" s="110" t="n">
        <v>0</v>
      </c>
      <c r="CO49" s="110" t="n">
        <v>695051.9300000001</v>
      </c>
      <c r="CP49" s="110" t="n">
        <v>57542.56</v>
      </c>
      <c r="CQ49" s="110" t="n">
        <v>484719.5</v>
      </c>
      <c r="CR49" s="110" t="n">
        <v>24915</v>
      </c>
      <c r="CS49" s="110" t="n">
        <v>17280</v>
      </c>
      <c r="CT49" s="110" t="n">
        <v>0</v>
      </c>
      <c r="CU49" s="110" t="n">
        <v>0</v>
      </c>
      <c r="CV49" s="111" t="n">
        <v>1516</v>
      </c>
      <c r="CW49" s="111" t="n">
        <v>1342</v>
      </c>
      <c r="CX49" s="111" t="n">
        <v>1263</v>
      </c>
      <c r="CY49" s="111" t="n">
        <v>79</v>
      </c>
      <c r="CZ49" s="111" t="n">
        <v>174</v>
      </c>
      <c r="DA49" s="111" t="n">
        <v>89</v>
      </c>
      <c r="DB49" s="111" t="n">
        <v>85</v>
      </c>
      <c r="DC49" s="111" t="n">
        <v>1367</v>
      </c>
      <c r="DD49" s="111" t="n">
        <v>0</v>
      </c>
      <c r="DE49" s="111" t="n">
        <v>1231</v>
      </c>
      <c r="DF49" s="111" t="n">
        <v>1164</v>
      </c>
      <c r="DG49" s="111" t="n">
        <v>67</v>
      </c>
      <c r="DH49" s="111" t="n">
        <v>136</v>
      </c>
      <c r="DI49" s="111" t="n">
        <v>70</v>
      </c>
      <c r="DJ49" s="111" t="n">
        <v>66</v>
      </c>
      <c r="DK49" s="111" t="n">
        <v>121</v>
      </c>
      <c r="DL49" s="111" t="n">
        <v>101</v>
      </c>
      <c r="DM49" s="111" t="n">
        <v>91</v>
      </c>
      <c r="DN49" s="111" t="n">
        <v>10</v>
      </c>
      <c r="DO49" s="111" t="n">
        <v>20</v>
      </c>
      <c r="DP49" s="111" t="n">
        <v>11</v>
      </c>
      <c r="DQ49" s="111" t="n">
        <v>9</v>
      </c>
      <c r="DR49" s="111" t="n">
        <v>28</v>
      </c>
      <c r="DS49" s="111" t="n">
        <v>0</v>
      </c>
      <c r="DT49" s="111" t="n">
        <v>10</v>
      </c>
      <c r="DU49" s="111" t="n">
        <v>8</v>
      </c>
      <c r="DV49" s="111" t="n">
        <v>2</v>
      </c>
      <c r="DW49" s="111" t="n">
        <v>18</v>
      </c>
      <c r="DX49" s="111" t="n">
        <v>8</v>
      </c>
      <c r="DY49" s="111" t="n">
        <v>10</v>
      </c>
      <c r="DZ49" s="111" t="n">
        <v>0</v>
      </c>
      <c r="EA49" s="111" t="n">
        <v>0</v>
      </c>
      <c r="EB49" s="111" t="n">
        <v>0</v>
      </c>
      <c r="EC49" s="111" t="n">
        <v>0</v>
      </c>
      <c r="ED49" s="111" t="n">
        <v>0</v>
      </c>
      <c r="EE49" s="111" t="n">
        <v>0</v>
      </c>
      <c r="EF49" s="111" t="n">
        <v>0</v>
      </c>
      <c r="EG49" s="111" t="n">
        <v>14</v>
      </c>
      <c r="EH49" s="111" t="n">
        <v>4</v>
      </c>
      <c r="EI49" s="111" t="n">
        <v>3</v>
      </c>
      <c r="EJ49" s="111" t="n">
        <v>1</v>
      </c>
      <c r="EK49" s="111" t="n">
        <v>10</v>
      </c>
      <c r="EL49" s="111" t="n">
        <v>10</v>
      </c>
      <c r="EM49" s="111" t="n">
        <v>0</v>
      </c>
      <c r="EN49" s="111" t="n">
        <v>74</v>
      </c>
      <c r="EO49" s="111" t="n">
        <v>0</v>
      </c>
      <c r="EP49" s="111" t="n">
        <v>0</v>
      </c>
      <c r="EQ49" s="111" t="n">
        <v>74</v>
      </c>
      <c r="ER49" s="111" t="n">
        <v>0</v>
      </c>
      <c r="ES49" s="111" t="n">
        <v>0</v>
      </c>
      <c r="ET49" s="111" t="n">
        <v>0</v>
      </c>
      <c r="EU49" s="111" t="n">
        <v>0</v>
      </c>
      <c r="EV49" s="111" t="n">
        <v>0</v>
      </c>
      <c r="EW49" s="111" t="n">
        <v>0</v>
      </c>
      <c r="EX49" s="111" t="n">
        <v>0</v>
      </c>
      <c r="EY49" s="111" t="n">
        <v>0</v>
      </c>
      <c r="EZ49" s="111" t="n">
        <v>0</v>
      </c>
      <c r="FA49" s="111" t="n">
        <v>0</v>
      </c>
      <c r="FB49" s="111" t="n">
        <v>0</v>
      </c>
    </row>
    <row r="50" ht="19.5" customHeight="1" s="247">
      <c r="A50" s="107" t="n">
        <v>47</v>
      </c>
      <c r="B50" s="107" t="inlineStr">
        <is>
          <t>成人非手术</t>
        </is>
      </c>
      <c r="C50" s="107" t="inlineStr">
        <is>
          <t>中医科</t>
        </is>
      </c>
      <c r="D50" s="110" t="n">
        <v>3708460</v>
      </c>
      <c r="E50" s="110" t="n">
        <v>2671544.5</v>
      </c>
      <c r="F50" s="110" t="n">
        <v>1036915.5</v>
      </c>
      <c r="G50" s="110" t="n">
        <v>8527</v>
      </c>
      <c r="H50" s="110" t="n">
        <v>110</v>
      </c>
      <c r="I50" s="110" t="n">
        <v>1857350</v>
      </c>
      <c r="J50" s="110" t="n">
        <v>0</v>
      </c>
      <c r="K50" s="110" t="n">
        <v>2371439.71</v>
      </c>
      <c r="L50" s="110" t="n">
        <v>285418</v>
      </c>
      <c r="M50" s="110" t="n">
        <v>39194</v>
      </c>
      <c r="N50" s="110" t="n">
        <v>2057.42</v>
      </c>
      <c r="O50" s="110" t="n">
        <v>8160029.36</v>
      </c>
      <c r="P50" s="110" t="n">
        <v>7243650.98</v>
      </c>
      <c r="Q50" s="110" t="n">
        <v>7063347.07</v>
      </c>
      <c r="R50" s="110" t="n">
        <v>180303.91</v>
      </c>
      <c r="S50" s="110" t="n">
        <v>916378.38</v>
      </c>
      <c r="T50" s="110" t="n">
        <v>590891.91</v>
      </c>
      <c r="U50" s="110" t="n">
        <v>325486.47</v>
      </c>
      <c r="V50" s="110" t="n">
        <v>6857284.02</v>
      </c>
      <c r="W50" s="110" t="n">
        <v>6092141.03</v>
      </c>
      <c r="X50" s="110" t="n">
        <v>5928241.57</v>
      </c>
      <c r="Y50" s="110" t="n">
        <v>163899.46</v>
      </c>
      <c r="Z50" s="110" t="n">
        <v>765142.99</v>
      </c>
      <c r="AA50" s="110" t="n">
        <v>439656.52</v>
      </c>
      <c r="AB50" s="110" t="n">
        <v>325486.47</v>
      </c>
      <c r="AC50" s="110" t="n">
        <v>4136378.03</v>
      </c>
      <c r="AD50" s="110" t="n">
        <v>3703744.18</v>
      </c>
      <c r="AE50" s="110" t="n">
        <v>3625514.22</v>
      </c>
      <c r="AF50" s="110" t="n">
        <v>78229.96000000001</v>
      </c>
      <c r="AG50" s="110" t="n">
        <v>432633.85</v>
      </c>
      <c r="AH50" s="110" t="n">
        <v>261983.38</v>
      </c>
      <c r="AI50" s="110" t="n">
        <v>170650.47</v>
      </c>
      <c r="AJ50" s="110" t="n">
        <v>49361.49</v>
      </c>
      <c r="AK50" s="110" t="n">
        <v>45674.85</v>
      </c>
      <c r="AL50" s="110" t="n">
        <v>45172.85</v>
      </c>
      <c r="AM50" s="110" t="n">
        <v>502</v>
      </c>
      <c r="AN50" s="110" t="n">
        <v>3686.64</v>
      </c>
      <c r="AO50" s="110" t="n">
        <v>3244.64</v>
      </c>
      <c r="AP50" s="110" t="n">
        <v>442</v>
      </c>
      <c r="AQ50" s="110" t="n">
        <v>273240</v>
      </c>
      <c r="AR50" s="110" t="n">
        <v>230666</v>
      </c>
      <c r="AS50" s="110" t="n">
        <v>219953</v>
      </c>
      <c r="AT50" s="110" t="n">
        <v>10713</v>
      </c>
      <c r="AU50" s="110" t="n">
        <v>42574</v>
      </c>
      <c r="AV50" s="110" t="n">
        <v>21641</v>
      </c>
      <c r="AW50" s="110" t="n">
        <v>20933</v>
      </c>
      <c r="AX50" s="110" t="n">
        <v>2398304.5</v>
      </c>
      <c r="AY50" s="110" t="n">
        <v>2112056</v>
      </c>
      <c r="AZ50" s="110" t="n">
        <v>2037601.5</v>
      </c>
      <c r="BA50" s="110" t="n">
        <v>74454.5</v>
      </c>
      <c r="BB50" s="110" t="n">
        <v>286248.5</v>
      </c>
      <c r="BC50" s="110" t="n">
        <v>152787.5</v>
      </c>
      <c r="BD50" s="110" t="n">
        <v>133461</v>
      </c>
      <c r="BE50" s="110" t="n">
        <v>1302745.34</v>
      </c>
      <c r="BF50" s="110" t="n">
        <v>1151509.95</v>
      </c>
      <c r="BG50" s="110" t="n">
        <v>1135105.5</v>
      </c>
      <c r="BH50" s="110" t="n">
        <v>16404.45</v>
      </c>
      <c r="BI50" s="110" t="n">
        <v>151235.39</v>
      </c>
      <c r="BJ50" s="110" t="n">
        <v>151235.39</v>
      </c>
      <c r="BK50" s="110" t="n">
        <v>0</v>
      </c>
      <c r="BL50" s="110" t="n">
        <v>180114.24</v>
      </c>
      <c r="BM50" s="110" t="n">
        <v>159636.79</v>
      </c>
      <c r="BN50" s="110" t="n">
        <v>157121.69</v>
      </c>
      <c r="BO50" s="110" t="n">
        <v>2515.1</v>
      </c>
      <c r="BP50" s="110" t="n">
        <v>20477.45</v>
      </c>
      <c r="BQ50" s="110" t="n">
        <v>20477.45</v>
      </c>
      <c r="BR50" s="110" t="n">
        <v>0</v>
      </c>
      <c r="BS50" s="110" t="n">
        <v>85715.60000000001</v>
      </c>
      <c r="BT50" s="110" t="n">
        <v>78916.66</v>
      </c>
      <c r="BU50" s="110" t="n">
        <v>77746.81</v>
      </c>
      <c r="BV50" s="110" t="n">
        <v>1169.85</v>
      </c>
      <c r="BW50" s="110" t="n">
        <v>6798.94</v>
      </c>
      <c r="BX50" s="110" t="n">
        <v>6798.94</v>
      </c>
      <c r="BY50" s="110" t="n">
        <v>0</v>
      </c>
      <c r="BZ50" s="110" t="n">
        <v>594611</v>
      </c>
      <c r="CA50" s="110" t="n">
        <v>502243</v>
      </c>
      <c r="CB50" s="110" t="n">
        <v>493484</v>
      </c>
      <c r="CC50" s="110" t="n">
        <v>8759</v>
      </c>
      <c r="CD50" s="110" t="n">
        <v>92368</v>
      </c>
      <c r="CE50" s="110" t="n">
        <v>92368</v>
      </c>
      <c r="CF50" s="110" t="n">
        <v>0</v>
      </c>
      <c r="CG50" s="110" t="n">
        <v>442304.5</v>
      </c>
      <c r="CH50" s="110" t="n">
        <v>410713.5</v>
      </c>
      <c r="CI50" s="110" t="n">
        <v>406753</v>
      </c>
      <c r="CJ50" s="110" t="n">
        <v>3960.5</v>
      </c>
      <c r="CK50" s="110" t="n">
        <v>31591</v>
      </c>
      <c r="CL50" s="110" t="n">
        <v>31591</v>
      </c>
      <c r="CM50" s="110" t="n">
        <v>0</v>
      </c>
      <c r="CN50" s="110" t="n">
        <v>0</v>
      </c>
      <c r="CO50" s="110" t="n">
        <v>2380225.52</v>
      </c>
      <c r="CP50" s="110" t="n">
        <v>3338823.28</v>
      </c>
      <c r="CQ50" s="110" t="n">
        <v>211478.03</v>
      </c>
      <c r="CR50" s="110" t="n">
        <v>926757.1899999999</v>
      </c>
      <c r="CS50" s="110" t="n">
        <v>0</v>
      </c>
      <c r="CT50" s="110" t="n">
        <v>2877</v>
      </c>
      <c r="CU50" s="110" t="n">
        <v>0</v>
      </c>
      <c r="CV50" s="111" t="n">
        <v>8527</v>
      </c>
      <c r="CW50" s="111" t="n">
        <v>7653</v>
      </c>
      <c r="CX50" s="111" t="n">
        <v>7395</v>
      </c>
      <c r="CY50" s="111" t="n">
        <v>258</v>
      </c>
      <c r="CZ50" s="111" t="n">
        <v>874</v>
      </c>
      <c r="DA50" s="111" t="n">
        <v>483</v>
      </c>
      <c r="DB50" s="111" t="n">
        <v>391</v>
      </c>
      <c r="DC50" s="111" t="n">
        <v>4312</v>
      </c>
      <c r="DD50" s="111" t="n">
        <v>9</v>
      </c>
      <c r="DE50" s="111" t="n">
        <v>3974</v>
      </c>
      <c r="DF50" s="111" t="n">
        <v>3849</v>
      </c>
      <c r="DG50" s="111" t="n">
        <v>125</v>
      </c>
      <c r="DH50" s="111" t="n">
        <v>338</v>
      </c>
      <c r="DI50" s="111" t="n">
        <v>187</v>
      </c>
      <c r="DJ50" s="111" t="n">
        <v>151</v>
      </c>
      <c r="DK50" s="111" t="n">
        <v>3530</v>
      </c>
      <c r="DL50" s="111" t="n">
        <v>3142</v>
      </c>
      <c r="DM50" s="111" t="n">
        <v>3052</v>
      </c>
      <c r="DN50" s="111" t="n">
        <v>90</v>
      </c>
      <c r="DO50" s="111" t="n">
        <v>388</v>
      </c>
      <c r="DP50" s="111" t="n">
        <v>220</v>
      </c>
      <c r="DQ50" s="111" t="n">
        <v>168</v>
      </c>
      <c r="DR50" s="111" t="n">
        <v>676</v>
      </c>
      <c r="DS50" s="111" t="n">
        <v>0</v>
      </c>
      <c r="DT50" s="111" t="n">
        <v>533</v>
      </c>
      <c r="DU50" s="111" t="n">
        <v>493</v>
      </c>
      <c r="DV50" s="111" t="n">
        <v>40</v>
      </c>
      <c r="DW50" s="111" t="n">
        <v>143</v>
      </c>
      <c r="DX50" s="111" t="n">
        <v>76</v>
      </c>
      <c r="DY50" s="111" t="n">
        <v>67</v>
      </c>
      <c r="DZ50" s="111" t="n">
        <v>0</v>
      </c>
      <c r="EA50" s="111" t="n">
        <v>0</v>
      </c>
      <c r="EB50" s="111" t="n">
        <v>0</v>
      </c>
      <c r="EC50" s="111" t="n">
        <v>0</v>
      </c>
      <c r="ED50" s="111" t="n">
        <v>0</v>
      </c>
      <c r="EE50" s="111" t="n">
        <v>0</v>
      </c>
      <c r="EF50" s="111" t="n">
        <v>0</v>
      </c>
      <c r="EG50" s="111" t="n">
        <v>110</v>
      </c>
      <c r="EH50" s="111" t="n">
        <v>95</v>
      </c>
      <c r="EI50" s="111" t="n">
        <v>93</v>
      </c>
      <c r="EJ50" s="111" t="n">
        <v>2</v>
      </c>
      <c r="EK50" s="111" t="n">
        <v>15</v>
      </c>
      <c r="EL50" s="111" t="n">
        <v>15</v>
      </c>
      <c r="EM50" s="111" t="n">
        <v>0</v>
      </c>
      <c r="EN50" s="111" t="n">
        <v>83</v>
      </c>
      <c r="EO50" s="111" t="n">
        <v>0</v>
      </c>
      <c r="EP50" s="111" t="n">
        <v>0</v>
      </c>
      <c r="EQ50" s="111" t="n">
        <v>83</v>
      </c>
      <c r="ER50" s="111" t="n">
        <v>0</v>
      </c>
      <c r="ES50" s="111" t="n">
        <v>0</v>
      </c>
      <c r="ET50" s="111" t="n">
        <v>0</v>
      </c>
      <c r="EU50" s="111" t="n">
        <v>0</v>
      </c>
      <c r="EV50" s="111" t="n">
        <v>0</v>
      </c>
      <c r="EW50" s="111" t="n">
        <v>0</v>
      </c>
      <c r="EX50" s="111" t="n">
        <v>0</v>
      </c>
      <c r="EY50" s="111" t="n">
        <v>0</v>
      </c>
      <c r="EZ50" s="111" t="n">
        <v>0</v>
      </c>
      <c r="FA50" s="111" t="n">
        <v>0</v>
      </c>
      <c r="FB50" s="111" t="n">
        <v>20</v>
      </c>
    </row>
    <row r="51" ht="19.5" customHeight="1" s="247">
      <c r="A51" s="107" t="n">
        <v>48</v>
      </c>
      <c r="B51" s="107" t="inlineStr">
        <is>
          <t>医技平台</t>
        </is>
      </c>
      <c r="C51" s="107" t="inlineStr">
        <is>
          <t>核医学科</t>
        </is>
      </c>
      <c r="D51" s="110" t="n">
        <v>333134</v>
      </c>
      <c r="E51" s="110" t="n">
        <v>178956</v>
      </c>
      <c r="F51" s="110" t="n">
        <v>154178</v>
      </c>
      <c r="G51" s="110" t="n">
        <v>399</v>
      </c>
      <c r="H51" s="110" t="n">
        <v>22</v>
      </c>
      <c r="I51" s="110" t="n">
        <v>860</v>
      </c>
      <c r="J51" s="110" t="n">
        <v>0</v>
      </c>
      <c r="K51" s="110" t="n">
        <v>0</v>
      </c>
      <c r="L51" s="110" t="n">
        <v>16340</v>
      </c>
      <c r="M51" s="110" t="n">
        <v>0</v>
      </c>
      <c r="N51" s="110" t="n">
        <v>0</v>
      </c>
      <c r="O51" s="110" t="n">
        <v>539493.96</v>
      </c>
      <c r="P51" s="110" t="n">
        <v>310233.99</v>
      </c>
      <c r="Q51" s="110" t="n">
        <v>305285.93</v>
      </c>
      <c r="R51" s="110" t="n">
        <v>4948.06</v>
      </c>
      <c r="S51" s="110" t="n">
        <v>229259.97</v>
      </c>
      <c r="T51" s="110" t="n">
        <v>176161.46</v>
      </c>
      <c r="U51" s="110" t="n">
        <v>53098.51</v>
      </c>
      <c r="V51" s="110" t="n">
        <v>244283.92</v>
      </c>
      <c r="W51" s="110" t="n">
        <v>132018.59</v>
      </c>
      <c r="X51" s="110" t="n">
        <v>127070.53</v>
      </c>
      <c r="Y51" s="110" t="n">
        <v>4948.06</v>
      </c>
      <c r="Z51" s="110" t="n">
        <v>112265.33</v>
      </c>
      <c r="AA51" s="110" t="n">
        <v>59166.82</v>
      </c>
      <c r="AB51" s="110" t="n">
        <v>53098.51</v>
      </c>
      <c r="AC51" s="110" t="n">
        <v>65284.92</v>
      </c>
      <c r="AD51" s="110" t="n">
        <v>45190.59</v>
      </c>
      <c r="AE51" s="110" t="n">
        <v>43756.53</v>
      </c>
      <c r="AF51" s="110" t="n">
        <v>1434.06</v>
      </c>
      <c r="AG51" s="110" t="n">
        <v>20094.33</v>
      </c>
      <c r="AH51" s="110" t="n">
        <v>10146.82</v>
      </c>
      <c r="AI51" s="110" t="n">
        <v>9947.51</v>
      </c>
      <c r="AJ51" s="110" t="n">
        <v>43</v>
      </c>
      <c r="AK51" s="110" t="n">
        <v>0</v>
      </c>
      <c r="AL51" s="110" t="n">
        <v>0</v>
      </c>
      <c r="AM51" s="110" t="n">
        <v>0</v>
      </c>
      <c r="AN51" s="110" t="n">
        <v>43</v>
      </c>
      <c r="AO51" s="110" t="n">
        <v>43</v>
      </c>
      <c r="AP51" s="110" t="n">
        <v>0</v>
      </c>
      <c r="AQ51" s="110" t="n">
        <v>156735</v>
      </c>
      <c r="AR51" s="110" t="n">
        <v>75316</v>
      </c>
      <c r="AS51" s="110" t="n">
        <v>72478</v>
      </c>
      <c r="AT51" s="110" t="n">
        <v>2838</v>
      </c>
      <c r="AU51" s="110" t="n">
        <v>81419</v>
      </c>
      <c r="AV51" s="110" t="n">
        <v>43755</v>
      </c>
      <c r="AW51" s="110" t="n">
        <v>37664</v>
      </c>
      <c r="AX51" s="110" t="n">
        <v>22221</v>
      </c>
      <c r="AY51" s="110" t="n">
        <v>11512</v>
      </c>
      <c r="AZ51" s="110" t="n">
        <v>10836</v>
      </c>
      <c r="BA51" s="110" t="n">
        <v>676</v>
      </c>
      <c r="BB51" s="110" t="n">
        <v>10709</v>
      </c>
      <c r="BC51" s="110" t="n">
        <v>5222</v>
      </c>
      <c r="BD51" s="110" t="n">
        <v>5487</v>
      </c>
      <c r="BE51" s="110" t="n">
        <v>295210.04</v>
      </c>
      <c r="BF51" s="110" t="n">
        <v>178215.4</v>
      </c>
      <c r="BG51" s="110" t="n">
        <v>178215.4</v>
      </c>
      <c r="BH51" s="110" t="n">
        <v>0</v>
      </c>
      <c r="BI51" s="110" t="n">
        <v>116994.64</v>
      </c>
      <c r="BJ51" s="110" t="n">
        <v>116994.64</v>
      </c>
      <c r="BK51" s="110" t="n">
        <v>0</v>
      </c>
      <c r="BL51" s="110" t="n">
        <v>141032.04</v>
      </c>
      <c r="BM51" s="110" t="n">
        <v>86223.39999999999</v>
      </c>
      <c r="BN51" s="110" t="n">
        <v>86223.39999999999</v>
      </c>
      <c r="BO51" s="110" t="n">
        <v>0</v>
      </c>
      <c r="BP51" s="110" t="n">
        <v>54808.64</v>
      </c>
      <c r="BQ51" s="110" t="n">
        <v>54808.64</v>
      </c>
      <c r="BR51" s="110" t="n">
        <v>0</v>
      </c>
      <c r="BS51" s="110" t="n">
        <v>0</v>
      </c>
      <c r="BT51" s="110" t="n">
        <v>0</v>
      </c>
      <c r="BU51" s="110" t="n">
        <v>0</v>
      </c>
      <c r="BV51" s="110" t="n">
        <v>0</v>
      </c>
      <c r="BW51" s="110" t="n">
        <v>0</v>
      </c>
      <c r="BX51" s="110" t="n">
        <v>0</v>
      </c>
      <c r="BY51" s="110" t="n">
        <v>0</v>
      </c>
      <c r="BZ51" s="110" t="n">
        <v>125813</v>
      </c>
      <c r="CA51" s="110" t="n">
        <v>74457</v>
      </c>
      <c r="CB51" s="110" t="n">
        <v>74457</v>
      </c>
      <c r="CC51" s="110" t="n">
        <v>0</v>
      </c>
      <c r="CD51" s="110" t="n">
        <v>51356</v>
      </c>
      <c r="CE51" s="110" t="n">
        <v>51356</v>
      </c>
      <c r="CF51" s="110" t="n">
        <v>0</v>
      </c>
      <c r="CG51" s="110" t="n">
        <v>28365</v>
      </c>
      <c r="CH51" s="110" t="n">
        <v>17535</v>
      </c>
      <c r="CI51" s="110" t="n">
        <v>17535</v>
      </c>
      <c r="CJ51" s="110" t="n">
        <v>0</v>
      </c>
      <c r="CK51" s="110" t="n">
        <v>10830</v>
      </c>
      <c r="CL51" s="110" t="n">
        <v>10830</v>
      </c>
      <c r="CM51" s="110" t="n">
        <v>0</v>
      </c>
      <c r="CN51" s="110" t="n">
        <v>0</v>
      </c>
      <c r="CO51" s="110" t="n">
        <v>58645.88</v>
      </c>
      <c r="CP51" s="110" t="n">
        <v>132308.78</v>
      </c>
      <c r="CQ51" s="110" t="n">
        <v>44467.08</v>
      </c>
      <c r="CR51" s="110" t="n">
        <v>8862.18</v>
      </c>
      <c r="CS51" s="110" t="n">
        <v>0</v>
      </c>
      <c r="CT51" s="110" t="n">
        <v>0</v>
      </c>
      <c r="CU51" s="110" t="n">
        <v>0</v>
      </c>
      <c r="CV51" s="111" t="n">
        <v>399</v>
      </c>
      <c r="CW51" s="111" t="n">
        <v>256</v>
      </c>
      <c r="CX51" s="111" t="n">
        <v>245</v>
      </c>
      <c r="CY51" s="111" t="n">
        <v>11</v>
      </c>
      <c r="CZ51" s="111" t="n">
        <v>143</v>
      </c>
      <c r="DA51" s="111" t="n">
        <v>72</v>
      </c>
      <c r="DB51" s="111" t="n">
        <v>71</v>
      </c>
      <c r="DC51" s="111" t="n">
        <v>139</v>
      </c>
      <c r="DD51" s="111" t="n">
        <v>0</v>
      </c>
      <c r="DE51" s="111" t="n">
        <v>107</v>
      </c>
      <c r="DF51" s="111" t="n">
        <v>106</v>
      </c>
      <c r="DG51" s="111" t="n">
        <v>1</v>
      </c>
      <c r="DH51" s="111" t="n">
        <v>32</v>
      </c>
      <c r="DI51" s="111" t="n">
        <v>22</v>
      </c>
      <c r="DJ51" s="111" t="n">
        <v>10</v>
      </c>
      <c r="DK51" s="111" t="n">
        <v>228</v>
      </c>
      <c r="DL51" s="111" t="n">
        <v>142</v>
      </c>
      <c r="DM51" s="111" t="n">
        <v>133</v>
      </c>
      <c r="DN51" s="111" t="n">
        <v>9</v>
      </c>
      <c r="DO51" s="111" t="n">
        <v>86</v>
      </c>
      <c r="DP51" s="111" t="n">
        <v>38</v>
      </c>
      <c r="DQ51" s="111" t="n">
        <v>48</v>
      </c>
      <c r="DR51" s="111" t="n">
        <v>31</v>
      </c>
      <c r="DS51" s="111" t="n">
        <v>1</v>
      </c>
      <c r="DT51" s="111" t="n">
        <v>7</v>
      </c>
      <c r="DU51" s="111" t="n">
        <v>6</v>
      </c>
      <c r="DV51" s="111" t="n">
        <v>1</v>
      </c>
      <c r="DW51" s="111" t="n">
        <v>24</v>
      </c>
      <c r="DX51" s="111" t="n">
        <v>12</v>
      </c>
      <c r="DY51" s="111" t="n">
        <v>12</v>
      </c>
      <c r="DZ51" s="111" t="n">
        <v>0</v>
      </c>
      <c r="EA51" s="111" t="n">
        <v>0</v>
      </c>
      <c r="EB51" s="111" t="n">
        <v>0</v>
      </c>
      <c r="EC51" s="111" t="n">
        <v>0</v>
      </c>
      <c r="ED51" s="111" t="n">
        <v>0</v>
      </c>
      <c r="EE51" s="111" t="n">
        <v>0</v>
      </c>
      <c r="EF51" s="111" t="n">
        <v>0</v>
      </c>
      <c r="EG51" s="111" t="n">
        <v>22</v>
      </c>
      <c r="EH51" s="111" t="n">
        <v>14</v>
      </c>
      <c r="EI51" s="111" t="n">
        <v>14</v>
      </c>
      <c r="EJ51" s="111" t="n">
        <v>0</v>
      </c>
      <c r="EK51" s="111" t="n">
        <v>8</v>
      </c>
      <c r="EL51" s="111" t="n">
        <v>8</v>
      </c>
      <c r="EM51" s="111" t="n">
        <v>0</v>
      </c>
      <c r="EN51" s="111" t="n">
        <v>23</v>
      </c>
      <c r="EO51" s="111" t="n">
        <v>0</v>
      </c>
      <c r="EP51" s="111" t="n">
        <v>0</v>
      </c>
      <c r="EQ51" s="111" t="n">
        <v>23</v>
      </c>
      <c r="ER51" s="111" t="n">
        <v>0</v>
      </c>
      <c r="ES51" s="111" t="n">
        <v>0</v>
      </c>
      <c r="ET51" s="111" t="n">
        <v>0</v>
      </c>
      <c r="EU51" s="111" t="n">
        <v>0</v>
      </c>
      <c r="EV51" s="111" t="n">
        <v>0</v>
      </c>
      <c r="EW51" s="111" t="n">
        <v>0</v>
      </c>
      <c r="EX51" s="111" t="n">
        <v>0</v>
      </c>
      <c r="EY51" s="111" t="n">
        <v>0</v>
      </c>
      <c r="EZ51" s="111" t="n">
        <v>0</v>
      </c>
      <c r="FA51" s="111" t="n">
        <v>0</v>
      </c>
      <c r="FB51" s="111" t="n">
        <v>22</v>
      </c>
    </row>
    <row r="52" ht="19.5" customHeight="1" s="247">
      <c r="A52" s="107" t="n">
        <v>49</v>
      </c>
      <c r="B52" s="107" t="inlineStr">
        <is>
          <t>医技平台</t>
        </is>
      </c>
      <c r="C52" s="107" t="inlineStr">
        <is>
          <t>临床营养科</t>
        </is>
      </c>
      <c r="D52" s="110" t="n">
        <v>70852</v>
      </c>
      <c r="E52" s="110" t="n">
        <v>70852</v>
      </c>
      <c r="F52" s="110" t="n">
        <v>0</v>
      </c>
      <c r="G52" s="110" t="n">
        <v>525</v>
      </c>
      <c r="H52" s="110" t="n">
        <v>0</v>
      </c>
      <c r="I52" s="110" t="n">
        <v>6</v>
      </c>
      <c r="J52" s="110" t="n">
        <v>0</v>
      </c>
      <c r="K52" s="110" t="n">
        <v>0</v>
      </c>
      <c r="L52" s="110" t="n">
        <v>0</v>
      </c>
      <c r="M52" s="110" t="n">
        <v>0</v>
      </c>
      <c r="N52" s="110" t="n">
        <v>0</v>
      </c>
      <c r="O52" s="110" t="n">
        <v>149243.97</v>
      </c>
      <c r="P52" s="110" t="n">
        <v>134567.34</v>
      </c>
      <c r="Q52" s="110" t="n">
        <v>130143.54</v>
      </c>
      <c r="R52" s="110" t="n">
        <v>4423.8</v>
      </c>
      <c r="S52" s="110" t="n">
        <v>14676.63</v>
      </c>
      <c r="T52" s="110" t="n">
        <v>9162.530000000001</v>
      </c>
      <c r="U52" s="110" t="n">
        <v>5514.1</v>
      </c>
      <c r="V52" s="110" t="n">
        <v>149243.97</v>
      </c>
      <c r="W52" s="110" t="n">
        <v>134567.34</v>
      </c>
      <c r="X52" s="110" t="n">
        <v>130143.54</v>
      </c>
      <c r="Y52" s="110" t="n">
        <v>4423.8</v>
      </c>
      <c r="Z52" s="110" t="n">
        <v>14676.63</v>
      </c>
      <c r="AA52" s="110" t="n">
        <v>9162.530000000001</v>
      </c>
      <c r="AB52" s="110" t="n">
        <v>5514.1</v>
      </c>
      <c r="AC52" s="110" t="n">
        <v>78391.97</v>
      </c>
      <c r="AD52" s="110" t="n">
        <v>69956.34</v>
      </c>
      <c r="AE52" s="110" t="n">
        <v>69624.53999999999</v>
      </c>
      <c r="AF52" s="110" t="n">
        <v>331.8</v>
      </c>
      <c r="AG52" s="110" t="n">
        <v>8435.629999999999</v>
      </c>
      <c r="AH52" s="110" t="n">
        <v>5447.53</v>
      </c>
      <c r="AI52" s="110" t="n">
        <v>2988.1</v>
      </c>
      <c r="AJ52" s="110" t="n">
        <v>0</v>
      </c>
      <c r="AK52" s="110" t="n">
        <v>0</v>
      </c>
      <c r="AL52" s="110" t="n">
        <v>0</v>
      </c>
      <c r="AM52" s="110" t="n">
        <v>0</v>
      </c>
      <c r="AN52" s="110" t="n">
        <v>0</v>
      </c>
      <c r="AO52" s="110" t="n">
        <v>0</v>
      </c>
      <c r="AP52" s="110" t="n">
        <v>0</v>
      </c>
      <c r="AQ52" s="110" t="n">
        <v>53726</v>
      </c>
      <c r="AR52" s="110" t="n">
        <v>50105</v>
      </c>
      <c r="AS52" s="110" t="n">
        <v>46534</v>
      </c>
      <c r="AT52" s="110" t="n">
        <v>3571</v>
      </c>
      <c r="AU52" s="110" t="n">
        <v>3621</v>
      </c>
      <c r="AV52" s="110" t="n">
        <v>2494</v>
      </c>
      <c r="AW52" s="110" t="n">
        <v>1127</v>
      </c>
      <c r="AX52" s="110" t="n">
        <v>17126</v>
      </c>
      <c r="AY52" s="110" t="n">
        <v>14506</v>
      </c>
      <c r="AZ52" s="110" t="n">
        <v>13985</v>
      </c>
      <c r="BA52" s="110" t="n">
        <v>521</v>
      </c>
      <c r="BB52" s="110" t="n">
        <v>2620</v>
      </c>
      <c r="BC52" s="110" t="n">
        <v>1221</v>
      </c>
      <c r="BD52" s="110" t="n">
        <v>1399</v>
      </c>
      <c r="BE52" s="110" t="n">
        <v>0</v>
      </c>
      <c r="BF52" s="110" t="n">
        <v>0</v>
      </c>
      <c r="BG52" s="110" t="n">
        <v>0</v>
      </c>
      <c r="BH52" s="110" t="n">
        <v>0</v>
      </c>
      <c r="BI52" s="110" t="n">
        <v>0</v>
      </c>
      <c r="BJ52" s="110" t="n">
        <v>0</v>
      </c>
      <c r="BK52" s="110" t="n">
        <v>0</v>
      </c>
      <c r="BL52" s="110" t="n">
        <v>0</v>
      </c>
      <c r="BM52" s="110" t="n">
        <v>0</v>
      </c>
      <c r="BN52" s="110" t="n">
        <v>0</v>
      </c>
      <c r="BO52" s="110" t="n">
        <v>0</v>
      </c>
      <c r="BP52" s="110" t="n">
        <v>0</v>
      </c>
      <c r="BQ52" s="110" t="n">
        <v>0</v>
      </c>
      <c r="BR52" s="110" t="n">
        <v>0</v>
      </c>
      <c r="BS52" s="110" t="n">
        <v>0</v>
      </c>
      <c r="BT52" s="110" t="n">
        <v>0</v>
      </c>
      <c r="BU52" s="110" t="n">
        <v>0</v>
      </c>
      <c r="BV52" s="110" t="n">
        <v>0</v>
      </c>
      <c r="BW52" s="110" t="n">
        <v>0</v>
      </c>
      <c r="BX52" s="110" t="n">
        <v>0</v>
      </c>
      <c r="BY52" s="110" t="n">
        <v>0</v>
      </c>
      <c r="BZ52" s="110" t="n">
        <v>0</v>
      </c>
      <c r="CA52" s="110" t="n">
        <v>0</v>
      </c>
      <c r="CB52" s="110" t="n">
        <v>0</v>
      </c>
      <c r="CC52" s="110" t="n">
        <v>0</v>
      </c>
      <c r="CD52" s="110" t="n">
        <v>0</v>
      </c>
      <c r="CE52" s="110" t="n">
        <v>0</v>
      </c>
      <c r="CF52" s="110" t="n">
        <v>0</v>
      </c>
      <c r="CG52" s="110" t="n">
        <v>0</v>
      </c>
      <c r="CH52" s="110" t="n">
        <v>0</v>
      </c>
      <c r="CI52" s="110" t="n">
        <v>0</v>
      </c>
      <c r="CJ52" s="110" t="n">
        <v>0</v>
      </c>
      <c r="CK52" s="110" t="n">
        <v>0</v>
      </c>
      <c r="CL52" s="110" t="n">
        <v>0</v>
      </c>
      <c r="CM52" s="110" t="n">
        <v>0</v>
      </c>
      <c r="CN52" s="110" t="n">
        <v>0</v>
      </c>
      <c r="CO52" s="110" t="n">
        <v>59377.13</v>
      </c>
      <c r="CP52" s="110" t="n">
        <v>43248.43</v>
      </c>
      <c r="CQ52" s="110" t="n">
        <v>42809.6</v>
      </c>
      <c r="CR52" s="110" t="n">
        <v>3808.81</v>
      </c>
      <c r="CS52" s="110" t="n">
        <v>0</v>
      </c>
      <c r="CT52" s="110" t="n">
        <v>0</v>
      </c>
      <c r="CU52" s="110" t="n">
        <v>0</v>
      </c>
      <c r="CV52" s="111" t="n">
        <v>525</v>
      </c>
      <c r="CW52" s="111" t="n">
        <v>475</v>
      </c>
      <c r="CX52" s="111" t="n">
        <v>466</v>
      </c>
      <c r="CY52" s="111" t="n">
        <v>9</v>
      </c>
      <c r="CZ52" s="111" t="n">
        <v>50</v>
      </c>
      <c r="DA52" s="111" t="n">
        <v>34</v>
      </c>
      <c r="DB52" s="111" t="n">
        <v>16</v>
      </c>
      <c r="DC52" s="111" t="n">
        <v>362</v>
      </c>
      <c r="DD52" s="111" t="n">
        <v>34</v>
      </c>
      <c r="DE52" s="111" t="n">
        <v>334</v>
      </c>
      <c r="DF52" s="111" t="n">
        <v>329</v>
      </c>
      <c r="DG52" s="111" t="n">
        <v>5</v>
      </c>
      <c r="DH52" s="111" t="n">
        <v>28</v>
      </c>
      <c r="DI52" s="111" t="n">
        <v>23</v>
      </c>
      <c r="DJ52" s="111" t="n">
        <v>5</v>
      </c>
      <c r="DK52" s="111" t="n">
        <v>119</v>
      </c>
      <c r="DL52" s="111" t="n">
        <v>106</v>
      </c>
      <c r="DM52" s="111" t="n">
        <v>103</v>
      </c>
      <c r="DN52" s="111" t="n">
        <v>3</v>
      </c>
      <c r="DO52" s="111" t="n">
        <v>13</v>
      </c>
      <c r="DP52" s="111" t="n">
        <v>8</v>
      </c>
      <c r="DQ52" s="111" t="n">
        <v>5</v>
      </c>
      <c r="DR52" s="111" t="n">
        <v>10</v>
      </c>
      <c r="DS52" s="111" t="n">
        <v>0</v>
      </c>
      <c r="DT52" s="111" t="n">
        <v>5</v>
      </c>
      <c r="DU52" s="111" t="n">
        <v>4</v>
      </c>
      <c r="DV52" s="111" t="n">
        <v>1</v>
      </c>
      <c r="DW52" s="111" t="n">
        <v>5</v>
      </c>
      <c r="DX52" s="111" t="n">
        <v>1</v>
      </c>
      <c r="DY52" s="111" t="n">
        <v>4</v>
      </c>
      <c r="DZ52" s="111" t="n">
        <v>0</v>
      </c>
      <c r="EA52" s="111" t="n">
        <v>0</v>
      </c>
      <c r="EB52" s="111" t="n">
        <v>0</v>
      </c>
      <c r="EC52" s="111" t="n">
        <v>0</v>
      </c>
      <c r="ED52" s="111" t="n">
        <v>0</v>
      </c>
      <c r="EE52" s="111" t="n">
        <v>0</v>
      </c>
      <c r="EF52" s="111" t="n">
        <v>0</v>
      </c>
      <c r="EG52" s="111" t="n">
        <v>0</v>
      </c>
      <c r="EH52" s="111" t="n">
        <v>0</v>
      </c>
      <c r="EI52" s="111" t="n">
        <v>0</v>
      </c>
      <c r="EJ52" s="111" t="n">
        <v>0</v>
      </c>
      <c r="EK52" s="111" t="n">
        <v>0</v>
      </c>
      <c r="EL52" s="111" t="n">
        <v>0</v>
      </c>
      <c r="EM52" s="111" t="n">
        <v>0</v>
      </c>
      <c r="EN52" s="111" t="n">
        <v>0</v>
      </c>
      <c r="EO52" s="111" t="n">
        <v>0</v>
      </c>
      <c r="EP52" s="111" t="n">
        <v>0</v>
      </c>
      <c r="EQ52" s="111" t="n">
        <v>0</v>
      </c>
      <c r="ER52" s="111" t="n">
        <v>0</v>
      </c>
      <c r="ES52" s="111" t="n">
        <v>0</v>
      </c>
      <c r="ET52" s="111" t="n">
        <v>0</v>
      </c>
      <c r="EU52" s="111" t="n">
        <v>0</v>
      </c>
      <c r="EV52" s="111" t="n">
        <v>0</v>
      </c>
      <c r="EW52" s="111" t="n">
        <v>0</v>
      </c>
      <c r="EX52" s="111" t="n">
        <v>0</v>
      </c>
      <c r="EY52" s="111" t="n">
        <v>0</v>
      </c>
      <c r="EZ52" s="111" t="n">
        <v>0</v>
      </c>
      <c r="FA52" s="111" t="n">
        <v>0</v>
      </c>
      <c r="FB52" s="111" t="n">
        <v>0</v>
      </c>
    </row>
    <row r="53" ht="19.5" customHeight="1" s="247">
      <c r="A53" s="107" t="n">
        <v>50</v>
      </c>
      <c r="B53" s="107" t="inlineStr">
        <is>
          <t>医技平台</t>
        </is>
      </c>
      <c r="C53" s="107" t="inlineStr">
        <is>
          <t>重症医学科(筹)</t>
        </is>
      </c>
      <c r="D53" s="110" t="n">
        <v>4627674.5</v>
      </c>
      <c r="E53" s="110" t="n">
        <v>0</v>
      </c>
      <c r="F53" s="110" t="n">
        <v>4627674.5</v>
      </c>
      <c r="G53" s="110" t="n">
        <v>0</v>
      </c>
      <c r="H53" s="110" t="n">
        <v>8</v>
      </c>
      <c r="I53" s="110" t="n">
        <v>0</v>
      </c>
      <c r="J53" s="110" t="n">
        <v>0</v>
      </c>
      <c r="K53" s="110" t="n">
        <v>0</v>
      </c>
      <c r="L53" s="110" t="n">
        <v>475721.9</v>
      </c>
      <c r="M53" s="110" t="n">
        <v>1324067.1</v>
      </c>
      <c r="N53" s="110" t="n">
        <v>1237.4</v>
      </c>
      <c r="O53" s="110" t="n">
        <v>8758421.939999999</v>
      </c>
      <c r="P53" s="110" t="n">
        <v>5159271.11</v>
      </c>
      <c r="Q53" s="110" t="n">
        <v>4818758.16</v>
      </c>
      <c r="R53" s="110" t="n">
        <v>340512.95</v>
      </c>
      <c r="S53" s="110" t="n">
        <v>3599150.83</v>
      </c>
      <c r="T53" s="110" t="n">
        <v>3599150.83</v>
      </c>
      <c r="U53" s="110" t="n">
        <v>0</v>
      </c>
      <c r="V53" s="110" t="n">
        <v>0</v>
      </c>
      <c r="W53" s="110" t="n">
        <v>0</v>
      </c>
      <c r="X53" s="110" t="n">
        <v>0</v>
      </c>
      <c r="Y53" s="110" t="n">
        <v>0</v>
      </c>
      <c r="Z53" s="110" t="n">
        <v>0</v>
      </c>
      <c r="AA53" s="110" t="n">
        <v>0</v>
      </c>
      <c r="AB53" s="110" t="n">
        <v>0</v>
      </c>
      <c r="AC53" s="110" t="n">
        <v>0</v>
      </c>
      <c r="AD53" s="110" t="n">
        <v>0</v>
      </c>
      <c r="AE53" s="110" t="n">
        <v>0</v>
      </c>
      <c r="AF53" s="110" t="n">
        <v>0</v>
      </c>
      <c r="AG53" s="110" t="n">
        <v>0</v>
      </c>
      <c r="AH53" s="110" t="n">
        <v>0</v>
      </c>
      <c r="AI53" s="110" t="n">
        <v>0</v>
      </c>
      <c r="AJ53" s="110" t="n">
        <v>0</v>
      </c>
      <c r="AK53" s="110" t="n">
        <v>0</v>
      </c>
      <c r="AL53" s="110" t="n">
        <v>0</v>
      </c>
      <c r="AM53" s="110" t="n">
        <v>0</v>
      </c>
      <c r="AN53" s="110" t="n">
        <v>0</v>
      </c>
      <c r="AO53" s="110" t="n">
        <v>0</v>
      </c>
      <c r="AP53" s="110" t="n">
        <v>0</v>
      </c>
      <c r="AQ53" s="110" t="n">
        <v>0</v>
      </c>
      <c r="AR53" s="110" t="n">
        <v>0</v>
      </c>
      <c r="AS53" s="110" t="n">
        <v>0</v>
      </c>
      <c r="AT53" s="110" t="n">
        <v>0</v>
      </c>
      <c r="AU53" s="110" t="n">
        <v>0</v>
      </c>
      <c r="AV53" s="110" t="n">
        <v>0</v>
      </c>
      <c r="AW53" s="110" t="n">
        <v>0</v>
      </c>
      <c r="AX53" s="110" t="n">
        <v>0</v>
      </c>
      <c r="AY53" s="110" t="n">
        <v>0</v>
      </c>
      <c r="AZ53" s="110" t="n">
        <v>0</v>
      </c>
      <c r="BA53" s="110" t="n">
        <v>0</v>
      </c>
      <c r="BB53" s="110" t="n">
        <v>0</v>
      </c>
      <c r="BC53" s="110" t="n">
        <v>0</v>
      </c>
      <c r="BD53" s="110" t="n">
        <v>0</v>
      </c>
      <c r="BE53" s="110" t="n">
        <v>8758421.939999999</v>
      </c>
      <c r="BF53" s="110" t="n">
        <v>5159271.11</v>
      </c>
      <c r="BG53" s="110" t="n">
        <v>4818758.16</v>
      </c>
      <c r="BH53" s="110" t="n">
        <v>340512.95</v>
      </c>
      <c r="BI53" s="110" t="n">
        <v>3599150.83</v>
      </c>
      <c r="BJ53" s="110" t="n">
        <v>3599150.83</v>
      </c>
      <c r="BK53" s="110" t="n">
        <v>0</v>
      </c>
      <c r="BL53" s="110" t="n">
        <v>1915406.39</v>
      </c>
      <c r="BM53" s="110" t="n">
        <v>997466.96</v>
      </c>
      <c r="BN53" s="110" t="n">
        <v>965827.9</v>
      </c>
      <c r="BO53" s="110" t="n">
        <v>31639.06</v>
      </c>
      <c r="BP53" s="110" t="n">
        <v>917939.4300000001</v>
      </c>
      <c r="BQ53" s="110" t="n">
        <v>917939.4300000001</v>
      </c>
      <c r="BR53" s="110" t="n">
        <v>0</v>
      </c>
      <c r="BS53" s="110" t="n">
        <v>2215341.05</v>
      </c>
      <c r="BT53" s="110" t="n">
        <v>1396042.9</v>
      </c>
      <c r="BU53" s="110" t="n">
        <v>1249365.86</v>
      </c>
      <c r="BV53" s="110" t="n">
        <v>146677.04</v>
      </c>
      <c r="BW53" s="110" t="n">
        <v>819298.15</v>
      </c>
      <c r="BX53" s="110" t="n">
        <v>819298.15</v>
      </c>
      <c r="BY53" s="110" t="n">
        <v>0</v>
      </c>
      <c r="BZ53" s="110" t="n">
        <v>2025975.5</v>
      </c>
      <c r="CA53" s="110" t="n">
        <v>1204873</v>
      </c>
      <c r="CB53" s="110" t="n">
        <v>1146360</v>
      </c>
      <c r="CC53" s="110" t="n">
        <v>58513</v>
      </c>
      <c r="CD53" s="110" t="n">
        <v>821102.5</v>
      </c>
      <c r="CE53" s="110" t="n">
        <v>821102.5</v>
      </c>
      <c r="CF53" s="110" t="n">
        <v>0</v>
      </c>
      <c r="CG53" s="110" t="n">
        <v>2601699</v>
      </c>
      <c r="CH53" s="110" t="n">
        <v>1560888.25</v>
      </c>
      <c r="CI53" s="110" t="n">
        <v>1457204.4</v>
      </c>
      <c r="CJ53" s="110" t="n">
        <v>103683.85</v>
      </c>
      <c r="CK53" s="110" t="n">
        <v>1040810.75</v>
      </c>
      <c r="CL53" s="110" t="n">
        <v>1040810.75</v>
      </c>
      <c r="CM53" s="110" t="n">
        <v>0</v>
      </c>
      <c r="CN53" s="110" t="n">
        <v>0</v>
      </c>
      <c r="CO53" s="110" t="n">
        <v>0</v>
      </c>
      <c r="CP53" s="110" t="n">
        <v>0</v>
      </c>
      <c r="CQ53" s="110" t="n">
        <v>0</v>
      </c>
      <c r="CR53" s="110" t="n">
        <v>0</v>
      </c>
      <c r="CS53" s="110" t="n">
        <v>0</v>
      </c>
      <c r="CT53" s="110" t="n">
        <v>0</v>
      </c>
      <c r="CU53" s="110" t="n">
        <v>0</v>
      </c>
      <c r="CV53" s="111" t="n">
        <v>0</v>
      </c>
      <c r="CW53" s="111" t="n">
        <v>0</v>
      </c>
      <c r="CX53" s="111" t="n">
        <v>0</v>
      </c>
      <c r="CY53" s="111" t="n">
        <v>0</v>
      </c>
      <c r="CZ53" s="111" t="n">
        <v>0</v>
      </c>
      <c r="DA53" s="111" t="n">
        <v>0</v>
      </c>
      <c r="DB53" s="111" t="n">
        <v>0</v>
      </c>
      <c r="DC53" s="111" t="n">
        <v>0</v>
      </c>
      <c r="DD53" s="111" t="n">
        <v>0</v>
      </c>
      <c r="DE53" s="111" t="n">
        <v>0</v>
      </c>
      <c r="DF53" s="111" t="n">
        <v>0</v>
      </c>
      <c r="DG53" s="111" t="n">
        <v>0</v>
      </c>
      <c r="DH53" s="111" t="n">
        <v>0</v>
      </c>
      <c r="DI53" s="111" t="n">
        <v>0</v>
      </c>
      <c r="DJ53" s="111" t="n">
        <v>0</v>
      </c>
      <c r="DK53" s="111" t="n">
        <v>0</v>
      </c>
      <c r="DL53" s="111" t="n">
        <v>0</v>
      </c>
      <c r="DM53" s="111" t="n">
        <v>0</v>
      </c>
      <c r="DN53" s="111" t="n">
        <v>0</v>
      </c>
      <c r="DO53" s="111" t="n">
        <v>0</v>
      </c>
      <c r="DP53" s="111" t="n">
        <v>0</v>
      </c>
      <c r="DQ53" s="111" t="n">
        <v>0</v>
      </c>
      <c r="DR53" s="111" t="n">
        <v>0</v>
      </c>
      <c r="DS53" s="111" t="n">
        <v>0</v>
      </c>
      <c r="DT53" s="111" t="n">
        <v>0</v>
      </c>
      <c r="DU53" s="111" t="n">
        <v>0</v>
      </c>
      <c r="DV53" s="111" t="n">
        <v>0</v>
      </c>
      <c r="DW53" s="111" t="n">
        <v>0</v>
      </c>
      <c r="DX53" s="111" t="n">
        <v>0</v>
      </c>
      <c r="DY53" s="111" t="n">
        <v>0</v>
      </c>
      <c r="DZ53" s="111" t="n">
        <v>0</v>
      </c>
      <c r="EA53" s="111" t="n">
        <v>0</v>
      </c>
      <c r="EB53" s="111" t="n">
        <v>0</v>
      </c>
      <c r="EC53" s="111" t="n">
        <v>0</v>
      </c>
      <c r="ED53" s="111" t="n">
        <v>0</v>
      </c>
      <c r="EE53" s="111" t="n">
        <v>0</v>
      </c>
      <c r="EF53" s="111" t="n">
        <v>0</v>
      </c>
      <c r="EG53" s="111" t="n">
        <v>8</v>
      </c>
      <c r="EH53" s="111" t="n">
        <v>6</v>
      </c>
      <c r="EI53" s="111" t="n">
        <v>6</v>
      </c>
      <c r="EJ53" s="111" t="n">
        <v>0</v>
      </c>
      <c r="EK53" s="111" t="n">
        <v>2</v>
      </c>
      <c r="EL53" s="111" t="n">
        <v>2</v>
      </c>
      <c r="EM53" s="111" t="n">
        <v>0</v>
      </c>
      <c r="EN53" s="111" t="n">
        <v>7</v>
      </c>
      <c r="EO53" s="111" t="n">
        <v>0</v>
      </c>
      <c r="EP53" s="111" t="n">
        <v>0</v>
      </c>
      <c r="EQ53" s="111" t="n">
        <v>7</v>
      </c>
      <c r="ER53" s="111" t="n">
        <v>0</v>
      </c>
      <c r="ES53" s="111" t="n">
        <v>0</v>
      </c>
      <c r="ET53" s="111" t="n">
        <v>0</v>
      </c>
      <c r="EU53" s="111" t="n">
        <v>0</v>
      </c>
      <c r="EV53" s="111" t="n">
        <v>0</v>
      </c>
      <c r="EW53" s="111" t="n">
        <v>0</v>
      </c>
      <c r="EX53" s="111" t="n">
        <v>0</v>
      </c>
      <c r="EY53" s="111" t="n">
        <v>0</v>
      </c>
      <c r="EZ53" s="111" t="n">
        <v>0</v>
      </c>
      <c r="FA53" s="111" t="n">
        <v>0</v>
      </c>
      <c r="FB53" s="111" t="n">
        <v>0</v>
      </c>
    </row>
    <row r="54" ht="19.5" customHeight="1" s="247">
      <c r="A54" s="107" t="n">
        <v>51</v>
      </c>
      <c r="B54" s="107" t="inlineStr">
        <is>
          <t>成人手术</t>
        </is>
      </c>
      <c r="C54" s="107" t="inlineStr">
        <is>
          <t>疼痛科</t>
        </is>
      </c>
      <c r="D54" s="110" t="n">
        <v>1845179.5</v>
      </c>
      <c r="E54" s="110" t="n">
        <v>350661</v>
      </c>
      <c r="F54" s="110" t="n">
        <v>1494518.5</v>
      </c>
      <c r="G54" s="110" t="n">
        <v>2258</v>
      </c>
      <c r="H54" s="110" t="n">
        <v>306</v>
      </c>
      <c r="I54" s="110" t="n">
        <v>32762</v>
      </c>
      <c r="J54" s="110" t="n">
        <v>0</v>
      </c>
      <c r="K54" s="110" t="n">
        <v>798</v>
      </c>
      <c r="L54" s="110" t="n">
        <v>82877</v>
      </c>
      <c r="M54" s="110" t="n">
        <v>795194.5</v>
      </c>
      <c r="N54" s="110" t="n">
        <v>0</v>
      </c>
      <c r="O54" s="110" t="n">
        <v>4967813.25</v>
      </c>
      <c r="P54" s="110" t="n">
        <v>3665726.09</v>
      </c>
      <c r="Q54" s="110" t="n">
        <v>3577118.17</v>
      </c>
      <c r="R54" s="110" t="n">
        <v>88607.92</v>
      </c>
      <c r="S54" s="110" t="n">
        <v>1302087.16</v>
      </c>
      <c r="T54" s="110" t="n">
        <v>1280302.18</v>
      </c>
      <c r="U54" s="110" t="n">
        <v>21784.98</v>
      </c>
      <c r="V54" s="110" t="n">
        <v>732571.41</v>
      </c>
      <c r="W54" s="110" t="n">
        <v>623011.1899999999</v>
      </c>
      <c r="X54" s="110" t="n">
        <v>598734.21</v>
      </c>
      <c r="Y54" s="110" t="n">
        <v>24276.98</v>
      </c>
      <c r="Z54" s="110" t="n">
        <v>109560.22</v>
      </c>
      <c r="AA54" s="110" t="n">
        <v>87775.24000000001</v>
      </c>
      <c r="AB54" s="110" t="n">
        <v>21784.98</v>
      </c>
      <c r="AC54" s="110" t="n">
        <v>359189.42</v>
      </c>
      <c r="AD54" s="110" t="n">
        <v>312266.6</v>
      </c>
      <c r="AE54" s="110" t="n">
        <v>304620.62</v>
      </c>
      <c r="AF54" s="110" t="n">
        <v>7645.98</v>
      </c>
      <c r="AG54" s="110" t="n">
        <v>46922.82</v>
      </c>
      <c r="AH54" s="110" t="n">
        <v>38867.84</v>
      </c>
      <c r="AI54" s="110" t="n">
        <v>8054.98</v>
      </c>
      <c r="AJ54" s="110" t="n">
        <v>22720.99</v>
      </c>
      <c r="AK54" s="110" t="n">
        <v>15342.59</v>
      </c>
      <c r="AL54" s="110" t="n">
        <v>15342.59</v>
      </c>
      <c r="AM54" s="110" t="n">
        <v>0</v>
      </c>
      <c r="AN54" s="110" t="n">
        <v>7378.4</v>
      </c>
      <c r="AO54" s="110" t="n">
        <v>6518.4</v>
      </c>
      <c r="AP54" s="110" t="n">
        <v>860</v>
      </c>
      <c r="AQ54" s="110" t="n">
        <v>242230</v>
      </c>
      <c r="AR54" s="110" t="n">
        <v>209271</v>
      </c>
      <c r="AS54" s="110" t="n">
        <v>198747</v>
      </c>
      <c r="AT54" s="110" t="n">
        <v>10524</v>
      </c>
      <c r="AU54" s="110" t="n">
        <v>32959</v>
      </c>
      <c r="AV54" s="110" t="n">
        <v>26067</v>
      </c>
      <c r="AW54" s="110" t="n">
        <v>6892</v>
      </c>
      <c r="AX54" s="110" t="n">
        <v>108431</v>
      </c>
      <c r="AY54" s="110" t="n">
        <v>86131</v>
      </c>
      <c r="AZ54" s="110" t="n">
        <v>80024</v>
      </c>
      <c r="BA54" s="110" t="n">
        <v>6107</v>
      </c>
      <c r="BB54" s="110" t="n">
        <v>22300</v>
      </c>
      <c r="BC54" s="110" t="n">
        <v>16322</v>
      </c>
      <c r="BD54" s="110" t="n">
        <v>5978</v>
      </c>
      <c r="BE54" s="110" t="n">
        <v>4235241.84</v>
      </c>
      <c r="BF54" s="110" t="n">
        <v>3042714.9</v>
      </c>
      <c r="BG54" s="110" t="n">
        <v>2978383.96</v>
      </c>
      <c r="BH54" s="110" t="n">
        <v>64330.94</v>
      </c>
      <c r="BI54" s="110" t="n">
        <v>1192526.94</v>
      </c>
      <c r="BJ54" s="110" t="n">
        <v>1192526.94</v>
      </c>
      <c r="BK54" s="110" t="n">
        <v>0</v>
      </c>
      <c r="BL54" s="110" t="n">
        <v>177945.77</v>
      </c>
      <c r="BM54" s="110" t="n">
        <v>119533.1</v>
      </c>
      <c r="BN54" s="110" t="n">
        <v>118020.13</v>
      </c>
      <c r="BO54" s="110" t="n">
        <v>1512.97</v>
      </c>
      <c r="BP54" s="110" t="n">
        <v>58412.67</v>
      </c>
      <c r="BQ54" s="110" t="n">
        <v>58412.67</v>
      </c>
      <c r="BR54" s="110" t="n">
        <v>0</v>
      </c>
      <c r="BS54" s="110" t="n">
        <v>2562777.57</v>
      </c>
      <c r="BT54" s="110" t="n">
        <v>1859144.8</v>
      </c>
      <c r="BU54" s="110" t="n">
        <v>1829311.83</v>
      </c>
      <c r="BV54" s="110" t="n">
        <v>29832.97</v>
      </c>
      <c r="BW54" s="110" t="n">
        <v>703632.77</v>
      </c>
      <c r="BX54" s="110" t="n">
        <v>703632.77</v>
      </c>
      <c r="BY54" s="110" t="n">
        <v>0</v>
      </c>
      <c r="BZ54" s="110" t="n">
        <v>454654</v>
      </c>
      <c r="CA54" s="110" t="n">
        <v>310950</v>
      </c>
      <c r="CB54" s="110" t="n">
        <v>302943</v>
      </c>
      <c r="CC54" s="110" t="n">
        <v>8007</v>
      </c>
      <c r="CD54" s="110" t="n">
        <v>143704</v>
      </c>
      <c r="CE54" s="110" t="n">
        <v>143704</v>
      </c>
      <c r="CF54" s="110" t="n">
        <v>0</v>
      </c>
      <c r="CG54" s="110" t="n">
        <v>1039864.5</v>
      </c>
      <c r="CH54" s="110" t="n">
        <v>753087</v>
      </c>
      <c r="CI54" s="110" t="n">
        <v>728109</v>
      </c>
      <c r="CJ54" s="110" t="n">
        <v>24978</v>
      </c>
      <c r="CK54" s="110" t="n">
        <v>286777.5</v>
      </c>
      <c r="CL54" s="110" t="n">
        <v>286777.5</v>
      </c>
      <c r="CM54" s="110" t="n">
        <v>0</v>
      </c>
      <c r="CN54" s="110" t="n">
        <v>0</v>
      </c>
      <c r="CO54" s="110" t="n">
        <v>454003.87</v>
      </c>
      <c r="CP54" s="110" t="n">
        <v>225163.16</v>
      </c>
      <c r="CQ54" s="110" t="n">
        <v>41802.91</v>
      </c>
      <c r="CR54" s="110" t="n">
        <v>11601.47</v>
      </c>
      <c r="CS54" s="110" t="n">
        <v>0</v>
      </c>
      <c r="CT54" s="110" t="n">
        <v>29546.8</v>
      </c>
      <c r="CU54" s="110" t="n">
        <v>0</v>
      </c>
      <c r="CV54" s="111" t="n">
        <v>2258</v>
      </c>
      <c r="CW54" s="111" t="n">
        <v>1878</v>
      </c>
      <c r="CX54" s="111" t="n">
        <v>1781</v>
      </c>
      <c r="CY54" s="111" t="n">
        <v>97</v>
      </c>
      <c r="CZ54" s="111" t="n">
        <v>380</v>
      </c>
      <c r="DA54" s="111" t="n">
        <v>285</v>
      </c>
      <c r="DB54" s="111" t="n">
        <v>95</v>
      </c>
      <c r="DC54" s="111" t="n">
        <v>1477</v>
      </c>
      <c r="DD54" s="111" t="n">
        <v>0</v>
      </c>
      <c r="DE54" s="111" t="n">
        <v>1271</v>
      </c>
      <c r="DF54" s="111" t="n">
        <v>1212</v>
      </c>
      <c r="DG54" s="111" t="n">
        <v>59</v>
      </c>
      <c r="DH54" s="111" t="n">
        <v>206</v>
      </c>
      <c r="DI54" s="111" t="n">
        <v>150</v>
      </c>
      <c r="DJ54" s="111" t="n">
        <v>56</v>
      </c>
      <c r="DK54" s="111" t="n">
        <v>762</v>
      </c>
      <c r="DL54" s="111" t="n">
        <v>595</v>
      </c>
      <c r="DM54" s="111" t="n">
        <v>559</v>
      </c>
      <c r="DN54" s="111" t="n">
        <v>36</v>
      </c>
      <c r="DO54" s="111" t="n">
        <v>167</v>
      </c>
      <c r="DP54" s="111" t="n">
        <v>131</v>
      </c>
      <c r="DQ54" s="111" t="n">
        <v>36</v>
      </c>
      <c r="DR54" s="111" t="n">
        <v>19</v>
      </c>
      <c r="DS54" s="111" t="n">
        <v>0</v>
      </c>
      <c r="DT54" s="111" t="n">
        <v>12</v>
      </c>
      <c r="DU54" s="111" t="n">
        <v>10</v>
      </c>
      <c r="DV54" s="111" t="n">
        <v>2</v>
      </c>
      <c r="DW54" s="111" t="n">
        <v>7</v>
      </c>
      <c r="DX54" s="111" t="n">
        <v>4</v>
      </c>
      <c r="DY54" s="111" t="n">
        <v>3</v>
      </c>
      <c r="DZ54" s="111" t="n">
        <v>0</v>
      </c>
      <c r="EA54" s="111" t="n">
        <v>0</v>
      </c>
      <c r="EB54" s="111" t="n">
        <v>0</v>
      </c>
      <c r="EC54" s="111" t="n">
        <v>0</v>
      </c>
      <c r="ED54" s="111" t="n">
        <v>0</v>
      </c>
      <c r="EE54" s="111" t="n">
        <v>0</v>
      </c>
      <c r="EF54" s="111" t="n">
        <v>0</v>
      </c>
      <c r="EG54" s="111" t="n">
        <v>306</v>
      </c>
      <c r="EH54" s="111" t="n">
        <v>218</v>
      </c>
      <c r="EI54" s="111" t="n">
        <v>212</v>
      </c>
      <c r="EJ54" s="111" t="n">
        <v>6</v>
      </c>
      <c r="EK54" s="111" t="n">
        <v>88</v>
      </c>
      <c r="EL54" s="111" t="n">
        <v>88</v>
      </c>
      <c r="EM54" s="111" t="n">
        <v>0</v>
      </c>
      <c r="EN54" s="111" t="n">
        <v>275</v>
      </c>
      <c r="EO54" s="111" t="n">
        <v>272</v>
      </c>
      <c r="EP54" s="111" t="n">
        <v>0</v>
      </c>
      <c r="EQ54" s="111" t="n">
        <v>3</v>
      </c>
      <c r="ER54" s="111" t="n">
        <v>5</v>
      </c>
      <c r="ES54" s="111" t="n">
        <v>0</v>
      </c>
      <c r="ET54" s="111" t="n">
        <v>0</v>
      </c>
      <c r="EU54" s="111" t="n">
        <v>14</v>
      </c>
      <c r="EV54" s="111" t="n">
        <v>13</v>
      </c>
      <c r="EW54" s="111" t="n">
        <v>0</v>
      </c>
      <c r="EX54" s="111" t="n">
        <v>1</v>
      </c>
      <c r="EY54" s="111" t="n">
        <v>8</v>
      </c>
      <c r="EZ54" s="111" t="n">
        <v>8</v>
      </c>
      <c r="FA54" s="111" t="n">
        <v>0</v>
      </c>
      <c r="FB54" s="111" t="n">
        <v>1</v>
      </c>
    </row>
    <row r="55" ht="19.5" customHeight="1" s="247">
      <c r="A55" s="107" t="n">
        <v>52</v>
      </c>
      <c r="B55" s="107" t="inlineStr">
        <is>
          <t>成人非手术</t>
        </is>
      </c>
      <c r="C55" s="107" t="inlineStr">
        <is>
          <t>生殖医学中心</t>
        </is>
      </c>
      <c r="D55" s="110" t="n">
        <v>2653728</v>
      </c>
      <c r="E55" s="110" t="n">
        <v>2653728</v>
      </c>
      <c r="F55" s="110" t="n">
        <v>0</v>
      </c>
      <c r="G55" s="110" t="n">
        <v>2101</v>
      </c>
      <c r="H55" s="110" t="n">
        <v>0</v>
      </c>
      <c r="I55" s="110" t="n">
        <v>1283026</v>
      </c>
      <c r="J55" s="110" t="n">
        <v>9246</v>
      </c>
      <c r="K55" s="110" t="n">
        <v>0</v>
      </c>
      <c r="L55" s="110" t="n">
        <v>0</v>
      </c>
      <c r="M55" s="110" t="n">
        <v>0</v>
      </c>
      <c r="N55" s="110" t="n">
        <v>0</v>
      </c>
      <c r="O55" s="110" t="n">
        <v>3176604.12</v>
      </c>
      <c r="P55" s="110" t="n">
        <v>2445802.37</v>
      </c>
      <c r="Q55" s="110" t="n">
        <v>2358181.63</v>
      </c>
      <c r="R55" s="110" t="n">
        <v>87620.74000000001</v>
      </c>
      <c r="S55" s="110" t="n">
        <v>730801.75</v>
      </c>
      <c r="T55" s="110" t="n">
        <v>486606.15</v>
      </c>
      <c r="U55" s="110" t="n">
        <v>244195.6</v>
      </c>
      <c r="V55" s="110" t="n">
        <v>3176604.12</v>
      </c>
      <c r="W55" s="110" t="n">
        <v>2445802.37</v>
      </c>
      <c r="X55" s="110" t="n">
        <v>2358181.63</v>
      </c>
      <c r="Y55" s="110" t="n">
        <v>87620.74000000001</v>
      </c>
      <c r="Z55" s="110" t="n">
        <v>730801.75</v>
      </c>
      <c r="AA55" s="110" t="n">
        <v>486606.15</v>
      </c>
      <c r="AB55" s="110" t="n">
        <v>244195.6</v>
      </c>
      <c r="AC55" s="110" t="n">
        <v>522403.2</v>
      </c>
      <c r="AD55" s="110" t="n">
        <v>400143.45</v>
      </c>
      <c r="AE55" s="110" t="n">
        <v>389003.71</v>
      </c>
      <c r="AF55" s="110" t="n">
        <v>11139.74</v>
      </c>
      <c r="AG55" s="110" t="n">
        <v>122259.75</v>
      </c>
      <c r="AH55" s="110" t="n">
        <v>95684.14999999999</v>
      </c>
      <c r="AI55" s="110" t="n">
        <v>26575.6</v>
      </c>
      <c r="AJ55" s="110" t="n">
        <v>472.92</v>
      </c>
      <c r="AK55" s="110" t="n">
        <v>472.92</v>
      </c>
      <c r="AL55" s="110" t="n">
        <v>472.92</v>
      </c>
      <c r="AM55" s="110" t="n">
        <v>0</v>
      </c>
      <c r="AN55" s="110" t="n">
        <v>0</v>
      </c>
      <c r="AO55" s="110" t="n">
        <v>0</v>
      </c>
      <c r="AP55" s="110" t="n">
        <v>0</v>
      </c>
      <c r="AQ55" s="110" t="n">
        <v>1208684</v>
      </c>
      <c r="AR55" s="110" t="n">
        <v>967771</v>
      </c>
      <c r="AS55" s="110" t="n">
        <v>938110</v>
      </c>
      <c r="AT55" s="110" t="n">
        <v>29661</v>
      </c>
      <c r="AU55" s="110" t="n">
        <v>240913</v>
      </c>
      <c r="AV55" s="110" t="n">
        <v>117527</v>
      </c>
      <c r="AW55" s="110" t="n">
        <v>123386</v>
      </c>
      <c r="AX55" s="110" t="n">
        <v>1445044</v>
      </c>
      <c r="AY55" s="110" t="n">
        <v>1077415</v>
      </c>
      <c r="AZ55" s="110" t="n">
        <v>1030595</v>
      </c>
      <c r="BA55" s="110" t="n">
        <v>46820</v>
      </c>
      <c r="BB55" s="110" t="n">
        <v>367629</v>
      </c>
      <c r="BC55" s="110" t="n">
        <v>273395</v>
      </c>
      <c r="BD55" s="110" t="n">
        <v>94234</v>
      </c>
      <c r="BE55" s="110" t="n">
        <v>0</v>
      </c>
      <c r="BF55" s="110" t="n">
        <v>0</v>
      </c>
      <c r="BG55" s="110" t="n">
        <v>0</v>
      </c>
      <c r="BH55" s="110" t="n">
        <v>0</v>
      </c>
      <c r="BI55" s="110" t="n">
        <v>0</v>
      </c>
      <c r="BJ55" s="110" t="n">
        <v>0</v>
      </c>
      <c r="BK55" s="110" t="n">
        <v>0</v>
      </c>
      <c r="BL55" s="110" t="n">
        <v>0</v>
      </c>
      <c r="BM55" s="110" t="n">
        <v>0</v>
      </c>
      <c r="BN55" s="110" t="n">
        <v>0</v>
      </c>
      <c r="BO55" s="110" t="n">
        <v>0</v>
      </c>
      <c r="BP55" s="110" t="n">
        <v>0</v>
      </c>
      <c r="BQ55" s="110" t="n">
        <v>0</v>
      </c>
      <c r="BR55" s="110" t="n">
        <v>0</v>
      </c>
      <c r="BS55" s="110" t="n">
        <v>0</v>
      </c>
      <c r="BT55" s="110" t="n">
        <v>0</v>
      </c>
      <c r="BU55" s="110" t="n">
        <v>0</v>
      </c>
      <c r="BV55" s="110" t="n">
        <v>0</v>
      </c>
      <c r="BW55" s="110" t="n">
        <v>0</v>
      </c>
      <c r="BX55" s="110" t="n">
        <v>0</v>
      </c>
      <c r="BY55" s="110" t="n">
        <v>0</v>
      </c>
      <c r="BZ55" s="110" t="n">
        <v>0</v>
      </c>
      <c r="CA55" s="110" t="n">
        <v>0</v>
      </c>
      <c r="CB55" s="110" t="n">
        <v>0</v>
      </c>
      <c r="CC55" s="110" t="n">
        <v>0</v>
      </c>
      <c r="CD55" s="110" t="n">
        <v>0</v>
      </c>
      <c r="CE55" s="110" t="n">
        <v>0</v>
      </c>
      <c r="CF55" s="110" t="n">
        <v>0</v>
      </c>
      <c r="CG55" s="110" t="n">
        <v>0</v>
      </c>
      <c r="CH55" s="110" t="n">
        <v>0</v>
      </c>
      <c r="CI55" s="110" t="n">
        <v>0</v>
      </c>
      <c r="CJ55" s="110" t="n">
        <v>0</v>
      </c>
      <c r="CK55" s="110" t="n">
        <v>0</v>
      </c>
      <c r="CL55" s="110" t="n">
        <v>0</v>
      </c>
      <c r="CM55" s="110" t="n">
        <v>0</v>
      </c>
      <c r="CN55" s="110" t="n">
        <v>0</v>
      </c>
      <c r="CO55" s="110" t="n">
        <v>514995.67</v>
      </c>
      <c r="CP55" s="110" t="n">
        <v>1638452.8</v>
      </c>
      <c r="CQ55" s="110" t="n">
        <v>299481.19</v>
      </c>
      <c r="CR55" s="110" t="n">
        <v>721302.46</v>
      </c>
      <c r="CS55" s="110" t="n">
        <v>2372</v>
      </c>
      <c r="CT55" s="110" t="n">
        <v>0</v>
      </c>
      <c r="CU55" s="110" t="n">
        <v>0</v>
      </c>
      <c r="CV55" s="111" t="n">
        <v>2101</v>
      </c>
      <c r="CW55" s="111" t="n">
        <v>1784</v>
      </c>
      <c r="CX55" s="111" t="n">
        <v>1680</v>
      </c>
      <c r="CY55" s="111" t="n">
        <v>104</v>
      </c>
      <c r="CZ55" s="111" t="n">
        <v>317</v>
      </c>
      <c r="DA55" s="111" t="n">
        <v>208</v>
      </c>
      <c r="DB55" s="111" t="n">
        <v>109</v>
      </c>
      <c r="DC55" s="111" t="n">
        <v>632</v>
      </c>
      <c r="DD55" s="111" t="n">
        <v>0</v>
      </c>
      <c r="DE55" s="111" t="n">
        <v>550</v>
      </c>
      <c r="DF55" s="111" t="n">
        <v>525</v>
      </c>
      <c r="DG55" s="111" t="n">
        <v>25</v>
      </c>
      <c r="DH55" s="111" t="n">
        <v>82</v>
      </c>
      <c r="DI55" s="111" t="n">
        <v>57</v>
      </c>
      <c r="DJ55" s="111" t="n">
        <v>25</v>
      </c>
      <c r="DK55" s="111" t="n">
        <v>1352</v>
      </c>
      <c r="DL55" s="111" t="n">
        <v>1138</v>
      </c>
      <c r="DM55" s="111" t="n">
        <v>1063</v>
      </c>
      <c r="DN55" s="111" t="n">
        <v>75</v>
      </c>
      <c r="DO55" s="111" t="n">
        <v>214</v>
      </c>
      <c r="DP55" s="111" t="n">
        <v>136</v>
      </c>
      <c r="DQ55" s="111" t="n">
        <v>78</v>
      </c>
      <c r="DR55" s="111" t="n">
        <v>117</v>
      </c>
      <c r="DS55" s="111" t="n">
        <v>0</v>
      </c>
      <c r="DT55" s="111" t="n">
        <v>96</v>
      </c>
      <c r="DU55" s="111" t="n">
        <v>92</v>
      </c>
      <c r="DV55" s="111" t="n">
        <v>4</v>
      </c>
      <c r="DW55" s="111" t="n">
        <v>21</v>
      </c>
      <c r="DX55" s="111" t="n">
        <v>15</v>
      </c>
      <c r="DY55" s="111" t="n">
        <v>6</v>
      </c>
      <c r="DZ55" s="111" t="n">
        <v>0</v>
      </c>
      <c r="EA55" s="111" t="n">
        <v>0</v>
      </c>
      <c r="EB55" s="111" t="n">
        <v>0</v>
      </c>
      <c r="EC55" s="111" t="n">
        <v>0</v>
      </c>
      <c r="ED55" s="111" t="n">
        <v>0</v>
      </c>
      <c r="EE55" s="111" t="n">
        <v>0</v>
      </c>
      <c r="EF55" s="111" t="n">
        <v>0</v>
      </c>
      <c r="EG55" s="111" t="n">
        <v>0</v>
      </c>
      <c r="EH55" s="111" t="n">
        <v>0</v>
      </c>
      <c r="EI55" s="111" t="n">
        <v>0</v>
      </c>
      <c r="EJ55" s="111" t="n">
        <v>0</v>
      </c>
      <c r="EK55" s="111" t="n">
        <v>0</v>
      </c>
      <c r="EL55" s="111" t="n">
        <v>0</v>
      </c>
      <c r="EM55" s="111" t="n">
        <v>0</v>
      </c>
      <c r="EN55" s="111" t="n">
        <v>0</v>
      </c>
      <c r="EO55" s="111" t="n">
        <v>0</v>
      </c>
      <c r="EP55" s="111" t="n">
        <v>0</v>
      </c>
      <c r="EQ55" s="111" t="n">
        <v>0</v>
      </c>
      <c r="ER55" s="111" t="n">
        <v>0</v>
      </c>
      <c r="ES55" s="111" t="n">
        <v>0</v>
      </c>
      <c r="ET55" s="111" t="n">
        <v>0</v>
      </c>
      <c r="EU55" s="111" t="n">
        <v>0</v>
      </c>
      <c r="EV55" s="111" t="n">
        <v>0</v>
      </c>
      <c r="EW55" s="111" t="n">
        <v>0</v>
      </c>
      <c r="EX55" s="111" t="n">
        <v>0</v>
      </c>
      <c r="EY55" s="111" t="n">
        <v>0</v>
      </c>
      <c r="EZ55" s="111" t="n">
        <v>0</v>
      </c>
      <c r="FA55" s="111" t="n">
        <v>0</v>
      </c>
      <c r="FB55" s="111" t="n">
        <v>0</v>
      </c>
    </row>
    <row r="56" ht="19.5" customHeight="1" s="247">
      <c r="A56" s="107" t="n">
        <v>53</v>
      </c>
      <c r="B56" s="107" t="inlineStr">
        <is>
          <t>其他</t>
        </is>
      </c>
      <c r="C56" s="107" t="inlineStr">
        <is>
          <t>上海市罕见病诊治中心</t>
        </is>
      </c>
      <c r="D56" s="110" t="n">
        <v>2234</v>
      </c>
      <c r="E56" s="110" t="n">
        <v>2234</v>
      </c>
      <c r="F56" s="110" t="n">
        <v>0</v>
      </c>
      <c r="G56" s="110" t="n">
        <v>13</v>
      </c>
      <c r="H56" s="110" t="n">
        <v>0</v>
      </c>
      <c r="I56" s="110" t="n">
        <v>16</v>
      </c>
      <c r="J56" s="110" t="n">
        <v>0</v>
      </c>
      <c r="K56" s="110" t="n">
        <v>0</v>
      </c>
      <c r="L56" s="110" t="n">
        <v>0</v>
      </c>
      <c r="M56" s="110" t="n">
        <v>0</v>
      </c>
      <c r="N56" s="110" t="n">
        <v>0</v>
      </c>
      <c r="O56" s="110" t="n">
        <v>139969.31</v>
      </c>
      <c r="P56" s="110" t="n">
        <v>138901.31</v>
      </c>
      <c r="Q56" s="110" t="n">
        <v>138901.31</v>
      </c>
      <c r="R56" s="110" t="n">
        <v>0</v>
      </c>
      <c r="S56" s="110" t="n">
        <v>1068</v>
      </c>
      <c r="T56" s="110" t="n">
        <v>1043</v>
      </c>
      <c r="U56" s="110" t="n">
        <v>25</v>
      </c>
      <c r="V56" s="110" t="n">
        <v>139969.31</v>
      </c>
      <c r="W56" s="110" t="n">
        <v>138901.31</v>
      </c>
      <c r="X56" s="110" t="n">
        <v>138901.31</v>
      </c>
      <c r="Y56" s="110" t="n">
        <v>0</v>
      </c>
      <c r="Z56" s="110" t="n">
        <v>1068</v>
      </c>
      <c r="AA56" s="110" t="n">
        <v>1043</v>
      </c>
      <c r="AB56" s="110" t="n">
        <v>25</v>
      </c>
      <c r="AC56" s="110" t="n">
        <v>137692.31</v>
      </c>
      <c r="AD56" s="110" t="n">
        <v>137259.31</v>
      </c>
      <c r="AE56" s="110" t="n">
        <v>137259.31</v>
      </c>
      <c r="AF56" s="110" t="n">
        <v>0</v>
      </c>
      <c r="AG56" s="110" t="n">
        <v>433</v>
      </c>
      <c r="AH56" s="110" t="n">
        <v>433</v>
      </c>
      <c r="AI56" s="110" t="n">
        <v>0</v>
      </c>
      <c r="AJ56" s="110" t="n">
        <v>43</v>
      </c>
      <c r="AK56" s="110" t="n">
        <v>0</v>
      </c>
      <c r="AL56" s="110" t="n">
        <v>0</v>
      </c>
      <c r="AM56" s="110" t="n">
        <v>0</v>
      </c>
      <c r="AN56" s="110" t="n">
        <v>43</v>
      </c>
      <c r="AO56" s="110" t="n">
        <v>43</v>
      </c>
      <c r="AP56" s="110" t="n">
        <v>0</v>
      </c>
      <c r="AQ56" s="110" t="n">
        <v>1893</v>
      </c>
      <c r="AR56" s="110" t="n">
        <v>1376</v>
      </c>
      <c r="AS56" s="110" t="n">
        <v>1376</v>
      </c>
      <c r="AT56" s="110" t="n">
        <v>0</v>
      </c>
      <c r="AU56" s="110" t="n">
        <v>517</v>
      </c>
      <c r="AV56" s="110" t="n">
        <v>517</v>
      </c>
      <c r="AW56" s="110" t="n">
        <v>0</v>
      </c>
      <c r="AX56" s="110" t="n">
        <v>341</v>
      </c>
      <c r="AY56" s="110" t="n">
        <v>266</v>
      </c>
      <c r="AZ56" s="110" t="n">
        <v>266</v>
      </c>
      <c r="BA56" s="110" t="n">
        <v>0</v>
      </c>
      <c r="BB56" s="110" t="n">
        <v>75</v>
      </c>
      <c r="BC56" s="110" t="n">
        <v>50</v>
      </c>
      <c r="BD56" s="110" t="n">
        <v>25</v>
      </c>
      <c r="BE56" s="110" t="n">
        <v>0</v>
      </c>
      <c r="BF56" s="110" t="n">
        <v>0</v>
      </c>
      <c r="BG56" s="110" t="n">
        <v>0</v>
      </c>
      <c r="BH56" s="110" t="n">
        <v>0</v>
      </c>
      <c r="BI56" s="110" t="n">
        <v>0</v>
      </c>
      <c r="BJ56" s="110" t="n">
        <v>0</v>
      </c>
      <c r="BK56" s="110" t="n">
        <v>0</v>
      </c>
      <c r="BL56" s="110" t="n">
        <v>0</v>
      </c>
      <c r="BM56" s="110" t="n">
        <v>0</v>
      </c>
      <c r="BN56" s="110" t="n">
        <v>0</v>
      </c>
      <c r="BO56" s="110" t="n">
        <v>0</v>
      </c>
      <c r="BP56" s="110" t="n">
        <v>0</v>
      </c>
      <c r="BQ56" s="110" t="n">
        <v>0</v>
      </c>
      <c r="BR56" s="110" t="n">
        <v>0</v>
      </c>
      <c r="BS56" s="110" t="n">
        <v>0</v>
      </c>
      <c r="BT56" s="110" t="n">
        <v>0</v>
      </c>
      <c r="BU56" s="110" t="n">
        <v>0</v>
      </c>
      <c r="BV56" s="110" t="n">
        <v>0</v>
      </c>
      <c r="BW56" s="110" t="n">
        <v>0</v>
      </c>
      <c r="BX56" s="110" t="n">
        <v>0</v>
      </c>
      <c r="BY56" s="110" t="n">
        <v>0</v>
      </c>
      <c r="BZ56" s="110" t="n">
        <v>0</v>
      </c>
      <c r="CA56" s="110" t="n">
        <v>0</v>
      </c>
      <c r="CB56" s="110" t="n">
        <v>0</v>
      </c>
      <c r="CC56" s="110" t="n">
        <v>0</v>
      </c>
      <c r="CD56" s="110" t="n">
        <v>0</v>
      </c>
      <c r="CE56" s="110" t="n">
        <v>0</v>
      </c>
      <c r="CF56" s="110" t="n">
        <v>0</v>
      </c>
      <c r="CG56" s="110" t="n">
        <v>0</v>
      </c>
      <c r="CH56" s="110" t="n">
        <v>0</v>
      </c>
      <c r="CI56" s="110" t="n">
        <v>0</v>
      </c>
      <c r="CJ56" s="110" t="n">
        <v>0</v>
      </c>
      <c r="CK56" s="110" t="n">
        <v>0</v>
      </c>
      <c r="CL56" s="110" t="n">
        <v>0</v>
      </c>
      <c r="CM56" s="110" t="n">
        <v>0</v>
      </c>
      <c r="CN56" s="110" t="n">
        <v>0</v>
      </c>
      <c r="CO56" s="110" t="n">
        <v>0</v>
      </c>
      <c r="CP56" s="110" t="n">
        <v>0</v>
      </c>
      <c r="CQ56" s="110" t="n">
        <v>139969.31</v>
      </c>
      <c r="CR56" s="110" t="n">
        <v>0</v>
      </c>
      <c r="CS56" s="110" t="n">
        <v>0</v>
      </c>
      <c r="CT56" s="110" t="n">
        <v>0</v>
      </c>
      <c r="CU56" s="110" t="n">
        <v>0</v>
      </c>
      <c r="CV56" s="111" t="n">
        <v>13</v>
      </c>
      <c r="CW56" s="111" t="n">
        <v>10</v>
      </c>
      <c r="CX56" s="111" t="n">
        <v>10</v>
      </c>
      <c r="CY56" s="111" t="n">
        <v>0</v>
      </c>
      <c r="CZ56" s="111" t="n">
        <v>3</v>
      </c>
      <c r="DA56" s="111" t="n">
        <v>2</v>
      </c>
      <c r="DB56" s="111" t="n">
        <v>1</v>
      </c>
      <c r="DC56" s="111" t="n">
        <v>13</v>
      </c>
      <c r="DD56" s="111" t="n">
        <v>0</v>
      </c>
      <c r="DE56" s="111" t="n">
        <v>10</v>
      </c>
      <c r="DF56" s="111" t="n">
        <v>10</v>
      </c>
      <c r="DG56" s="111" t="n">
        <v>0</v>
      </c>
      <c r="DH56" s="111" t="n">
        <v>3</v>
      </c>
      <c r="DI56" s="111" t="n">
        <v>2</v>
      </c>
      <c r="DJ56" s="111" t="n">
        <v>1</v>
      </c>
      <c r="DK56" s="111" t="n">
        <v>0</v>
      </c>
      <c r="DL56" s="111" t="n">
        <v>0</v>
      </c>
      <c r="DM56" s="111" t="n">
        <v>0</v>
      </c>
      <c r="DN56" s="111" t="n">
        <v>0</v>
      </c>
      <c r="DO56" s="111" t="n">
        <v>0</v>
      </c>
      <c r="DP56" s="111" t="n">
        <v>0</v>
      </c>
      <c r="DQ56" s="111" t="n">
        <v>0</v>
      </c>
      <c r="DR56" s="111" t="n">
        <v>0</v>
      </c>
      <c r="DS56" s="111" t="n">
        <v>0</v>
      </c>
      <c r="DT56" s="111" t="n">
        <v>0</v>
      </c>
      <c r="DU56" s="111" t="n">
        <v>0</v>
      </c>
      <c r="DV56" s="111" t="n">
        <v>0</v>
      </c>
      <c r="DW56" s="111" t="n">
        <v>0</v>
      </c>
      <c r="DX56" s="111" t="n">
        <v>0</v>
      </c>
      <c r="DY56" s="111" t="n">
        <v>0</v>
      </c>
      <c r="DZ56" s="111" t="n">
        <v>0</v>
      </c>
      <c r="EA56" s="111" t="n">
        <v>0</v>
      </c>
      <c r="EB56" s="111" t="n">
        <v>0</v>
      </c>
      <c r="EC56" s="111" t="n">
        <v>0</v>
      </c>
      <c r="ED56" s="111" t="n">
        <v>0</v>
      </c>
      <c r="EE56" s="111" t="n">
        <v>0</v>
      </c>
      <c r="EF56" s="111" t="n">
        <v>0</v>
      </c>
      <c r="EG56" s="111" t="n">
        <v>0</v>
      </c>
      <c r="EH56" s="111" t="n">
        <v>0</v>
      </c>
      <c r="EI56" s="111" t="n">
        <v>0</v>
      </c>
      <c r="EJ56" s="111" t="n">
        <v>0</v>
      </c>
      <c r="EK56" s="111" t="n">
        <v>0</v>
      </c>
      <c r="EL56" s="111" t="n">
        <v>0</v>
      </c>
      <c r="EM56" s="111" t="n">
        <v>0</v>
      </c>
      <c r="EN56" s="111" t="n">
        <v>0</v>
      </c>
      <c r="EO56" s="111" t="n">
        <v>0</v>
      </c>
      <c r="EP56" s="111" t="n">
        <v>0</v>
      </c>
      <c r="EQ56" s="111" t="n">
        <v>0</v>
      </c>
      <c r="ER56" s="111" t="n">
        <v>0</v>
      </c>
      <c r="ES56" s="111" t="n">
        <v>0</v>
      </c>
      <c r="ET56" s="111" t="n">
        <v>0</v>
      </c>
      <c r="EU56" s="111" t="n">
        <v>0</v>
      </c>
      <c r="EV56" s="111" t="n">
        <v>0</v>
      </c>
      <c r="EW56" s="111" t="n">
        <v>0</v>
      </c>
      <c r="EX56" s="111" t="n">
        <v>0</v>
      </c>
      <c r="EY56" s="111" t="n">
        <v>0</v>
      </c>
      <c r="EZ56" s="111" t="n">
        <v>0</v>
      </c>
      <c r="FA56" s="111" t="n">
        <v>0</v>
      </c>
      <c r="FB56" s="111" t="n">
        <v>0</v>
      </c>
    </row>
    <row r="57" ht="19.5" customHeight="1" s="247">
      <c r="A57" s="107" t="n">
        <v>54</v>
      </c>
      <c r="B57" s="107" t="inlineStr">
        <is>
          <t>医技平台</t>
        </is>
      </c>
      <c r="C57" s="107" t="inlineStr">
        <is>
          <t>健康管理中心</t>
        </is>
      </c>
      <c r="D57" s="110" t="n">
        <v>4495074</v>
      </c>
      <c r="E57" s="110" t="n">
        <v>4495074</v>
      </c>
      <c r="F57" s="110" t="n">
        <v>0</v>
      </c>
      <c r="G57" s="110" t="n">
        <v>755</v>
      </c>
      <c r="H57" s="110" t="n">
        <v>0</v>
      </c>
      <c r="I57" s="110" t="n">
        <v>0</v>
      </c>
      <c r="J57" s="110" t="n">
        <v>0</v>
      </c>
      <c r="K57" s="110" t="n">
        <v>0</v>
      </c>
      <c r="L57" s="110" t="n">
        <v>0</v>
      </c>
      <c r="M57" s="110" t="n">
        <v>0</v>
      </c>
      <c r="N57" s="110" t="n">
        <v>0</v>
      </c>
      <c r="O57" s="110" t="n">
        <v>4495074</v>
      </c>
      <c r="P57" s="110" t="n">
        <v>363861</v>
      </c>
      <c r="Q57" s="110" t="n">
        <v>0</v>
      </c>
      <c r="R57" s="110" t="n">
        <v>363861</v>
      </c>
      <c r="S57" s="110" t="n">
        <v>4131213</v>
      </c>
      <c r="T57" s="110" t="n">
        <v>0</v>
      </c>
      <c r="U57" s="110" t="n">
        <v>4131213</v>
      </c>
      <c r="V57" s="110" t="n">
        <v>4495074</v>
      </c>
      <c r="W57" s="110" t="n">
        <v>363861</v>
      </c>
      <c r="X57" s="110" t="n">
        <v>0</v>
      </c>
      <c r="Y57" s="110" t="n">
        <v>363861</v>
      </c>
      <c r="Z57" s="110" t="n">
        <v>4131213</v>
      </c>
      <c r="AA57" s="110" t="n">
        <v>0</v>
      </c>
      <c r="AB57" s="110" t="n">
        <v>4131213</v>
      </c>
      <c r="AC57" s="110" t="n">
        <v>0</v>
      </c>
      <c r="AD57" s="110" t="n">
        <v>0</v>
      </c>
      <c r="AE57" s="110" t="n">
        <v>0</v>
      </c>
      <c r="AF57" s="110" t="n">
        <v>0</v>
      </c>
      <c r="AG57" s="110" t="n">
        <v>0</v>
      </c>
      <c r="AH57" s="110" t="n">
        <v>0</v>
      </c>
      <c r="AI57" s="110" t="n">
        <v>0</v>
      </c>
      <c r="AJ57" s="110" t="n">
        <v>0</v>
      </c>
      <c r="AK57" s="110" t="n">
        <v>0</v>
      </c>
      <c r="AL57" s="110" t="n">
        <v>0</v>
      </c>
      <c r="AM57" s="110" t="n">
        <v>0</v>
      </c>
      <c r="AN57" s="110" t="n">
        <v>0</v>
      </c>
      <c r="AO57" s="110" t="n">
        <v>0</v>
      </c>
      <c r="AP57" s="110" t="n">
        <v>0</v>
      </c>
      <c r="AQ57" s="110" t="n">
        <v>0</v>
      </c>
      <c r="AR57" s="110" t="n">
        <v>0</v>
      </c>
      <c r="AS57" s="110" t="n">
        <v>0</v>
      </c>
      <c r="AT57" s="110" t="n">
        <v>0</v>
      </c>
      <c r="AU57" s="110" t="n">
        <v>0</v>
      </c>
      <c r="AV57" s="110" t="n">
        <v>0</v>
      </c>
      <c r="AW57" s="110" t="n">
        <v>0</v>
      </c>
      <c r="AX57" s="110" t="n">
        <v>4495074</v>
      </c>
      <c r="AY57" s="110" t="n">
        <v>363861</v>
      </c>
      <c r="AZ57" s="110" t="n">
        <v>0</v>
      </c>
      <c r="BA57" s="110" t="n">
        <v>363861</v>
      </c>
      <c r="BB57" s="110" t="n">
        <v>4131213</v>
      </c>
      <c r="BC57" s="110" t="n">
        <v>0</v>
      </c>
      <c r="BD57" s="110" t="n">
        <v>4131213</v>
      </c>
      <c r="BE57" s="110" t="n">
        <v>0</v>
      </c>
      <c r="BF57" s="110" t="n">
        <v>0</v>
      </c>
      <c r="BG57" s="110" t="n">
        <v>0</v>
      </c>
      <c r="BH57" s="110" t="n">
        <v>0</v>
      </c>
      <c r="BI57" s="110" t="n">
        <v>0</v>
      </c>
      <c r="BJ57" s="110" t="n">
        <v>0</v>
      </c>
      <c r="BK57" s="110" t="n">
        <v>0</v>
      </c>
      <c r="BL57" s="110" t="n">
        <v>0</v>
      </c>
      <c r="BM57" s="110" t="n">
        <v>0</v>
      </c>
      <c r="BN57" s="110" t="n">
        <v>0</v>
      </c>
      <c r="BO57" s="110" t="n">
        <v>0</v>
      </c>
      <c r="BP57" s="110" t="n">
        <v>0</v>
      </c>
      <c r="BQ57" s="110" t="n">
        <v>0</v>
      </c>
      <c r="BR57" s="110" t="n">
        <v>0</v>
      </c>
      <c r="BS57" s="110" t="n">
        <v>0</v>
      </c>
      <c r="BT57" s="110" t="n">
        <v>0</v>
      </c>
      <c r="BU57" s="110" t="n">
        <v>0</v>
      </c>
      <c r="BV57" s="110" t="n">
        <v>0</v>
      </c>
      <c r="BW57" s="110" t="n">
        <v>0</v>
      </c>
      <c r="BX57" s="110" t="n">
        <v>0</v>
      </c>
      <c r="BY57" s="110" t="n">
        <v>0</v>
      </c>
      <c r="BZ57" s="110" t="n">
        <v>0</v>
      </c>
      <c r="CA57" s="110" t="n">
        <v>0</v>
      </c>
      <c r="CB57" s="110" t="n">
        <v>0</v>
      </c>
      <c r="CC57" s="110" t="n">
        <v>0</v>
      </c>
      <c r="CD57" s="110" t="n">
        <v>0</v>
      </c>
      <c r="CE57" s="110" t="n">
        <v>0</v>
      </c>
      <c r="CF57" s="110" t="n">
        <v>0</v>
      </c>
      <c r="CG57" s="110" t="n">
        <v>0</v>
      </c>
      <c r="CH57" s="110" t="n">
        <v>0</v>
      </c>
      <c r="CI57" s="110" t="n">
        <v>0</v>
      </c>
      <c r="CJ57" s="110" t="n">
        <v>0</v>
      </c>
      <c r="CK57" s="110" t="n">
        <v>0</v>
      </c>
      <c r="CL57" s="110" t="n">
        <v>0</v>
      </c>
      <c r="CM57" s="110" t="n">
        <v>0</v>
      </c>
      <c r="CN57" s="110" t="n">
        <v>0</v>
      </c>
      <c r="CO57" s="110" t="n">
        <v>4495074</v>
      </c>
      <c r="CP57" s="110" t="n">
        <v>0</v>
      </c>
      <c r="CQ57" s="110" t="n">
        <v>0</v>
      </c>
      <c r="CR57" s="110" t="n">
        <v>0</v>
      </c>
      <c r="CS57" s="110" t="n">
        <v>0</v>
      </c>
      <c r="CT57" s="110" t="n">
        <v>0</v>
      </c>
      <c r="CU57" s="110" t="n">
        <v>0</v>
      </c>
      <c r="CV57" s="111" t="n">
        <v>755</v>
      </c>
      <c r="CW57" s="111" t="n">
        <v>251</v>
      </c>
      <c r="CX57" s="111" t="n">
        <v>0</v>
      </c>
      <c r="CY57" s="111" t="n">
        <v>251</v>
      </c>
      <c r="CZ57" s="111" t="n">
        <v>504</v>
      </c>
      <c r="DA57" s="111" t="n">
        <v>0</v>
      </c>
      <c r="DB57" s="111" t="n">
        <v>504</v>
      </c>
      <c r="DC57" s="111" t="n">
        <v>755</v>
      </c>
      <c r="DD57" s="111" t="n">
        <v>0</v>
      </c>
      <c r="DE57" s="111" t="n">
        <v>251</v>
      </c>
      <c r="DF57" s="111" t="n">
        <v>0</v>
      </c>
      <c r="DG57" s="111" t="n">
        <v>251</v>
      </c>
      <c r="DH57" s="111" t="n">
        <v>504</v>
      </c>
      <c r="DI57" s="111" t="n">
        <v>0</v>
      </c>
      <c r="DJ57" s="111" t="n">
        <v>504</v>
      </c>
      <c r="DK57" s="111" t="n">
        <v>0</v>
      </c>
      <c r="DL57" s="111" t="n">
        <v>0</v>
      </c>
      <c r="DM57" s="111" t="n">
        <v>0</v>
      </c>
      <c r="DN57" s="111" t="n">
        <v>0</v>
      </c>
      <c r="DO57" s="111" t="n">
        <v>0</v>
      </c>
      <c r="DP57" s="111" t="n">
        <v>0</v>
      </c>
      <c r="DQ57" s="111" t="n">
        <v>0</v>
      </c>
      <c r="DR57" s="111" t="n">
        <v>0</v>
      </c>
      <c r="DS57" s="111" t="n">
        <v>0</v>
      </c>
      <c r="DT57" s="111" t="n">
        <v>0</v>
      </c>
      <c r="DU57" s="111" t="n">
        <v>0</v>
      </c>
      <c r="DV57" s="111" t="n">
        <v>0</v>
      </c>
      <c r="DW57" s="111" t="n">
        <v>0</v>
      </c>
      <c r="DX57" s="111" t="n">
        <v>0</v>
      </c>
      <c r="DY57" s="111" t="n">
        <v>0</v>
      </c>
      <c r="DZ57" s="111" t="n">
        <v>0</v>
      </c>
      <c r="EA57" s="111" t="n">
        <v>0</v>
      </c>
      <c r="EB57" s="111" t="n">
        <v>0</v>
      </c>
      <c r="EC57" s="111" t="n">
        <v>0</v>
      </c>
      <c r="ED57" s="111" t="n">
        <v>0</v>
      </c>
      <c r="EE57" s="111" t="n">
        <v>0</v>
      </c>
      <c r="EF57" s="111" t="n">
        <v>0</v>
      </c>
      <c r="EG57" s="111" t="n">
        <v>0</v>
      </c>
      <c r="EH57" s="111" t="n">
        <v>0</v>
      </c>
      <c r="EI57" s="111" t="n">
        <v>0</v>
      </c>
      <c r="EJ57" s="111" t="n">
        <v>0</v>
      </c>
      <c r="EK57" s="111" t="n">
        <v>0</v>
      </c>
      <c r="EL57" s="111" t="n">
        <v>0</v>
      </c>
      <c r="EM57" s="111" t="n">
        <v>0</v>
      </c>
      <c r="EN57" s="111" t="n">
        <v>0</v>
      </c>
      <c r="EO57" s="111" t="n">
        <v>0</v>
      </c>
      <c r="EP57" s="111" t="n">
        <v>0</v>
      </c>
      <c r="EQ57" s="111" t="n">
        <v>0</v>
      </c>
      <c r="ER57" s="111" t="n">
        <v>0</v>
      </c>
      <c r="ES57" s="111" t="n">
        <v>0</v>
      </c>
      <c r="ET57" s="111" t="n">
        <v>0</v>
      </c>
      <c r="EU57" s="111" t="n">
        <v>0</v>
      </c>
      <c r="EV57" s="111" t="n">
        <v>0</v>
      </c>
      <c r="EW57" s="111" t="n">
        <v>0</v>
      </c>
      <c r="EX57" s="111" t="n">
        <v>0</v>
      </c>
      <c r="EY57" s="111" t="n">
        <v>0</v>
      </c>
      <c r="EZ57" s="111" t="n">
        <v>0</v>
      </c>
      <c r="FA57" s="111" t="n">
        <v>0</v>
      </c>
      <c r="FB57" s="111" t="n">
        <v>0</v>
      </c>
    </row>
    <row r="58" ht="19.5" customHeight="1" s="247">
      <c r="A58" s="107" t="n">
        <v>55</v>
      </c>
      <c r="B58" s="107" t="inlineStr">
        <is>
          <t>成人非手术</t>
        </is>
      </c>
      <c r="C58" s="107" t="inlineStr">
        <is>
          <t>感染科</t>
        </is>
      </c>
      <c r="D58" s="110" t="n">
        <v>681741</v>
      </c>
      <c r="E58" s="110" t="n">
        <v>305235</v>
      </c>
      <c r="F58" s="110" t="n">
        <v>376506</v>
      </c>
      <c r="G58" s="110" t="n">
        <v>1204</v>
      </c>
      <c r="H58" s="110" t="n">
        <v>42</v>
      </c>
      <c r="I58" s="110" t="n">
        <v>8062</v>
      </c>
      <c r="J58" s="110" t="n">
        <v>0</v>
      </c>
      <c r="K58" s="110" t="n">
        <v>0</v>
      </c>
      <c r="L58" s="110" t="n">
        <v>22769.5</v>
      </c>
      <c r="M58" s="110" t="n">
        <v>706</v>
      </c>
      <c r="N58" s="110" t="n">
        <v>210</v>
      </c>
      <c r="O58" s="110" t="n">
        <v>1103539.06</v>
      </c>
      <c r="P58" s="110" t="n">
        <v>953890.79</v>
      </c>
      <c r="Q58" s="110" t="n">
        <v>942903.74</v>
      </c>
      <c r="R58" s="110" t="n">
        <v>10987.05</v>
      </c>
      <c r="S58" s="110" t="n">
        <v>149648.27</v>
      </c>
      <c r="T58" s="110" t="n">
        <v>126946.46</v>
      </c>
      <c r="U58" s="110" t="n">
        <v>22701.81</v>
      </c>
      <c r="V58" s="110" t="n">
        <v>480209.75</v>
      </c>
      <c r="W58" s="110" t="n">
        <v>454137.49</v>
      </c>
      <c r="X58" s="110" t="n">
        <v>443150.44</v>
      </c>
      <c r="Y58" s="110" t="n">
        <v>10987.05</v>
      </c>
      <c r="Z58" s="110" t="n">
        <v>26072.26</v>
      </c>
      <c r="AA58" s="110" t="n">
        <v>19174.93</v>
      </c>
      <c r="AB58" s="110" t="n">
        <v>6897.33</v>
      </c>
      <c r="AC58" s="110" t="n">
        <v>160964.48</v>
      </c>
      <c r="AD58" s="110" t="n">
        <v>152909.62</v>
      </c>
      <c r="AE58" s="110" t="n">
        <v>149728.79</v>
      </c>
      <c r="AF58" s="110" t="n">
        <v>3180.83</v>
      </c>
      <c r="AG58" s="110" t="n">
        <v>8054.86</v>
      </c>
      <c r="AH58" s="110" t="n">
        <v>6647.27</v>
      </c>
      <c r="AI58" s="110" t="n">
        <v>1407.59</v>
      </c>
      <c r="AJ58" s="110" t="n">
        <v>14010.27</v>
      </c>
      <c r="AK58" s="110" t="n">
        <v>13190.87</v>
      </c>
      <c r="AL58" s="110" t="n">
        <v>12698.65</v>
      </c>
      <c r="AM58" s="110" t="n">
        <v>492.22</v>
      </c>
      <c r="AN58" s="110" t="n">
        <v>819.4</v>
      </c>
      <c r="AO58" s="110" t="n">
        <v>642.66</v>
      </c>
      <c r="AP58" s="110" t="n">
        <v>176.74</v>
      </c>
      <c r="AQ58" s="110" t="n">
        <v>262173</v>
      </c>
      <c r="AR58" s="110" t="n">
        <v>247885</v>
      </c>
      <c r="AS58" s="110" t="n">
        <v>241984</v>
      </c>
      <c r="AT58" s="110" t="n">
        <v>5901</v>
      </c>
      <c r="AU58" s="110" t="n">
        <v>14288</v>
      </c>
      <c r="AV58" s="110" t="n">
        <v>9741</v>
      </c>
      <c r="AW58" s="110" t="n">
        <v>4547</v>
      </c>
      <c r="AX58" s="110" t="n">
        <v>43062</v>
      </c>
      <c r="AY58" s="110" t="n">
        <v>40152</v>
      </c>
      <c r="AZ58" s="110" t="n">
        <v>38739</v>
      </c>
      <c r="BA58" s="110" t="n">
        <v>1413</v>
      </c>
      <c r="BB58" s="110" t="n">
        <v>2910</v>
      </c>
      <c r="BC58" s="110" t="n">
        <v>2144</v>
      </c>
      <c r="BD58" s="110" t="n">
        <v>766</v>
      </c>
      <c r="BE58" s="110" t="n">
        <v>623329.3100000001</v>
      </c>
      <c r="BF58" s="110" t="n">
        <v>499753.3</v>
      </c>
      <c r="BG58" s="110" t="n">
        <v>499753.3</v>
      </c>
      <c r="BH58" s="110" t="n">
        <v>0</v>
      </c>
      <c r="BI58" s="110" t="n">
        <v>123576.01</v>
      </c>
      <c r="BJ58" s="110" t="n">
        <v>107771.53</v>
      </c>
      <c r="BK58" s="110" t="n">
        <v>15804.48</v>
      </c>
      <c r="BL58" s="110" t="n">
        <v>228921.14</v>
      </c>
      <c r="BM58" s="110" t="n">
        <v>174868.27</v>
      </c>
      <c r="BN58" s="110" t="n">
        <v>174868.27</v>
      </c>
      <c r="BO58" s="110" t="n">
        <v>0</v>
      </c>
      <c r="BP58" s="110" t="n">
        <v>54052.87</v>
      </c>
      <c r="BQ58" s="110" t="n">
        <v>47338.11</v>
      </c>
      <c r="BR58" s="110" t="n">
        <v>6714.76</v>
      </c>
      <c r="BS58" s="110" t="n">
        <v>17902.17</v>
      </c>
      <c r="BT58" s="110" t="n">
        <v>15709.03</v>
      </c>
      <c r="BU58" s="110" t="n">
        <v>15709.03</v>
      </c>
      <c r="BV58" s="110" t="n">
        <v>0</v>
      </c>
      <c r="BW58" s="110" t="n">
        <v>2193.14</v>
      </c>
      <c r="BX58" s="110" t="n">
        <v>1880.42</v>
      </c>
      <c r="BY58" s="110" t="n">
        <v>312.72</v>
      </c>
      <c r="BZ58" s="110" t="n">
        <v>293113</v>
      </c>
      <c r="CA58" s="110" t="n">
        <v>238535</v>
      </c>
      <c r="CB58" s="110" t="n">
        <v>238535</v>
      </c>
      <c r="CC58" s="110" t="n">
        <v>0</v>
      </c>
      <c r="CD58" s="110" t="n">
        <v>54578</v>
      </c>
      <c r="CE58" s="110" t="n">
        <v>47197</v>
      </c>
      <c r="CF58" s="110" t="n">
        <v>7381</v>
      </c>
      <c r="CG58" s="110" t="n">
        <v>83393</v>
      </c>
      <c r="CH58" s="110" t="n">
        <v>70641</v>
      </c>
      <c r="CI58" s="110" t="n">
        <v>70641</v>
      </c>
      <c r="CJ58" s="110" t="n">
        <v>0</v>
      </c>
      <c r="CK58" s="110" t="n">
        <v>12752</v>
      </c>
      <c r="CL58" s="110" t="n">
        <v>11356</v>
      </c>
      <c r="CM58" s="110" t="n">
        <v>1396</v>
      </c>
      <c r="CN58" s="110" t="n">
        <v>393171.6</v>
      </c>
      <c r="CO58" s="110" t="n">
        <v>0</v>
      </c>
      <c r="CP58" s="110" t="n">
        <v>6933.25</v>
      </c>
      <c r="CQ58" s="110" t="n">
        <v>80104.89999999999</v>
      </c>
      <c r="CR58" s="110" t="n">
        <v>0</v>
      </c>
      <c r="CS58" s="110" t="n">
        <v>0</v>
      </c>
      <c r="CT58" s="110" t="n">
        <v>0</v>
      </c>
      <c r="CU58" s="110" t="n">
        <v>0</v>
      </c>
      <c r="CV58" s="111" t="n">
        <v>1204</v>
      </c>
      <c r="CW58" s="111" t="n">
        <v>1119</v>
      </c>
      <c r="CX58" s="111" t="n">
        <v>1078</v>
      </c>
      <c r="CY58" s="111" t="n">
        <v>41</v>
      </c>
      <c r="CZ58" s="111" t="n">
        <v>85</v>
      </c>
      <c r="DA58" s="111" t="n">
        <v>61</v>
      </c>
      <c r="DB58" s="111" t="n">
        <v>24</v>
      </c>
      <c r="DC58" s="111" t="n">
        <v>210</v>
      </c>
      <c r="DD58" s="111" t="n">
        <v>0</v>
      </c>
      <c r="DE58" s="111" t="n">
        <v>181</v>
      </c>
      <c r="DF58" s="111" t="n">
        <v>167</v>
      </c>
      <c r="DG58" s="111" t="n">
        <v>14</v>
      </c>
      <c r="DH58" s="111" t="n">
        <v>29</v>
      </c>
      <c r="DI58" s="111" t="n">
        <v>20</v>
      </c>
      <c r="DJ58" s="111" t="n">
        <v>9</v>
      </c>
      <c r="DK58" s="111" t="n">
        <v>33</v>
      </c>
      <c r="DL58" s="111" t="n">
        <v>28</v>
      </c>
      <c r="DM58" s="111" t="n">
        <v>24</v>
      </c>
      <c r="DN58" s="111" t="n">
        <v>4</v>
      </c>
      <c r="DO58" s="111" t="n">
        <v>5</v>
      </c>
      <c r="DP58" s="111" t="n">
        <v>3</v>
      </c>
      <c r="DQ58" s="111" t="n">
        <v>2</v>
      </c>
      <c r="DR58" s="111" t="n">
        <v>0</v>
      </c>
      <c r="DS58" s="111" t="n">
        <v>0</v>
      </c>
      <c r="DT58" s="111" t="n">
        <v>0</v>
      </c>
      <c r="DU58" s="111" t="n">
        <v>0</v>
      </c>
      <c r="DV58" s="111" t="n">
        <v>0</v>
      </c>
      <c r="DW58" s="111" t="n">
        <v>0</v>
      </c>
      <c r="DX58" s="111" t="n">
        <v>0</v>
      </c>
      <c r="DY58" s="111" t="n">
        <v>0</v>
      </c>
      <c r="DZ58" s="111" t="n">
        <v>961</v>
      </c>
      <c r="EA58" s="111" t="n">
        <v>910</v>
      </c>
      <c r="EB58" s="111" t="n">
        <v>887</v>
      </c>
      <c r="EC58" s="111" t="n">
        <v>23</v>
      </c>
      <c r="ED58" s="111" t="n">
        <v>51</v>
      </c>
      <c r="EE58" s="111" t="n">
        <v>38</v>
      </c>
      <c r="EF58" s="111" t="n">
        <v>13</v>
      </c>
      <c r="EG58" s="111" t="n">
        <v>42</v>
      </c>
      <c r="EH58" s="111" t="n">
        <v>36</v>
      </c>
      <c r="EI58" s="111" t="n">
        <v>36</v>
      </c>
      <c r="EJ58" s="111" t="n">
        <v>0</v>
      </c>
      <c r="EK58" s="111" t="n">
        <v>6</v>
      </c>
      <c r="EL58" s="111" t="n">
        <v>6</v>
      </c>
      <c r="EM58" s="111" t="n">
        <v>0</v>
      </c>
      <c r="EN58" s="111" t="n">
        <v>3</v>
      </c>
      <c r="EO58" s="111" t="n">
        <v>0</v>
      </c>
      <c r="EP58" s="111" t="n">
        <v>0</v>
      </c>
      <c r="EQ58" s="111" t="n">
        <v>3</v>
      </c>
      <c r="ER58" s="111" t="n">
        <v>0</v>
      </c>
      <c r="ES58" s="111" t="n">
        <v>0</v>
      </c>
      <c r="ET58" s="111" t="n">
        <v>0</v>
      </c>
      <c r="EU58" s="111" t="n">
        <v>0</v>
      </c>
      <c r="EV58" s="111" t="n">
        <v>0</v>
      </c>
      <c r="EW58" s="111" t="n">
        <v>0</v>
      </c>
      <c r="EX58" s="111" t="n">
        <v>0</v>
      </c>
      <c r="EY58" s="111" t="n">
        <v>0</v>
      </c>
      <c r="EZ58" s="111" t="n">
        <v>0</v>
      </c>
      <c r="FA58" s="111" t="n">
        <v>0</v>
      </c>
      <c r="FB58" s="111" t="n">
        <v>4</v>
      </c>
    </row>
    <row r="59" ht="19.5" customHeight="1" s="247">
      <c r="A59" s="107" t="n">
        <v>56</v>
      </c>
      <c r="B59" s="107" t="inlineStr">
        <is>
          <t>其他</t>
        </is>
      </c>
      <c r="C59" s="107" t="inlineStr">
        <is>
          <t>新冠核酸检测</t>
        </is>
      </c>
      <c r="D59" s="110" t="n">
        <v>260</v>
      </c>
      <c r="E59" s="110" t="n">
        <v>260</v>
      </c>
      <c r="F59" s="110" t="n">
        <v>0</v>
      </c>
      <c r="G59" s="110" t="n">
        <v>0</v>
      </c>
      <c r="H59" s="110" t="n">
        <v>0</v>
      </c>
      <c r="I59" s="110" t="n">
        <v>0</v>
      </c>
      <c r="J59" s="110" t="n">
        <v>0</v>
      </c>
      <c r="K59" s="110" t="n">
        <v>0</v>
      </c>
      <c r="L59" s="110" t="n">
        <v>0</v>
      </c>
      <c r="M59" s="110" t="n">
        <v>0</v>
      </c>
      <c r="N59" s="110" t="n">
        <v>0</v>
      </c>
      <c r="O59" s="110" t="n">
        <v>260</v>
      </c>
      <c r="P59" s="110" t="n">
        <v>260</v>
      </c>
      <c r="Q59" s="110" t="n">
        <v>260</v>
      </c>
      <c r="R59" s="110" t="n">
        <v>0</v>
      </c>
      <c r="S59" s="110" t="n">
        <v>0</v>
      </c>
      <c r="T59" s="110" t="n">
        <v>0</v>
      </c>
      <c r="U59" s="110" t="n">
        <v>0</v>
      </c>
      <c r="V59" s="110" t="n">
        <v>260</v>
      </c>
      <c r="W59" s="110" t="n">
        <v>260</v>
      </c>
      <c r="X59" s="110" t="n">
        <v>260</v>
      </c>
      <c r="Y59" s="110" t="n">
        <v>0</v>
      </c>
      <c r="Z59" s="110" t="n">
        <v>0</v>
      </c>
      <c r="AA59" s="110" t="n">
        <v>0</v>
      </c>
      <c r="AB59" s="110" t="n">
        <v>0</v>
      </c>
      <c r="AC59" s="110" t="n">
        <v>0</v>
      </c>
      <c r="AD59" s="110" t="n">
        <v>0</v>
      </c>
      <c r="AE59" s="110" t="n">
        <v>0</v>
      </c>
      <c r="AF59" s="110" t="n">
        <v>0</v>
      </c>
      <c r="AG59" s="110" t="n">
        <v>0</v>
      </c>
      <c r="AH59" s="110" t="n">
        <v>0</v>
      </c>
      <c r="AI59" s="110" t="n">
        <v>0</v>
      </c>
      <c r="AJ59" s="110" t="n">
        <v>0</v>
      </c>
      <c r="AK59" s="110" t="n">
        <v>0</v>
      </c>
      <c r="AL59" s="110" t="n">
        <v>0</v>
      </c>
      <c r="AM59" s="110" t="n">
        <v>0</v>
      </c>
      <c r="AN59" s="110" t="n">
        <v>0</v>
      </c>
      <c r="AO59" s="110" t="n">
        <v>0</v>
      </c>
      <c r="AP59" s="110" t="n">
        <v>0</v>
      </c>
      <c r="AQ59" s="110" t="n">
        <v>260</v>
      </c>
      <c r="AR59" s="110" t="n">
        <v>260</v>
      </c>
      <c r="AS59" s="110" t="n">
        <v>260</v>
      </c>
      <c r="AT59" s="110" t="n">
        <v>0</v>
      </c>
      <c r="AU59" s="110" t="n">
        <v>0</v>
      </c>
      <c r="AV59" s="110" t="n">
        <v>0</v>
      </c>
      <c r="AW59" s="110" t="n">
        <v>0</v>
      </c>
      <c r="AX59" s="110" t="n">
        <v>0</v>
      </c>
      <c r="AY59" s="110" t="n">
        <v>0</v>
      </c>
      <c r="AZ59" s="110" t="n">
        <v>0</v>
      </c>
      <c r="BA59" s="110" t="n">
        <v>0</v>
      </c>
      <c r="BB59" s="110" t="n">
        <v>0</v>
      </c>
      <c r="BC59" s="110" t="n">
        <v>0</v>
      </c>
      <c r="BD59" s="110" t="n">
        <v>0</v>
      </c>
      <c r="BE59" s="110" t="n">
        <v>0</v>
      </c>
      <c r="BF59" s="110" t="n">
        <v>0</v>
      </c>
      <c r="BG59" s="110" t="n">
        <v>0</v>
      </c>
      <c r="BH59" s="110" t="n">
        <v>0</v>
      </c>
      <c r="BI59" s="110" t="n">
        <v>0</v>
      </c>
      <c r="BJ59" s="110" t="n">
        <v>0</v>
      </c>
      <c r="BK59" s="110" t="n">
        <v>0</v>
      </c>
      <c r="BL59" s="110" t="n">
        <v>0</v>
      </c>
      <c r="BM59" s="110" t="n">
        <v>0</v>
      </c>
      <c r="BN59" s="110" t="n">
        <v>0</v>
      </c>
      <c r="BO59" s="110" t="n">
        <v>0</v>
      </c>
      <c r="BP59" s="110" t="n">
        <v>0</v>
      </c>
      <c r="BQ59" s="110" t="n">
        <v>0</v>
      </c>
      <c r="BR59" s="110" t="n">
        <v>0</v>
      </c>
      <c r="BS59" s="110" t="n">
        <v>0</v>
      </c>
      <c r="BT59" s="110" t="n">
        <v>0</v>
      </c>
      <c r="BU59" s="110" t="n">
        <v>0</v>
      </c>
      <c r="BV59" s="110" t="n">
        <v>0</v>
      </c>
      <c r="BW59" s="110" t="n">
        <v>0</v>
      </c>
      <c r="BX59" s="110" t="n">
        <v>0</v>
      </c>
      <c r="BY59" s="110" t="n">
        <v>0</v>
      </c>
      <c r="BZ59" s="110" t="n">
        <v>0</v>
      </c>
      <c r="CA59" s="110" t="n">
        <v>0</v>
      </c>
      <c r="CB59" s="110" t="n">
        <v>0</v>
      </c>
      <c r="CC59" s="110" t="n">
        <v>0</v>
      </c>
      <c r="CD59" s="110" t="n">
        <v>0</v>
      </c>
      <c r="CE59" s="110" t="n">
        <v>0</v>
      </c>
      <c r="CF59" s="110" t="n">
        <v>0</v>
      </c>
      <c r="CG59" s="110" t="n">
        <v>0</v>
      </c>
      <c r="CH59" s="110" t="n">
        <v>0</v>
      </c>
      <c r="CI59" s="110" t="n">
        <v>0</v>
      </c>
      <c r="CJ59" s="110" t="n">
        <v>0</v>
      </c>
      <c r="CK59" s="110" t="n">
        <v>0</v>
      </c>
      <c r="CL59" s="110" t="n">
        <v>0</v>
      </c>
      <c r="CM59" s="110" t="n">
        <v>0</v>
      </c>
      <c r="CN59" s="110" t="n">
        <v>0</v>
      </c>
      <c r="CO59" s="110" t="n">
        <v>260</v>
      </c>
      <c r="CP59" s="110" t="n">
        <v>0</v>
      </c>
      <c r="CQ59" s="110" t="n">
        <v>0</v>
      </c>
      <c r="CR59" s="110" t="n">
        <v>0</v>
      </c>
      <c r="CS59" s="110" t="n">
        <v>0</v>
      </c>
      <c r="CT59" s="110" t="n">
        <v>0</v>
      </c>
      <c r="CU59" s="110" t="n">
        <v>0</v>
      </c>
      <c r="CV59" s="111" t="n">
        <v>0</v>
      </c>
      <c r="CW59" s="111" t="n">
        <v>0</v>
      </c>
      <c r="CX59" s="111" t="n">
        <v>0</v>
      </c>
      <c r="CY59" s="111" t="n">
        <v>0</v>
      </c>
      <c r="CZ59" s="111" t="n">
        <v>0</v>
      </c>
      <c r="DA59" s="111" t="n">
        <v>0</v>
      </c>
      <c r="DB59" s="111" t="n">
        <v>0</v>
      </c>
      <c r="DC59" s="111" t="n">
        <v>0</v>
      </c>
      <c r="DD59" s="111" t="n">
        <v>0</v>
      </c>
      <c r="DE59" s="111" t="n">
        <v>0</v>
      </c>
      <c r="DF59" s="111" t="n">
        <v>0</v>
      </c>
      <c r="DG59" s="111" t="n">
        <v>0</v>
      </c>
      <c r="DH59" s="111" t="n">
        <v>0</v>
      </c>
      <c r="DI59" s="111" t="n">
        <v>0</v>
      </c>
      <c r="DJ59" s="111" t="n">
        <v>0</v>
      </c>
      <c r="DK59" s="111" t="n">
        <v>0</v>
      </c>
      <c r="DL59" s="111" t="n">
        <v>0</v>
      </c>
      <c r="DM59" s="111" t="n">
        <v>0</v>
      </c>
      <c r="DN59" s="111" t="n">
        <v>0</v>
      </c>
      <c r="DO59" s="111" t="n">
        <v>0</v>
      </c>
      <c r="DP59" s="111" t="n">
        <v>0</v>
      </c>
      <c r="DQ59" s="111" t="n">
        <v>0</v>
      </c>
      <c r="DR59" s="111" t="n">
        <v>0</v>
      </c>
      <c r="DS59" s="111" t="n">
        <v>0</v>
      </c>
      <c r="DT59" s="111" t="n">
        <v>0</v>
      </c>
      <c r="DU59" s="111" t="n">
        <v>0</v>
      </c>
      <c r="DV59" s="111" t="n">
        <v>0</v>
      </c>
      <c r="DW59" s="111" t="n">
        <v>0</v>
      </c>
      <c r="DX59" s="111" t="n">
        <v>0</v>
      </c>
      <c r="DY59" s="111" t="n">
        <v>0</v>
      </c>
      <c r="DZ59" s="111" t="n">
        <v>0</v>
      </c>
      <c r="EA59" s="111" t="n">
        <v>0</v>
      </c>
      <c r="EB59" s="111" t="n">
        <v>0</v>
      </c>
      <c r="EC59" s="111" t="n">
        <v>0</v>
      </c>
      <c r="ED59" s="111" t="n">
        <v>0</v>
      </c>
      <c r="EE59" s="111" t="n">
        <v>0</v>
      </c>
      <c r="EF59" s="111" t="n">
        <v>0</v>
      </c>
      <c r="EG59" s="111" t="n">
        <v>0</v>
      </c>
      <c r="EH59" s="111" t="n">
        <v>0</v>
      </c>
      <c r="EI59" s="111" t="n">
        <v>0</v>
      </c>
      <c r="EJ59" s="111" t="n">
        <v>0</v>
      </c>
      <c r="EK59" s="111" t="n">
        <v>0</v>
      </c>
      <c r="EL59" s="111" t="n">
        <v>0</v>
      </c>
      <c r="EM59" s="111" t="n">
        <v>0</v>
      </c>
      <c r="EN59" s="111" t="n">
        <v>0</v>
      </c>
      <c r="EO59" s="111" t="n">
        <v>0</v>
      </c>
      <c r="EP59" s="111" t="n">
        <v>0</v>
      </c>
      <c r="EQ59" s="111" t="n">
        <v>0</v>
      </c>
      <c r="ER59" s="111" t="n">
        <v>0</v>
      </c>
      <c r="ES59" s="111" t="n">
        <v>0</v>
      </c>
      <c r="ET59" s="111" t="n">
        <v>0</v>
      </c>
      <c r="EU59" s="111" t="n">
        <v>0</v>
      </c>
      <c r="EV59" s="111" t="n">
        <v>0</v>
      </c>
      <c r="EW59" s="111" t="n">
        <v>0</v>
      </c>
      <c r="EX59" s="111" t="n">
        <v>0</v>
      </c>
      <c r="EY59" s="111" t="n">
        <v>0</v>
      </c>
      <c r="EZ59" s="111" t="n">
        <v>0</v>
      </c>
      <c r="FA59" s="111" t="n">
        <v>0</v>
      </c>
      <c r="FB59" s="111" t="n">
        <v>0</v>
      </c>
    </row>
    <row r="60" ht="28.5" customHeight="1" s="247">
      <c r="A60" s="107" t="n">
        <v>57</v>
      </c>
      <c r="B60" s="107" t="inlineStr">
        <is>
          <t>成人手术</t>
        </is>
      </c>
      <c r="C60" s="107" t="inlineStr">
        <is>
          <t>胎儿医学与宫内儿科学诊治中心</t>
        </is>
      </c>
      <c r="D60" s="110" t="n">
        <v>1675936.6</v>
      </c>
      <c r="E60" s="110" t="n">
        <v>1385404</v>
      </c>
      <c r="F60" s="110" t="n">
        <v>290532.6</v>
      </c>
      <c r="G60" s="110" t="n">
        <v>910</v>
      </c>
      <c r="H60" s="110" t="n">
        <v>6</v>
      </c>
      <c r="I60" s="110" t="n">
        <v>665</v>
      </c>
      <c r="J60" s="110" t="n">
        <v>0</v>
      </c>
      <c r="K60" s="110" t="n">
        <v>0</v>
      </c>
      <c r="L60" s="110" t="n">
        <v>28265</v>
      </c>
      <c r="M60" s="110" t="n">
        <v>35612.5</v>
      </c>
      <c r="N60" s="110" t="n">
        <v>548.38</v>
      </c>
      <c r="O60" s="110" t="n">
        <v>1780586.63</v>
      </c>
      <c r="P60" s="110" t="n">
        <v>744156.73</v>
      </c>
      <c r="Q60" s="110" t="n">
        <v>155688.83</v>
      </c>
      <c r="R60" s="110" t="n">
        <v>588467.9</v>
      </c>
      <c r="S60" s="110" t="n">
        <v>1036429.9</v>
      </c>
      <c r="T60" s="110" t="n">
        <v>156810.52</v>
      </c>
      <c r="U60" s="110" t="n">
        <v>879619.38</v>
      </c>
      <c r="V60" s="110" t="n">
        <v>1409092.37</v>
      </c>
      <c r="W60" s="110" t="n">
        <v>566986.25</v>
      </c>
      <c r="X60" s="110" t="n">
        <v>98187.53</v>
      </c>
      <c r="Y60" s="110" t="n">
        <v>468798.72</v>
      </c>
      <c r="Z60" s="110" t="n">
        <v>842106.12</v>
      </c>
      <c r="AA60" s="110" t="n">
        <v>6837.56</v>
      </c>
      <c r="AB60" s="110" t="n">
        <v>835268.5600000001</v>
      </c>
      <c r="AC60" s="110" t="n">
        <v>17716.68</v>
      </c>
      <c r="AD60" s="110" t="n">
        <v>15229.06</v>
      </c>
      <c r="AE60" s="110" t="n">
        <v>13860.92</v>
      </c>
      <c r="AF60" s="110" t="n">
        <v>1368.14</v>
      </c>
      <c r="AG60" s="110" t="n">
        <v>2487.62</v>
      </c>
      <c r="AH60" s="110" t="n">
        <v>438.56</v>
      </c>
      <c r="AI60" s="110" t="n">
        <v>2049.06</v>
      </c>
      <c r="AJ60" s="110" t="n">
        <v>5971.69</v>
      </c>
      <c r="AK60" s="110" t="n">
        <v>2673.69</v>
      </c>
      <c r="AL60" s="110" t="n">
        <v>285.61</v>
      </c>
      <c r="AM60" s="110" t="n">
        <v>2388.08</v>
      </c>
      <c r="AN60" s="110" t="n">
        <v>3298</v>
      </c>
      <c r="AO60" s="110" t="n">
        <v>0</v>
      </c>
      <c r="AP60" s="110" t="n">
        <v>3298</v>
      </c>
      <c r="AQ60" s="110" t="n">
        <v>1025061</v>
      </c>
      <c r="AR60" s="110" t="n">
        <v>418265.5</v>
      </c>
      <c r="AS60" s="110" t="n">
        <v>76981</v>
      </c>
      <c r="AT60" s="110" t="n">
        <v>341284.5</v>
      </c>
      <c r="AU60" s="110" t="n">
        <v>606795.5</v>
      </c>
      <c r="AV60" s="110" t="n">
        <v>5974</v>
      </c>
      <c r="AW60" s="110" t="n">
        <v>600821.5</v>
      </c>
      <c r="AX60" s="110" t="n">
        <v>360343</v>
      </c>
      <c r="AY60" s="110" t="n">
        <v>130818</v>
      </c>
      <c r="AZ60" s="110" t="n">
        <v>7060</v>
      </c>
      <c r="BA60" s="110" t="n">
        <v>123758</v>
      </c>
      <c r="BB60" s="110" t="n">
        <v>229525</v>
      </c>
      <c r="BC60" s="110" t="n">
        <v>425</v>
      </c>
      <c r="BD60" s="110" t="n">
        <v>229100</v>
      </c>
      <c r="BE60" s="110" t="n">
        <v>371494.26</v>
      </c>
      <c r="BF60" s="110" t="n">
        <v>177170.48</v>
      </c>
      <c r="BG60" s="110" t="n">
        <v>57501.3</v>
      </c>
      <c r="BH60" s="110" t="n">
        <v>119669.18</v>
      </c>
      <c r="BI60" s="110" t="n">
        <v>194323.78</v>
      </c>
      <c r="BJ60" s="110" t="n">
        <v>149972.96</v>
      </c>
      <c r="BK60" s="110" t="n">
        <v>44350.82</v>
      </c>
      <c r="BL60" s="110" t="n">
        <v>51034.09</v>
      </c>
      <c r="BM60" s="110" t="n">
        <v>28638.71</v>
      </c>
      <c r="BN60" s="110" t="n">
        <v>11843.27</v>
      </c>
      <c r="BO60" s="110" t="n">
        <v>16795.44</v>
      </c>
      <c r="BP60" s="110" t="n">
        <v>22395.38</v>
      </c>
      <c r="BQ60" s="110" t="n">
        <v>16602.49</v>
      </c>
      <c r="BR60" s="110" t="n">
        <v>5792.89</v>
      </c>
      <c r="BS60" s="110" t="n">
        <v>29927.57</v>
      </c>
      <c r="BT60" s="110" t="n">
        <v>11855.67</v>
      </c>
      <c r="BU60" s="110" t="n">
        <v>6467.53</v>
      </c>
      <c r="BV60" s="110" t="n">
        <v>5388.14</v>
      </c>
      <c r="BW60" s="110" t="n">
        <v>18071.9</v>
      </c>
      <c r="BX60" s="110" t="n">
        <v>12615.22</v>
      </c>
      <c r="BY60" s="110" t="n">
        <v>5456.68</v>
      </c>
      <c r="BZ60" s="110" t="n">
        <v>107107.5</v>
      </c>
      <c r="CA60" s="110" t="n">
        <v>39949.5</v>
      </c>
      <c r="CB60" s="110" t="n">
        <v>16190.5</v>
      </c>
      <c r="CC60" s="110" t="n">
        <v>23759</v>
      </c>
      <c r="CD60" s="110" t="n">
        <v>67158</v>
      </c>
      <c r="CE60" s="110" t="n">
        <v>56097.75</v>
      </c>
      <c r="CF60" s="110" t="n">
        <v>11060.25</v>
      </c>
      <c r="CG60" s="110" t="n">
        <v>183425.1</v>
      </c>
      <c r="CH60" s="110" t="n">
        <v>96726.60000000001</v>
      </c>
      <c r="CI60" s="110" t="n">
        <v>23000</v>
      </c>
      <c r="CJ60" s="110" t="n">
        <v>73726.60000000001</v>
      </c>
      <c r="CK60" s="110" t="n">
        <v>86698.5</v>
      </c>
      <c r="CL60" s="110" t="n">
        <v>64657.5</v>
      </c>
      <c r="CM60" s="110" t="n">
        <v>22041</v>
      </c>
      <c r="CN60" s="110" t="n">
        <v>11878.93</v>
      </c>
      <c r="CO60" s="110" t="n">
        <v>128469.56</v>
      </c>
      <c r="CP60" s="110" t="n">
        <v>2812.02</v>
      </c>
      <c r="CQ60" s="110" t="n">
        <v>259371.23</v>
      </c>
      <c r="CR60" s="110" t="n">
        <v>972583.63</v>
      </c>
      <c r="CS60" s="110" t="n">
        <v>34793</v>
      </c>
      <c r="CT60" s="110" t="n">
        <v>86379.14</v>
      </c>
      <c r="CU60" s="110" t="n">
        <v>0</v>
      </c>
      <c r="CV60" s="111" t="n">
        <v>910</v>
      </c>
      <c r="CW60" s="111" t="n">
        <v>502</v>
      </c>
      <c r="CX60" s="111" t="n">
        <v>267</v>
      </c>
      <c r="CY60" s="111" t="n">
        <v>235</v>
      </c>
      <c r="CZ60" s="111" t="n">
        <v>408</v>
      </c>
      <c r="DA60" s="111" t="n">
        <v>17</v>
      </c>
      <c r="DB60" s="111" t="n">
        <v>391</v>
      </c>
      <c r="DC60" s="111" t="n">
        <v>472</v>
      </c>
      <c r="DD60" s="111" t="n">
        <v>0</v>
      </c>
      <c r="DE60" s="111" t="n">
        <v>347</v>
      </c>
      <c r="DF60" s="111" t="n">
        <v>252</v>
      </c>
      <c r="DG60" s="111" t="n">
        <v>95</v>
      </c>
      <c r="DH60" s="111" t="n">
        <v>125</v>
      </c>
      <c r="DI60" s="111" t="n">
        <v>17</v>
      </c>
      <c r="DJ60" s="111" t="n">
        <v>108</v>
      </c>
      <c r="DK60" s="111" t="n">
        <v>4</v>
      </c>
      <c r="DL60" s="111" t="n">
        <v>4</v>
      </c>
      <c r="DM60" s="111" t="n">
        <v>4</v>
      </c>
      <c r="DN60" s="111" t="n">
        <v>0</v>
      </c>
      <c r="DO60" s="111" t="n">
        <v>0</v>
      </c>
      <c r="DP60" s="111" t="n">
        <v>0</v>
      </c>
      <c r="DQ60" s="111" t="n">
        <v>0</v>
      </c>
      <c r="DR60" s="111" t="n">
        <v>417</v>
      </c>
      <c r="DS60" s="111" t="n">
        <v>0</v>
      </c>
      <c r="DT60" s="111" t="n">
        <v>137</v>
      </c>
      <c r="DU60" s="111" t="n">
        <v>0</v>
      </c>
      <c r="DV60" s="111" t="n">
        <v>137</v>
      </c>
      <c r="DW60" s="111" t="n">
        <v>280</v>
      </c>
      <c r="DX60" s="111" t="n">
        <v>0</v>
      </c>
      <c r="DY60" s="111" t="n">
        <v>280</v>
      </c>
      <c r="DZ60" s="111" t="n">
        <v>17</v>
      </c>
      <c r="EA60" s="111" t="n">
        <v>14</v>
      </c>
      <c r="EB60" s="111" t="n">
        <v>11</v>
      </c>
      <c r="EC60" s="111" t="n">
        <v>3</v>
      </c>
      <c r="ED60" s="111" t="n">
        <v>3</v>
      </c>
      <c r="EE60" s="111" t="n">
        <v>0</v>
      </c>
      <c r="EF60" s="111" t="n">
        <v>3</v>
      </c>
      <c r="EG60" s="111" t="n">
        <v>6</v>
      </c>
      <c r="EH60" s="111" t="n">
        <v>4</v>
      </c>
      <c r="EI60" s="111" t="n">
        <v>2</v>
      </c>
      <c r="EJ60" s="111" t="n">
        <v>2</v>
      </c>
      <c r="EK60" s="111" t="n">
        <v>2</v>
      </c>
      <c r="EL60" s="111" t="n">
        <v>2</v>
      </c>
      <c r="EM60" s="111" t="n">
        <v>0</v>
      </c>
      <c r="EN60" s="111" t="n">
        <v>0</v>
      </c>
      <c r="EO60" s="111" t="n">
        <v>0</v>
      </c>
      <c r="EP60" s="111" t="n">
        <v>0</v>
      </c>
      <c r="EQ60" s="111" t="n">
        <v>0</v>
      </c>
      <c r="ER60" s="111" t="n">
        <v>0</v>
      </c>
      <c r="ES60" s="111" t="n">
        <v>0</v>
      </c>
      <c r="ET60" s="111" t="n">
        <v>0</v>
      </c>
      <c r="EU60" s="111" t="n">
        <v>0</v>
      </c>
      <c r="EV60" s="111" t="n">
        <v>0</v>
      </c>
      <c r="EW60" s="111" t="n">
        <v>0</v>
      </c>
      <c r="EX60" s="111" t="n">
        <v>0</v>
      </c>
      <c r="EY60" s="111" t="n">
        <v>0</v>
      </c>
      <c r="EZ60" s="111" t="n">
        <v>0</v>
      </c>
      <c r="FA60" s="111" t="n">
        <v>0</v>
      </c>
      <c r="FB60" s="111" t="n">
        <v>0</v>
      </c>
    </row>
    <row r="61" ht="19.5" customHeight="1" s="247">
      <c r="A61" s="107" t="n">
        <v>58</v>
      </c>
      <c r="B61" s="107" t="inlineStr">
        <is>
          <t>医技平台</t>
        </is>
      </c>
      <c r="C61" s="107" t="inlineStr">
        <is>
          <t>麻醉科</t>
        </is>
      </c>
      <c r="D61" s="110" t="n">
        <v>2040740</v>
      </c>
      <c r="E61" s="110" t="n">
        <v>2040740</v>
      </c>
      <c r="F61" s="110" t="n">
        <v>0</v>
      </c>
      <c r="G61" s="110" t="n">
        <v>3038</v>
      </c>
      <c r="H61" s="110" t="n">
        <v>0</v>
      </c>
      <c r="I61" s="110" t="n">
        <v>-46</v>
      </c>
      <c r="J61" s="110" t="n">
        <v>1678464</v>
      </c>
      <c r="K61" s="110" t="n">
        <v>0</v>
      </c>
      <c r="L61" s="110" t="n">
        <v>0</v>
      </c>
      <c r="M61" s="110" t="n">
        <v>0</v>
      </c>
      <c r="N61" s="110" t="n">
        <v>0</v>
      </c>
      <c r="O61" s="110" t="n">
        <v>2917854.53</v>
      </c>
      <c r="P61" s="110" t="n">
        <v>2409896.47</v>
      </c>
      <c r="Q61" s="110" t="n">
        <v>2199231.38</v>
      </c>
      <c r="R61" s="110" t="n">
        <v>210665.09</v>
      </c>
      <c r="S61" s="110" t="n">
        <v>507958.06</v>
      </c>
      <c r="T61" s="110" t="n">
        <v>305069.04</v>
      </c>
      <c r="U61" s="110" t="n">
        <v>202889.02</v>
      </c>
      <c r="V61" s="110" t="n">
        <v>2917854.53</v>
      </c>
      <c r="W61" s="110" t="n">
        <v>2409896.47</v>
      </c>
      <c r="X61" s="110" t="n">
        <v>2199231.38</v>
      </c>
      <c r="Y61" s="110" t="n">
        <v>210665.09</v>
      </c>
      <c r="Z61" s="110" t="n">
        <v>507958.06</v>
      </c>
      <c r="AA61" s="110" t="n">
        <v>305069.04</v>
      </c>
      <c r="AB61" s="110" t="n">
        <v>202889.02</v>
      </c>
      <c r="AC61" s="110" t="n">
        <v>239036.21</v>
      </c>
      <c r="AD61" s="110" t="n">
        <v>199874.15</v>
      </c>
      <c r="AE61" s="110" t="n">
        <v>190618.22</v>
      </c>
      <c r="AF61" s="110" t="n">
        <v>9255.93</v>
      </c>
      <c r="AG61" s="110" t="n">
        <v>39162.06</v>
      </c>
      <c r="AH61" s="110" t="n">
        <v>25641.74</v>
      </c>
      <c r="AI61" s="110" t="n">
        <v>13520.32</v>
      </c>
      <c r="AJ61" s="110" t="n">
        <v>638078.3199999999</v>
      </c>
      <c r="AK61" s="110" t="n">
        <v>527323.3199999999</v>
      </c>
      <c r="AL61" s="110" t="n">
        <v>502460.16</v>
      </c>
      <c r="AM61" s="110" t="n">
        <v>24863.16</v>
      </c>
      <c r="AN61" s="110" t="n">
        <v>110755</v>
      </c>
      <c r="AO61" s="110" t="n">
        <v>72707.3</v>
      </c>
      <c r="AP61" s="110" t="n">
        <v>38047.7</v>
      </c>
      <c r="AQ61" s="110" t="n">
        <v>535</v>
      </c>
      <c r="AR61" s="110" t="n">
        <v>320</v>
      </c>
      <c r="AS61" s="110" t="n">
        <v>320</v>
      </c>
      <c r="AT61" s="110" t="n">
        <v>0</v>
      </c>
      <c r="AU61" s="110" t="n">
        <v>215</v>
      </c>
      <c r="AV61" s="110" t="n">
        <v>140</v>
      </c>
      <c r="AW61" s="110" t="n">
        <v>75</v>
      </c>
      <c r="AX61" s="110" t="n">
        <v>2040205</v>
      </c>
      <c r="AY61" s="110" t="n">
        <v>1682379</v>
      </c>
      <c r="AZ61" s="110" t="n">
        <v>1505833</v>
      </c>
      <c r="BA61" s="110" t="n">
        <v>176546</v>
      </c>
      <c r="BB61" s="110" t="n">
        <v>357826</v>
      </c>
      <c r="BC61" s="110" t="n">
        <v>206580</v>
      </c>
      <c r="BD61" s="110" t="n">
        <v>151246</v>
      </c>
      <c r="BE61" s="110" t="n">
        <v>0</v>
      </c>
      <c r="BF61" s="110" t="n">
        <v>0</v>
      </c>
      <c r="BG61" s="110" t="n">
        <v>0</v>
      </c>
      <c r="BH61" s="110" t="n">
        <v>0</v>
      </c>
      <c r="BI61" s="110" t="n">
        <v>0</v>
      </c>
      <c r="BJ61" s="110" t="n">
        <v>0</v>
      </c>
      <c r="BK61" s="110" t="n">
        <v>0</v>
      </c>
      <c r="BL61" s="110" t="n">
        <v>0</v>
      </c>
      <c r="BM61" s="110" t="n">
        <v>0</v>
      </c>
      <c r="BN61" s="110" t="n">
        <v>0</v>
      </c>
      <c r="BO61" s="110" t="n">
        <v>0</v>
      </c>
      <c r="BP61" s="110" t="n">
        <v>0</v>
      </c>
      <c r="BQ61" s="110" t="n">
        <v>0</v>
      </c>
      <c r="BR61" s="110" t="n">
        <v>0</v>
      </c>
      <c r="BS61" s="110" t="n">
        <v>0</v>
      </c>
      <c r="BT61" s="110" t="n">
        <v>0</v>
      </c>
      <c r="BU61" s="110" t="n">
        <v>0</v>
      </c>
      <c r="BV61" s="110" t="n">
        <v>0</v>
      </c>
      <c r="BW61" s="110" t="n">
        <v>0</v>
      </c>
      <c r="BX61" s="110" t="n">
        <v>0</v>
      </c>
      <c r="BY61" s="110" t="n">
        <v>0</v>
      </c>
      <c r="BZ61" s="110" t="n">
        <v>0</v>
      </c>
      <c r="CA61" s="110" t="n">
        <v>0</v>
      </c>
      <c r="CB61" s="110" t="n">
        <v>0</v>
      </c>
      <c r="CC61" s="110" t="n">
        <v>0</v>
      </c>
      <c r="CD61" s="110" t="n">
        <v>0</v>
      </c>
      <c r="CE61" s="110" t="n">
        <v>0</v>
      </c>
      <c r="CF61" s="110" t="n">
        <v>0</v>
      </c>
      <c r="CG61" s="110" t="n">
        <v>0</v>
      </c>
      <c r="CH61" s="110" t="n">
        <v>0</v>
      </c>
      <c r="CI61" s="110" t="n">
        <v>0</v>
      </c>
      <c r="CJ61" s="110" t="n">
        <v>0</v>
      </c>
      <c r="CK61" s="110" t="n">
        <v>0</v>
      </c>
      <c r="CL61" s="110" t="n">
        <v>0</v>
      </c>
      <c r="CM61" s="110" t="n">
        <v>0</v>
      </c>
      <c r="CN61" s="110" t="n">
        <v>-50</v>
      </c>
      <c r="CO61" s="110" t="n">
        <v>-50</v>
      </c>
      <c r="CP61" s="110" t="n">
        <v>0</v>
      </c>
      <c r="CQ61" s="110" t="n">
        <v>2280839.83</v>
      </c>
      <c r="CR61" s="110" t="n">
        <v>637064.7</v>
      </c>
      <c r="CS61" s="110" t="n">
        <v>0</v>
      </c>
      <c r="CT61" s="110" t="n">
        <v>0</v>
      </c>
      <c r="CU61" s="110" t="n">
        <v>0</v>
      </c>
      <c r="CV61" s="111" t="n">
        <v>3038</v>
      </c>
      <c r="CW61" s="111" t="n">
        <v>2505</v>
      </c>
      <c r="CX61" s="111" t="n">
        <v>2211</v>
      </c>
      <c r="CY61" s="111" t="n">
        <v>294</v>
      </c>
      <c r="CZ61" s="111" t="n">
        <v>533</v>
      </c>
      <c r="DA61" s="111" t="n">
        <v>304</v>
      </c>
      <c r="DB61" s="111" t="n">
        <v>229</v>
      </c>
      <c r="DC61" s="111" t="n">
        <v>2433</v>
      </c>
      <c r="DD61" s="111" t="n">
        <v>0</v>
      </c>
      <c r="DE61" s="111" t="n">
        <v>2035</v>
      </c>
      <c r="DF61" s="111" t="n">
        <v>1941</v>
      </c>
      <c r="DG61" s="111" t="n">
        <v>94</v>
      </c>
      <c r="DH61" s="111" t="n">
        <v>398</v>
      </c>
      <c r="DI61" s="111" t="n">
        <v>264</v>
      </c>
      <c r="DJ61" s="111" t="n">
        <v>134</v>
      </c>
      <c r="DK61" s="111" t="n">
        <v>0</v>
      </c>
      <c r="DL61" s="111" t="n">
        <v>0</v>
      </c>
      <c r="DM61" s="111" t="n">
        <v>0</v>
      </c>
      <c r="DN61" s="111" t="n">
        <v>0</v>
      </c>
      <c r="DO61" s="111" t="n">
        <v>0</v>
      </c>
      <c r="DP61" s="111" t="n">
        <v>0</v>
      </c>
      <c r="DQ61" s="111" t="n">
        <v>0</v>
      </c>
      <c r="DR61" s="111" t="n">
        <v>605</v>
      </c>
      <c r="DS61" s="111" t="n">
        <v>0</v>
      </c>
      <c r="DT61" s="111" t="n">
        <v>470</v>
      </c>
      <c r="DU61" s="111" t="n">
        <v>270</v>
      </c>
      <c r="DV61" s="111" t="n">
        <v>200</v>
      </c>
      <c r="DW61" s="111" t="n">
        <v>135</v>
      </c>
      <c r="DX61" s="111" t="n">
        <v>40</v>
      </c>
      <c r="DY61" s="111" t="n">
        <v>95</v>
      </c>
      <c r="DZ61" s="111" t="n">
        <v>0</v>
      </c>
      <c r="EA61" s="111" t="n">
        <v>0</v>
      </c>
      <c r="EB61" s="111" t="n">
        <v>0</v>
      </c>
      <c r="EC61" s="111" t="n">
        <v>0</v>
      </c>
      <c r="ED61" s="111" t="n">
        <v>0</v>
      </c>
      <c r="EE61" s="111" t="n">
        <v>0</v>
      </c>
      <c r="EF61" s="111" t="n">
        <v>0</v>
      </c>
      <c r="EG61" s="111" t="n">
        <v>0</v>
      </c>
      <c r="EH61" s="111" t="n">
        <v>0</v>
      </c>
      <c r="EI61" s="111" t="n">
        <v>0</v>
      </c>
      <c r="EJ61" s="111" t="n">
        <v>0</v>
      </c>
      <c r="EK61" s="111" t="n">
        <v>0</v>
      </c>
      <c r="EL61" s="111" t="n">
        <v>0</v>
      </c>
      <c r="EM61" s="111" t="n">
        <v>0</v>
      </c>
      <c r="EN61" s="111" t="n">
        <v>14</v>
      </c>
      <c r="EO61" s="111" t="n">
        <v>0</v>
      </c>
      <c r="EP61" s="111" t="n">
        <v>0</v>
      </c>
      <c r="EQ61" s="111" t="n">
        <v>14</v>
      </c>
      <c r="ER61" s="111" t="n">
        <v>0</v>
      </c>
      <c r="ES61" s="111" t="n">
        <v>0</v>
      </c>
      <c r="ET61" s="111" t="n">
        <v>0</v>
      </c>
      <c r="EU61" s="111" t="n">
        <v>0</v>
      </c>
      <c r="EV61" s="111" t="n">
        <v>0</v>
      </c>
      <c r="EW61" s="111" t="n">
        <v>0</v>
      </c>
      <c r="EX61" s="111" t="n">
        <v>0</v>
      </c>
      <c r="EY61" s="111" t="n">
        <v>0</v>
      </c>
      <c r="EZ61" s="111" t="n">
        <v>0</v>
      </c>
      <c r="FA61" s="111" t="n">
        <v>0</v>
      </c>
      <c r="FB61" s="111" t="n">
        <v>0</v>
      </c>
    </row>
    <row r="62" ht="19.5" customHeight="1" s="247">
      <c r="A62" s="107" t="n">
        <v>59</v>
      </c>
      <c r="B62" s="107" t="inlineStr">
        <is>
          <t>成人非手术</t>
        </is>
      </c>
      <c r="C62" s="107" t="inlineStr">
        <is>
          <t>放疗科</t>
        </is>
      </c>
      <c r="D62" s="110" t="n">
        <v>8992243</v>
      </c>
      <c r="E62" s="110" t="n">
        <v>5152501</v>
      </c>
      <c r="F62" s="110" t="n">
        <v>3839742</v>
      </c>
      <c r="G62" s="110" t="n">
        <v>1540</v>
      </c>
      <c r="H62" s="110" t="n">
        <v>335</v>
      </c>
      <c r="I62" s="110" t="n">
        <v>4776613</v>
      </c>
      <c r="J62" s="110" t="n">
        <v>22</v>
      </c>
      <c r="K62" s="110" t="n">
        <v>0</v>
      </c>
      <c r="L62" s="110" t="n">
        <v>3279948.5</v>
      </c>
      <c r="M62" s="110" t="n">
        <v>3296</v>
      </c>
      <c r="N62" s="110" t="n">
        <v>6003.51</v>
      </c>
      <c r="O62" s="110" t="n">
        <v>11744027.59</v>
      </c>
      <c r="P62" s="110" t="n">
        <v>3948638.67</v>
      </c>
      <c r="Q62" s="110" t="n">
        <v>3850007.86</v>
      </c>
      <c r="R62" s="110" t="n">
        <v>98630.81</v>
      </c>
      <c r="S62" s="110" t="n">
        <v>7795388.92</v>
      </c>
      <c r="T62" s="110" t="n">
        <v>7583907.08</v>
      </c>
      <c r="U62" s="110" t="n">
        <v>211481.84</v>
      </c>
      <c r="V62" s="110" t="n">
        <v>5971035.08</v>
      </c>
      <c r="W62" s="110" t="n">
        <v>2702322.19</v>
      </c>
      <c r="X62" s="110" t="n">
        <v>2606529.24</v>
      </c>
      <c r="Y62" s="110" t="n">
        <v>95792.95</v>
      </c>
      <c r="Z62" s="110" t="n">
        <v>3268712.89</v>
      </c>
      <c r="AA62" s="110" t="n">
        <v>3067658.16</v>
      </c>
      <c r="AB62" s="110" t="n">
        <v>201054.73</v>
      </c>
      <c r="AC62" s="110" t="n">
        <v>801495.02</v>
      </c>
      <c r="AD62" s="110" t="n">
        <v>378974.85</v>
      </c>
      <c r="AE62" s="110" t="n">
        <v>368155.9</v>
      </c>
      <c r="AF62" s="110" t="n">
        <v>10818.95</v>
      </c>
      <c r="AG62" s="110" t="n">
        <v>422520.17</v>
      </c>
      <c r="AH62" s="110" t="n">
        <v>404663.26</v>
      </c>
      <c r="AI62" s="110" t="n">
        <v>17856.91</v>
      </c>
      <c r="AJ62" s="110" t="n">
        <v>17039.06</v>
      </c>
      <c r="AK62" s="110" t="n">
        <v>4358.34</v>
      </c>
      <c r="AL62" s="110" t="n">
        <v>4229.34</v>
      </c>
      <c r="AM62" s="110" t="n">
        <v>129</v>
      </c>
      <c r="AN62" s="110" t="n">
        <v>12680.72</v>
      </c>
      <c r="AO62" s="110" t="n">
        <v>12073.9</v>
      </c>
      <c r="AP62" s="110" t="n">
        <v>606.8200000000001</v>
      </c>
      <c r="AQ62" s="110" t="n">
        <v>319168</v>
      </c>
      <c r="AR62" s="110" t="n">
        <v>112060</v>
      </c>
      <c r="AS62" s="110" t="n">
        <v>110146</v>
      </c>
      <c r="AT62" s="110" t="n">
        <v>1914</v>
      </c>
      <c r="AU62" s="110" t="n">
        <v>207108</v>
      </c>
      <c r="AV62" s="110" t="n">
        <v>187512</v>
      </c>
      <c r="AW62" s="110" t="n">
        <v>19596</v>
      </c>
      <c r="AX62" s="110" t="n">
        <v>4833333</v>
      </c>
      <c r="AY62" s="110" t="n">
        <v>2206929</v>
      </c>
      <c r="AZ62" s="110" t="n">
        <v>2123998</v>
      </c>
      <c r="BA62" s="110" t="n">
        <v>82931</v>
      </c>
      <c r="BB62" s="110" t="n">
        <v>2626404</v>
      </c>
      <c r="BC62" s="110" t="n">
        <v>2463409</v>
      </c>
      <c r="BD62" s="110" t="n">
        <v>162995</v>
      </c>
      <c r="BE62" s="110" t="n">
        <v>5772992.51</v>
      </c>
      <c r="BF62" s="110" t="n">
        <v>1246316.48</v>
      </c>
      <c r="BG62" s="110" t="n">
        <v>1243478.62</v>
      </c>
      <c r="BH62" s="110" t="n">
        <v>2837.86</v>
      </c>
      <c r="BI62" s="110" t="n">
        <v>4526676.03</v>
      </c>
      <c r="BJ62" s="110" t="n">
        <v>4516248.92</v>
      </c>
      <c r="BK62" s="110" t="n">
        <v>10427.11</v>
      </c>
      <c r="BL62" s="110" t="n">
        <v>1830993.5</v>
      </c>
      <c r="BM62" s="110" t="n">
        <v>801782.42</v>
      </c>
      <c r="BN62" s="110" t="n">
        <v>800244.77</v>
      </c>
      <c r="BO62" s="110" t="n">
        <v>1537.65</v>
      </c>
      <c r="BP62" s="110" t="n">
        <v>1029211.08</v>
      </c>
      <c r="BQ62" s="110" t="n">
        <v>1026306.29</v>
      </c>
      <c r="BR62" s="110" t="n">
        <v>2904.79</v>
      </c>
      <c r="BS62" s="110" t="n">
        <v>102257.01</v>
      </c>
      <c r="BT62" s="110" t="n">
        <v>31238.06</v>
      </c>
      <c r="BU62" s="110" t="n">
        <v>31091.85</v>
      </c>
      <c r="BV62" s="110" t="n">
        <v>146.21</v>
      </c>
      <c r="BW62" s="110" t="n">
        <v>71018.95</v>
      </c>
      <c r="BX62" s="110" t="n">
        <v>69195.13</v>
      </c>
      <c r="BY62" s="110" t="n">
        <v>1823.82</v>
      </c>
      <c r="BZ62" s="110" t="n">
        <v>342539</v>
      </c>
      <c r="CA62" s="110" t="n">
        <v>125676</v>
      </c>
      <c r="CB62" s="110" t="n">
        <v>124974</v>
      </c>
      <c r="CC62" s="110" t="n">
        <v>702</v>
      </c>
      <c r="CD62" s="110" t="n">
        <v>216863</v>
      </c>
      <c r="CE62" s="110" t="n">
        <v>212976</v>
      </c>
      <c r="CF62" s="110" t="n">
        <v>3887</v>
      </c>
      <c r="CG62" s="110" t="n">
        <v>3497203</v>
      </c>
      <c r="CH62" s="110" t="n">
        <v>287620</v>
      </c>
      <c r="CI62" s="110" t="n">
        <v>287168</v>
      </c>
      <c r="CJ62" s="110" t="n">
        <v>452</v>
      </c>
      <c r="CK62" s="110" t="n">
        <v>3209583</v>
      </c>
      <c r="CL62" s="110" t="n">
        <v>3207771.5</v>
      </c>
      <c r="CM62" s="110" t="n">
        <v>1811.5</v>
      </c>
      <c r="CN62" s="110" t="n">
        <v>0</v>
      </c>
      <c r="CO62" s="110" t="n">
        <v>4435086.38</v>
      </c>
      <c r="CP62" s="110" t="n">
        <v>1518966.23</v>
      </c>
      <c r="CQ62" s="110" t="n">
        <v>0</v>
      </c>
      <c r="CR62" s="110" t="n">
        <v>16982.47</v>
      </c>
      <c r="CS62" s="110" t="n">
        <v>0</v>
      </c>
      <c r="CT62" s="110" t="n">
        <v>0</v>
      </c>
      <c r="CU62" s="110" t="n">
        <v>0</v>
      </c>
      <c r="CV62" s="111" t="n">
        <v>1540</v>
      </c>
      <c r="CW62" s="111" t="n">
        <v>608</v>
      </c>
      <c r="CX62" s="111" t="n">
        <v>586</v>
      </c>
      <c r="CY62" s="111" t="n">
        <v>22</v>
      </c>
      <c r="CZ62" s="111" t="n">
        <v>932</v>
      </c>
      <c r="DA62" s="111" t="n">
        <v>803</v>
      </c>
      <c r="DB62" s="111" t="n">
        <v>129</v>
      </c>
      <c r="DC62" s="111" t="n">
        <v>970</v>
      </c>
      <c r="DD62" s="111" t="n">
        <v>0</v>
      </c>
      <c r="DE62" s="111" t="n">
        <v>342</v>
      </c>
      <c r="DF62" s="111" t="n">
        <v>327</v>
      </c>
      <c r="DG62" s="111" t="n">
        <v>15</v>
      </c>
      <c r="DH62" s="111" t="n">
        <v>628</v>
      </c>
      <c r="DI62" s="111" t="n">
        <v>575</v>
      </c>
      <c r="DJ62" s="111" t="n">
        <v>53</v>
      </c>
      <c r="DK62" s="111" t="n">
        <v>548</v>
      </c>
      <c r="DL62" s="111" t="n">
        <v>259</v>
      </c>
      <c r="DM62" s="111" t="n">
        <v>252</v>
      </c>
      <c r="DN62" s="111" t="n">
        <v>7</v>
      </c>
      <c r="DO62" s="111" t="n">
        <v>289</v>
      </c>
      <c r="DP62" s="111" t="n">
        <v>218</v>
      </c>
      <c r="DQ62" s="111" t="n">
        <v>71</v>
      </c>
      <c r="DR62" s="111" t="n">
        <v>22</v>
      </c>
      <c r="DS62" s="111" t="n">
        <v>0</v>
      </c>
      <c r="DT62" s="111" t="n">
        <v>7</v>
      </c>
      <c r="DU62" s="111" t="n">
        <v>7</v>
      </c>
      <c r="DV62" s="111" t="n">
        <v>0</v>
      </c>
      <c r="DW62" s="111" t="n">
        <v>15</v>
      </c>
      <c r="DX62" s="111" t="n">
        <v>10</v>
      </c>
      <c r="DY62" s="111" t="n">
        <v>5</v>
      </c>
      <c r="DZ62" s="111" t="n">
        <v>0</v>
      </c>
      <c r="EA62" s="111" t="n">
        <v>0</v>
      </c>
      <c r="EB62" s="111" t="n">
        <v>0</v>
      </c>
      <c r="EC62" s="111" t="n">
        <v>0</v>
      </c>
      <c r="ED62" s="111" t="n">
        <v>0</v>
      </c>
      <c r="EE62" s="111" t="n">
        <v>0</v>
      </c>
      <c r="EF62" s="111" t="n">
        <v>0</v>
      </c>
      <c r="EG62" s="111" t="n">
        <v>335</v>
      </c>
      <c r="EH62" s="111" t="n">
        <v>95</v>
      </c>
      <c r="EI62" s="111" t="n">
        <v>94</v>
      </c>
      <c r="EJ62" s="111" t="n">
        <v>1</v>
      </c>
      <c r="EK62" s="111" t="n">
        <v>240</v>
      </c>
      <c r="EL62" s="111" t="n">
        <v>238</v>
      </c>
      <c r="EM62" s="111" t="n">
        <v>2</v>
      </c>
      <c r="EN62" s="111" t="n">
        <v>315</v>
      </c>
      <c r="EO62" s="111" t="n">
        <v>0</v>
      </c>
      <c r="EP62" s="111" t="n">
        <v>0</v>
      </c>
      <c r="EQ62" s="111" t="n">
        <v>315</v>
      </c>
      <c r="ER62" s="111" t="n">
        <v>0</v>
      </c>
      <c r="ES62" s="111" t="n">
        <v>0</v>
      </c>
      <c r="ET62" s="111" t="n">
        <v>0</v>
      </c>
      <c r="EU62" s="111" t="n">
        <v>0</v>
      </c>
      <c r="EV62" s="111" t="n">
        <v>0</v>
      </c>
      <c r="EW62" s="111" t="n">
        <v>0</v>
      </c>
      <c r="EX62" s="111" t="n">
        <v>0</v>
      </c>
      <c r="EY62" s="111" t="n">
        <v>0</v>
      </c>
      <c r="EZ62" s="111" t="n">
        <v>0</v>
      </c>
      <c r="FA62" s="111" t="n">
        <v>0</v>
      </c>
      <c r="FB62" s="111" t="n">
        <v>0</v>
      </c>
    </row>
    <row r="63" ht="19.5" customHeight="1" s="247">
      <c r="A63" s="107" t="n">
        <v>60</v>
      </c>
      <c r="B63" s="107" t="inlineStr">
        <is>
          <t>医技平台</t>
        </is>
      </c>
      <c r="C63" s="107" t="inlineStr">
        <is>
          <t>病理科</t>
        </is>
      </c>
      <c r="D63" s="110" t="n">
        <v>479658</v>
      </c>
      <c r="E63" s="110" t="n">
        <v>479658</v>
      </c>
      <c r="F63" s="110" t="n">
        <v>0</v>
      </c>
      <c r="G63" s="110" t="n">
        <v>365</v>
      </c>
      <c r="H63" s="110" t="n">
        <v>0</v>
      </c>
      <c r="I63" s="110" t="n">
        <v>720</v>
      </c>
      <c r="J63" s="110" t="n">
        <v>44</v>
      </c>
      <c r="K63" s="110" t="n">
        <v>0</v>
      </c>
      <c r="L63" s="110" t="n">
        <v>0</v>
      </c>
      <c r="M63" s="110" t="n">
        <v>0</v>
      </c>
      <c r="N63" s="110" t="n">
        <v>0</v>
      </c>
      <c r="O63" s="110" t="n">
        <v>480858</v>
      </c>
      <c r="P63" s="110" t="n">
        <v>366155</v>
      </c>
      <c r="Q63" s="110" t="n">
        <v>315590</v>
      </c>
      <c r="R63" s="110" t="n">
        <v>50565</v>
      </c>
      <c r="S63" s="110" t="n">
        <v>114703</v>
      </c>
      <c r="T63" s="110" t="n">
        <v>62391</v>
      </c>
      <c r="U63" s="110" t="n">
        <v>52312</v>
      </c>
      <c r="V63" s="110" t="n">
        <v>480858</v>
      </c>
      <c r="W63" s="110" t="n">
        <v>366155</v>
      </c>
      <c r="X63" s="110" t="n">
        <v>315590</v>
      </c>
      <c r="Y63" s="110" t="n">
        <v>50565</v>
      </c>
      <c r="Z63" s="110" t="n">
        <v>114703</v>
      </c>
      <c r="AA63" s="110" t="n">
        <v>62391</v>
      </c>
      <c r="AB63" s="110" t="n">
        <v>52312</v>
      </c>
      <c r="AC63" s="110" t="n">
        <v>0</v>
      </c>
      <c r="AD63" s="110" t="n">
        <v>0</v>
      </c>
      <c r="AE63" s="110" t="n">
        <v>0</v>
      </c>
      <c r="AF63" s="110" t="n">
        <v>0</v>
      </c>
      <c r="AG63" s="110" t="n">
        <v>0</v>
      </c>
      <c r="AH63" s="110" t="n">
        <v>0</v>
      </c>
      <c r="AI63" s="110" t="n">
        <v>0</v>
      </c>
      <c r="AJ63" s="110" t="n">
        <v>1200</v>
      </c>
      <c r="AK63" s="110" t="n">
        <v>0</v>
      </c>
      <c r="AL63" s="110" t="n">
        <v>0</v>
      </c>
      <c r="AM63" s="110" t="n">
        <v>0</v>
      </c>
      <c r="AN63" s="110" t="n">
        <v>1200</v>
      </c>
      <c r="AO63" s="110" t="n">
        <v>600</v>
      </c>
      <c r="AP63" s="110" t="n">
        <v>600</v>
      </c>
      <c r="AQ63" s="110" t="n">
        <v>463022</v>
      </c>
      <c r="AR63" s="110" t="n">
        <v>360267</v>
      </c>
      <c r="AS63" s="110" t="n">
        <v>312518</v>
      </c>
      <c r="AT63" s="110" t="n">
        <v>47749</v>
      </c>
      <c r="AU63" s="110" t="n">
        <v>102755</v>
      </c>
      <c r="AV63" s="110" t="n">
        <v>57825</v>
      </c>
      <c r="AW63" s="110" t="n">
        <v>44930</v>
      </c>
      <c r="AX63" s="110" t="n">
        <v>16636</v>
      </c>
      <c r="AY63" s="110" t="n">
        <v>5888</v>
      </c>
      <c r="AZ63" s="110" t="n">
        <v>3072</v>
      </c>
      <c r="BA63" s="110" t="n">
        <v>2816</v>
      </c>
      <c r="BB63" s="110" t="n">
        <v>10748</v>
      </c>
      <c r="BC63" s="110" t="n">
        <v>3966</v>
      </c>
      <c r="BD63" s="110" t="n">
        <v>6782</v>
      </c>
      <c r="BE63" s="110" t="n">
        <v>0</v>
      </c>
      <c r="BF63" s="110" t="n">
        <v>0</v>
      </c>
      <c r="BG63" s="110" t="n">
        <v>0</v>
      </c>
      <c r="BH63" s="110" t="n">
        <v>0</v>
      </c>
      <c r="BI63" s="110" t="n">
        <v>0</v>
      </c>
      <c r="BJ63" s="110" t="n">
        <v>0</v>
      </c>
      <c r="BK63" s="110" t="n">
        <v>0</v>
      </c>
      <c r="BL63" s="110" t="n">
        <v>0</v>
      </c>
      <c r="BM63" s="110" t="n">
        <v>0</v>
      </c>
      <c r="BN63" s="110" t="n">
        <v>0</v>
      </c>
      <c r="BO63" s="110" t="n">
        <v>0</v>
      </c>
      <c r="BP63" s="110" t="n">
        <v>0</v>
      </c>
      <c r="BQ63" s="110" t="n">
        <v>0</v>
      </c>
      <c r="BR63" s="110" t="n">
        <v>0</v>
      </c>
      <c r="BS63" s="110" t="n">
        <v>0</v>
      </c>
      <c r="BT63" s="110" t="n">
        <v>0</v>
      </c>
      <c r="BU63" s="110" t="n">
        <v>0</v>
      </c>
      <c r="BV63" s="110" t="n">
        <v>0</v>
      </c>
      <c r="BW63" s="110" t="n">
        <v>0</v>
      </c>
      <c r="BX63" s="110" t="n">
        <v>0</v>
      </c>
      <c r="BY63" s="110" t="n">
        <v>0</v>
      </c>
      <c r="BZ63" s="110" t="n">
        <v>0</v>
      </c>
      <c r="CA63" s="110" t="n">
        <v>0</v>
      </c>
      <c r="CB63" s="110" t="n">
        <v>0</v>
      </c>
      <c r="CC63" s="110" t="n">
        <v>0</v>
      </c>
      <c r="CD63" s="110" t="n">
        <v>0</v>
      </c>
      <c r="CE63" s="110" t="n">
        <v>0</v>
      </c>
      <c r="CF63" s="110" t="n">
        <v>0</v>
      </c>
      <c r="CG63" s="110" t="n">
        <v>0</v>
      </c>
      <c r="CH63" s="110" t="n">
        <v>0</v>
      </c>
      <c r="CI63" s="110" t="n">
        <v>0</v>
      </c>
      <c r="CJ63" s="110" t="n">
        <v>0</v>
      </c>
      <c r="CK63" s="110" t="n">
        <v>0</v>
      </c>
      <c r="CL63" s="110" t="n">
        <v>0</v>
      </c>
      <c r="CM63" s="110" t="n">
        <v>0</v>
      </c>
      <c r="CN63" s="110" t="n">
        <v>0</v>
      </c>
      <c r="CO63" s="110" t="n">
        <v>0</v>
      </c>
      <c r="CP63" s="110" t="n">
        <v>0</v>
      </c>
      <c r="CQ63" s="110" t="n">
        <v>439212</v>
      </c>
      <c r="CR63" s="110" t="n">
        <v>41646</v>
      </c>
      <c r="CS63" s="110" t="n">
        <v>0</v>
      </c>
      <c r="CT63" s="110" t="n">
        <v>0</v>
      </c>
      <c r="CU63" s="110" t="n">
        <v>0</v>
      </c>
      <c r="CV63" s="111" t="n">
        <v>365</v>
      </c>
      <c r="CW63" s="111" t="n">
        <v>254</v>
      </c>
      <c r="CX63" s="111" t="n">
        <v>218</v>
      </c>
      <c r="CY63" s="111" t="n">
        <v>36</v>
      </c>
      <c r="CZ63" s="111" t="n">
        <v>111</v>
      </c>
      <c r="DA63" s="111" t="n">
        <v>62</v>
      </c>
      <c r="DB63" s="111" t="n">
        <v>49</v>
      </c>
      <c r="DC63" s="111" t="n">
        <v>303</v>
      </c>
      <c r="DD63" s="111" t="n">
        <v>0</v>
      </c>
      <c r="DE63" s="111" t="n">
        <v>231</v>
      </c>
      <c r="DF63" s="111" t="n">
        <v>206</v>
      </c>
      <c r="DG63" s="111" t="n">
        <v>25</v>
      </c>
      <c r="DH63" s="111" t="n">
        <v>72</v>
      </c>
      <c r="DI63" s="111" t="n">
        <v>48</v>
      </c>
      <c r="DJ63" s="111" t="n">
        <v>24</v>
      </c>
      <c r="DK63" s="111" t="n">
        <v>0</v>
      </c>
      <c r="DL63" s="111" t="n">
        <v>0</v>
      </c>
      <c r="DM63" s="111" t="n">
        <v>0</v>
      </c>
      <c r="DN63" s="111" t="n">
        <v>0</v>
      </c>
      <c r="DO63" s="111" t="n">
        <v>0</v>
      </c>
      <c r="DP63" s="111" t="n">
        <v>0</v>
      </c>
      <c r="DQ63" s="111" t="n">
        <v>0</v>
      </c>
      <c r="DR63" s="111" t="n">
        <v>62</v>
      </c>
      <c r="DS63" s="111" t="n">
        <v>0</v>
      </c>
      <c r="DT63" s="111" t="n">
        <v>23</v>
      </c>
      <c r="DU63" s="111" t="n">
        <v>12</v>
      </c>
      <c r="DV63" s="111" t="n">
        <v>11</v>
      </c>
      <c r="DW63" s="111" t="n">
        <v>39</v>
      </c>
      <c r="DX63" s="111" t="n">
        <v>14</v>
      </c>
      <c r="DY63" s="111" t="n">
        <v>25</v>
      </c>
      <c r="DZ63" s="111" t="n">
        <v>0</v>
      </c>
      <c r="EA63" s="111" t="n">
        <v>0</v>
      </c>
      <c r="EB63" s="111" t="n">
        <v>0</v>
      </c>
      <c r="EC63" s="111" t="n">
        <v>0</v>
      </c>
      <c r="ED63" s="111" t="n">
        <v>0</v>
      </c>
      <c r="EE63" s="111" t="n">
        <v>0</v>
      </c>
      <c r="EF63" s="111" t="n">
        <v>0</v>
      </c>
      <c r="EG63" s="111" t="n">
        <v>0</v>
      </c>
      <c r="EH63" s="111" t="n">
        <v>0</v>
      </c>
      <c r="EI63" s="111" t="n">
        <v>0</v>
      </c>
      <c r="EJ63" s="111" t="n">
        <v>0</v>
      </c>
      <c r="EK63" s="111" t="n">
        <v>0</v>
      </c>
      <c r="EL63" s="111" t="n">
        <v>0</v>
      </c>
      <c r="EM63" s="111" t="n">
        <v>0</v>
      </c>
      <c r="EN63" s="111" t="n">
        <v>1</v>
      </c>
      <c r="EO63" s="111" t="n">
        <v>1</v>
      </c>
      <c r="EP63" s="111" t="n">
        <v>0</v>
      </c>
      <c r="EQ63" s="111" t="n">
        <v>0</v>
      </c>
      <c r="ER63" s="111" t="n">
        <v>1</v>
      </c>
      <c r="ES63" s="111" t="n">
        <v>0</v>
      </c>
      <c r="ET63" s="111" t="n">
        <v>0</v>
      </c>
      <c r="EU63" s="111" t="n">
        <v>0</v>
      </c>
      <c r="EV63" s="111" t="n">
        <v>0</v>
      </c>
      <c r="EW63" s="111" t="n">
        <v>0</v>
      </c>
      <c r="EX63" s="111" t="n">
        <v>0</v>
      </c>
      <c r="EY63" s="111" t="n">
        <v>0</v>
      </c>
      <c r="EZ63" s="111" t="n">
        <v>0</v>
      </c>
      <c r="FA63" s="111" t="n">
        <v>0</v>
      </c>
      <c r="FB63" s="111" t="n">
        <v>0</v>
      </c>
    </row>
    <row r="64" ht="19.5" customHeight="1" s="247">
      <c r="A64" s="107" t="n">
        <v>61</v>
      </c>
      <c r="B64" s="107" t="inlineStr">
        <is>
          <t>医技平台</t>
        </is>
      </c>
      <c r="C64" s="107" t="inlineStr">
        <is>
          <t>放射科</t>
        </is>
      </c>
      <c r="D64" s="110" t="n">
        <v>330301</v>
      </c>
      <c r="E64" s="110" t="n">
        <v>330301</v>
      </c>
      <c r="F64" s="110" t="n">
        <v>0</v>
      </c>
      <c r="G64" s="110" t="n">
        <v>3318</v>
      </c>
      <c r="H64" s="110" t="n">
        <v>0</v>
      </c>
      <c r="I64" s="110" t="n">
        <v>72</v>
      </c>
      <c r="J64" s="110" t="n">
        <v>3300</v>
      </c>
      <c r="K64" s="110" t="n">
        <v>0</v>
      </c>
      <c r="L64" s="110" t="n">
        <v>0</v>
      </c>
      <c r="M64" s="110" t="n">
        <v>0</v>
      </c>
      <c r="N64" s="110" t="n">
        <v>0</v>
      </c>
      <c r="O64" s="110" t="n">
        <v>332880.64</v>
      </c>
      <c r="P64" s="110" t="n">
        <v>188875.88</v>
      </c>
      <c r="Q64" s="110" t="n">
        <v>140481.88</v>
      </c>
      <c r="R64" s="110" t="n">
        <v>48394</v>
      </c>
      <c r="S64" s="110" t="n">
        <v>144004.76</v>
      </c>
      <c r="T64" s="110" t="n">
        <v>45614.76</v>
      </c>
      <c r="U64" s="110" t="n">
        <v>98390</v>
      </c>
      <c r="V64" s="110" t="n">
        <v>332880.64</v>
      </c>
      <c r="W64" s="110" t="n">
        <v>188875.88</v>
      </c>
      <c r="X64" s="110" t="n">
        <v>140481.88</v>
      </c>
      <c r="Y64" s="110" t="n">
        <v>48394</v>
      </c>
      <c r="Z64" s="110" t="n">
        <v>144004.76</v>
      </c>
      <c r="AA64" s="110" t="n">
        <v>45614.76</v>
      </c>
      <c r="AB64" s="110" t="n">
        <v>98390</v>
      </c>
      <c r="AC64" s="110" t="n">
        <v>513.64</v>
      </c>
      <c r="AD64" s="110" t="n">
        <v>26.88</v>
      </c>
      <c r="AE64" s="110" t="n">
        <v>26.88</v>
      </c>
      <c r="AF64" s="110" t="n">
        <v>0</v>
      </c>
      <c r="AG64" s="110" t="n">
        <v>486.76</v>
      </c>
      <c r="AH64" s="110" t="n">
        <v>53.76</v>
      </c>
      <c r="AI64" s="110" t="n">
        <v>433</v>
      </c>
      <c r="AJ64" s="110" t="n">
        <v>2066</v>
      </c>
      <c r="AK64" s="110" t="n">
        <v>1937</v>
      </c>
      <c r="AL64" s="110" t="n">
        <v>1937</v>
      </c>
      <c r="AM64" s="110" t="n">
        <v>0</v>
      </c>
      <c r="AN64" s="110" t="n">
        <v>129</v>
      </c>
      <c r="AO64" s="110" t="n">
        <v>86</v>
      </c>
      <c r="AP64" s="110" t="n">
        <v>43</v>
      </c>
      <c r="AQ64" s="110" t="n">
        <v>176613</v>
      </c>
      <c r="AR64" s="110" t="n">
        <v>128712</v>
      </c>
      <c r="AS64" s="110" t="n">
        <v>96654</v>
      </c>
      <c r="AT64" s="110" t="n">
        <v>32058</v>
      </c>
      <c r="AU64" s="110" t="n">
        <v>47901</v>
      </c>
      <c r="AV64" s="110" t="n">
        <v>24419</v>
      </c>
      <c r="AW64" s="110" t="n">
        <v>23482</v>
      </c>
      <c r="AX64" s="110" t="n">
        <v>153688</v>
      </c>
      <c r="AY64" s="110" t="n">
        <v>58200</v>
      </c>
      <c r="AZ64" s="110" t="n">
        <v>41864</v>
      </c>
      <c r="BA64" s="110" t="n">
        <v>16336</v>
      </c>
      <c r="BB64" s="110" t="n">
        <v>95488</v>
      </c>
      <c r="BC64" s="110" t="n">
        <v>21056</v>
      </c>
      <c r="BD64" s="110" t="n">
        <v>74432</v>
      </c>
      <c r="BE64" s="110" t="n">
        <v>0</v>
      </c>
      <c r="BF64" s="110" t="n">
        <v>0</v>
      </c>
      <c r="BG64" s="110" t="n">
        <v>0</v>
      </c>
      <c r="BH64" s="110" t="n">
        <v>0</v>
      </c>
      <c r="BI64" s="110" t="n">
        <v>0</v>
      </c>
      <c r="BJ64" s="110" t="n">
        <v>0</v>
      </c>
      <c r="BK64" s="110" t="n">
        <v>0</v>
      </c>
      <c r="BL64" s="110" t="n">
        <v>0</v>
      </c>
      <c r="BM64" s="110" t="n">
        <v>0</v>
      </c>
      <c r="BN64" s="110" t="n">
        <v>0</v>
      </c>
      <c r="BO64" s="110" t="n">
        <v>0</v>
      </c>
      <c r="BP64" s="110" t="n">
        <v>0</v>
      </c>
      <c r="BQ64" s="110" t="n">
        <v>0</v>
      </c>
      <c r="BR64" s="110" t="n">
        <v>0</v>
      </c>
      <c r="BS64" s="110" t="n">
        <v>0</v>
      </c>
      <c r="BT64" s="110" t="n">
        <v>0</v>
      </c>
      <c r="BU64" s="110" t="n">
        <v>0</v>
      </c>
      <c r="BV64" s="110" t="n">
        <v>0</v>
      </c>
      <c r="BW64" s="110" t="n">
        <v>0</v>
      </c>
      <c r="BX64" s="110" t="n">
        <v>0</v>
      </c>
      <c r="BY64" s="110" t="n">
        <v>0</v>
      </c>
      <c r="BZ64" s="110" t="n">
        <v>0</v>
      </c>
      <c r="CA64" s="110" t="n">
        <v>0</v>
      </c>
      <c r="CB64" s="110" t="n">
        <v>0</v>
      </c>
      <c r="CC64" s="110" t="n">
        <v>0</v>
      </c>
      <c r="CD64" s="110" t="n">
        <v>0</v>
      </c>
      <c r="CE64" s="110" t="n">
        <v>0</v>
      </c>
      <c r="CF64" s="110" t="n">
        <v>0</v>
      </c>
      <c r="CG64" s="110" t="n">
        <v>0</v>
      </c>
      <c r="CH64" s="110" t="n">
        <v>0</v>
      </c>
      <c r="CI64" s="110" t="n">
        <v>0</v>
      </c>
      <c r="CJ64" s="110" t="n">
        <v>0</v>
      </c>
      <c r="CK64" s="110" t="n">
        <v>0</v>
      </c>
      <c r="CL64" s="110" t="n">
        <v>0</v>
      </c>
      <c r="CM64" s="110" t="n">
        <v>0</v>
      </c>
      <c r="CN64" s="110" t="n">
        <v>0</v>
      </c>
      <c r="CO64" s="110" t="n">
        <v>280</v>
      </c>
      <c r="CP64" s="110" t="n">
        <v>40</v>
      </c>
      <c r="CQ64" s="110" t="n">
        <v>160056</v>
      </c>
      <c r="CR64" s="110" t="n">
        <v>172504.64</v>
      </c>
      <c r="CS64" s="110" t="n">
        <v>0</v>
      </c>
      <c r="CT64" s="110" t="n">
        <v>0</v>
      </c>
      <c r="CU64" s="110" t="n">
        <v>0</v>
      </c>
      <c r="CV64" s="111" t="n">
        <v>3318</v>
      </c>
      <c r="CW64" s="111" t="n">
        <v>2389</v>
      </c>
      <c r="CX64" s="111" t="n">
        <v>1902</v>
      </c>
      <c r="CY64" s="111" t="n">
        <v>487</v>
      </c>
      <c r="CZ64" s="111" t="n">
        <v>929</v>
      </c>
      <c r="DA64" s="111" t="n">
        <v>451</v>
      </c>
      <c r="DB64" s="111" t="n">
        <v>478</v>
      </c>
      <c r="DC64" s="111" t="n">
        <v>2927</v>
      </c>
      <c r="DD64" s="111" t="n">
        <v>40</v>
      </c>
      <c r="DE64" s="111" t="n">
        <v>2229</v>
      </c>
      <c r="DF64" s="111" t="n">
        <v>1780</v>
      </c>
      <c r="DG64" s="111" t="n">
        <v>449</v>
      </c>
      <c r="DH64" s="111" t="n">
        <v>698</v>
      </c>
      <c r="DI64" s="111" t="n">
        <v>392</v>
      </c>
      <c r="DJ64" s="111" t="n">
        <v>306</v>
      </c>
      <c r="DK64" s="111" t="n">
        <v>0</v>
      </c>
      <c r="DL64" s="111" t="n">
        <v>0</v>
      </c>
      <c r="DM64" s="111" t="n">
        <v>0</v>
      </c>
      <c r="DN64" s="111" t="n">
        <v>0</v>
      </c>
      <c r="DO64" s="111" t="n">
        <v>0</v>
      </c>
      <c r="DP64" s="111" t="n">
        <v>0</v>
      </c>
      <c r="DQ64" s="111" t="n">
        <v>0</v>
      </c>
      <c r="DR64" s="111" t="n">
        <v>351</v>
      </c>
      <c r="DS64" s="111" t="n">
        <v>0</v>
      </c>
      <c r="DT64" s="111" t="n">
        <v>138</v>
      </c>
      <c r="DU64" s="111" t="n">
        <v>102</v>
      </c>
      <c r="DV64" s="111" t="n">
        <v>36</v>
      </c>
      <c r="DW64" s="111" t="n">
        <v>213</v>
      </c>
      <c r="DX64" s="111" t="n">
        <v>56</v>
      </c>
      <c r="DY64" s="111" t="n">
        <v>157</v>
      </c>
      <c r="DZ64" s="111" t="n">
        <v>0</v>
      </c>
      <c r="EA64" s="111" t="n">
        <v>0</v>
      </c>
      <c r="EB64" s="111" t="n">
        <v>0</v>
      </c>
      <c r="EC64" s="111" t="n">
        <v>0</v>
      </c>
      <c r="ED64" s="111" t="n">
        <v>0</v>
      </c>
      <c r="EE64" s="111" t="n">
        <v>0</v>
      </c>
      <c r="EF64" s="111" t="n">
        <v>0</v>
      </c>
      <c r="EG64" s="111" t="n">
        <v>0</v>
      </c>
      <c r="EH64" s="111" t="n">
        <v>0</v>
      </c>
      <c r="EI64" s="111" t="n">
        <v>0</v>
      </c>
      <c r="EJ64" s="111" t="n">
        <v>0</v>
      </c>
      <c r="EK64" s="111" t="n">
        <v>0</v>
      </c>
      <c r="EL64" s="111" t="n">
        <v>0</v>
      </c>
      <c r="EM64" s="111" t="n">
        <v>0</v>
      </c>
      <c r="EN64" s="111" t="n">
        <v>20</v>
      </c>
      <c r="EO64" s="111" t="n">
        <v>0</v>
      </c>
      <c r="EP64" s="111" t="n">
        <v>0</v>
      </c>
      <c r="EQ64" s="111" t="n">
        <v>20</v>
      </c>
      <c r="ER64" s="111" t="n">
        <v>0</v>
      </c>
      <c r="ES64" s="111" t="n">
        <v>0</v>
      </c>
      <c r="ET64" s="111" t="n">
        <v>0</v>
      </c>
      <c r="EU64" s="111" t="n">
        <v>0</v>
      </c>
      <c r="EV64" s="111" t="n">
        <v>0</v>
      </c>
      <c r="EW64" s="111" t="n">
        <v>0</v>
      </c>
      <c r="EX64" s="111" t="n">
        <v>0</v>
      </c>
      <c r="EY64" s="111" t="n">
        <v>0</v>
      </c>
      <c r="EZ64" s="111" t="n">
        <v>0</v>
      </c>
      <c r="FA64" s="111" t="n">
        <v>0</v>
      </c>
      <c r="FB64" s="111" t="n">
        <v>0</v>
      </c>
    </row>
    <row r="65" ht="19.5" customHeight="1" s="247">
      <c r="A65" s="107" t="n">
        <v>62</v>
      </c>
      <c r="B65" s="107" t="inlineStr">
        <is>
          <t>医技平台</t>
        </is>
      </c>
      <c r="C65" s="107" t="inlineStr">
        <is>
          <t>超声诊断科</t>
        </is>
      </c>
      <c r="D65" s="110" t="n">
        <v>259668</v>
      </c>
      <c r="E65" s="110" t="n">
        <v>259668</v>
      </c>
      <c r="F65" s="110" t="n">
        <v>0</v>
      </c>
      <c r="G65" s="110" t="n">
        <v>1611</v>
      </c>
      <c r="H65" s="110" t="n">
        <v>0</v>
      </c>
      <c r="I65" s="110" t="n">
        <v>2220</v>
      </c>
      <c r="J65" s="110" t="n">
        <v>23684</v>
      </c>
      <c r="K65" s="110" t="n">
        <v>0</v>
      </c>
      <c r="L65" s="110" t="n">
        <v>0</v>
      </c>
      <c r="M65" s="110" t="n">
        <v>0</v>
      </c>
      <c r="N65" s="110" t="n">
        <v>0</v>
      </c>
      <c r="O65" s="110" t="n">
        <v>337579.06</v>
      </c>
      <c r="P65" s="110" t="n">
        <v>270173.6</v>
      </c>
      <c r="Q65" s="110" t="n">
        <v>256351.61</v>
      </c>
      <c r="R65" s="110" t="n">
        <v>13821.99</v>
      </c>
      <c r="S65" s="110" t="n">
        <v>67405.46000000001</v>
      </c>
      <c r="T65" s="110" t="n">
        <v>43485.22</v>
      </c>
      <c r="U65" s="110" t="n">
        <v>23920.24</v>
      </c>
      <c r="V65" s="110" t="n">
        <v>337579.06</v>
      </c>
      <c r="W65" s="110" t="n">
        <v>270173.6</v>
      </c>
      <c r="X65" s="110" t="n">
        <v>256351.61</v>
      </c>
      <c r="Y65" s="110" t="n">
        <v>13821.99</v>
      </c>
      <c r="Z65" s="110" t="n">
        <v>67405.46000000001</v>
      </c>
      <c r="AA65" s="110" t="n">
        <v>43485.22</v>
      </c>
      <c r="AB65" s="110" t="n">
        <v>23920.24</v>
      </c>
      <c r="AC65" s="110" t="n">
        <v>50142.26</v>
      </c>
      <c r="AD65" s="110" t="n">
        <v>38199.8</v>
      </c>
      <c r="AE65" s="110" t="n">
        <v>35911.81</v>
      </c>
      <c r="AF65" s="110" t="n">
        <v>2287.99</v>
      </c>
      <c r="AG65" s="110" t="n">
        <v>11942.46</v>
      </c>
      <c r="AH65" s="110" t="n">
        <v>7842.22</v>
      </c>
      <c r="AI65" s="110" t="n">
        <v>4100.24</v>
      </c>
      <c r="AJ65" s="110" t="n">
        <v>27768.8</v>
      </c>
      <c r="AK65" s="110" t="n">
        <v>22738.8</v>
      </c>
      <c r="AL65" s="110" t="n">
        <v>22138.8</v>
      </c>
      <c r="AM65" s="110" t="n">
        <v>600</v>
      </c>
      <c r="AN65" s="110" t="n">
        <v>5030</v>
      </c>
      <c r="AO65" s="110" t="n">
        <v>4050</v>
      </c>
      <c r="AP65" s="110" t="n">
        <v>980</v>
      </c>
      <c r="AQ65" s="110" t="n">
        <v>165446</v>
      </c>
      <c r="AR65" s="110" t="n">
        <v>133443</v>
      </c>
      <c r="AS65" s="110" t="n">
        <v>128593</v>
      </c>
      <c r="AT65" s="110" t="n">
        <v>4850</v>
      </c>
      <c r="AU65" s="110" t="n">
        <v>32003</v>
      </c>
      <c r="AV65" s="110" t="n">
        <v>21900</v>
      </c>
      <c r="AW65" s="110" t="n">
        <v>10103</v>
      </c>
      <c r="AX65" s="110" t="n">
        <v>94222</v>
      </c>
      <c r="AY65" s="110" t="n">
        <v>75792</v>
      </c>
      <c r="AZ65" s="110" t="n">
        <v>69708</v>
      </c>
      <c r="BA65" s="110" t="n">
        <v>6084</v>
      </c>
      <c r="BB65" s="110" t="n">
        <v>18430</v>
      </c>
      <c r="BC65" s="110" t="n">
        <v>9693</v>
      </c>
      <c r="BD65" s="110" t="n">
        <v>8737</v>
      </c>
      <c r="BE65" s="110" t="n">
        <v>0</v>
      </c>
      <c r="BF65" s="110" t="n">
        <v>0</v>
      </c>
      <c r="BG65" s="110" t="n">
        <v>0</v>
      </c>
      <c r="BH65" s="110" t="n">
        <v>0</v>
      </c>
      <c r="BI65" s="110" t="n">
        <v>0</v>
      </c>
      <c r="BJ65" s="110" t="n">
        <v>0</v>
      </c>
      <c r="BK65" s="110" t="n">
        <v>0</v>
      </c>
      <c r="BL65" s="110" t="n">
        <v>0</v>
      </c>
      <c r="BM65" s="110" t="n">
        <v>0</v>
      </c>
      <c r="BN65" s="110" t="n">
        <v>0</v>
      </c>
      <c r="BO65" s="110" t="n">
        <v>0</v>
      </c>
      <c r="BP65" s="110" t="n">
        <v>0</v>
      </c>
      <c r="BQ65" s="110" t="n">
        <v>0</v>
      </c>
      <c r="BR65" s="110" t="n">
        <v>0</v>
      </c>
      <c r="BS65" s="110" t="n">
        <v>0</v>
      </c>
      <c r="BT65" s="110" t="n">
        <v>0</v>
      </c>
      <c r="BU65" s="110" t="n">
        <v>0</v>
      </c>
      <c r="BV65" s="110" t="n">
        <v>0</v>
      </c>
      <c r="BW65" s="110" t="n">
        <v>0</v>
      </c>
      <c r="BX65" s="110" t="n">
        <v>0</v>
      </c>
      <c r="BY65" s="110" t="n">
        <v>0</v>
      </c>
      <c r="BZ65" s="110" t="n">
        <v>0</v>
      </c>
      <c r="CA65" s="110" t="n">
        <v>0</v>
      </c>
      <c r="CB65" s="110" t="n">
        <v>0</v>
      </c>
      <c r="CC65" s="110" t="n">
        <v>0</v>
      </c>
      <c r="CD65" s="110" t="n">
        <v>0</v>
      </c>
      <c r="CE65" s="110" t="n">
        <v>0</v>
      </c>
      <c r="CF65" s="110" t="n">
        <v>0</v>
      </c>
      <c r="CG65" s="110" t="n">
        <v>0</v>
      </c>
      <c r="CH65" s="110" t="n">
        <v>0</v>
      </c>
      <c r="CI65" s="110" t="n">
        <v>0</v>
      </c>
      <c r="CJ65" s="110" t="n">
        <v>0</v>
      </c>
      <c r="CK65" s="110" t="n">
        <v>0</v>
      </c>
      <c r="CL65" s="110" t="n">
        <v>0</v>
      </c>
      <c r="CM65" s="110" t="n">
        <v>0</v>
      </c>
      <c r="CN65" s="110" t="n">
        <v>0</v>
      </c>
      <c r="CO65" s="110" t="n">
        <v>2713</v>
      </c>
      <c r="CP65" s="110" t="n">
        <v>27676.65</v>
      </c>
      <c r="CQ65" s="110" t="n">
        <v>223493.39</v>
      </c>
      <c r="CR65" s="110" t="n">
        <v>83696.02</v>
      </c>
      <c r="CS65" s="110" t="n">
        <v>0</v>
      </c>
      <c r="CT65" s="110" t="n">
        <v>0</v>
      </c>
      <c r="CU65" s="110" t="n">
        <v>0</v>
      </c>
      <c r="CV65" s="111" t="n">
        <v>1611</v>
      </c>
      <c r="CW65" s="111" t="n">
        <v>1337</v>
      </c>
      <c r="CX65" s="111" t="n">
        <v>1266</v>
      </c>
      <c r="CY65" s="111" t="n">
        <v>71</v>
      </c>
      <c r="CZ65" s="111" t="n">
        <v>274</v>
      </c>
      <c r="DA65" s="111" t="n">
        <v>170</v>
      </c>
      <c r="DB65" s="111" t="n">
        <v>104</v>
      </c>
      <c r="DC65" s="111" t="n">
        <v>1358</v>
      </c>
      <c r="DD65" s="111" t="n">
        <v>19</v>
      </c>
      <c r="DE65" s="111" t="n">
        <v>1128</v>
      </c>
      <c r="DF65" s="111" t="n">
        <v>1072</v>
      </c>
      <c r="DG65" s="111" t="n">
        <v>56</v>
      </c>
      <c r="DH65" s="111" t="n">
        <v>230</v>
      </c>
      <c r="DI65" s="111" t="n">
        <v>149</v>
      </c>
      <c r="DJ65" s="111" t="n">
        <v>81</v>
      </c>
      <c r="DK65" s="111" t="n">
        <v>121</v>
      </c>
      <c r="DL65" s="111" t="n">
        <v>105</v>
      </c>
      <c r="DM65" s="111" t="n">
        <v>103</v>
      </c>
      <c r="DN65" s="111" t="n">
        <v>2</v>
      </c>
      <c r="DO65" s="111" t="n">
        <v>16</v>
      </c>
      <c r="DP65" s="111" t="n">
        <v>12</v>
      </c>
      <c r="DQ65" s="111" t="n">
        <v>4</v>
      </c>
      <c r="DR65" s="111" t="n">
        <v>113</v>
      </c>
      <c r="DS65" s="111" t="n">
        <v>0</v>
      </c>
      <c r="DT65" s="111" t="n">
        <v>88</v>
      </c>
      <c r="DU65" s="111" t="n">
        <v>76</v>
      </c>
      <c r="DV65" s="111" t="n">
        <v>12</v>
      </c>
      <c r="DW65" s="111" t="n">
        <v>25</v>
      </c>
      <c r="DX65" s="111" t="n">
        <v>8</v>
      </c>
      <c r="DY65" s="111" t="n">
        <v>17</v>
      </c>
      <c r="DZ65" s="111" t="n">
        <v>0</v>
      </c>
      <c r="EA65" s="111" t="n">
        <v>0</v>
      </c>
      <c r="EB65" s="111" t="n">
        <v>0</v>
      </c>
      <c r="EC65" s="111" t="n">
        <v>0</v>
      </c>
      <c r="ED65" s="111" t="n">
        <v>0</v>
      </c>
      <c r="EE65" s="111" t="n">
        <v>0</v>
      </c>
      <c r="EF65" s="111" t="n">
        <v>0</v>
      </c>
      <c r="EG65" s="111" t="n">
        <v>0</v>
      </c>
      <c r="EH65" s="111" t="n">
        <v>0</v>
      </c>
      <c r="EI65" s="111" t="n">
        <v>0</v>
      </c>
      <c r="EJ65" s="111" t="n">
        <v>0</v>
      </c>
      <c r="EK65" s="111" t="n">
        <v>0</v>
      </c>
      <c r="EL65" s="111" t="n">
        <v>0</v>
      </c>
      <c r="EM65" s="111" t="n">
        <v>0</v>
      </c>
      <c r="EN65" s="111" t="n">
        <v>98</v>
      </c>
      <c r="EO65" s="111" t="n">
        <v>2</v>
      </c>
      <c r="EP65" s="111" t="n">
        <v>0</v>
      </c>
      <c r="EQ65" s="111" t="n">
        <v>96</v>
      </c>
      <c r="ER65" s="111" t="n">
        <v>0</v>
      </c>
      <c r="ES65" s="111" t="n">
        <v>0</v>
      </c>
      <c r="ET65" s="111" t="n">
        <v>1</v>
      </c>
      <c r="EU65" s="111" t="n">
        <v>0</v>
      </c>
      <c r="EV65" s="111" t="n">
        <v>0</v>
      </c>
      <c r="EW65" s="111" t="n">
        <v>0</v>
      </c>
      <c r="EX65" s="111" t="n">
        <v>0</v>
      </c>
      <c r="EY65" s="111" t="n">
        <v>0</v>
      </c>
      <c r="EZ65" s="111" t="n">
        <v>0</v>
      </c>
      <c r="FA65" s="111" t="n">
        <v>0</v>
      </c>
      <c r="FB65" s="111" t="n">
        <v>0</v>
      </c>
    </row>
    <row r="66" ht="28.5" customHeight="1" s="247">
      <c r="A66" s="107" t="n">
        <v>63</v>
      </c>
      <c r="B66" s="107" t="inlineStr">
        <is>
          <t>其他</t>
        </is>
      </c>
      <c r="C66" s="107" t="inlineStr">
        <is>
          <t>临床药物试验办公室GCP</t>
        </is>
      </c>
      <c r="D66" s="110" t="n">
        <v>49322</v>
      </c>
      <c r="E66" s="110" t="n">
        <v>49322</v>
      </c>
      <c r="F66" s="110" t="n">
        <v>0</v>
      </c>
      <c r="G66" s="110" t="n">
        <v>132</v>
      </c>
      <c r="H66" s="110" t="n">
        <v>0</v>
      </c>
      <c r="I66" s="110" t="n">
        <v>40</v>
      </c>
      <c r="J66" s="110" t="n">
        <v>0</v>
      </c>
      <c r="K66" s="110" t="n">
        <v>0</v>
      </c>
      <c r="L66" s="110" t="n">
        <v>0</v>
      </c>
      <c r="M66" s="110" t="n">
        <v>0</v>
      </c>
      <c r="N66" s="110" t="n">
        <v>0</v>
      </c>
      <c r="O66" s="110" t="n">
        <v>49354</v>
      </c>
      <c r="P66" s="110" t="n">
        <v>12650</v>
      </c>
      <c r="Q66" s="110" t="n">
        <v>0</v>
      </c>
      <c r="R66" s="110" t="n">
        <v>12650</v>
      </c>
      <c r="S66" s="110" t="n">
        <v>36704</v>
      </c>
      <c r="T66" s="110" t="n">
        <v>0</v>
      </c>
      <c r="U66" s="110" t="n">
        <v>36704</v>
      </c>
      <c r="V66" s="110" t="n">
        <v>49354</v>
      </c>
      <c r="W66" s="110" t="n">
        <v>12650</v>
      </c>
      <c r="X66" s="110" t="n">
        <v>0</v>
      </c>
      <c r="Y66" s="110" t="n">
        <v>12650</v>
      </c>
      <c r="Z66" s="110" t="n">
        <v>36704</v>
      </c>
      <c r="AA66" s="110" t="n">
        <v>0</v>
      </c>
      <c r="AB66" s="110" t="n">
        <v>36704</v>
      </c>
      <c r="AC66" s="110" t="n">
        <v>0</v>
      </c>
      <c r="AD66" s="110" t="n">
        <v>0</v>
      </c>
      <c r="AE66" s="110" t="n">
        <v>0</v>
      </c>
      <c r="AF66" s="110" t="n">
        <v>0</v>
      </c>
      <c r="AG66" s="110" t="n">
        <v>0</v>
      </c>
      <c r="AH66" s="110" t="n">
        <v>0</v>
      </c>
      <c r="AI66" s="110" t="n">
        <v>0</v>
      </c>
      <c r="AJ66" s="110" t="n">
        <v>32</v>
      </c>
      <c r="AK66" s="110" t="n">
        <v>0</v>
      </c>
      <c r="AL66" s="110" t="n">
        <v>0</v>
      </c>
      <c r="AM66" s="110" t="n">
        <v>0</v>
      </c>
      <c r="AN66" s="110" t="n">
        <v>32</v>
      </c>
      <c r="AO66" s="110" t="n">
        <v>0</v>
      </c>
      <c r="AP66" s="110" t="n">
        <v>32</v>
      </c>
      <c r="AQ66" s="110" t="n">
        <v>45982</v>
      </c>
      <c r="AR66" s="110" t="n">
        <v>10900</v>
      </c>
      <c r="AS66" s="110" t="n">
        <v>0</v>
      </c>
      <c r="AT66" s="110" t="n">
        <v>10900</v>
      </c>
      <c r="AU66" s="110" t="n">
        <v>35082</v>
      </c>
      <c r="AV66" s="110" t="n">
        <v>0</v>
      </c>
      <c r="AW66" s="110" t="n">
        <v>35082</v>
      </c>
      <c r="AX66" s="110" t="n">
        <v>3340</v>
      </c>
      <c r="AY66" s="110" t="n">
        <v>1750</v>
      </c>
      <c r="AZ66" s="110" t="n">
        <v>0</v>
      </c>
      <c r="BA66" s="110" t="n">
        <v>1750</v>
      </c>
      <c r="BB66" s="110" t="n">
        <v>1590</v>
      </c>
      <c r="BC66" s="110" t="n">
        <v>0</v>
      </c>
      <c r="BD66" s="110" t="n">
        <v>1590</v>
      </c>
      <c r="BE66" s="110" t="n">
        <v>0</v>
      </c>
      <c r="BF66" s="110" t="n">
        <v>0</v>
      </c>
      <c r="BG66" s="110" t="n">
        <v>0</v>
      </c>
      <c r="BH66" s="110" t="n">
        <v>0</v>
      </c>
      <c r="BI66" s="110" t="n">
        <v>0</v>
      </c>
      <c r="BJ66" s="110" t="n">
        <v>0</v>
      </c>
      <c r="BK66" s="110" t="n">
        <v>0</v>
      </c>
      <c r="BL66" s="110" t="n">
        <v>0</v>
      </c>
      <c r="BM66" s="110" t="n">
        <v>0</v>
      </c>
      <c r="BN66" s="110" t="n">
        <v>0</v>
      </c>
      <c r="BO66" s="110" t="n">
        <v>0</v>
      </c>
      <c r="BP66" s="110" t="n">
        <v>0</v>
      </c>
      <c r="BQ66" s="110" t="n">
        <v>0</v>
      </c>
      <c r="BR66" s="110" t="n">
        <v>0</v>
      </c>
      <c r="BS66" s="110" t="n">
        <v>0</v>
      </c>
      <c r="BT66" s="110" t="n">
        <v>0</v>
      </c>
      <c r="BU66" s="110" t="n">
        <v>0</v>
      </c>
      <c r="BV66" s="110" t="n">
        <v>0</v>
      </c>
      <c r="BW66" s="110" t="n">
        <v>0</v>
      </c>
      <c r="BX66" s="110" t="n">
        <v>0</v>
      </c>
      <c r="BY66" s="110" t="n">
        <v>0</v>
      </c>
      <c r="BZ66" s="110" t="n">
        <v>0</v>
      </c>
      <c r="CA66" s="110" t="n">
        <v>0</v>
      </c>
      <c r="CB66" s="110" t="n">
        <v>0</v>
      </c>
      <c r="CC66" s="110" t="n">
        <v>0</v>
      </c>
      <c r="CD66" s="110" t="n">
        <v>0</v>
      </c>
      <c r="CE66" s="110" t="n">
        <v>0</v>
      </c>
      <c r="CF66" s="110" t="n">
        <v>0</v>
      </c>
      <c r="CG66" s="110" t="n">
        <v>0</v>
      </c>
      <c r="CH66" s="110" t="n">
        <v>0</v>
      </c>
      <c r="CI66" s="110" t="n">
        <v>0</v>
      </c>
      <c r="CJ66" s="110" t="n">
        <v>0</v>
      </c>
      <c r="CK66" s="110" t="n">
        <v>0</v>
      </c>
      <c r="CL66" s="110" t="n">
        <v>0</v>
      </c>
      <c r="CM66" s="110" t="n">
        <v>0</v>
      </c>
      <c r="CN66" s="110" t="n">
        <v>0</v>
      </c>
      <c r="CO66" s="110" t="n">
        <v>0</v>
      </c>
      <c r="CP66" s="110" t="n">
        <v>0</v>
      </c>
      <c r="CQ66" s="110" t="n">
        <v>49354</v>
      </c>
      <c r="CR66" s="110" t="n">
        <v>0</v>
      </c>
      <c r="CS66" s="110" t="n">
        <v>0</v>
      </c>
      <c r="CT66" s="110" t="n">
        <v>0</v>
      </c>
      <c r="CU66" s="110" t="n">
        <v>0</v>
      </c>
      <c r="CV66" s="111" t="n">
        <v>132</v>
      </c>
      <c r="CW66" s="111" t="n">
        <v>70</v>
      </c>
      <c r="CX66" s="111" t="n">
        <v>0</v>
      </c>
      <c r="CY66" s="111" t="n">
        <v>70</v>
      </c>
      <c r="CZ66" s="111" t="n">
        <v>62</v>
      </c>
      <c r="DA66" s="111" t="n">
        <v>0</v>
      </c>
      <c r="DB66" s="111" t="n">
        <v>62</v>
      </c>
      <c r="DC66" s="111" t="n">
        <v>132</v>
      </c>
      <c r="DD66" s="111" t="n">
        <v>0</v>
      </c>
      <c r="DE66" s="111" t="n">
        <v>70</v>
      </c>
      <c r="DF66" s="111" t="n">
        <v>0</v>
      </c>
      <c r="DG66" s="111" t="n">
        <v>70</v>
      </c>
      <c r="DH66" s="111" t="n">
        <v>62</v>
      </c>
      <c r="DI66" s="111" t="n">
        <v>0</v>
      </c>
      <c r="DJ66" s="111" t="n">
        <v>62</v>
      </c>
      <c r="DK66" s="111" t="n">
        <v>0</v>
      </c>
      <c r="DL66" s="111" t="n">
        <v>0</v>
      </c>
      <c r="DM66" s="111" t="n">
        <v>0</v>
      </c>
      <c r="DN66" s="111" t="n">
        <v>0</v>
      </c>
      <c r="DO66" s="111" t="n">
        <v>0</v>
      </c>
      <c r="DP66" s="111" t="n">
        <v>0</v>
      </c>
      <c r="DQ66" s="111" t="n">
        <v>0</v>
      </c>
      <c r="DR66" s="111" t="n">
        <v>0</v>
      </c>
      <c r="DS66" s="111" t="n">
        <v>0</v>
      </c>
      <c r="DT66" s="111" t="n">
        <v>0</v>
      </c>
      <c r="DU66" s="111" t="n">
        <v>0</v>
      </c>
      <c r="DV66" s="111" t="n">
        <v>0</v>
      </c>
      <c r="DW66" s="111" t="n">
        <v>0</v>
      </c>
      <c r="DX66" s="111" t="n">
        <v>0</v>
      </c>
      <c r="DY66" s="111" t="n">
        <v>0</v>
      </c>
      <c r="DZ66" s="111" t="n">
        <v>0</v>
      </c>
      <c r="EA66" s="111" t="n">
        <v>0</v>
      </c>
      <c r="EB66" s="111" t="n">
        <v>0</v>
      </c>
      <c r="EC66" s="111" t="n">
        <v>0</v>
      </c>
      <c r="ED66" s="111" t="n">
        <v>0</v>
      </c>
      <c r="EE66" s="111" t="n">
        <v>0</v>
      </c>
      <c r="EF66" s="111" t="n">
        <v>0</v>
      </c>
      <c r="EG66" s="111" t="n">
        <v>0</v>
      </c>
      <c r="EH66" s="111" t="n">
        <v>0</v>
      </c>
      <c r="EI66" s="111" t="n">
        <v>0</v>
      </c>
      <c r="EJ66" s="111" t="n">
        <v>0</v>
      </c>
      <c r="EK66" s="111" t="n">
        <v>0</v>
      </c>
      <c r="EL66" s="111" t="n">
        <v>0</v>
      </c>
      <c r="EM66" s="111" t="n">
        <v>0</v>
      </c>
      <c r="EN66" s="111" t="n">
        <v>0</v>
      </c>
      <c r="EO66" s="111" t="n">
        <v>0</v>
      </c>
      <c r="EP66" s="111" t="n">
        <v>0</v>
      </c>
      <c r="EQ66" s="111" t="n">
        <v>0</v>
      </c>
      <c r="ER66" s="111" t="n">
        <v>0</v>
      </c>
      <c r="ES66" s="111" t="n">
        <v>0</v>
      </c>
      <c r="ET66" s="111" t="n">
        <v>0</v>
      </c>
      <c r="EU66" s="111" t="n">
        <v>0</v>
      </c>
      <c r="EV66" s="111" t="n">
        <v>0</v>
      </c>
      <c r="EW66" s="111" t="n">
        <v>0</v>
      </c>
      <c r="EX66" s="111" t="n">
        <v>0</v>
      </c>
      <c r="EY66" s="111" t="n">
        <v>0</v>
      </c>
      <c r="EZ66" s="111" t="n">
        <v>0</v>
      </c>
      <c r="FA66" s="111" t="n">
        <v>0</v>
      </c>
      <c r="FB66" s="111" t="n">
        <v>0</v>
      </c>
    </row>
    <row r="67" ht="19.5" customHeight="1" s="247">
      <c r="A67" s="107" t="n">
        <v>64</v>
      </c>
      <c r="B67" s="107" t="n"/>
      <c r="C67" s="107" t="inlineStr">
        <is>
          <t>其它</t>
        </is>
      </c>
      <c r="D67" s="110" t="n">
        <v>0</v>
      </c>
      <c r="E67" s="110" t="n">
        <v>0</v>
      </c>
      <c r="F67" s="110" t="n">
        <v>0</v>
      </c>
      <c r="G67" s="110" t="n">
        <v>151</v>
      </c>
      <c r="H67" s="110" t="n">
        <v>25</v>
      </c>
      <c r="I67" s="110" t="n">
        <v>0</v>
      </c>
      <c r="J67" s="110" t="n">
        <v>0</v>
      </c>
      <c r="K67" s="110" t="n">
        <v>0</v>
      </c>
      <c r="L67" s="110" t="n">
        <v>0</v>
      </c>
      <c r="M67" s="110" t="n">
        <v>0</v>
      </c>
      <c r="N67" s="110" t="n">
        <v>0</v>
      </c>
      <c r="O67" s="110" t="n">
        <v>461875.28</v>
      </c>
      <c r="P67" s="110" t="n">
        <v>375685.16</v>
      </c>
      <c r="Q67" s="110" t="n">
        <v>292336.4</v>
      </c>
      <c r="R67" s="110" t="n">
        <v>83348.75999999999</v>
      </c>
      <c r="S67" s="110" t="n">
        <v>86190.12</v>
      </c>
      <c r="T67" s="110" t="n">
        <v>60390.12</v>
      </c>
      <c r="U67" s="110" t="n">
        <v>25800</v>
      </c>
      <c r="V67" s="110" t="n">
        <v>0</v>
      </c>
      <c r="W67" s="110" t="n">
        <v>0</v>
      </c>
      <c r="X67" s="110" t="n">
        <v>0</v>
      </c>
      <c r="Y67" s="110" t="n">
        <v>0</v>
      </c>
      <c r="Z67" s="110" t="n">
        <v>0</v>
      </c>
      <c r="AA67" s="110" t="n">
        <v>0</v>
      </c>
      <c r="AB67" s="110" t="n">
        <v>0</v>
      </c>
      <c r="AC67" s="110" t="n">
        <v>0</v>
      </c>
      <c r="AD67" s="110" t="n">
        <v>0</v>
      </c>
      <c r="AE67" s="110" t="n">
        <v>0</v>
      </c>
      <c r="AF67" s="110" t="n">
        <v>0</v>
      </c>
      <c r="AG67" s="110" t="n">
        <v>0</v>
      </c>
      <c r="AH67" s="110" t="n">
        <v>0</v>
      </c>
      <c r="AI67" s="110" t="n">
        <v>0</v>
      </c>
      <c r="AJ67" s="110" t="n">
        <v>0</v>
      </c>
      <c r="AK67" s="110" t="n">
        <v>0</v>
      </c>
      <c r="AL67" s="110" t="n">
        <v>0</v>
      </c>
      <c r="AM67" s="110" t="n">
        <v>0</v>
      </c>
      <c r="AN67" s="110" t="n">
        <v>0</v>
      </c>
      <c r="AO67" s="110" t="n">
        <v>0</v>
      </c>
      <c r="AP67" s="110" t="n">
        <v>0</v>
      </c>
      <c r="AQ67" s="110" t="n">
        <v>0</v>
      </c>
      <c r="AR67" s="110" t="n">
        <v>0</v>
      </c>
      <c r="AS67" s="110" t="n">
        <v>0</v>
      </c>
      <c r="AT67" s="110" t="n">
        <v>0</v>
      </c>
      <c r="AU67" s="110" t="n">
        <v>0</v>
      </c>
      <c r="AV67" s="110" t="n">
        <v>0</v>
      </c>
      <c r="AW67" s="110" t="n">
        <v>0</v>
      </c>
      <c r="AX67" s="110" t="n">
        <v>0</v>
      </c>
      <c r="AY67" s="110" t="n">
        <v>0</v>
      </c>
      <c r="AZ67" s="110" t="n">
        <v>0</v>
      </c>
      <c r="BA67" s="110" t="n">
        <v>0</v>
      </c>
      <c r="BB67" s="110" t="n">
        <v>0</v>
      </c>
      <c r="BC67" s="110" t="n">
        <v>0</v>
      </c>
      <c r="BD67" s="110" t="n">
        <v>0</v>
      </c>
      <c r="BE67" s="110" t="n">
        <v>461875.28</v>
      </c>
      <c r="BF67" s="110" t="n">
        <v>375685.16</v>
      </c>
      <c r="BG67" s="110" t="n">
        <v>292336.4</v>
      </c>
      <c r="BH67" s="110" t="n">
        <v>83348.75999999999</v>
      </c>
      <c r="BI67" s="110" t="n">
        <v>86190.12</v>
      </c>
      <c r="BJ67" s="110" t="n">
        <v>60390.12</v>
      </c>
      <c r="BK67" s="110" t="n">
        <v>25800</v>
      </c>
      <c r="BL67" s="110" t="n">
        <v>0</v>
      </c>
      <c r="BM67" s="110" t="n">
        <v>0</v>
      </c>
      <c r="BN67" s="110" t="n">
        <v>0</v>
      </c>
      <c r="BO67" s="110" t="n">
        <v>0</v>
      </c>
      <c r="BP67" s="110" t="n">
        <v>0</v>
      </c>
      <c r="BQ67" s="110" t="n">
        <v>0</v>
      </c>
      <c r="BR67" s="110" t="n">
        <v>0</v>
      </c>
      <c r="BS67" s="110" t="n">
        <v>461875.28</v>
      </c>
      <c r="BT67" s="110" t="n">
        <v>375685.16</v>
      </c>
      <c r="BU67" s="110" t="n">
        <v>292336.4</v>
      </c>
      <c r="BV67" s="110" t="n">
        <v>83348.75999999999</v>
      </c>
      <c r="BW67" s="110" t="n">
        <v>86190.12</v>
      </c>
      <c r="BX67" s="110" t="n">
        <v>60390.12</v>
      </c>
      <c r="BY67" s="110" t="n">
        <v>25800</v>
      </c>
      <c r="BZ67" s="110" t="n">
        <v>0</v>
      </c>
      <c r="CA67" s="110" t="n">
        <v>0</v>
      </c>
      <c r="CB67" s="110" t="n">
        <v>0</v>
      </c>
      <c r="CC67" s="110" t="n">
        <v>0</v>
      </c>
      <c r="CD67" s="110" t="n">
        <v>0</v>
      </c>
      <c r="CE67" s="110" t="n">
        <v>0</v>
      </c>
      <c r="CF67" s="110" t="n">
        <v>0</v>
      </c>
      <c r="CG67" s="110" t="n">
        <v>0</v>
      </c>
      <c r="CH67" s="110" t="n">
        <v>0</v>
      </c>
      <c r="CI67" s="110" t="n">
        <v>0</v>
      </c>
      <c r="CJ67" s="110" t="n">
        <v>0</v>
      </c>
      <c r="CK67" s="110" t="n">
        <v>0</v>
      </c>
      <c r="CL67" s="110" t="n">
        <v>0</v>
      </c>
      <c r="CM67" s="110" t="n">
        <v>0</v>
      </c>
      <c r="CN67" s="110" t="n">
        <v>0</v>
      </c>
      <c r="CO67" s="110" t="n">
        <v>0</v>
      </c>
      <c r="CP67" s="110" t="n">
        <v>0</v>
      </c>
      <c r="CQ67" s="110" t="n">
        <v>0</v>
      </c>
      <c r="CR67" s="110" t="n">
        <v>0</v>
      </c>
      <c r="CS67" s="110" t="n">
        <v>0</v>
      </c>
      <c r="CT67" s="110" t="n">
        <v>103200</v>
      </c>
      <c r="CU67" s="110" t="n">
        <v>0</v>
      </c>
      <c r="CV67" s="111" t="n">
        <v>151</v>
      </c>
      <c r="CW67" s="111" t="n">
        <v>34</v>
      </c>
      <c r="CX67" s="111" t="n">
        <v>0</v>
      </c>
      <c r="CY67" s="111" t="n">
        <v>34</v>
      </c>
      <c r="CZ67" s="111" t="n">
        <v>117</v>
      </c>
      <c r="DA67" s="111" t="n">
        <v>0</v>
      </c>
      <c r="DB67" s="111" t="n">
        <v>117</v>
      </c>
      <c r="DC67" s="111" t="n">
        <v>151</v>
      </c>
      <c r="DD67" s="111" t="n">
        <v>0</v>
      </c>
      <c r="DE67" s="111" t="n">
        <v>34</v>
      </c>
      <c r="DF67" s="111" t="n">
        <v>0</v>
      </c>
      <c r="DG67" s="111" t="n">
        <v>34</v>
      </c>
      <c r="DH67" s="111" t="n">
        <v>117</v>
      </c>
      <c r="DI67" s="111" t="n">
        <v>0</v>
      </c>
      <c r="DJ67" s="111" t="n">
        <v>117</v>
      </c>
      <c r="DK67" s="111" t="n">
        <v>0</v>
      </c>
      <c r="DL67" s="111" t="n">
        <v>0</v>
      </c>
      <c r="DM67" s="111" t="n">
        <v>0</v>
      </c>
      <c r="DN67" s="111" t="n">
        <v>0</v>
      </c>
      <c r="DO67" s="111" t="n">
        <v>0</v>
      </c>
      <c r="DP67" s="111" t="n">
        <v>0</v>
      </c>
      <c r="DQ67" s="111" t="n">
        <v>0</v>
      </c>
      <c r="DR67" s="111" t="n">
        <v>0</v>
      </c>
      <c r="DS67" s="111" t="n">
        <v>0</v>
      </c>
      <c r="DT67" s="111" t="n">
        <v>0</v>
      </c>
      <c r="DU67" s="111" t="n">
        <v>0</v>
      </c>
      <c r="DV67" s="111" t="n">
        <v>0</v>
      </c>
      <c r="DW67" s="111" t="n">
        <v>0</v>
      </c>
      <c r="DX67" s="111" t="n">
        <v>0</v>
      </c>
      <c r="DY67" s="111" t="n">
        <v>0</v>
      </c>
      <c r="DZ67" s="111" t="n">
        <v>0</v>
      </c>
      <c r="EA67" s="111" t="n">
        <v>0</v>
      </c>
      <c r="EB67" s="111" t="n">
        <v>0</v>
      </c>
      <c r="EC67" s="111" t="n">
        <v>0</v>
      </c>
      <c r="ED67" s="111" t="n">
        <v>0</v>
      </c>
      <c r="EE67" s="111" t="n">
        <v>0</v>
      </c>
      <c r="EF67" s="111" t="n">
        <v>0</v>
      </c>
      <c r="EG67" s="111" t="n">
        <v>25</v>
      </c>
      <c r="EH67" s="111" t="n">
        <v>8</v>
      </c>
      <c r="EI67" s="111" t="n">
        <v>2</v>
      </c>
      <c r="EJ67" s="111" t="n">
        <v>6</v>
      </c>
      <c r="EK67" s="111" t="n">
        <v>17</v>
      </c>
      <c r="EL67" s="111" t="n">
        <v>15</v>
      </c>
      <c r="EM67" s="111" t="n">
        <v>2</v>
      </c>
      <c r="EN67" s="111" t="n">
        <v>1</v>
      </c>
      <c r="EO67" s="111" t="n">
        <v>1</v>
      </c>
      <c r="EP67" s="111" t="n">
        <v>0</v>
      </c>
      <c r="EQ67" s="111" t="n">
        <v>0</v>
      </c>
      <c r="ER67" s="111" t="n">
        <v>0</v>
      </c>
      <c r="ES67" s="111" t="n">
        <v>0</v>
      </c>
      <c r="ET67" s="111" t="n">
        <v>0</v>
      </c>
      <c r="EU67" s="111" t="n">
        <v>0</v>
      </c>
      <c r="EV67" s="111" t="n">
        <v>0</v>
      </c>
      <c r="EW67" s="111" t="n">
        <v>0</v>
      </c>
      <c r="EX67" s="111" t="n">
        <v>0</v>
      </c>
      <c r="EY67" s="111" t="n">
        <v>0</v>
      </c>
      <c r="EZ67" s="111" t="n">
        <v>0</v>
      </c>
      <c r="FA67" s="111" t="n">
        <v>0</v>
      </c>
      <c r="FB67" s="111" t="n">
        <v>0</v>
      </c>
    </row>
  </sheetData>
  <mergeCells count="2">
    <mergeCell ref="A1:C1"/>
    <mergeCell ref="A3:C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B59"/>
  <sheetViews>
    <sheetView workbookViewId="0">
      <selection activeCell="A3" sqref="A3:C3"/>
    </sheetView>
  </sheetViews>
  <sheetFormatPr baseColWidth="8" defaultColWidth="10" defaultRowHeight="14"/>
  <cols>
    <col width="7.75" customWidth="1" style="247" min="1" max="1"/>
    <col width="12.83203125" customWidth="1" style="247" min="2" max="2"/>
    <col width="18" customWidth="1" style="247" min="3" max="3"/>
    <col width="15.33203125" customWidth="1" style="247" min="4" max="99"/>
    <col width="16.08203125" customWidth="1" style="247" min="100" max="100"/>
    <col width="15.33203125" customWidth="1" style="247" min="101" max="158"/>
    <col width="9.75" customWidth="1" style="247" min="159" max="161"/>
  </cols>
  <sheetData>
    <row r="1" ht="43.9" customHeight="1" s="247">
      <c r="A1" s="195" t="inlineStr">
        <is>
          <t>日期范围：20260501-20260531</t>
        </is>
      </c>
      <c r="B1" s="289" t="n"/>
      <c r="C1" s="289" t="n"/>
      <c r="D1" s="195" t="n">
        <v>25</v>
      </c>
      <c r="E1" s="195" t="n"/>
      <c r="F1" s="105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inlineStr">
        <is>
          <t>1=2+5=8+43</t>
        </is>
      </c>
      <c r="P1" s="106" t="inlineStr">
        <is>
          <t>2=3+4</t>
        </is>
      </c>
      <c r="Q1" s="106" t="n">
        <v>3</v>
      </c>
      <c r="R1" s="106" t="n">
        <v>4</v>
      </c>
      <c r="S1" s="106" t="inlineStr">
        <is>
          <t>5=6+7</t>
        </is>
      </c>
      <c r="T1" s="106" t="n">
        <v>6</v>
      </c>
      <c r="U1" s="106" t="n">
        <v>7</v>
      </c>
      <c r="V1" s="106" t="inlineStr">
        <is>
          <t>8=9+12=15+22+29+36</t>
        </is>
      </c>
      <c r="W1" s="106" t="inlineStr">
        <is>
          <t>9=10+11</t>
        </is>
      </c>
      <c r="X1" s="106" t="n">
        <v>10</v>
      </c>
      <c r="Y1" s="106" t="n">
        <v>11</v>
      </c>
      <c r="Z1" s="106" t="inlineStr">
        <is>
          <t>12=13+14</t>
        </is>
      </c>
      <c r="AA1" s="106" t="n">
        <v>13</v>
      </c>
      <c r="AB1" s="106" t="n">
        <v>14</v>
      </c>
      <c r="AC1" s="106" t="inlineStr">
        <is>
          <t>15=16+19</t>
        </is>
      </c>
      <c r="AD1" s="106" t="inlineStr">
        <is>
          <t>16=17+18</t>
        </is>
      </c>
      <c r="AE1" s="106" t="n">
        <v>17</v>
      </c>
      <c r="AF1" s="106" t="n">
        <v>18</v>
      </c>
      <c r="AG1" s="106" t="inlineStr">
        <is>
          <t>19=20+21</t>
        </is>
      </c>
      <c r="AH1" s="106" t="n">
        <v>20</v>
      </c>
      <c r="AI1" s="106" t="n">
        <v>21</v>
      </c>
      <c r="AJ1" s="106" t="inlineStr">
        <is>
          <t>22=23+26</t>
        </is>
      </c>
      <c r="AK1" s="106" t="inlineStr">
        <is>
          <t>23=24+25</t>
        </is>
      </c>
      <c r="AL1" s="106" t="n">
        <v>24</v>
      </c>
      <c r="AM1" s="106" t="n">
        <v>25</v>
      </c>
      <c r="AN1" s="106" t="inlineStr">
        <is>
          <t>26=27+28</t>
        </is>
      </c>
      <c r="AO1" s="106" t="n">
        <v>27</v>
      </c>
      <c r="AP1" s="106" t="n">
        <v>28</v>
      </c>
      <c r="AQ1" s="106" t="inlineStr">
        <is>
          <t>29=30+33</t>
        </is>
      </c>
      <c r="AR1" s="106" t="inlineStr">
        <is>
          <t>30=31+32</t>
        </is>
      </c>
      <c r="AS1" s="106" t="n">
        <v>31</v>
      </c>
      <c r="AT1" s="106" t="n">
        <v>32</v>
      </c>
      <c r="AU1" s="106" t="inlineStr">
        <is>
          <t>33=34+35</t>
        </is>
      </c>
      <c r="AV1" s="106" t="n">
        <v>34</v>
      </c>
      <c r="AW1" s="106" t="n">
        <v>35</v>
      </c>
      <c r="AX1" s="106" t="inlineStr">
        <is>
          <t>36=37+40</t>
        </is>
      </c>
      <c r="AY1" s="106" t="inlineStr">
        <is>
          <t>37=38+39</t>
        </is>
      </c>
      <c r="AZ1" s="106" t="n">
        <v>38</v>
      </c>
      <c r="BA1" s="106" t="n">
        <v>39</v>
      </c>
      <c r="BB1" s="106" t="inlineStr">
        <is>
          <t>40=41+42</t>
        </is>
      </c>
      <c r="BC1" s="106" t="n">
        <v>41</v>
      </c>
      <c r="BD1" s="106" t="n">
        <v>42</v>
      </c>
      <c r="BE1" s="106" t="inlineStr">
        <is>
          <t>43=50+57+64+71=44+47</t>
        </is>
      </c>
      <c r="BF1" s="106" t="inlineStr">
        <is>
          <t>44=45+46</t>
        </is>
      </c>
      <c r="BG1" s="106" t="n">
        <v>45</v>
      </c>
      <c r="BH1" s="106" t="n">
        <v>46</v>
      </c>
      <c r="BI1" s="106" t="inlineStr">
        <is>
          <t>47=48+49</t>
        </is>
      </c>
      <c r="BJ1" s="106" t="n">
        <v>48</v>
      </c>
      <c r="BK1" s="106" t="n">
        <v>49</v>
      </c>
      <c r="BL1" s="106" t="inlineStr">
        <is>
          <t>50=51+54</t>
        </is>
      </c>
      <c r="BM1" s="106" t="inlineStr">
        <is>
          <t>51=52+53</t>
        </is>
      </c>
      <c r="BN1" s="106" t="n">
        <v>52</v>
      </c>
      <c r="BO1" s="106" t="n">
        <v>53</v>
      </c>
      <c r="BP1" s="106" t="inlineStr">
        <is>
          <t>54=55+56</t>
        </is>
      </c>
      <c r="BQ1" s="106" t="n">
        <v>55</v>
      </c>
      <c r="BR1" s="106" t="n">
        <v>56</v>
      </c>
      <c r="BS1" s="106" t="inlineStr">
        <is>
          <t>57=58+61</t>
        </is>
      </c>
      <c r="BT1" s="106" t="inlineStr">
        <is>
          <t>58=59+60</t>
        </is>
      </c>
      <c r="BU1" s="106" t="n">
        <v>59</v>
      </c>
      <c r="BV1" s="106" t="n">
        <v>60</v>
      </c>
      <c r="BW1" s="106" t="inlineStr">
        <is>
          <t>61=62+63</t>
        </is>
      </c>
      <c r="BX1" s="106" t="n">
        <v>62</v>
      </c>
      <c r="BY1" s="106" t="n">
        <v>63</v>
      </c>
      <c r="BZ1" s="106" t="inlineStr">
        <is>
          <t>64=65+68</t>
        </is>
      </c>
      <c r="CA1" s="106" t="inlineStr">
        <is>
          <t>65=66+67</t>
        </is>
      </c>
      <c r="CB1" s="106" t="n">
        <v>66</v>
      </c>
      <c r="CC1" s="106" t="n">
        <v>67</v>
      </c>
      <c r="CD1" s="106" t="inlineStr">
        <is>
          <t>68=69+70</t>
        </is>
      </c>
      <c r="CE1" s="106" t="n">
        <v>69</v>
      </c>
      <c r="CF1" s="106" t="n">
        <v>70</v>
      </c>
      <c r="CG1" s="106" t="inlineStr">
        <is>
          <t>71=72+75</t>
        </is>
      </c>
      <c r="CH1" s="106" t="inlineStr">
        <is>
          <t>72=73+74</t>
        </is>
      </c>
      <c r="CI1" s="106" t="n">
        <v>73</v>
      </c>
      <c r="CJ1" s="106" t="n">
        <v>74</v>
      </c>
      <c r="CK1" s="106" t="inlineStr">
        <is>
          <t>75=76+77</t>
        </is>
      </c>
      <c r="CL1" s="106" t="n">
        <v>76</v>
      </c>
      <c r="CM1" s="106" t="n">
        <v>77</v>
      </c>
      <c r="CN1" s="106" t="n"/>
      <c r="CO1" s="106" t="n"/>
      <c r="CP1" s="112" t="n"/>
      <c r="CQ1" s="112" t="n"/>
      <c r="CR1" s="106" t="n"/>
      <c r="CS1" s="106" t="n"/>
      <c r="CT1" s="106" t="n"/>
      <c r="CU1" s="106" t="n"/>
      <c r="CV1" s="106" t="inlineStr">
        <is>
          <t>78=85+93+100+108+86+101=79+82</t>
        </is>
      </c>
      <c r="CW1" s="106" t="inlineStr">
        <is>
          <t>79=80+81</t>
        </is>
      </c>
      <c r="CX1" s="106" t="n">
        <v>80</v>
      </c>
      <c r="CY1" s="106" t="n">
        <v>81</v>
      </c>
      <c r="CZ1" s="106" t="inlineStr">
        <is>
          <t>82=83+84</t>
        </is>
      </c>
      <c r="DA1" s="106" t="n">
        <v>83</v>
      </c>
      <c r="DB1" s="106" t="n">
        <v>84</v>
      </c>
      <c r="DC1" s="106" t="inlineStr">
        <is>
          <t>85=87+90=78-93-100-108-86-101</t>
        </is>
      </c>
      <c r="DD1" s="106" t="n">
        <v>86</v>
      </c>
      <c r="DE1" s="106" t="inlineStr">
        <is>
          <t>87=88+89</t>
        </is>
      </c>
      <c r="DF1" s="106" t="n">
        <v>88</v>
      </c>
      <c r="DG1" s="106" t="n">
        <v>89</v>
      </c>
      <c r="DH1" s="106" t="inlineStr">
        <is>
          <t>90=91+92</t>
        </is>
      </c>
      <c r="DI1" s="106" t="n">
        <v>91</v>
      </c>
      <c r="DJ1" s="106" t="n">
        <v>92</v>
      </c>
      <c r="DK1" s="106" t="inlineStr">
        <is>
          <t>93=94+97</t>
        </is>
      </c>
      <c r="DL1" s="106" t="inlineStr">
        <is>
          <t>94=95+96</t>
        </is>
      </c>
      <c r="DM1" s="106" t="n">
        <v>95</v>
      </c>
      <c r="DN1" s="106" t="n">
        <v>96</v>
      </c>
      <c r="DO1" s="106" t="inlineStr">
        <is>
          <t>97=98+99</t>
        </is>
      </c>
      <c r="DP1" s="106" t="n">
        <v>98</v>
      </c>
      <c r="DQ1" s="106" t="n">
        <v>99</v>
      </c>
      <c r="DR1" s="106" t="inlineStr">
        <is>
          <t>100=102+105</t>
        </is>
      </c>
      <c r="DS1" s="106" t="n">
        <v>101</v>
      </c>
      <c r="DT1" s="106" t="inlineStr">
        <is>
          <t>102=103+104</t>
        </is>
      </c>
      <c r="DU1" s="106" t="n">
        <v>103</v>
      </c>
      <c r="DV1" s="106" t="n">
        <v>104</v>
      </c>
      <c r="DW1" s="106" t="inlineStr">
        <is>
          <t>105=106+107</t>
        </is>
      </c>
      <c r="DX1" s="106" t="n">
        <v>106</v>
      </c>
      <c r="DY1" s="106" t="n">
        <v>107</v>
      </c>
      <c r="DZ1" s="106" t="inlineStr">
        <is>
          <t>108=109+112</t>
        </is>
      </c>
      <c r="EA1" s="106" t="inlineStr">
        <is>
          <t>109=110+111</t>
        </is>
      </c>
      <c r="EB1" s="106" t="n">
        <v>110</v>
      </c>
      <c r="EC1" s="106" t="n">
        <v>111</v>
      </c>
      <c r="ED1" s="106" t="inlineStr">
        <is>
          <t>112=113+114</t>
        </is>
      </c>
      <c r="EE1" s="106" t="n">
        <v>113</v>
      </c>
      <c r="EF1" s="106" t="n">
        <v>114</v>
      </c>
      <c r="EG1" s="106" t="inlineStr">
        <is>
          <t>115=116+119</t>
        </is>
      </c>
      <c r="EH1" s="106" t="inlineStr">
        <is>
          <t>116=117+118</t>
        </is>
      </c>
      <c r="EI1" s="106" t="n">
        <v>117</v>
      </c>
      <c r="EJ1" s="106" t="n">
        <v>118</v>
      </c>
      <c r="EK1" s="106" t="inlineStr">
        <is>
          <t>119=120+121</t>
        </is>
      </c>
      <c r="EL1" s="106" t="n">
        <v>120</v>
      </c>
      <c r="EM1" s="106" t="n">
        <v>121</v>
      </c>
      <c r="EN1" s="106" t="inlineStr">
        <is>
          <t>122=123+124+125</t>
        </is>
      </c>
      <c r="EO1" s="106" t="n">
        <v>123</v>
      </c>
      <c r="EP1" s="106" t="n">
        <v>124</v>
      </c>
      <c r="EQ1" s="106" t="n">
        <v>125</v>
      </c>
      <c r="ER1" s="106" t="n"/>
      <c r="ES1" s="106" t="n"/>
      <c r="ET1" s="106" t="n"/>
      <c r="EU1" s="106" t="inlineStr">
        <is>
          <t>126=127+128+129</t>
        </is>
      </c>
      <c r="EV1" s="106" t="n">
        <v>127</v>
      </c>
      <c r="EW1" s="106" t="n">
        <v>128</v>
      </c>
      <c r="EX1" s="106" t="n">
        <v>129</v>
      </c>
      <c r="EY1" s="106" t="inlineStr">
        <is>
          <t>130=131+132</t>
        </is>
      </c>
      <c r="EZ1" s="106" t="n">
        <v>131</v>
      </c>
      <c r="FA1" s="106" t="n">
        <v>132</v>
      </c>
      <c r="FB1" s="106" t="n">
        <v>133</v>
      </c>
    </row>
    <row r="2" ht="29.25" customHeight="1" s="247">
      <c r="A2" s="107" t="inlineStr">
        <is>
          <t>序号</t>
        </is>
      </c>
      <c r="B2" s="107" t="inlineStr">
        <is>
          <t>科室类别</t>
        </is>
      </c>
      <c r="C2" s="107" t="inlineStr">
        <is>
          <t>科室名称</t>
        </is>
      </c>
      <c r="D2" s="107" t="inlineStr">
        <is>
          <t>医疗收入不含药耗</t>
        </is>
      </c>
      <c r="E2" s="107" t="inlineStr">
        <is>
          <t>门急诊收入不含药耗</t>
        </is>
      </c>
      <c r="F2" s="107" t="inlineStr">
        <is>
          <t>住院收入不含药耗</t>
        </is>
      </c>
      <c r="G2" s="107" t="inlineStr">
        <is>
          <t>门急诊人次</t>
        </is>
      </c>
      <c r="H2" s="107" t="inlineStr">
        <is>
          <t>住院人次</t>
        </is>
      </c>
      <c r="I2" s="108" t="inlineStr">
        <is>
          <t>门急诊治疗收入</t>
        </is>
      </c>
      <c r="J2" s="108" t="inlineStr">
        <is>
          <t>门急诊手术收入</t>
        </is>
      </c>
      <c r="K2" s="108" t="inlineStr">
        <is>
          <t>门诊中药饮片收入</t>
        </is>
      </c>
      <c r="L2" s="108" t="inlineStr">
        <is>
          <t>住院治疗收入</t>
        </is>
      </c>
      <c r="M2" s="108" t="inlineStr">
        <is>
          <t>住院手术收入</t>
        </is>
      </c>
      <c r="N2" s="108" t="inlineStr">
        <is>
          <t>住院中药饮片收入</t>
        </is>
      </c>
      <c r="O2" s="108" t="inlineStr">
        <is>
          <t>医疗收入</t>
        </is>
      </c>
      <c r="P2" s="107" t="inlineStr">
        <is>
          <t>其中本地病人医疗收入</t>
        </is>
      </c>
      <c r="Q2" s="107" t="inlineStr">
        <is>
          <t>其中本地病人医保医疗收入</t>
        </is>
      </c>
      <c r="R2" s="107" t="inlineStr">
        <is>
          <t>其中本地病人自费医疗收入</t>
        </is>
      </c>
      <c r="S2" s="107" t="inlineStr">
        <is>
          <t>其中异地病人医疗收入</t>
        </is>
      </c>
      <c r="T2" s="107" t="inlineStr">
        <is>
          <t>其中异地病人医保医疗收入</t>
        </is>
      </c>
      <c r="U2" s="107" t="inlineStr">
        <is>
          <t>其中异地病人自费医疗收入</t>
        </is>
      </c>
      <c r="V2" s="108" t="inlineStr">
        <is>
          <t>门急诊收入</t>
        </is>
      </c>
      <c r="W2" s="107" t="inlineStr">
        <is>
          <t>其中本地病人医疗收入</t>
        </is>
      </c>
      <c r="X2" s="107" t="inlineStr">
        <is>
          <t>其中本地病人医保医疗收入</t>
        </is>
      </c>
      <c r="Y2" s="107" t="inlineStr">
        <is>
          <t>其中本地病人自费医疗收入</t>
        </is>
      </c>
      <c r="Z2" s="107" t="inlineStr">
        <is>
          <t>其中异地病人医疗收入</t>
        </is>
      </c>
      <c r="AA2" s="107" t="inlineStr">
        <is>
          <t>其中异地病人医保医疗收入</t>
        </is>
      </c>
      <c r="AB2" s="107" t="inlineStr">
        <is>
          <t>其中异地病人自费医疗收入</t>
        </is>
      </c>
      <c r="AC2" s="108" t="inlineStr">
        <is>
          <t>门急诊药品收入</t>
        </is>
      </c>
      <c r="AD2" s="107" t="inlineStr">
        <is>
          <t>其中本地病人医疗收入</t>
        </is>
      </c>
      <c r="AE2" s="107" t="inlineStr">
        <is>
          <t>其中本地病人医保医疗收入</t>
        </is>
      </c>
      <c r="AF2" s="107" t="inlineStr">
        <is>
          <t>其中本地病人自费医疗收入</t>
        </is>
      </c>
      <c r="AG2" s="107" t="inlineStr">
        <is>
          <t>其中异地病人医疗收入</t>
        </is>
      </c>
      <c r="AH2" s="107" t="inlineStr">
        <is>
          <t>其中异地病人医保医疗收入</t>
        </is>
      </c>
      <c r="AI2" s="107" t="inlineStr">
        <is>
          <t>其中异地病人自费医疗收入</t>
        </is>
      </c>
      <c r="AJ2" s="108" t="inlineStr">
        <is>
          <t>门急诊耗材收入</t>
        </is>
      </c>
      <c r="AK2" s="107" t="inlineStr">
        <is>
          <t>其中本地病人医疗收入</t>
        </is>
      </c>
      <c r="AL2" s="107" t="inlineStr">
        <is>
          <t>其中本地病人医保医疗收入</t>
        </is>
      </c>
      <c r="AM2" s="107" t="inlineStr">
        <is>
          <t>其中本地病人自费医疗收入</t>
        </is>
      </c>
      <c r="AN2" s="107" t="inlineStr">
        <is>
          <t>其中异地病人医疗收入</t>
        </is>
      </c>
      <c r="AO2" s="107" t="inlineStr">
        <is>
          <t>其中异地病人医保医疗收入</t>
        </is>
      </c>
      <c r="AP2" s="107" t="inlineStr">
        <is>
          <t>其中异地病人自费医疗收入</t>
        </is>
      </c>
      <c r="AQ2" s="108" t="inlineStr">
        <is>
          <t>门急诊检查化验收入</t>
        </is>
      </c>
      <c r="AR2" s="107" t="inlineStr">
        <is>
          <t>其中本地病人医疗收入</t>
        </is>
      </c>
      <c r="AS2" s="107" t="inlineStr">
        <is>
          <t>其中本地病人医保医疗收入</t>
        </is>
      </c>
      <c r="AT2" s="107" t="inlineStr">
        <is>
          <t>其中本地病人自费医疗收入</t>
        </is>
      </c>
      <c r="AU2" s="107" t="inlineStr">
        <is>
          <t>其中异地病人医疗收入</t>
        </is>
      </c>
      <c r="AV2" s="107" t="inlineStr">
        <is>
          <t>其中异地病人医保医疗收入</t>
        </is>
      </c>
      <c r="AW2" s="107" t="inlineStr">
        <is>
          <t>其中异地病人自费医疗收入</t>
        </is>
      </c>
      <c r="AX2" s="108" t="inlineStr">
        <is>
          <t>门急诊劳务收入</t>
        </is>
      </c>
      <c r="AY2" s="107" t="inlineStr">
        <is>
          <t>其中本地病人医疗收入</t>
        </is>
      </c>
      <c r="AZ2" s="107" t="inlineStr">
        <is>
          <t>其中本地病人医保医疗收入</t>
        </is>
      </c>
      <c r="BA2" s="107" t="inlineStr">
        <is>
          <t>其中本地病人自费医疗收入</t>
        </is>
      </c>
      <c r="BB2" s="107" t="inlineStr">
        <is>
          <t>其中异地病人医疗收入</t>
        </is>
      </c>
      <c r="BC2" s="107" t="inlineStr">
        <is>
          <t>其中异地病人医保医疗收入</t>
        </is>
      </c>
      <c r="BD2" s="107" t="inlineStr">
        <is>
          <t>其中异地病人自费医疗收入</t>
        </is>
      </c>
      <c r="BE2" s="108" t="inlineStr">
        <is>
          <t>住院收入</t>
        </is>
      </c>
      <c r="BF2" s="107" t="inlineStr">
        <is>
          <t>其中本地病人医疗收入</t>
        </is>
      </c>
      <c r="BG2" s="107" t="inlineStr">
        <is>
          <t>其中本地病人医保医疗收入</t>
        </is>
      </c>
      <c r="BH2" s="107" t="inlineStr">
        <is>
          <t>其中本地病人自费医疗收入</t>
        </is>
      </c>
      <c r="BI2" s="107" t="inlineStr">
        <is>
          <t>其中异地病人医疗收入</t>
        </is>
      </c>
      <c r="BJ2" s="107" t="inlineStr">
        <is>
          <t>其中异地病人医保医疗收入</t>
        </is>
      </c>
      <c r="BK2" s="107" t="inlineStr">
        <is>
          <t>其中异地病人自费医疗收入</t>
        </is>
      </c>
      <c r="BL2" s="108" t="inlineStr">
        <is>
          <t>住院药品收入</t>
        </is>
      </c>
      <c r="BM2" s="107" t="inlineStr">
        <is>
          <t>其中本地病人医疗收入</t>
        </is>
      </c>
      <c r="BN2" s="107" t="inlineStr">
        <is>
          <t>其中本地病人医保医疗收入</t>
        </is>
      </c>
      <c r="BO2" s="107" t="inlineStr">
        <is>
          <t>其中本地病人自费医疗收入</t>
        </is>
      </c>
      <c r="BP2" s="107" t="inlineStr">
        <is>
          <t>其中异地病人医疗收入</t>
        </is>
      </c>
      <c r="BQ2" s="107" t="inlineStr">
        <is>
          <t>其中异地病人医保医疗收入</t>
        </is>
      </c>
      <c r="BR2" s="107" t="inlineStr">
        <is>
          <t>其中异地病人自费医疗收入</t>
        </is>
      </c>
      <c r="BS2" s="108" t="inlineStr">
        <is>
          <t>住院耗材收入</t>
        </is>
      </c>
      <c r="BT2" s="107" t="inlineStr">
        <is>
          <t>其中本地病人医疗收入</t>
        </is>
      </c>
      <c r="BU2" s="107" t="inlineStr">
        <is>
          <t>其中本地病人医保医疗收入</t>
        </is>
      </c>
      <c r="BV2" s="107" t="inlineStr">
        <is>
          <t>其中本地病人自费医疗收入</t>
        </is>
      </c>
      <c r="BW2" s="107" t="inlineStr">
        <is>
          <t>其中异地病人医疗收入</t>
        </is>
      </c>
      <c r="BX2" s="107" t="inlineStr">
        <is>
          <t>其中异地病人医保医疗收入</t>
        </is>
      </c>
      <c r="BY2" s="107" t="inlineStr">
        <is>
          <t>其中异地病人自费医疗收入</t>
        </is>
      </c>
      <c r="BZ2" s="108" t="inlineStr">
        <is>
          <t>住院检查化验收入</t>
        </is>
      </c>
      <c r="CA2" s="107" t="inlineStr">
        <is>
          <t>其中本地病人医疗收入</t>
        </is>
      </c>
      <c r="CB2" s="107" t="inlineStr">
        <is>
          <t>其中本地病人医保医疗收入</t>
        </is>
      </c>
      <c r="CC2" s="107" t="inlineStr">
        <is>
          <t>其中本地病人自费医疗收入</t>
        </is>
      </c>
      <c r="CD2" s="107" t="inlineStr">
        <is>
          <t>其中异地病人医疗收入</t>
        </is>
      </c>
      <c r="CE2" s="107" t="inlineStr">
        <is>
          <t>其中异地病人医保医疗收入</t>
        </is>
      </c>
      <c r="CF2" s="107" t="inlineStr">
        <is>
          <t>其中异地病人自费医疗收入</t>
        </is>
      </c>
      <c r="CG2" s="108" t="inlineStr">
        <is>
          <t>住院劳务收入</t>
        </is>
      </c>
      <c r="CH2" s="107" t="inlineStr">
        <is>
          <t>其中本地病人医疗收入</t>
        </is>
      </c>
      <c r="CI2" s="107" t="inlineStr">
        <is>
          <t>其中本地病人医保医疗收入</t>
        </is>
      </c>
      <c r="CJ2" s="107" t="inlineStr">
        <is>
          <t>其中本地病人自费医疗收入</t>
        </is>
      </c>
      <c r="CK2" s="107" t="inlineStr">
        <is>
          <t>其中异地病人医疗收入</t>
        </is>
      </c>
      <c r="CL2" s="107" t="inlineStr">
        <is>
          <t>其中异地病人医保医疗收入</t>
        </is>
      </c>
      <c r="CM2" s="107" t="inlineStr">
        <is>
          <t>其中异地病人自费医疗收入</t>
        </is>
      </c>
      <c r="CN2" s="108" t="inlineStr">
        <is>
          <t>急诊收入</t>
        </is>
      </c>
      <c r="CO2" s="108" t="inlineStr">
        <is>
          <t>普通门诊收入</t>
        </is>
      </c>
      <c r="CP2" s="108" t="inlineStr">
        <is>
          <t>专家门诊收入</t>
        </is>
      </c>
      <c r="CQ2" s="108" t="inlineStr">
        <is>
          <t>专病门诊收入</t>
        </is>
      </c>
      <c r="CR2" s="108" t="inlineStr">
        <is>
          <t>特需门诊收入</t>
        </is>
      </c>
      <c r="CS2" s="108" t="inlineStr">
        <is>
          <t>MDT门诊收入</t>
        </is>
      </c>
      <c r="CT2" s="108" t="inlineStr">
        <is>
          <t>镜朗诊疗部收入</t>
        </is>
      </c>
      <c r="CU2" s="108" t="inlineStr">
        <is>
          <t>特需病房收入</t>
        </is>
      </c>
      <c r="CV2" s="108" t="inlineStr">
        <is>
          <t>门急诊人次</t>
        </is>
      </c>
      <c r="CW2" s="107" t="inlineStr">
        <is>
          <t>其中本地病人人次</t>
        </is>
      </c>
      <c r="CX2" s="107" t="inlineStr">
        <is>
          <t>其中本地病人医保人次</t>
        </is>
      </c>
      <c r="CY2" s="107" t="inlineStr">
        <is>
          <t>其中本地病人自费人次</t>
        </is>
      </c>
      <c r="CZ2" s="107" t="inlineStr">
        <is>
          <t>其中异地病人人次</t>
        </is>
      </c>
      <c r="DA2" s="107" t="inlineStr">
        <is>
          <t>其中异地病人医保人次</t>
        </is>
      </c>
      <c r="DB2" s="107" t="inlineStr">
        <is>
          <t>其中异地病人自费人次</t>
        </is>
      </c>
      <c r="DC2" s="108" t="inlineStr">
        <is>
          <t>普通门诊
(普通+专病)</t>
        </is>
      </c>
      <c r="DD2" s="108" t="inlineStr">
        <is>
          <t>互联网普通门诊人次</t>
        </is>
      </c>
      <c r="DE2" s="107" t="inlineStr">
        <is>
          <t>其中本地病人人次</t>
        </is>
      </c>
      <c r="DF2" s="107" t="inlineStr">
        <is>
          <t>其中本地病人医保人次</t>
        </is>
      </c>
      <c r="DG2" s="107" t="inlineStr">
        <is>
          <t>其中本地病人自费人次</t>
        </is>
      </c>
      <c r="DH2" s="107" t="inlineStr">
        <is>
          <t>其中异地病人人次</t>
        </is>
      </c>
      <c r="DI2" s="107" t="inlineStr">
        <is>
          <t>其中异地病人医保人次</t>
        </is>
      </c>
      <c r="DJ2" s="107" t="inlineStr">
        <is>
          <t>其中异地病人自费人次</t>
        </is>
      </c>
      <c r="DK2" s="108" t="inlineStr">
        <is>
          <t>专家门诊</t>
        </is>
      </c>
      <c r="DL2" s="107" t="inlineStr">
        <is>
          <t>其中本地病人人次</t>
        </is>
      </c>
      <c r="DM2" s="107" t="inlineStr">
        <is>
          <t>其中本地病人医保人次</t>
        </is>
      </c>
      <c r="DN2" s="107" t="inlineStr">
        <is>
          <t>其中本地病人自费人次</t>
        </is>
      </c>
      <c r="DO2" s="107" t="inlineStr">
        <is>
          <t>其中异地病人人次</t>
        </is>
      </c>
      <c r="DP2" s="107" t="inlineStr">
        <is>
          <t>其中异地病人医保人次</t>
        </is>
      </c>
      <c r="DQ2" s="107" t="inlineStr">
        <is>
          <t>其中异地病人自费人次</t>
        </is>
      </c>
      <c r="DR2" s="108" t="inlineStr">
        <is>
          <t>特需门诊
(特需+MDT)</t>
        </is>
      </c>
      <c r="DS2" s="108" t="inlineStr">
        <is>
          <t>互联网特需门诊人次</t>
        </is>
      </c>
      <c r="DT2" s="107" t="inlineStr">
        <is>
          <t>其中本地病人人次</t>
        </is>
      </c>
      <c r="DU2" s="107" t="inlineStr">
        <is>
          <t>其中本地病人医保人次</t>
        </is>
      </c>
      <c r="DV2" s="107" t="inlineStr">
        <is>
          <t>其中本地病人自费人次</t>
        </is>
      </c>
      <c r="DW2" s="107" t="inlineStr">
        <is>
          <t>其中异地病人人次</t>
        </is>
      </c>
      <c r="DX2" s="107" t="inlineStr">
        <is>
          <t>其中异地病人医保人次</t>
        </is>
      </c>
      <c r="DY2" s="107" t="inlineStr">
        <is>
          <t>其中异地病人自费人次</t>
        </is>
      </c>
      <c r="DZ2" s="108" t="inlineStr">
        <is>
          <t>急诊人次</t>
        </is>
      </c>
      <c r="EA2" s="107" t="inlineStr">
        <is>
          <t>其中本地病人人次</t>
        </is>
      </c>
      <c r="EB2" s="107" t="inlineStr">
        <is>
          <t>其中本地病人医保人次</t>
        </is>
      </c>
      <c r="EC2" s="107" t="inlineStr">
        <is>
          <t>其中本地病人自费人次</t>
        </is>
      </c>
      <c r="ED2" s="107" t="inlineStr">
        <is>
          <t>其中异地病人人次</t>
        </is>
      </c>
      <c r="EE2" s="107" t="inlineStr">
        <is>
          <t>其中异地病人医保人次</t>
        </is>
      </c>
      <c r="EF2" s="107" t="inlineStr">
        <is>
          <t>其中异地病人自费人次</t>
        </is>
      </c>
      <c r="EG2" s="108" t="inlineStr">
        <is>
          <t>住院人次</t>
        </is>
      </c>
      <c r="EH2" s="107" t="inlineStr">
        <is>
          <t>其中本地病人人次</t>
        </is>
      </c>
      <c r="EI2" s="107" t="inlineStr">
        <is>
          <t>其中本地病人医保人次</t>
        </is>
      </c>
      <c r="EJ2" s="107" t="inlineStr">
        <is>
          <t>其中本地病人自费人次</t>
        </is>
      </c>
      <c r="EK2" s="107" t="inlineStr">
        <is>
          <t>其中异地病人人次</t>
        </is>
      </c>
      <c r="EL2" s="107" t="inlineStr">
        <is>
          <t>其中异地病人医保人次</t>
        </is>
      </c>
      <c r="EM2" s="107" t="inlineStr">
        <is>
          <t>其中异地病人自费人次</t>
        </is>
      </c>
      <c r="EN2" s="108" t="inlineStr">
        <is>
          <t>手术人次与操作人次</t>
        </is>
      </c>
      <c r="EO2" s="108" t="inlineStr">
        <is>
          <t>手术人次</t>
        </is>
      </c>
      <c r="EP2" s="108" t="inlineStr">
        <is>
          <t>介入人次</t>
        </is>
      </c>
      <c r="EQ2" s="108" t="inlineStr">
        <is>
          <t>操作人次(治疗+诊断)</t>
        </is>
      </c>
      <c r="ER2" s="108" t="inlineStr">
        <is>
          <t>微创手术人次（手术）</t>
        </is>
      </c>
      <c r="ES2" s="108" t="inlineStr">
        <is>
          <t>微创手术人次（介入）</t>
        </is>
      </c>
      <c r="ET2" s="108" t="inlineStr">
        <is>
          <t>微创手术人次（操作）</t>
        </is>
      </c>
      <c r="EU2" s="108" t="inlineStr">
        <is>
          <t>三级手术</t>
        </is>
      </c>
      <c r="EV2" s="108" t="inlineStr">
        <is>
          <t>三级手术(手术)</t>
        </is>
      </c>
      <c r="EW2" s="108" t="inlineStr">
        <is>
          <t>三级手术(介入)</t>
        </is>
      </c>
      <c r="EX2" s="108" t="inlineStr">
        <is>
          <t>三级手术(操作)</t>
        </is>
      </c>
      <c r="EY2" s="108" t="inlineStr">
        <is>
          <t>四级手术</t>
        </is>
      </c>
      <c r="EZ2" s="108" t="inlineStr">
        <is>
          <t>四级手术(手术)</t>
        </is>
      </c>
      <c r="FA2" s="108" t="inlineStr">
        <is>
          <t>四级手术(介入)</t>
        </is>
      </c>
      <c r="FB2" s="109" t="inlineStr">
        <is>
          <t>重点病种人次</t>
        </is>
      </c>
    </row>
    <row r="3" ht="19.5" customHeight="1" s="247">
      <c r="A3" s="196" t="inlineStr">
        <is>
          <t>小计：</t>
        </is>
      </c>
      <c r="B3" s="289" t="n"/>
      <c r="C3" s="290" t="n"/>
      <c r="D3" s="110" t="n">
        <v>62648277.89</v>
      </c>
      <c r="E3" s="110" t="n">
        <v>25025509</v>
      </c>
      <c r="F3" s="110" t="n">
        <v>37622768.89</v>
      </c>
      <c r="G3" s="110" t="n">
        <v>95116</v>
      </c>
      <c r="H3" s="110" t="n">
        <v>3578</v>
      </c>
      <c r="I3" s="110" t="n">
        <v>3560692.2</v>
      </c>
      <c r="J3" s="110" t="n">
        <v>1219717.8</v>
      </c>
      <c r="K3" s="110" t="n">
        <v>448212.16</v>
      </c>
      <c r="L3" s="110" t="n">
        <v>2720225</v>
      </c>
      <c r="M3" s="110" t="n">
        <v>10946942</v>
      </c>
      <c r="N3" s="110" t="n">
        <v>4343.17</v>
      </c>
      <c r="O3" s="110" t="n">
        <v>142631477.57</v>
      </c>
      <c r="P3" s="110" t="n">
        <v>104296551.55</v>
      </c>
      <c r="Q3" s="110" t="n">
        <v>96341159.87</v>
      </c>
      <c r="R3" s="110" t="n">
        <v>7955391.68</v>
      </c>
      <c r="S3" s="110" t="n">
        <v>38334926.02</v>
      </c>
      <c r="T3" s="110" t="n">
        <v>35898734.74</v>
      </c>
      <c r="U3" s="110" t="n">
        <v>2436191.28</v>
      </c>
      <c r="V3" s="110" t="n">
        <v>41796774.68</v>
      </c>
      <c r="W3" s="110" t="n">
        <v>35927381.03</v>
      </c>
      <c r="X3" s="110" t="n">
        <v>32801690.19</v>
      </c>
      <c r="Y3" s="110" t="n">
        <v>3125690.84</v>
      </c>
      <c r="Z3" s="110" t="n">
        <v>5869393.65</v>
      </c>
      <c r="AA3" s="110" t="n">
        <v>3750504.22</v>
      </c>
      <c r="AB3" s="110" t="n">
        <v>2118889.43</v>
      </c>
      <c r="AC3" s="110" t="n">
        <v>14746207.55</v>
      </c>
      <c r="AD3" s="110" t="n">
        <v>12946542.55</v>
      </c>
      <c r="AE3" s="110" t="n">
        <v>12221682.89</v>
      </c>
      <c r="AF3" s="110" t="n">
        <v>724859.66</v>
      </c>
      <c r="AG3" s="110" t="n">
        <v>1799665</v>
      </c>
      <c r="AH3" s="110" t="n">
        <v>1326873.85</v>
      </c>
      <c r="AI3" s="110" t="n">
        <v>472791.15</v>
      </c>
      <c r="AJ3" s="110" t="n">
        <v>2025058.13</v>
      </c>
      <c r="AK3" s="110" t="n">
        <v>1782755.98</v>
      </c>
      <c r="AL3" s="110" t="n">
        <v>1462999.35</v>
      </c>
      <c r="AM3" s="110" t="n">
        <v>319756.63</v>
      </c>
      <c r="AN3" s="110" t="n">
        <v>242302.15</v>
      </c>
      <c r="AO3" s="110" t="n">
        <v>142095.37</v>
      </c>
      <c r="AP3" s="110" t="n">
        <v>100206.78</v>
      </c>
      <c r="AQ3" s="110" t="n">
        <v>16440181</v>
      </c>
      <c r="AR3" s="110" t="n">
        <v>13998399</v>
      </c>
      <c r="AS3" s="110" t="n">
        <v>12777987</v>
      </c>
      <c r="AT3" s="110" t="n">
        <v>1220412</v>
      </c>
      <c r="AU3" s="110" t="n">
        <v>2441782</v>
      </c>
      <c r="AV3" s="110" t="n">
        <v>1538162</v>
      </c>
      <c r="AW3" s="110" t="n">
        <v>903620</v>
      </c>
      <c r="AX3" s="110" t="n">
        <v>8585328</v>
      </c>
      <c r="AY3" s="110" t="n">
        <v>7199683.5</v>
      </c>
      <c r="AZ3" s="110" t="n">
        <v>6339020.95</v>
      </c>
      <c r="BA3" s="110" t="n">
        <v>860662.55</v>
      </c>
      <c r="BB3" s="110" t="n">
        <v>1385644.5</v>
      </c>
      <c r="BC3" s="110" t="n">
        <v>743373</v>
      </c>
      <c r="BD3" s="110" t="n">
        <v>642271.5</v>
      </c>
      <c r="BE3" s="110" t="n">
        <v>100834702.89</v>
      </c>
      <c r="BF3" s="110" t="n">
        <v>68369170.52</v>
      </c>
      <c r="BG3" s="110" t="n">
        <v>63539469.68</v>
      </c>
      <c r="BH3" s="110" t="n">
        <v>4829700.84</v>
      </c>
      <c r="BI3" s="110" t="n">
        <v>32465532.37</v>
      </c>
      <c r="BJ3" s="110" t="n">
        <v>32148230.52</v>
      </c>
      <c r="BK3" s="110" t="n">
        <v>317301.85</v>
      </c>
      <c r="BL3" s="110" t="n">
        <v>11466479.17</v>
      </c>
      <c r="BM3" s="110" t="n">
        <v>6677764.28</v>
      </c>
      <c r="BN3" s="110" t="n">
        <v>6228071.65</v>
      </c>
      <c r="BO3" s="110" t="n">
        <v>449692.63</v>
      </c>
      <c r="BP3" s="110" t="n">
        <v>4788714.89</v>
      </c>
      <c r="BQ3" s="110" t="n">
        <v>4711439.59</v>
      </c>
      <c r="BR3" s="110" t="n">
        <v>77275.3</v>
      </c>
      <c r="BS3" s="110" t="n">
        <v>51745454.83</v>
      </c>
      <c r="BT3" s="110" t="n">
        <v>35931528.72</v>
      </c>
      <c r="BU3" s="110" t="n">
        <v>33315332.9</v>
      </c>
      <c r="BV3" s="110" t="n">
        <v>2616195.82</v>
      </c>
      <c r="BW3" s="110" t="n">
        <v>15813926.11</v>
      </c>
      <c r="BX3" s="110" t="n">
        <v>15707976.06</v>
      </c>
      <c r="BY3" s="110" t="n">
        <v>105950.05</v>
      </c>
      <c r="BZ3" s="110" t="n">
        <v>15170809</v>
      </c>
      <c r="CA3" s="110" t="n">
        <v>10335539</v>
      </c>
      <c r="CB3" s="110" t="n">
        <v>9792617.5</v>
      </c>
      <c r="CC3" s="110" t="n">
        <v>542921.5</v>
      </c>
      <c r="CD3" s="110" t="n">
        <v>4835270</v>
      </c>
      <c r="CE3" s="110" t="n">
        <v>4765515</v>
      </c>
      <c r="CF3" s="110" t="n">
        <v>69755</v>
      </c>
      <c r="CG3" s="110" t="n">
        <v>22451959.89</v>
      </c>
      <c r="CH3" s="110" t="n">
        <v>15424338.52</v>
      </c>
      <c r="CI3" s="110" t="n">
        <v>14203447.63</v>
      </c>
      <c r="CJ3" s="110" t="n">
        <v>1220890.89</v>
      </c>
      <c r="CK3" s="110" t="n">
        <v>7027621.37</v>
      </c>
      <c r="CL3" s="110" t="n">
        <v>6963299.87</v>
      </c>
      <c r="CM3" s="110" t="n">
        <v>64321.5</v>
      </c>
      <c r="CN3" s="110" t="n">
        <v>9309038.35</v>
      </c>
      <c r="CO3" s="110" t="n">
        <v>14403938.14</v>
      </c>
      <c r="CP3" s="110" t="n">
        <v>11553205.28</v>
      </c>
      <c r="CQ3" s="110" t="n">
        <v>4798578.34</v>
      </c>
      <c r="CR3" s="110" t="n">
        <v>1729731.57</v>
      </c>
      <c r="CS3" s="110" t="n">
        <v>1848</v>
      </c>
      <c r="CT3" s="110" t="n">
        <v>246911.2</v>
      </c>
      <c r="CU3" s="110" t="n">
        <v>0</v>
      </c>
      <c r="CV3" s="111" t="n">
        <v>95116</v>
      </c>
      <c r="CW3" s="111" t="n">
        <v>81739</v>
      </c>
      <c r="CX3" s="111" t="n">
        <v>73571</v>
      </c>
      <c r="CY3" s="111" t="n">
        <v>8168</v>
      </c>
      <c r="CZ3" s="111" t="n">
        <v>13377</v>
      </c>
      <c r="DA3" s="111" t="n">
        <v>7850</v>
      </c>
      <c r="DB3" s="111" t="n">
        <v>5527</v>
      </c>
      <c r="DC3" s="111" t="n">
        <v>47744</v>
      </c>
      <c r="DD3" s="111" t="n">
        <v>0</v>
      </c>
      <c r="DE3" s="111" t="n">
        <v>41468</v>
      </c>
      <c r="DF3" s="111" t="n">
        <v>37712</v>
      </c>
      <c r="DG3" s="111" t="n">
        <v>3756</v>
      </c>
      <c r="DH3" s="111" t="n">
        <v>6276</v>
      </c>
      <c r="DI3" s="111" t="n">
        <v>3566</v>
      </c>
      <c r="DJ3" s="111" t="n">
        <v>2710</v>
      </c>
      <c r="DK3" s="111" t="n">
        <v>24947</v>
      </c>
      <c r="DL3" s="111" t="n">
        <v>20818</v>
      </c>
      <c r="DM3" s="111" t="n">
        <v>18744</v>
      </c>
      <c r="DN3" s="111" t="n">
        <v>2074</v>
      </c>
      <c r="DO3" s="111" t="n">
        <v>4129</v>
      </c>
      <c r="DP3" s="111" t="n">
        <v>2480</v>
      </c>
      <c r="DQ3" s="111" t="n">
        <v>1649</v>
      </c>
      <c r="DR3" s="111" t="n">
        <v>2513</v>
      </c>
      <c r="DS3" s="111" t="n">
        <v>0</v>
      </c>
      <c r="DT3" s="111" t="n">
        <v>1983</v>
      </c>
      <c r="DU3" s="111" t="n">
        <v>1745</v>
      </c>
      <c r="DV3" s="111" t="n">
        <v>238</v>
      </c>
      <c r="DW3" s="111" t="n">
        <v>530</v>
      </c>
      <c r="DX3" s="111" t="n">
        <v>276</v>
      </c>
      <c r="DY3" s="111" t="n">
        <v>254</v>
      </c>
      <c r="DZ3" s="111" t="n">
        <v>19912</v>
      </c>
      <c r="EA3" s="111" t="n">
        <v>17470</v>
      </c>
      <c r="EB3" s="111" t="n">
        <v>15370</v>
      </c>
      <c r="EC3" s="111" t="n">
        <v>2100</v>
      </c>
      <c r="ED3" s="111" t="n">
        <v>2442</v>
      </c>
      <c r="EE3" s="111" t="n">
        <v>1528</v>
      </c>
      <c r="EF3" s="111" t="n">
        <v>914</v>
      </c>
      <c r="EG3" s="111" t="n">
        <v>3578</v>
      </c>
      <c r="EH3" s="111" t="n">
        <v>2523</v>
      </c>
      <c r="EI3" s="111" t="n">
        <v>2342</v>
      </c>
      <c r="EJ3" s="111" t="n">
        <v>181</v>
      </c>
      <c r="EK3" s="111" t="n">
        <v>1055</v>
      </c>
      <c r="EL3" s="111" t="n">
        <v>1036</v>
      </c>
      <c r="EM3" s="111" t="n">
        <v>19</v>
      </c>
      <c r="EN3" s="111" t="n">
        <v>2970</v>
      </c>
      <c r="EO3" s="111" t="n">
        <v>1789</v>
      </c>
      <c r="EP3" s="111" t="n">
        <v>310</v>
      </c>
      <c r="EQ3" s="111" t="n">
        <v>871</v>
      </c>
      <c r="ER3" s="111" t="n">
        <v>503</v>
      </c>
      <c r="ES3" s="111" t="n">
        <v>0</v>
      </c>
      <c r="ET3" s="111" t="n">
        <v>38</v>
      </c>
      <c r="EU3" s="111" t="n">
        <v>939</v>
      </c>
      <c r="EV3" s="111" t="n">
        <v>749</v>
      </c>
      <c r="EW3" s="111" t="n">
        <v>151</v>
      </c>
      <c r="EX3" s="111" t="n">
        <v>39</v>
      </c>
      <c r="EY3" s="111" t="n">
        <v>622</v>
      </c>
      <c r="EZ3" s="111" t="n">
        <v>518</v>
      </c>
      <c r="FA3" s="111" t="n">
        <v>104</v>
      </c>
      <c r="FB3" s="111" t="n">
        <v>1260</v>
      </c>
    </row>
    <row r="4" ht="19.5" customHeight="1" s="247">
      <c r="A4" s="107" t="n">
        <v>1</v>
      </c>
      <c r="B4" s="107" t="inlineStr">
        <is>
          <t>成人非手术</t>
        </is>
      </c>
      <c r="C4" s="107" t="inlineStr">
        <is>
          <t>内科</t>
        </is>
      </c>
      <c r="D4" s="110" t="n">
        <v>0</v>
      </c>
      <c r="E4" s="110" t="n">
        <v>0</v>
      </c>
      <c r="F4" s="110" t="n">
        <v>0</v>
      </c>
      <c r="G4" s="110" t="n">
        <v>31</v>
      </c>
      <c r="H4" s="110" t="n">
        <v>0</v>
      </c>
      <c r="I4" s="110" t="n">
        <v>0</v>
      </c>
      <c r="J4" s="110" t="n">
        <v>0</v>
      </c>
      <c r="K4" s="110" t="n">
        <v>0</v>
      </c>
      <c r="L4" s="110" t="n">
        <v>0</v>
      </c>
      <c r="M4" s="110" t="n">
        <v>0</v>
      </c>
      <c r="N4" s="110" t="n">
        <v>0</v>
      </c>
      <c r="O4" s="110" t="n">
        <v>0</v>
      </c>
      <c r="P4" s="110" t="n">
        <v>0</v>
      </c>
      <c r="Q4" s="110" t="n">
        <v>0</v>
      </c>
      <c r="R4" s="110" t="n">
        <v>0</v>
      </c>
      <c r="S4" s="110" t="n">
        <v>0</v>
      </c>
      <c r="T4" s="110" t="n">
        <v>0</v>
      </c>
      <c r="U4" s="110" t="n">
        <v>0</v>
      </c>
      <c r="V4" s="110" t="n">
        <v>0</v>
      </c>
      <c r="W4" s="110" t="n">
        <v>0</v>
      </c>
      <c r="X4" s="110" t="n">
        <v>0</v>
      </c>
      <c r="Y4" s="110" t="n">
        <v>0</v>
      </c>
      <c r="Z4" s="110" t="n">
        <v>0</v>
      </c>
      <c r="AA4" s="110" t="n">
        <v>0</v>
      </c>
      <c r="AB4" s="110" t="n">
        <v>0</v>
      </c>
      <c r="AC4" s="110" t="n">
        <v>0</v>
      </c>
      <c r="AD4" s="110" t="n">
        <v>0</v>
      </c>
      <c r="AE4" s="110" t="n">
        <v>0</v>
      </c>
      <c r="AF4" s="110" t="n">
        <v>0</v>
      </c>
      <c r="AG4" s="110" t="n">
        <v>0</v>
      </c>
      <c r="AH4" s="110" t="n">
        <v>0</v>
      </c>
      <c r="AI4" s="110" t="n">
        <v>0</v>
      </c>
      <c r="AJ4" s="110" t="n">
        <v>0</v>
      </c>
      <c r="AK4" s="110" t="n">
        <v>0</v>
      </c>
      <c r="AL4" s="110" t="n">
        <v>0</v>
      </c>
      <c r="AM4" s="110" t="n">
        <v>0</v>
      </c>
      <c r="AN4" s="110" t="n">
        <v>0</v>
      </c>
      <c r="AO4" s="110" t="n">
        <v>0</v>
      </c>
      <c r="AP4" s="110" t="n">
        <v>0</v>
      </c>
      <c r="AQ4" s="110" t="n">
        <v>0</v>
      </c>
      <c r="AR4" s="110" t="n">
        <v>0</v>
      </c>
      <c r="AS4" s="110" t="n">
        <v>0</v>
      </c>
      <c r="AT4" s="110" t="n">
        <v>0</v>
      </c>
      <c r="AU4" s="110" t="n">
        <v>0</v>
      </c>
      <c r="AV4" s="110" t="n">
        <v>0</v>
      </c>
      <c r="AW4" s="110" t="n">
        <v>0</v>
      </c>
      <c r="AX4" s="110" t="n">
        <v>0</v>
      </c>
      <c r="AY4" s="110" t="n">
        <v>0</v>
      </c>
      <c r="AZ4" s="110" t="n">
        <v>0</v>
      </c>
      <c r="BA4" s="110" t="n">
        <v>0</v>
      </c>
      <c r="BB4" s="110" t="n">
        <v>0</v>
      </c>
      <c r="BC4" s="110" t="n">
        <v>0</v>
      </c>
      <c r="BD4" s="110" t="n">
        <v>0</v>
      </c>
      <c r="BE4" s="110" t="n">
        <v>0</v>
      </c>
      <c r="BF4" s="110" t="n">
        <v>0</v>
      </c>
      <c r="BG4" s="110" t="n">
        <v>0</v>
      </c>
      <c r="BH4" s="110" t="n">
        <v>0</v>
      </c>
      <c r="BI4" s="110" t="n">
        <v>0</v>
      </c>
      <c r="BJ4" s="110" t="n">
        <v>0</v>
      </c>
      <c r="BK4" s="110" t="n">
        <v>0</v>
      </c>
      <c r="BL4" s="110" t="n">
        <v>0</v>
      </c>
      <c r="BM4" s="110" t="n">
        <v>0</v>
      </c>
      <c r="BN4" s="110" t="n">
        <v>0</v>
      </c>
      <c r="BO4" s="110" t="n">
        <v>0</v>
      </c>
      <c r="BP4" s="110" t="n">
        <v>0</v>
      </c>
      <c r="BQ4" s="110" t="n">
        <v>0</v>
      </c>
      <c r="BR4" s="110" t="n">
        <v>0</v>
      </c>
      <c r="BS4" s="110" t="n">
        <v>0</v>
      </c>
      <c r="BT4" s="110" t="n">
        <v>0</v>
      </c>
      <c r="BU4" s="110" t="n">
        <v>0</v>
      </c>
      <c r="BV4" s="110" t="n">
        <v>0</v>
      </c>
      <c r="BW4" s="110" t="n">
        <v>0</v>
      </c>
      <c r="BX4" s="110" t="n">
        <v>0</v>
      </c>
      <c r="BY4" s="110" t="n">
        <v>0</v>
      </c>
      <c r="BZ4" s="110" t="n">
        <v>0</v>
      </c>
      <c r="CA4" s="110" t="n">
        <v>0</v>
      </c>
      <c r="CB4" s="110" t="n">
        <v>0</v>
      </c>
      <c r="CC4" s="110" t="n">
        <v>0</v>
      </c>
      <c r="CD4" s="110" t="n">
        <v>0</v>
      </c>
      <c r="CE4" s="110" t="n">
        <v>0</v>
      </c>
      <c r="CF4" s="110" t="n">
        <v>0</v>
      </c>
      <c r="CG4" s="110" t="n">
        <v>0</v>
      </c>
      <c r="CH4" s="110" t="n">
        <v>0</v>
      </c>
      <c r="CI4" s="110" t="n">
        <v>0</v>
      </c>
      <c r="CJ4" s="110" t="n">
        <v>0</v>
      </c>
      <c r="CK4" s="110" t="n">
        <v>0</v>
      </c>
      <c r="CL4" s="110" t="n">
        <v>0</v>
      </c>
      <c r="CM4" s="110" t="n">
        <v>0</v>
      </c>
      <c r="CN4" s="110" t="n">
        <v>0</v>
      </c>
      <c r="CO4" s="110" t="n">
        <v>0</v>
      </c>
      <c r="CP4" s="110" t="n">
        <v>0</v>
      </c>
      <c r="CQ4" s="110" t="n">
        <v>0</v>
      </c>
      <c r="CR4" s="110" t="n">
        <v>0</v>
      </c>
      <c r="CS4" s="110" t="n">
        <v>0</v>
      </c>
      <c r="CT4" s="110" t="n">
        <v>0</v>
      </c>
      <c r="CU4" s="110" t="n">
        <v>0</v>
      </c>
      <c r="CV4" s="111" t="n">
        <v>31</v>
      </c>
      <c r="CW4" s="111" t="n">
        <v>23</v>
      </c>
      <c r="CX4" s="111" t="n">
        <v>22</v>
      </c>
      <c r="CY4" s="111" t="n">
        <v>1</v>
      </c>
      <c r="CZ4" s="111" t="n">
        <v>8</v>
      </c>
      <c r="DA4" s="111" t="n">
        <v>8</v>
      </c>
      <c r="DB4" s="111" t="n">
        <v>0</v>
      </c>
      <c r="DC4" s="111" t="n">
        <v>31</v>
      </c>
      <c r="DD4" s="111" t="n">
        <v>0</v>
      </c>
      <c r="DE4" s="111" t="n">
        <v>23</v>
      </c>
      <c r="DF4" s="111" t="n">
        <v>22</v>
      </c>
      <c r="DG4" s="111" t="n">
        <v>1</v>
      </c>
      <c r="DH4" s="111" t="n">
        <v>8</v>
      </c>
      <c r="DI4" s="111" t="n">
        <v>8</v>
      </c>
      <c r="DJ4" s="111" t="n">
        <v>0</v>
      </c>
      <c r="DK4" s="111" t="n">
        <v>0</v>
      </c>
      <c r="DL4" s="111" t="n">
        <v>0</v>
      </c>
      <c r="DM4" s="111" t="n">
        <v>0</v>
      </c>
      <c r="DN4" s="111" t="n">
        <v>0</v>
      </c>
      <c r="DO4" s="111" t="n">
        <v>0</v>
      </c>
      <c r="DP4" s="111" t="n">
        <v>0</v>
      </c>
      <c r="DQ4" s="111" t="n">
        <v>0</v>
      </c>
      <c r="DR4" s="111" t="n">
        <v>0</v>
      </c>
      <c r="DS4" s="111" t="n">
        <v>0</v>
      </c>
      <c r="DT4" s="111" t="n">
        <v>0</v>
      </c>
      <c r="DU4" s="111" t="n">
        <v>0</v>
      </c>
      <c r="DV4" s="111" t="n">
        <v>0</v>
      </c>
      <c r="DW4" s="111" t="n">
        <v>0</v>
      </c>
      <c r="DX4" s="111" t="n">
        <v>0</v>
      </c>
      <c r="DY4" s="111" t="n">
        <v>0</v>
      </c>
      <c r="DZ4" s="111" t="n">
        <v>0</v>
      </c>
      <c r="EA4" s="111" t="n">
        <v>0</v>
      </c>
      <c r="EB4" s="111" t="n">
        <v>0</v>
      </c>
      <c r="EC4" s="111" t="n">
        <v>0</v>
      </c>
      <c r="ED4" s="111" t="n">
        <v>0</v>
      </c>
      <c r="EE4" s="111" t="n">
        <v>0</v>
      </c>
      <c r="EF4" s="111" t="n">
        <v>0</v>
      </c>
      <c r="EG4" s="111" t="n">
        <v>0</v>
      </c>
      <c r="EH4" s="111" t="n">
        <v>0</v>
      </c>
      <c r="EI4" s="111" t="n">
        <v>0</v>
      </c>
      <c r="EJ4" s="111" t="n">
        <v>0</v>
      </c>
      <c r="EK4" s="111" t="n">
        <v>0</v>
      </c>
      <c r="EL4" s="111" t="n">
        <v>0</v>
      </c>
      <c r="EM4" s="111" t="n">
        <v>0</v>
      </c>
      <c r="EN4" s="111" t="n">
        <v>0</v>
      </c>
      <c r="EO4" s="111" t="n">
        <v>0</v>
      </c>
      <c r="EP4" s="111" t="n">
        <v>0</v>
      </c>
      <c r="EQ4" s="111" t="n">
        <v>0</v>
      </c>
      <c r="ER4" s="111" t="n">
        <v>0</v>
      </c>
      <c r="ES4" s="111" t="n">
        <v>0</v>
      </c>
      <c r="ET4" s="111" t="n">
        <v>0</v>
      </c>
      <c r="EU4" s="111" t="n">
        <v>0</v>
      </c>
      <c r="EV4" s="111" t="n">
        <v>0</v>
      </c>
      <c r="EW4" s="111" t="n">
        <v>0</v>
      </c>
      <c r="EX4" s="111" t="n">
        <v>0</v>
      </c>
      <c r="EY4" s="111" t="n">
        <v>0</v>
      </c>
      <c r="EZ4" s="111" t="n">
        <v>0</v>
      </c>
      <c r="FA4" s="111" t="n">
        <v>0</v>
      </c>
      <c r="FB4" s="111" t="n">
        <v>0</v>
      </c>
    </row>
    <row r="5" ht="19.5" customHeight="1" s="247">
      <c r="A5" s="107" t="n">
        <v>2</v>
      </c>
      <c r="B5" s="107" t="inlineStr">
        <is>
          <t>成人非手术</t>
        </is>
      </c>
      <c r="C5" s="107" t="inlineStr">
        <is>
          <t>呼吸内科</t>
        </is>
      </c>
      <c r="D5" s="110" t="n">
        <v>1492087.5</v>
      </c>
      <c r="E5" s="110" t="n">
        <v>729483</v>
      </c>
      <c r="F5" s="110" t="n">
        <v>762604.5</v>
      </c>
      <c r="G5" s="110" t="n">
        <v>2861</v>
      </c>
      <c r="H5" s="110" t="n">
        <v>66</v>
      </c>
      <c r="I5" s="110" t="n">
        <v>72</v>
      </c>
      <c r="J5" s="110" t="n">
        <v>0</v>
      </c>
      <c r="K5" s="110" t="n">
        <v>0</v>
      </c>
      <c r="L5" s="110" t="n">
        <v>31050</v>
      </c>
      <c r="M5" s="110" t="n">
        <v>198</v>
      </c>
      <c r="N5" s="110" t="n">
        <v>0</v>
      </c>
      <c r="O5" s="110" t="n">
        <v>2443922.04</v>
      </c>
      <c r="P5" s="110" t="n">
        <v>1900866.83</v>
      </c>
      <c r="Q5" s="110" t="n">
        <v>1825747.13</v>
      </c>
      <c r="R5" s="110" t="n">
        <v>75119.7</v>
      </c>
      <c r="S5" s="110" t="n">
        <v>543055.21</v>
      </c>
      <c r="T5" s="110" t="n">
        <v>490756.03</v>
      </c>
      <c r="U5" s="110" t="n">
        <v>52299.18</v>
      </c>
      <c r="V5" s="110" t="n">
        <v>1285888.06</v>
      </c>
      <c r="W5" s="110" t="n">
        <v>1134877.43</v>
      </c>
      <c r="X5" s="110" t="n">
        <v>1082651.94</v>
      </c>
      <c r="Y5" s="110" t="n">
        <v>52225.49</v>
      </c>
      <c r="Z5" s="110" t="n">
        <v>151010.63</v>
      </c>
      <c r="AA5" s="110" t="n">
        <v>98711.45</v>
      </c>
      <c r="AB5" s="110" t="n">
        <v>52299.18</v>
      </c>
      <c r="AC5" s="110" t="n">
        <v>538467.0600000001</v>
      </c>
      <c r="AD5" s="110" t="n">
        <v>482354.43</v>
      </c>
      <c r="AE5" s="110" t="n">
        <v>464227.94</v>
      </c>
      <c r="AF5" s="110" t="n">
        <v>18126.49</v>
      </c>
      <c r="AG5" s="110" t="n">
        <v>56112.63</v>
      </c>
      <c r="AH5" s="110" t="n">
        <v>37531.45</v>
      </c>
      <c r="AI5" s="110" t="n">
        <v>18581.18</v>
      </c>
      <c r="AJ5" s="110" t="n">
        <v>17938</v>
      </c>
      <c r="AK5" s="110" t="n">
        <v>15387</v>
      </c>
      <c r="AL5" s="110" t="n">
        <v>14470</v>
      </c>
      <c r="AM5" s="110" t="n">
        <v>917</v>
      </c>
      <c r="AN5" s="110" t="n">
        <v>2551</v>
      </c>
      <c r="AO5" s="110" t="n">
        <v>1634</v>
      </c>
      <c r="AP5" s="110" t="n">
        <v>917</v>
      </c>
      <c r="AQ5" s="110" t="n">
        <v>641094</v>
      </c>
      <c r="AR5" s="110" t="n">
        <v>560451</v>
      </c>
      <c r="AS5" s="110" t="n">
        <v>531983</v>
      </c>
      <c r="AT5" s="110" t="n">
        <v>28468</v>
      </c>
      <c r="AU5" s="110" t="n">
        <v>80643</v>
      </c>
      <c r="AV5" s="110" t="n">
        <v>51729</v>
      </c>
      <c r="AW5" s="110" t="n">
        <v>28914</v>
      </c>
      <c r="AX5" s="110" t="n">
        <v>88389</v>
      </c>
      <c r="AY5" s="110" t="n">
        <v>76685</v>
      </c>
      <c r="AZ5" s="110" t="n">
        <v>71971</v>
      </c>
      <c r="BA5" s="110" t="n">
        <v>4714</v>
      </c>
      <c r="BB5" s="110" t="n">
        <v>11704</v>
      </c>
      <c r="BC5" s="110" t="n">
        <v>7817</v>
      </c>
      <c r="BD5" s="110" t="n">
        <v>3887</v>
      </c>
      <c r="BE5" s="110" t="n">
        <v>1158033.98</v>
      </c>
      <c r="BF5" s="110" t="n">
        <v>765989.4</v>
      </c>
      <c r="BG5" s="110" t="n">
        <v>743095.1899999999</v>
      </c>
      <c r="BH5" s="110" t="n">
        <v>22894.21</v>
      </c>
      <c r="BI5" s="110" t="n">
        <v>392044.58</v>
      </c>
      <c r="BJ5" s="110" t="n">
        <v>392044.58</v>
      </c>
      <c r="BK5" s="110" t="n">
        <v>0</v>
      </c>
      <c r="BL5" s="110" t="n">
        <v>329564.42</v>
      </c>
      <c r="BM5" s="110" t="n">
        <v>231209.41</v>
      </c>
      <c r="BN5" s="110" t="n">
        <v>221831.51</v>
      </c>
      <c r="BO5" s="110" t="n">
        <v>9377.9</v>
      </c>
      <c r="BP5" s="110" t="n">
        <v>98355.00999999999</v>
      </c>
      <c r="BQ5" s="110" t="n">
        <v>98355.00999999999</v>
      </c>
      <c r="BR5" s="110" t="n">
        <v>0</v>
      </c>
      <c r="BS5" s="110" t="n">
        <v>65865.06</v>
      </c>
      <c r="BT5" s="110" t="n">
        <v>39661.99</v>
      </c>
      <c r="BU5" s="110" t="n">
        <v>39171.18</v>
      </c>
      <c r="BV5" s="110" t="n">
        <v>490.81</v>
      </c>
      <c r="BW5" s="110" t="n">
        <v>26203.07</v>
      </c>
      <c r="BX5" s="110" t="n">
        <v>26203.07</v>
      </c>
      <c r="BY5" s="110" t="n">
        <v>0</v>
      </c>
      <c r="BZ5" s="110" t="n">
        <v>552040</v>
      </c>
      <c r="CA5" s="110" t="n">
        <v>347870</v>
      </c>
      <c r="CB5" s="110" t="n">
        <v>342748</v>
      </c>
      <c r="CC5" s="110" t="n">
        <v>5122</v>
      </c>
      <c r="CD5" s="110" t="n">
        <v>204170</v>
      </c>
      <c r="CE5" s="110" t="n">
        <v>204170</v>
      </c>
      <c r="CF5" s="110" t="n">
        <v>0</v>
      </c>
      <c r="CG5" s="110" t="n">
        <v>210564.5</v>
      </c>
      <c r="CH5" s="110" t="n">
        <v>147248</v>
      </c>
      <c r="CI5" s="110" t="n">
        <v>139344.5</v>
      </c>
      <c r="CJ5" s="110" t="n">
        <v>7903.5</v>
      </c>
      <c r="CK5" s="110" t="n">
        <v>63316.5</v>
      </c>
      <c r="CL5" s="110" t="n">
        <v>63316.5</v>
      </c>
      <c r="CM5" s="110" t="n">
        <v>0</v>
      </c>
      <c r="CN5" s="110" t="n">
        <v>-75</v>
      </c>
      <c r="CO5" s="110" t="n">
        <v>1013880.63</v>
      </c>
      <c r="CP5" s="110" t="n">
        <v>250795.93</v>
      </c>
      <c r="CQ5" s="110" t="n">
        <v>0</v>
      </c>
      <c r="CR5" s="110" t="n">
        <v>21211.5</v>
      </c>
      <c r="CS5" s="110" t="n">
        <v>0</v>
      </c>
      <c r="CT5" s="110" t="n">
        <v>0</v>
      </c>
      <c r="CU5" s="110" t="n">
        <v>0</v>
      </c>
      <c r="CV5" s="111" t="n">
        <v>2861</v>
      </c>
      <c r="CW5" s="111" t="n">
        <v>2487</v>
      </c>
      <c r="CX5" s="111" t="n">
        <v>2341</v>
      </c>
      <c r="CY5" s="111" t="n">
        <v>146</v>
      </c>
      <c r="CZ5" s="111" t="n">
        <v>374</v>
      </c>
      <c r="DA5" s="111" t="n">
        <v>242</v>
      </c>
      <c r="DB5" s="111" t="n">
        <v>132</v>
      </c>
      <c r="DC5" s="111" t="n">
        <v>2304</v>
      </c>
      <c r="DD5" s="111" t="n">
        <v>0</v>
      </c>
      <c r="DE5" s="111" t="n">
        <v>2009</v>
      </c>
      <c r="DF5" s="111" t="n">
        <v>1897</v>
      </c>
      <c r="DG5" s="111" t="n">
        <v>112</v>
      </c>
      <c r="DH5" s="111" t="n">
        <v>295</v>
      </c>
      <c r="DI5" s="111" t="n">
        <v>191</v>
      </c>
      <c r="DJ5" s="111" t="n">
        <v>104</v>
      </c>
      <c r="DK5" s="111" t="n">
        <v>505</v>
      </c>
      <c r="DL5" s="111" t="n">
        <v>433</v>
      </c>
      <c r="DM5" s="111" t="n">
        <v>403</v>
      </c>
      <c r="DN5" s="111" t="n">
        <v>30</v>
      </c>
      <c r="DO5" s="111" t="n">
        <v>72</v>
      </c>
      <c r="DP5" s="111" t="n">
        <v>44</v>
      </c>
      <c r="DQ5" s="111" t="n">
        <v>28</v>
      </c>
      <c r="DR5" s="111" t="n">
        <v>52</v>
      </c>
      <c r="DS5" s="111" t="n">
        <v>0</v>
      </c>
      <c r="DT5" s="111" t="n">
        <v>45</v>
      </c>
      <c r="DU5" s="111" t="n">
        <v>41</v>
      </c>
      <c r="DV5" s="111" t="n">
        <v>4</v>
      </c>
      <c r="DW5" s="111" t="n">
        <v>7</v>
      </c>
      <c r="DX5" s="111" t="n">
        <v>7</v>
      </c>
      <c r="DY5" s="111" t="n">
        <v>0</v>
      </c>
      <c r="DZ5" s="111" t="n">
        <v>0</v>
      </c>
      <c r="EA5" s="111" t="n">
        <v>0</v>
      </c>
      <c r="EB5" s="111" t="n">
        <v>0</v>
      </c>
      <c r="EC5" s="111" t="n">
        <v>0</v>
      </c>
      <c r="ED5" s="111" t="n">
        <v>0</v>
      </c>
      <c r="EE5" s="111" t="n">
        <v>0</v>
      </c>
      <c r="EF5" s="111" t="n">
        <v>0</v>
      </c>
      <c r="EG5" s="111" t="n">
        <v>66</v>
      </c>
      <c r="EH5" s="111" t="n">
        <v>47</v>
      </c>
      <c r="EI5" s="111" t="n">
        <v>46</v>
      </c>
      <c r="EJ5" s="111" t="n">
        <v>1</v>
      </c>
      <c r="EK5" s="111" t="n">
        <v>19</v>
      </c>
      <c r="EL5" s="111" t="n">
        <v>19</v>
      </c>
      <c r="EM5" s="111" t="n">
        <v>0</v>
      </c>
      <c r="EN5" s="111" t="n">
        <v>34</v>
      </c>
      <c r="EO5" s="111" t="n">
        <v>0</v>
      </c>
      <c r="EP5" s="111" t="n">
        <v>0</v>
      </c>
      <c r="EQ5" s="111" t="n">
        <v>34</v>
      </c>
      <c r="ER5" s="111" t="n">
        <v>0</v>
      </c>
      <c r="ES5" s="111" t="n">
        <v>0</v>
      </c>
      <c r="ET5" s="111" t="n">
        <v>0</v>
      </c>
      <c r="EU5" s="111" t="n">
        <v>0</v>
      </c>
      <c r="EV5" s="111" t="n">
        <v>0</v>
      </c>
      <c r="EW5" s="111" t="n">
        <v>0</v>
      </c>
      <c r="EX5" s="111" t="n">
        <v>0</v>
      </c>
      <c r="EY5" s="111" t="n">
        <v>0</v>
      </c>
      <c r="EZ5" s="111" t="n">
        <v>0</v>
      </c>
      <c r="FA5" s="111" t="n">
        <v>0</v>
      </c>
      <c r="FB5" s="111" t="n">
        <v>29</v>
      </c>
    </row>
    <row r="6" ht="28.5" customHeight="1" s="247">
      <c r="A6" s="107" t="n">
        <v>3</v>
      </c>
      <c r="B6" s="107" t="inlineStr">
        <is>
          <t>成人非手术</t>
        </is>
      </c>
      <c r="C6" s="107" t="inlineStr">
        <is>
          <t>消化内科（内窥镜诊治部）</t>
        </is>
      </c>
      <c r="D6" s="110" t="n">
        <v>3553867.5</v>
      </c>
      <c r="E6" s="110" t="n">
        <v>2126973</v>
      </c>
      <c r="F6" s="110" t="n">
        <v>1426894.5</v>
      </c>
      <c r="G6" s="110" t="n">
        <v>6673</v>
      </c>
      <c r="H6" s="110" t="n">
        <v>232</v>
      </c>
      <c r="I6" s="110" t="n">
        <v>165336</v>
      </c>
      <c r="J6" s="110" t="n">
        <v>1500</v>
      </c>
      <c r="K6" s="110" t="n">
        <v>0</v>
      </c>
      <c r="L6" s="110" t="n">
        <v>147745</v>
      </c>
      <c r="M6" s="110" t="n">
        <v>182460</v>
      </c>
      <c r="N6" s="110" t="n">
        <v>256.5</v>
      </c>
      <c r="O6" s="110" t="n">
        <v>6207710.7</v>
      </c>
      <c r="P6" s="110" t="n">
        <v>5136097.05</v>
      </c>
      <c r="Q6" s="110" t="n">
        <v>4913642.79</v>
      </c>
      <c r="R6" s="110" t="n">
        <v>222454.26</v>
      </c>
      <c r="S6" s="110" t="n">
        <v>1071613.65</v>
      </c>
      <c r="T6" s="110" t="n">
        <v>926567.53</v>
      </c>
      <c r="U6" s="110" t="n">
        <v>145046.12</v>
      </c>
      <c r="V6" s="110" t="n">
        <v>3496699.36</v>
      </c>
      <c r="W6" s="110" t="n">
        <v>3076970.88</v>
      </c>
      <c r="X6" s="110" t="n">
        <v>2925506.97</v>
      </c>
      <c r="Y6" s="110" t="n">
        <v>151463.91</v>
      </c>
      <c r="Z6" s="110" t="n">
        <v>419728.48</v>
      </c>
      <c r="AA6" s="110" t="n">
        <v>274682.36</v>
      </c>
      <c r="AB6" s="110" t="n">
        <v>145046.12</v>
      </c>
      <c r="AC6" s="110" t="n">
        <v>1146421.36</v>
      </c>
      <c r="AD6" s="110" t="n">
        <v>1010513.88</v>
      </c>
      <c r="AE6" s="110" t="n">
        <v>966869.97</v>
      </c>
      <c r="AF6" s="110" t="n">
        <v>43643.91</v>
      </c>
      <c r="AG6" s="110" t="n">
        <v>135907.48</v>
      </c>
      <c r="AH6" s="110" t="n">
        <v>94132.36</v>
      </c>
      <c r="AI6" s="110" t="n">
        <v>41775.12</v>
      </c>
      <c r="AJ6" s="110" t="n">
        <v>223305</v>
      </c>
      <c r="AK6" s="110" t="n">
        <v>203384</v>
      </c>
      <c r="AL6" s="110" t="n">
        <v>192697</v>
      </c>
      <c r="AM6" s="110" t="n">
        <v>10687</v>
      </c>
      <c r="AN6" s="110" t="n">
        <v>19921</v>
      </c>
      <c r="AO6" s="110" t="n">
        <v>12879</v>
      </c>
      <c r="AP6" s="110" t="n">
        <v>7042</v>
      </c>
      <c r="AQ6" s="110" t="n">
        <v>1740895</v>
      </c>
      <c r="AR6" s="110" t="n">
        <v>1522299</v>
      </c>
      <c r="AS6" s="110" t="n">
        <v>1442698</v>
      </c>
      <c r="AT6" s="110" t="n">
        <v>79601</v>
      </c>
      <c r="AU6" s="110" t="n">
        <v>218596</v>
      </c>
      <c r="AV6" s="110" t="n">
        <v>138018</v>
      </c>
      <c r="AW6" s="110" t="n">
        <v>80578</v>
      </c>
      <c r="AX6" s="110" t="n">
        <v>386078</v>
      </c>
      <c r="AY6" s="110" t="n">
        <v>340774</v>
      </c>
      <c r="AZ6" s="110" t="n">
        <v>323242</v>
      </c>
      <c r="BA6" s="110" t="n">
        <v>17532</v>
      </c>
      <c r="BB6" s="110" t="n">
        <v>45304</v>
      </c>
      <c r="BC6" s="110" t="n">
        <v>29653</v>
      </c>
      <c r="BD6" s="110" t="n">
        <v>15651</v>
      </c>
      <c r="BE6" s="110" t="n">
        <v>2711011.34</v>
      </c>
      <c r="BF6" s="110" t="n">
        <v>2059126.17</v>
      </c>
      <c r="BG6" s="110" t="n">
        <v>1988135.82</v>
      </c>
      <c r="BH6" s="110" t="n">
        <v>70990.35000000001</v>
      </c>
      <c r="BI6" s="110" t="n">
        <v>651885.17</v>
      </c>
      <c r="BJ6" s="110" t="n">
        <v>651885.17</v>
      </c>
      <c r="BK6" s="110" t="n">
        <v>0</v>
      </c>
      <c r="BL6" s="110" t="n">
        <v>391943.2</v>
      </c>
      <c r="BM6" s="110" t="n">
        <v>299805.64</v>
      </c>
      <c r="BN6" s="110" t="n">
        <v>290033.85</v>
      </c>
      <c r="BO6" s="110" t="n">
        <v>9771.790000000001</v>
      </c>
      <c r="BP6" s="110" t="n">
        <v>92137.56</v>
      </c>
      <c r="BQ6" s="110" t="n">
        <v>92137.56</v>
      </c>
      <c r="BR6" s="110" t="n">
        <v>0</v>
      </c>
      <c r="BS6" s="110" t="n">
        <v>892173.64</v>
      </c>
      <c r="BT6" s="110" t="n">
        <v>681515.53</v>
      </c>
      <c r="BU6" s="110" t="n">
        <v>659662.97</v>
      </c>
      <c r="BV6" s="110" t="n">
        <v>21852.56</v>
      </c>
      <c r="BW6" s="110" t="n">
        <v>210658.11</v>
      </c>
      <c r="BX6" s="110" t="n">
        <v>210658.11</v>
      </c>
      <c r="BY6" s="110" t="n">
        <v>0</v>
      </c>
      <c r="BZ6" s="110" t="n">
        <v>762326</v>
      </c>
      <c r="CA6" s="110" t="n">
        <v>567854</v>
      </c>
      <c r="CB6" s="110" t="n">
        <v>545066</v>
      </c>
      <c r="CC6" s="110" t="n">
        <v>22788</v>
      </c>
      <c r="CD6" s="110" t="n">
        <v>194472</v>
      </c>
      <c r="CE6" s="110" t="n">
        <v>194472</v>
      </c>
      <c r="CF6" s="110" t="n">
        <v>0</v>
      </c>
      <c r="CG6" s="110" t="n">
        <v>664568.5</v>
      </c>
      <c r="CH6" s="110" t="n">
        <v>509951</v>
      </c>
      <c r="CI6" s="110" t="n">
        <v>493373</v>
      </c>
      <c r="CJ6" s="110" t="n">
        <v>16578</v>
      </c>
      <c r="CK6" s="110" t="n">
        <v>154617.5</v>
      </c>
      <c r="CL6" s="110" t="n">
        <v>154617.5</v>
      </c>
      <c r="CM6" s="110" t="n">
        <v>0</v>
      </c>
      <c r="CN6" s="110" t="n">
        <v>-25</v>
      </c>
      <c r="CO6" s="110" t="n">
        <v>2177168.35</v>
      </c>
      <c r="CP6" s="110" t="n">
        <v>526476.61</v>
      </c>
      <c r="CQ6" s="110" t="n">
        <v>650898.0699999999</v>
      </c>
      <c r="CR6" s="110" t="n">
        <v>142156.33</v>
      </c>
      <c r="CS6" s="110" t="n">
        <v>0</v>
      </c>
      <c r="CT6" s="110" t="n">
        <v>14181.69</v>
      </c>
      <c r="CU6" s="110" t="n">
        <v>0</v>
      </c>
      <c r="CV6" s="111" t="n">
        <v>6673</v>
      </c>
      <c r="CW6" s="111" t="n">
        <v>5814</v>
      </c>
      <c r="CX6" s="111" t="n">
        <v>5485</v>
      </c>
      <c r="CY6" s="111" t="n">
        <v>329</v>
      </c>
      <c r="CZ6" s="111" t="n">
        <v>859</v>
      </c>
      <c r="DA6" s="111" t="n">
        <v>543</v>
      </c>
      <c r="DB6" s="111" t="n">
        <v>316</v>
      </c>
      <c r="DC6" s="111" t="n">
        <v>5390</v>
      </c>
      <c r="DD6" s="111" t="n">
        <v>0</v>
      </c>
      <c r="DE6" s="111" t="n">
        <v>4688</v>
      </c>
      <c r="DF6" s="111" t="n">
        <v>4428</v>
      </c>
      <c r="DG6" s="111" t="n">
        <v>260</v>
      </c>
      <c r="DH6" s="111" t="n">
        <v>702</v>
      </c>
      <c r="DI6" s="111" t="n">
        <v>437</v>
      </c>
      <c r="DJ6" s="111" t="n">
        <v>265</v>
      </c>
      <c r="DK6" s="111" t="n">
        <v>1076</v>
      </c>
      <c r="DL6" s="111" t="n">
        <v>957</v>
      </c>
      <c r="DM6" s="111" t="n">
        <v>900</v>
      </c>
      <c r="DN6" s="111" t="n">
        <v>57</v>
      </c>
      <c r="DO6" s="111" t="n">
        <v>119</v>
      </c>
      <c r="DP6" s="111" t="n">
        <v>84</v>
      </c>
      <c r="DQ6" s="111" t="n">
        <v>35</v>
      </c>
      <c r="DR6" s="111" t="n">
        <v>207</v>
      </c>
      <c r="DS6" s="111" t="n">
        <v>0</v>
      </c>
      <c r="DT6" s="111" t="n">
        <v>169</v>
      </c>
      <c r="DU6" s="111" t="n">
        <v>157</v>
      </c>
      <c r="DV6" s="111" t="n">
        <v>12</v>
      </c>
      <c r="DW6" s="111" t="n">
        <v>38</v>
      </c>
      <c r="DX6" s="111" t="n">
        <v>22</v>
      </c>
      <c r="DY6" s="111" t="n">
        <v>16</v>
      </c>
      <c r="DZ6" s="111" t="n">
        <v>0</v>
      </c>
      <c r="EA6" s="111" t="n">
        <v>0</v>
      </c>
      <c r="EB6" s="111" t="n">
        <v>0</v>
      </c>
      <c r="EC6" s="111" t="n">
        <v>0</v>
      </c>
      <c r="ED6" s="111" t="n">
        <v>0</v>
      </c>
      <c r="EE6" s="111" t="n">
        <v>0</v>
      </c>
      <c r="EF6" s="111" t="n">
        <v>0</v>
      </c>
      <c r="EG6" s="111" t="n">
        <v>232</v>
      </c>
      <c r="EH6" s="111" t="n">
        <v>181</v>
      </c>
      <c r="EI6" s="111" t="n">
        <v>174</v>
      </c>
      <c r="EJ6" s="111" t="n">
        <v>7</v>
      </c>
      <c r="EK6" s="111" t="n">
        <v>51</v>
      </c>
      <c r="EL6" s="111" t="n">
        <v>51</v>
      </c>
      <c r="EM6" s="111" t="n">
        <v>0</v>
      </c>
      <c r="EN6" s="111" t="n">
        <v>227</v>
      </c>
      <c r="EO6" s="111" t="n">
        <v>2</v>
      </c>
      <c r="EP6" s="111" t="n">
        <v>0</v>
      </c>
      <c r="EQ6" s="111" t="n">
        <v>225</v>
      </c>
      <c r="ER6" s="111" t="n">
        <v>0</v>
      </c>
      <c r="ES6" s="111" t="n">
        <v>0</v>
      </c>
      <c r="ET6" s="111" t="n">
        <v>38</v>
      </c>
      <c r="EU6" s="111" t="n">
        <v>25</v>
      </c>
      <c r="EV6" s="111" t="n">
        <v>1</v>
      </c>
      <c r="EW6" s="111" t="n">
        <v>0</v>
      </c>
      <c r="EX6" s="111" t="n">
        <v>24</v>
      </c>
      <c r="EY6" s="111" t="n">
        <v>0</v>
      </c>
      <c r="EZ6" s="111" t="n">
        <v>0</v>
      </c>
      <c r="FA6" s="111" t="n">
        <v>0</v>
      </c>
      <c r="FB6" s="111" t="n">
        <v>7</v>
      </c>
    </row>
    <row r="7" ht="19.5" customHeight="1" s="247">
      <c r="A7" s="107" t="n">
        <v>4</v>
      </c>
      <c r="B7" s="107" t="inlineStr">
        <is>
          <t>成人非手术</t>
        </is>
      </c>
      <c r="C7" s="107" t="inlineStr">
        <is>
          <t>神经内科</t>
        </is>
      </c>
      <c r="D7" s="110" t="n">
        <v>1900750</v>
      </c>
      <c r="E7" s="110" t="n">
        <v>938351</v>
      </c>
      <c r="F7" s="110" t="n">
        <v>962399</v>
      </c>
      <c r="G7" s="110" t="n">
        <v>2699</v>
      </c>
      <c r="H7" s="110" t="n">
        <v>90</v>
      </c>
      <c r="I7" s="110" t="n">
        <v>96</v>
      </c>
      <c r="J7" s="110" t="n">
        <v>0</v>
      </c>
      <c r="K7" s="110" t="n">
        <v>522.48</v>
      </c>
      <c r="L7" s="110" t="n">
        <v>46351</v>
      </c>
      <c r="M7" s="110" t="n">
        <v>30555</v>
      </c>
      <c r="N7" s="110" t="n">
        <v>0</v>
      </c>
      <c r="O7" s="110" t="n">
        <v>4235715.67</v>
      </c>
      <c r="P7" s="110" t="n">
        <v>3033627.13</v>
      </c>
      <c r="Q7" s="110" t="n">
        <v>2930418.13</v>
      </c>
      <c r="R7" s="110" t="n">
        <v>103209</v>
      </c>
      <c r="S7" s="110" t="n">
        <v>1202088.54</v>
      </c>
      <c r="T7" s="110" t="n">
        <v>1135579.35</v>
      </c>
      <c r="U7" s="110" t="n">
        <v>66509.19</v>
      </c>
      <c r="V7" s="110" t="n">
        <v>1677600.89</v>
      </c>
      <c r="W7" s="110" t="n">
        <v>1427630.96</v>
      </c>
      <c r="X7" s="110" t="n">
        <v>1335087.32</v>
      </c>
      <c r="Y7" s="110" t="n">
        <v>92543.64</v>
      </c>
      <c r="Z7" s="110" t="n">
        <v>249969.93</v>
      </c>
      <c r="AA7" s="110" t="n">
        <v>183460.74</v>
      </c>
      <c r="AB7" s="110" t="n">
        <v>66509.19</v>
      </c>
      <c r="AC7" s="110" t="n">
        <v>735594.89</v>
      </c>
      <c r="AD7" s="110" t="n">
        <v>641330.96</v>
      </c>
      <c r="AE7" s="110" t="n">
        <v>603402.3199999999</v>
      </c>
      <c r="AF7" s="110" t="n">
        <v>37928.64</v>
      </c>
      <c r="AG7" s="110" t="n">
        <v>94263.92999999999</v>
      </c>
      <c r="AH7" s="110" t="n">
        <v>73394.74000000001</v>
      </c>
      <c r="AI7" s="110" t="n">
        <v>20869.19</v>
      </c>
      <c r="AJ7" s="110" t="n">
        <v>3655</v>
      </c>
      <c r="AK7" s="110" t="n">
        <v>3053</v>
      </c>
      <c r="AL7" s="110" t="n">
        <v>2752</v>
      </c>
      <c r="AM7" s="110" t="n">
        <v>301</v>
      </c>
      <c r="AN7" s="110" t="n">
        <v>602</v>
      </c>
      <c r="AO7" s="110" t="n">
        <v>516</v>
      </c>
      <c r="AP7" s="110" t="n">
        <v>86</v>
      </c>
      <c r="AQ7" s="110" t="n">
        <v>791682</v>
      </c>
      <c r="AR7" s="110" t="n">
        <v>663019</v>
      </c>
      <c r="AS7" s="110" t="n">
        <v>618588</v>
      </c>
      <c r="AT7" s="110" t="n">
        <v>44431</v>
      </c>
      <c r="AU7" s="110" t="n">
        <v>128663</v>
      </c>
      <c r="AV7" s="110" t="n">
        <v>91559</v>
      </c>
      <c r="AW7" s="110" t="n">
        <v>37104</v>
      </c>
      <c r="AX7" s="110" t="n">
        <v>146669</v>
      </c>
      <c r="AY7" s="110" t="n">
        <v>120228</v>
      </c>
      <c r="AZ7" s="110" t="n">
        <v>110345</v>
      </c>
      <c r="BA7" s="110" t="n">
        <v>9883</v>
      </c>
      <c r="BB7" s="110" t="n">
        <v>26441</v>
      </c>
      <c r="BC7" s="110" t="n">
        <v>17991</v>
      </c>
      <c r="BD7" s="110" t="n">
        <v>8450</v>
      </c>
      <c r="BE7" s="110" t="n">
        <v>2558114.78</v>
      </c>
      <c r="BF7" s="110" t="n">
        <v>1605996.17</v>
      </c>
      <c r="BG7" s="110" t="n">
        <v>1595330.81</v>
      </c>
      <c r="BH7" s="110" t="n">
        <v>10665.36</v>
      </c>
      <c r="BI7" s="110" t="n">
        <v>952118.61</v>
      </c>
      <c r="BJ7" s="110" t="n">
        <v>952118.61</v>
      </c>
      <c r="BK7" s="110" t="n">
        <v>0</v>
      </c>
      <c r="BL7" s="110" t="n">
        <v>377212.72</v>
      </c>
      <c r="BM7" s="110" t="n">
        <v>302490.57</v>
      </c>
      <c r="BN7" s="110" t="n">
        <v>297900.07</v>
      </c>
      <c r="BO7" s="110" t="n">
        <v>4590.5</v>
      </c>
      <c r="BP7" s="110" t="n">
        <v>74722.14999999999</v>
      </c>
      <c r="BQ7" s="110" t="n">
        <v>74722.14999999999</v>
      </c>
      <c r="BR7" s="110" t="n">
        <v>0</v>
      </c>
      <c r="BS7" s="110" t="n">
        <v>1218503.06</v>
      </c>
      <c r="BT7" s="110" t="n">
        <v>569569.1</v>
      </c>
      <c r="BU7" s="110" t="n">
        <v>569322.74</v>
      </c>
      <c r="BV7" s="110" t="n">
        <v>246.36</v>
      </c>
      <c r="BW7" s="110" t="n">
        <v>648933.96</v>
      </c>
      <c r="BX7" s="110" t="n">
        <v>648933.96</v>
      </c>
      <c r="BY7" s="110" t="n">
        <v>0</v>
      </c>
      <c r="BZ7" s="110" t="n">
        <v>624680</v>
      </c>
      <c r="CA7" s="110" t="n">
        <v>474453</v>
      </c>
      <c r="CB7" s="110" t="n">
        <v>469642</v>
      </c>
      <c r="CC7" s="110" t="n">
        <v>4811</v>
      </c>
      <c r="CD7" s="110" t="n">
        <v>150227</v>
      </c>
      <c r="CE7" s="110" t="n">
        <v>150227</v>
      </c>
      <c r="CF7" s="110" t="n">
        <v>0</v>
      </c>
      <c r="CG7" s="110" t="n">
        <v>337719</v>
      </c>
      <c r="CH7" s="110" t="n">
        <v>259483.5</v>
      </c>
      <c r="CI7" s="110" t="n">
        <v>258466</v>
      </c>
      <c r="CJ7" s="110" t="n">
        <v>1017.5</v>
      </c>
      <c r="CK7" s="110" t="n">
        <v>78235.5</v>
      </c>
      <c r="CL7" s="110" t="n">
        <v>78235.5</v>
      </c>
      <c r="CM7" s="110" t="n">
        <v>0</v>
      </c>
      <c r="CN7" s="110" t="n">
        <v>-40</v>
      </c>
      <c r="CO7" s="110" t="n">
        <v>689197.99</v>
      </c>
      <c r="CP7" s="110" t="n">
        <v>419236.6</v>
      </c>
      <c r="CQ7" s="110" t="n">
        <v>258172.17</v>
      </c>
      <c r="CR7" s="110" t="n">
        <v>310994.13</v>
      </c>
      <c r="CS7" s="110" t="n">
        <v>0</v>
      </c>
      <c r="CT7" s="110" t="n">
        <v>0</v>
      </c>
      <c r="CU7" s="110" t="n">
        <v>0</v>
      </c>
      <c r="CV7" s="111" t="n">
        <v>2699</v>
      </c>
      <c r="CW7" s="111" t="n">
        <v>2302</v>
      </c>
      <c r="CX7" s="111" t="n">
        <v>2145</v>
      </c>
      <c r="CY7" s="111" t="n">
        <v>157</v>
      </c>
      <c r="CZ7" s="111" t="n">
        <v>397</v>
      </c>
      <c r="DA7" s="111" t="n">
        <v>276</v>
      </c>
      <c r="DB7" s="111" t="n">
        <v>121</v>
      </c>
      <c r="DC7" s="111" t="n">
        <v>1639</v>
      </c>
      <c r="DD7" s="111" t="n">
        <v>0</v>
      </c>
      <c r="DE7" s="111" t="n">
        <v>1432</v>
      </c>
      <c r="DF7" s="111" t="n">
        <v>1339</v>
      </c>
      <c r="DG7" s="111" t="n">
        <v>93</v>
      </c>
      <c r="DH7" s="111" t="n">
        <v>207</v>
      </c>
      <c r="DI7" s="111" t="n">
        <v>139</v>
      </c>
      <c r="DJ7" s="111" t="n">
        <v>68</v>
      </c>
      <c r="DK7" s="111" t="n">
        <v>712</v>
      </c>
      <c r="DL7" s="111" t="n">
        <v>591</v>
      </c>
      <c r="DM7" s="111" t="n">
        <v>554</v>
      </c>
      <c r="DN7" s="111" t="n">
        <v>37</v>
      </c>
      <c r="DO7" s="111" t="n">
        <v>121</v>
      </c>
      <c r="DP7" s="111" t="n">
        <v>88</v>
      </c>
      <c r="DQ7" s="111" t="n">
        <v>33</v>
      </c>
      <c r="DR7" s="111" t="n">
        <v>348</v>
      </c>
      <c r="DS7" s="111" t="n">
        <v>0</v>
      </c>
      <c r="DT7" s="111" t="n">
        <v>279</v>
      </c>
      <c r="DU7" s="111" t="n">
        <v>252</v>
      </c>
      <c r="DV7" s="111" t="n">
        <v>27</v>
      </c>
      <c r="DW7" s="111" t="n">
        <v>69</v>
      </c>
      <c r="DX7" s="111" t="n">
        <v>49</v>
      </c>
      <c r="DY7" s="111" t="n">
        <v>20</v>
      </c>
      <c r="DZ7" s="111" t="n">
        <v>0</v>
      </c>
      <c r="EA7" s="111" t="n">
        <v>0</v>
      </c>
      <c r="EB7" s="111" t="n">
        <v>0</v>
      </c>
      <c r="EC7" s="111" t="n">
        <v>0</v>
      </c>
      <c r="ED7" s="111" t="n">
        <v>0</v>
      </c>
      <c r="EE7" s="111" t="n">
        <v>0</v>
      </c>
      <c r="EF7" s="111" t="n">
        <v>0</v>
      </c>
      <c r="EG7" s="111" t="n">
        <v>90</v>
      </c>
      <c r="EH7" s="111" t="n">
        <v>70</v>
      </c>
      <c r="EI7" s="111" t="n">
        <v>68</v>
      </c>
      <c r="EJ7" s="111" t="n">
        <v>2</v>
      </c>
      <c r="EK7" s="111" t="n">
        <v>20</v>
      </c>
      <c r="EL7" s="111" t="n">
        <v>20</v>
      </c>
      <c r="EM7" s="111" t="n">
        <v>0</v>
      </c>
      <c r="EN7" s="111" t="n">
        <v>40</v>
      </c>
      <c r="EO7" s="111" t="n">
        <v>0</v>
      </c>
      <c r="EP7" s="111" t="n">
        <v>13</v>
      </c>
      <c r="EQ7" s="111" t="n">
        <v>27</v>
      </c>
      <c r="ER7" s="111" t="n">
        <v>0</v>
      </c>
      <c r="ES7" s="111" t="n">
        <v>0</v>
      </c>
      <c r="ET7" s="111" t="n">
        <v>0</v>
      </c>
      <c r="EU7" s="111" t="n">
        <v>3</v>
      </c>
      <c r="EV7" s="111" t="n">
        <v>0</v>
      </c>
      <c r="EW7" s="111" t="n">
        <v>3</v>
      </c>
      <c r="EX7" s="111" t="n">
        <v>0</v>
      </c>
      <c r="EY7" s="111" t="n">
        <v>10</v>
      </c>
      <c r="EZ7" s="111" t="n">
        <v>0</v>
      </c>
      <c r="FA7" s="111" t="n">
        <v>10</v>
      </c>
      <c r="FB7" s="111" t="n">
        <v>39</v>
      </c>
    </row>
    <row r="8" ht="19.5" customHeight="1" s="247">
      <c r="A8" s="107" t="n">
        <v>5</v>
      </c>
      <c r="B8" s="107" t="inlineStr">
        <is>
          <t>成人非手术</t>
        </is>
      </c>
      <c r="C8" s="107" t="inlineStr">
        <is>
          <t>心血管内科</t>
        </is>
      </c>
      <c r="D8" s="110" t="n">
        <v>4969508.5</v>
      </c>
      <c r="E8" s="110" t="n">
        <v>998835</v>
      </c>
      <c r="F8" s="110" t="n">
        <v>3970673.5</v>
      </c>
      <c r="G8" s="110" t="n">
        <v>6544</v>
      </c>
      <c r="H8" s="110" t="n">
        <v>371</v>
      </c>
      <c r="I8" s="110" t="n">
        <v>960</v>
      </c>
      <c r="J8" s="110" t="n">
        <v>0</v>
      </c>
      <c r="K8" s="110" t="n">
        <v>0</v>
      </c>
      <c r="L8" s="110" t="n">
        <v>36441</v>
      </c>
      <c r="M8" s="110" t="n">
        <v>813117</v>
      </c>
      <c r="N8" s="110" t="n">
        <v>30</v>
      </c>
      <c r="O8" s="110" t="n">
        <v>17362434.4</v>
      </c>
      <c r="P8" s="110" t="n">
        <v>12859950.35</v>
      </c>
      <c r="Q8" s="110" t="n">
        <v>12648763.98</v>
      </c>
      <c r="R8" s="110" t="n">
        <v>211186.37</v>
      </c>
      <c r="S8" s="110" t="n">
        <v>4502484.05</v>
      </c>
      <c r="T8" s="110" t="n">
        <v>4349361.36</v>
      </c>
      <c r="U8" s="110" t="n">
        <v>153122.69</v>
      </c>
      <c r="V8" s="110" t="n">
        <v>2701516.87</v>
      </c>
      <c r="W8" s="110" t="n">
        <v>2391446.05</v>
      </c>
      <c r="X8" s="110" t="n">
        <v>2318273.29</v>
      </c>
      <c r="Y8" s="110" t="n">
        <v>73172.75999999999</v>
      </c>
      <c r="Z8" s="110" t="n">
        <v>310070.82</v>
      </c>
      <c r="AA8" s="110" t="n">
        <v>228351.39</v>
      </c>
      <c r="AB8" s="110" t="n">
        <v>81719.42999999999</v>
      </c>
      <c r="AC8" s="110" t="n">
        <v>1688279.07</v>
      </c>
      <c r="AD8" s="110" t="n">
        <v>1524481.25</v>
      </c>
      <c r="AE8" s="110" t="n">
        <v>1495290.49</v>
      </c>
      <c r="AF8" s="110" t="n">
        <v>29190.76</v>
      </c>
      <c r="AG8" s="110" t="n">
        <v>163797.82</v>
      </c>
      <c r="AH8" s="110" t="n">
        <v>132616.39</v>
      </c>
      <c r="AI8" s="110" t="n">
        <v>31181.43</v>
      </c>
      <c r="AJ8" s="110" t="n">
        <v>14402.8</v>
      </c>
      <c r="AK8" s="110" t="n">
        <v>12123.8</v>
      </c>
      <c r="AL8" s="110" t="n">
        <v>11564.8</v>
      </c>
      <c r="AM8" s="110" t="n">
        <v>559</v>
      </c>
      <c r="AN8" s="110" t="n">
        <v>2279</v>
      </c>
      <c r="AO8" s="110" t="n">
        <v>1204</v>
      </c>
      <c r="AP8" s="110" t="n">
        <v>1075</v>
      </c>
      <c r="AQ8" s="110" t="n">
        <v>780374</v>
      </c>
      <c r="AR8" s="110" t="n">
        <v>664531</v>
      </c>
      <c r="AS8" s="110" t="n">
        <v>628890</v>
      </c>
      <c r="AT8" s="110" t="n">
        <v>35641</v>
      </c>
      <c r="AU8" s="110" t="n">
        <v>115843</v>
      </c>
      <c r="AV8" s="110" t="n">
        <v>73914</v>
      </c>
      <c r="AW8" s="110" t="n">
        <v>41929</v>
      </c>
      <c r="AX8" s="110" t="n">
        <v>218461</v>
      </c>
      <c r="AY8" s="110" t="n">
        <v>190310</v>
      </c>
      <c r="AZ8" s="110" t="n">
        <v>182528</v>
      </c>
      <c r="BA8" s="110" t="n">
        <v>7782</v>
      </c>
      <c r="BB8" s="110" t="n">
        <v>28151</v>
      </c>
      <c r="BC8" s="110" t="n">
        <v>20617</v>
      </c>
      <c r="BD8" s="110" t="n">
        <v>7534</v>
      </c>
      <c r="BE8" s="110" t="n">
        <v>14660917.53</v>
      </c>
      <c r="BF8" s="110" t="n">
        <v>10468504.3</v>
      </c>
      <c r="BG8" s="110" t="n">
        <v>10330490.69</v>
      </c>
      <c r="BH8" s="110" t="n">
        <v>138013.61</v>
      </c>
      <c r="BI8" s="110" t="n">
        <v>4192413.23</v>
      </c>
      <c r="BJ8" s="110" t="n">
        <v>4121009.97</v>
      </c>
      <c r="BK8" s="110" t="n">
        <v>71403.25999999999</v>
      </c>
      <c r="BL8" s="110" t="n">
        <v>691466.24</v>
      </c>
      <c r="BM8" s="110" t="n">
        <v>512417.89</v>
      </c>
      <c r="BN8" s="110" t="n">
        <v>503409.58</v>
      </c>
      <c r="BO8" s="110" t="n">
        <v>9008.309999999999</v>
      </c>
      <c r="BP8" s="110" t="n">
        <v>179048.35</v>
      </c>
      <c r="BQ8" s="110" t="n">
        <v>173812.23</v>
      </c>
      <c r="BR8" s="110" t="n">
        <v>5236.12</v>
      </c>
      <c r="BS8" s="110" t="n">
        <v>9998777.789999999</v>
      </c>
      <c r="BT8" s="110" t="n">
        <v>7088726.41</v>
      </c>
      <c r="BU8" s="110" t="n">
        <v>7007672.11</v>
      </c>
      <c r="BV8" s="110" t="n">
        <v>81054.3</v>
      </c>
      <c r="BW8" s="110" t="n">
        <v>2910051.38</v>
      </c>
      <c r="BX8" s="110" t="n">
        <v>2868796.74</v>
      </c>
      <c r="BY8" s="110" t="n">
        <v>41254.64</v>
      </c>
      <c r="BZ8" s="110" t="n">
        <v>2369817</v>
      </c>
      <c r="CA8" s="110" t="n">
        <v>1721004</v>
      </c>
      <c r="CB8" s="110" t="n">
        <v>1692772</v>
      </c>
      <c r="CC8" s="110" t="n">
        <v>28232</v>
      </c>
      <c r="CD8" s="110" t="n">
        <v>648813</v>
      </c>
      <c r="CE8" s="110" t="n">
        <v>637146</v>
      </c>
      <c r="CF8" s="110" t="n">
        <v>11667</v>
      </c>
      <c r="CG8" s="110" t="n">
        <v>1600856.5</v>
      </c>
      <c r="CH8" s="110" t="n">
        <v>1146356</v>
      </c>
      <c r="CI8" s="110" t="n">
        <v>1126637</v>
      </c>
      <c r="CJ8" s="110" t="n">
        <v>19719</v>
      </c>
      <c r="CK8" s="110" t="n">
        <v>454500.5</v>
      </c>
      <c r="CL8" s="110" t="n">
        <v>441255</v>
      </c>
      <c r="CM8" s="110" t="n">
        <v>13245.5</v>
      </c>
      <c r="CN8" s="110" t="n">
        <v>-25</v>
      </c>
      <c r="CO8" s="110" t="n">
        <v>1493911.52</v>
      </c>
      <c r="CP8" s="110" t="n">
        <v>1074598.53</v>
      </c>
      <c r="CQ8" s="110" t="n">
        <v>107471.63</v>
      </c>
      <c r="CR8" s="110" t="n">
        <v>25535.19</v>
      </c>
      <c r="CS8" s="110" t="n">
        <v>0</v>
      </c>
      <c r="CT8" s="110" t="n">
        <v>0</v>
      </c>
      <c r="CU8" s="110" t="n">
        <v>0</v>
      </c>
      <c r="CV8" s="111" t="n">
        <v>6544</v>
      </c>
      <c r="CW8" s="111" t="n">
        <v>5726</v>
      </c>
      <c r="CX8" s="111" t="n">
        <v>5500</v>
      </c>
      <c r="CY8" s="111" t="n">
        <v>226</v>
      </c>
      <c r="CZ8" s="111" t="n">
        <v>818</v>
      </c>
      <c r="DA8" s="111" t="n">
        <v>595</v>
      </c>
      <c r="DB8" s="111" t="n">
        <v>223</v>
      </c>
      <c r="DC8" s="111" t="n">
        <v>4201</v>
      </c>
      <c r="DD8" s="111" t="n">
        <v>0</v>
      </c>
      <c r="DE8" s="111" t="n">
        <v>3695</v>
      </c>
      <c r="DF8" s="111" t="n">
        <v>3577</v>
      </c>
      <c r="DG8" s="111" t="n">
        <v>118</v>
      </c>
      <c r="DH8" s="111" t="n">
        <v>506</v>
      </c>
      <c r="DI8" s="111" t="n">
        <v>362</v>
      </c>
      <c r="DJ8" s="111" t="n">
        <v>144</v>
      </c>
      <c r="DK8" s="111" t="n">
        <v>2302</v>
      </c>
      <c r="DL8" s="111" t="n">
        <v>1997</v>
      </c>
      <c r="DM8" s="111" t="n">
        <v>1889</v>
      </c>
      <c r="DN8" s="111" t="n">
        <v>108</v>
      </c>
      <c r="DO8" s="111" t="n">
        <v>305</v>
      </c>
      <c r="DP8" s="111" t="n">
        <v>228</v>
      </c>
      <c r="DQ8" s="111" t="n">
        <v>77</v>
      </c>
      <c r="DR8" s="111" t="n">
        <v>41</v>
      </c>
      <c r="DS8" s="111" t="n">
        <v>0</v>
      </c>
      <c r="DT8" s="111" t="n">
        <v>34</v>
      </c>
      <c r="DU8" s="111" t="n">
        <v>34</v>
      </c>
      <c r="DV8" s="111" t="n">
        <v>0</v>
      </c>
      <c r="DW8" s="111" t="n">
        <v>7</v>
      </c>
      <c r="DX8" s="111" t="n">
        <v>5</v>
      </c>
      <c r="DY8" s="111" t="n">
        <v>2</v>
      </c>
      <c r="DZ8" s="111" t="n">
        <v>0</v>
      </c>
      <c r="EA8" s="111" t="n">
        <v>0</v>
      </c>
      <c r="EB8" s="111" t="n">
        <v>0</v>
      </c>
      <c r="EC8" s="111" t="n">
        <v>0</v>
      </c>
      <c r="ED8" s="111" t="n">
        <v>0</v>
      </c>
      <c r="EE8" s="111" t="n">
        <v>0</v>
      </c>
      <c r="EF8" s="111" t="n">
        <v>0</v>
      </c>
      <c r="EG8" s="111" t="n">
        <v>371</v>
      </c>
      <c r="EH8" s="111" t="n">
        <v>272</v>
      </c>
      <c r="EI8" s="111" t="n">
        <v>266</v>
      </c>
      <c r="EJ8" s="111" t="n">
        <v>6</v>
      </c>
      <c r="EK8" s="111" t="n">
        <v>99</v>
      </c>
      <c r="EL8" s="111" t="n">
        <v>97</v>
      </c>
      <c r="EM8" s="111" t="n">
        <v>2</v>
      </c>
      <c r="EN8" s="111" t="n">
        <v>328</v>
      </c>
      <c r="EO8" s="111" t="n">
        <v>47</v>
      </c>
      <c r="EP8" s="111" t="n">
        <v>171</v>
      </c>
      <c r="EQ8" s="111" t="n">
        <v>110</v>
      </c>
      <c r="ER8" s="111" t="n">
        <v>0</v>
      </c>
      <c r="ES8" s="111" t="n">
        <v>0</v>
      </c>
      <c r="ET8" s="111" t="n">
        <v>0</v>
      </c>
      <c r="EU8" s="111" t="n">
        <v>164</v>
      </c>
      <c r="EV8" s="111" t="n">
        <v>47</v>
      </c>
      <c r="EW8" s="111" t="n">
        <v>117</v>
      </c>
      <c r="EX8" s="111" t="n">
        <v>0</v>
      </c>
      <c r="EY8" s="111" t="n">
        <v>5</v>
      </c>
      <c r="EZ8" s="111" t="n">
        <v>0</v>
      </c>
      <c r="FA8" s="111" t="n">
        <v>5</v>
      </c>
      <c r="FB8" s="111" t="n">
        <v>60</v>
      </c>
    </row>
    <row r="9" ht="19.5" customHeight="1" s="247">
      <c r="A9" s="107" t="n">
        <v>6</v>
      </c>
      <c r="B9" s="107" t="inlineStr">
        <is>
          <t>成人非手术</t>
        </is>
      </c>
      <c r="C9" s="107" t="inlineStr">
        <is>
          <t>血液内科</t>
        </is>
      </c>
      <c r="D9" s="110" t="n">
        <v>31864</v>
      </c>
      <c r="E9" s="110" t="n">
        <v>31864</v>
      </c>
      <c r="F9" s="110" t="n">
        <v>0</v>
      </c>
      <c r="G9" s="110" t="n">
        <v>216</v>
      </c>
      <c r="H9" s="110" t="n">
        <v>0</v>
      </c>
      <c r="I9" s="110" t="n">
        <v>66</v>
      </c>
      <c r="J9" s="110" t="n">
        <v>0</v>
      </c>
      <c r="K9" s="110" t="n">
        <v>0</v>
      </c>
      <c r="L9" s="110" t="n">
        <v>0</v>
      </c>
      <c r="M9" s="110" t="n">
        <v>0</v>
      </c>
      <c r="N9" s="110" t="n">
        <v>0</v>
      </c>
      <c r="O9" s="110" t="n">
        <v>98461.53</v>
      </c>
      <c r="P9" s="110" t="n">
        <v>90683.25</v>
      </c>
      <c r="Q9" s="110" t="n">
        <v>88292.85000000001</v>
      </c>
      <c r="R9" s="110" t="n">
        <v>2390.4</v>
      </c>
      <c r="S9" s="110" t="n">
        <v>7778.28</v>
      </c>
      <c r="T9" s="110" t="n">
        <v>6388.3</v>
      </c>
      <c r="U9" s="110" t="n">
        <v>1389.98</v>
      </c>
      <c r="V9" s="110" t="n">
        <v>98461.53</v>
      </c>
      <c r="W9" s="110" t="n">
        <v>90683.25</v>
      </c>
      <c r="X9" s="110" t="n">
        <v>88292.85000000001</v>
      </c>
      <c r="Y9" s="110" t="n">
        <v>2390.4</v>
      </c>
      <c r="Z9" s="110" t="n">
        <v>7778.28</v>
      </c>
      <c r="AA9" s="110" t="n">
        <v>6388.3</v>
      </c>
      <c r="AB9" s="110" t="n">
        <v>1389.98</v>
      </c>
      <c r="AC9" s="110" t="n">
        <v>66554.53</v>
      </c>
      <c r="AD9" s="110" t="n">
        <v>63168.25</v>
      </c>
      <c r="AE9" s="110" t="n">
        <v>62357.85</v>
      </c>
      <c r="AF9" s="110" t="n">
        <v>810.4</v>
      </c>
      <c r="AG9" s="110" t="n">
        <v>3386.28</v>
      </c>
      <c r="AH9" s="110" t="n">
        <v>3290.3</v>
      </c>
      <c r="AI9" s="110" t="n">
        <v>95.98</v>
      </c>
      <c r="AJ9" s="110" t="n">
        <v>43</v>
      </c>
      <c r="AK9" s="110" t="n">
        <v>43</v>
      </c>
      <c r="AL9" s="110" t="n">
        <v>43</v>
      </c>
      <c r="AM9" s="110" t="n">
        <v>0</v>
      </c>
      <c r="AN9" s="110" t="n">
        <v>0</v>
      </c>
      <c r="AO9" s="110" t="n">
        <v>0</v>
      </c>
      <c r="AP9" s="110" t="n">
        <v>0</v>
      </c>
      <c r="AQ9" s="110" t="n">
        <v>24248</v>
      </c>
      <c r="AR9" s="110" t="n">
        <v>20979</v>
      </c>
      <c r="AS9" s="110" t="n">
        <v>19849</v>
      </c>
      <c r="AT9" s="110" t="n">
        <v>1130</v>
      </c>
      <c r="AU9" s="110" t="n">
        <v>3269</v>
      </c>
      <c r="AV9" s="110" t="n">
        <v>2300</v>
      </c>
      <c r="AW9" s="110" t="n">
        <v>969</v>
      </c>
      <c r="AX9" s="110" t="n">
        <v>7616</v>
      </c>
      <c r="AY9" s="110" t="n">
        <v>6493</v>
      </c>
      <c r="AZ9" s="110" t="n">
        <v>6043</v>
      </c>
      <c r="BA9" s="110" t="n">
        <v>450</v>
      </c>
      <c r="BB9" s="110" t="n">
        <v>1123</v>
      </c>
      <c r="BC9" s="110" t="n">
        <v>798</v>
      </c>
      <c r="BD9" s="110" t="n">
        <v>325</v>
      </c>
      <c r="BE9" s="110" t="n">
        <v>0</v>
      </c>
      <c r="BF9" s="110" t="n">
        <v>0</v>
      </c>
      <c r="BG9" s="110" t="n">
        <v>0</v>
      </c>
      <c r="BH9" s="110" t="n">
        <v>0</v>
      </c>
      <c r="BI9" s="110" t="n">
        <v>0</v>
      </c>
      <c r="BJ9" s="110" t="n">
        <v>0</v>
      </c>
      <c r="BK9" s="110" t="n">
        <v>0</v>
      </c>
      <c r="BL9" s="110" t="n">
        <v>0</v>
      </c>
      <c r="BM9" s="110" t="n">
        <v>0</v>
      </c>
      <c r="BN9" s="110" t="n">
        <v>0</v>
      </c>
      <c r="BO9" s="110" t="n">
        <v>0</v>
      </c>
      <c r="BP9" s="110" t="n">
        <v>0</v>
      </c>
      <c r="BQ9" s="110" t="n">
        <v>0</v>
      </c>
      <c r="BR9" s="110" t="n">
        <v>0</v>
      </c>
      <c r="BS9" s="110" t="n">
        <v>0</v>
      </c>
      <c r="BT9" s="110" t="n">
        <v>0</v>
      </c>
      <c r="BU9" s="110" t="n">
        <v>0</v>
      </c>
      <c r="BV9" s="110" t="n">
        <v>0</v>
      </c>
      <c r="BW9" s="110" t="n">
        <v>0</v>
      </c>
      <c r="BX9" s="110" t="n">
        <v>0</v>
      </c>
      <c r="BY9" s="110" t="n">
        <v>0</v>
      </c>
      <c r="BZ9" s="110" t="n">
        <v>0</v>
      </c>
      <c r="CA9" s="110" t="n">
        <v>0</v>
      </c>
      <c r="CB9" s="110" t="n">
        <v>0</v>
      </c>
      <c r="CC9" s="110" t="n">
        <v>0</v>
      </c>
      <c r="CD9" s="110" t="n">
        <v>0</v>
      </c>
      <c r="CE9" s="110" t="n">
        <v>0</v>
      </c>
      <c r="CF9" s="110" t="n">
        <v>0</v>
      </c>
      <c r="CG9" s="110" t="n">
        <v>0</v>
      </c>
      <c r="CH9" s="110" t="n">
        <v>0</v>
      </c>
      <c r="CI9" s="110" t="n">
        <v>0</v>
      </c>
      <c r="CJ9" s="110" t="n">
        <v>0</v>
      </c>
      <c r="CK9" s="110" t="n">
        <v>0</v>
      </c>
      <c r="CL9" s="110" t="n">
        <v>0</v>
      </c>
      <c r="CM9" s="110" t="n">
        <v>0</v>
      </c>
      <c r="CN9" s="110" t="n">
        <v>0</v>
      </c>
      <c r="CO9" s="110" t="n">
        <v>29680.1</v>
      </c>
      <c r="CP9" s="110" t="n">
        <v>68781.42999999999</v>
      </c>
      <c r="CQ9" s="110" t="n">
        <v>0</v>
      </c>
      <c r="CR9" s="110" t="n">
        <v>0</v>
      </c>
      <c r="CS9" s="110" t="n">
        <v>0</v>
      </c>
      <c r="CT9" s="110" t="n">
        <v>0</v>
      </c>
      <c r="CU9" s="110" t="n">
        <v>0</v>
      </c>
      <c r="CV9" s="111" t="n">
        <v>216</v>
      </c>
      <c r="CW9" s="111" t="n">
        <v>184</v>
      </c>
      <c r="CX9" s="111" t="n">
        <v>172</v>
      </c>
      <c r="CY9" s="111" t="n">
        <v>12</v>
      </c>
      <c r="CZ9" s="111" t="n">
        <v>32</v>
      </c>
      <c r="DA9" s="111" t="n">
        <v>23</v>
      </c>
      <c r="DB9" s="111" t="n">
        <v>9</v>
      </c>
      <c r="DC9" s="111" t="n">
        <v>130</v>
      </c>
      <c r="DD9" s="111" t="n">
        <v>0</v>
      </c>
      <c r="DE9" s="111" t="n">
        <v>109</v>
      </c>
      <c r="DF9" s="111" t="n">
        <v>103</v>
      </c>
      <c r="DG9" s="111" t="n">
        <v>6</v>
      </c>
      <c r="DH9" s="111" t="n">
        <v>21</v>
      </c>
      <c r="DI9" s="111" t="n">
        <v>16</v>
      </c>
      <c r="DJ9" s="111" t="n">
        <v>5</v>
      </c>
      <c r="DK9" s="111" t="n">
        <v>86</v>
      </c>
      <c r="DL9" s="111" t="n">
        <v>75</v>
      </c>
      <c r="DM9" s="111" t="n">
        <v>69</v>
      </c>
      <c r="DN9" s="111" t="n">
        <v>6</v>
      </c>
      <c r="DO9" s="111" t="n">
        <v>11</v>
      </c>
      <c r="DP9" s="111" t="n">
        <v>7</v>
      </c>
      <c r="DQ9" s="111" t="n">
        <v>4</v>
      </c>
      <c r="DR9" s="111" t="n">
        <v>0</v>
      </c>
      <c r="DS9" s="111" t="n">
        <v>0</v>
      </c>
      <c r="DT9" s="111" t="n">
        <v>0</v>
      </c>
      <c r="DU9" s="111" t="n">
        <v>0</v>
      </c>
      <c r="DV9" s="111" t="n">
        <v>0</v>
      </c>
      <c r="DW9" s="111" t="n">
        <v>0</v>
      </c>
      <c r="DX9" s="111" t="n">
        <v>0</v>
      </c>
      <c r="DY9" s="111" t="n">
        <v>0</v>
      </c>
      <c r="DZ9" s="111" t="n">
        <v>0</v>
      </c>
      <c r="EA9" s="111" t="n">
        <v>0</v>
      </c>
      <c r="EB9" s="111" t="n">
        <v>0</v>
      </c>
      <c r="EC9" s="111" t="n">
        <v>0</v>
      </c>
      <c r="ED9" s="111" t="n">
        <v>0</v>
      </c>
      <c r="EE9" s="111" t="n">
        <v>0</v>
      </c>
      <c r="EF9" s="111" t="n">
        <v>0</v>
      </c>
      <c r="EG9" s="111" t="n">
        <v>0</v>
      </c>
      <c r="EH9" s="111" t="n">
        <v>0</v>
      </c>
      <c r="EI9" s="111" t="n">
        <v>0</v>
      </c>
      <c r="EJ9" s="111" t="n">
        <v>0</v>
      </c>
      <c r="EK9" s="111" t="n">
        <v>0</v>
      </c>
      <c r="EL9" s="111" t="n">
        <v>0</v>
      </c>
      <c r="EM9" s="111" t="n">
        <v>0</v>
      </c>
      <c r="EN9" s="111" t="n">
        <v>0</v>
      </c>
      <c r="EO9" s="111" t="n">
        <v>0</v>
      </c>
      <c r="EP9" s="111" t="n">
        <v>0</v>
      </c>
      <c r="EQ9" s="111" t="n">
        <v>0</v>
      </c>
      <c r="ER9" s="111" t="n">
        <v>0</v>
      </c>
      <c r="ES9" s="111" t="n">
        <v>0</v>
      </c>
      <c r="ET9" s="111" t="n">
        <v>0</v>
      </c>
      <c r="EU9" s="111" t="n">
        <v>0</v>
      </c>
      <c r="EV9" s="111" t="n">
        <v>0</v>
      </c>
      <c r="EW9" s="111" t="n">
        <v>0</v>
      </c>
      <c r="EX9" s="111" t="n">
        <v>0</v>
      </c>
      <c r="EY9" s="111" t="n">
        <v>0</v>
      </c>
      <c r="EZ9" s="111" t="n">
        <v>0</v>
      </c>
      <c r="FA9" s="111" t="n">
        <v>0</v>
      </c>
      <c r="FB9" s="111" t="n">
        <v>0</v>
      </c>
    </row>
    <row r="10" ht="19.5" customHeight="1" s="247">
      <c r="A10" s="107" t="n">
        <v>7</v>
      </c>
      <c r="B10" s="107" t="inlineStr">
        <is>
          <t>成人非手术</t>
        </is>
      </c>
      <c r="C10" s="107" t="inlineStr">
        <is>
          <t>肾脏风湿免疫科</t>
        </is>
      </c>
      <c r="D10" s="110" t="n">
        <v>1475518</v>
      </c>
      <c r="E10" s="110" t="n">
        <v>1131765</v>
      </c>
      <c r="F10" s="110" t="n">
        <v>343753</v>
      </c>
      <c r="G10" s="110" t="n">
        <v>2078</v>
      </c>
      <c r="H10" s="110" t="n">
        <v>45</v>
      </c>
      <c r="I10" s="110" t="n">
        <v>590155</v>
      </c>
      <c r="J10" s="110" t="n">
        <v>0</v>
      </c>
      <c r="K10" s="110" t="n">
        <v>0</v>
      </c>
      <c r="L10" s="110" t="n">
        <v>25239</v>
      </c>
      <c r="M10" s="110" t="n">
        <v>3561</v>
      </c>
      <c r="N10" s="110" t="n">
        <v>0</v>
      </c>
      <c r="O10" s="110" t="n">
        <v>2390558.69</v>
      </c>
      <c r="P10" s="110" t="n">
        <v>2025069.89</v>
      </c>
      <c r="Q10" s="110" t="n">
        <v>1996178.54</v>
      </c>
      <c r="R10" s="110" t="n">
        <v>28891.35</v>
      </c>
      <c r="S10" s="110" t="n">
        <v>365488.8</v>
      </c>
      <c r="T10" s="110" t="n">
        <v>343812.45</v>
      </c>
      <c r="U10" s="110" t="n">
        <v>21676.35</v>
      </c>
      <c r="V10" s="110" t="n">
        <v>1914252.43</v>
      </c>
      <c r="W10" s="110" t="n">
        <v>1724880.5</v>
      </c>
      <c r="X10" s="110" t="n">
        <v>1695989.15</v>
      </c>
      <c r="Y10" s="110" t="n">
        <v>28891.35</v>
      </c>
      <c r="Z10" s="110" t="n">
        <v>189371.93</v>
      </c>
      <c r="AA10" s="110" t="n">
        <v>167695.58</v>
      </c>
      <c r="AB10" s="110" t="n">
        <v>21676.35</v>
      </c>
      <c r="AC10" s="110" t="n">
        <v>706604.4300000001</v>
      </c>
      <c r="AD10" s="110" t="n">
        <v>648966.5</v>
      </c>
      <c r="AE10" s="110" t="n">
        <v>635664.15</v>
      </c>
      <c r="AF10" s="110" t="n">
        <v>13302.35</v>
      </c>
      <c r="AG10" s="110" t="n">
        <v>57637.93</v>
      </c>
      <c r="AH10" s="110" t="n">
        <v>53125.58</v>
      </c>
      <c r="AI10" s="110" t="n">
        <v>4512.35</v>
      </c>
      <c r="AJ10" s="110" t="n">
        <v>75883</v>
      </c>
      <c r="AK10" s="110" t="n">
        <v>72107</v>
      </c>
      <c r="AL10" s="110" t="n">
        <v>72107</v>
      </c>
      <c r="AM10" s="110" t="n">
        <v>0</v>
      </c>
      <c r="AN10" s="110" t="n">
        <v>3776</v>
      </c>
      <c r="AO10" s="110" t="n">
        <v>3776</v>
      </c>
      <c r="AP10" s="110" t="n">
        <v>0</v>
      </c>
      <c r="AQ10" s="110" t="n">
        <v>469545</v>
      </c>
      <c r="AR10" s="110" t="n">
        <v>409900</v>
      </c>
      <c r="AS10" s="110" t="n">
        <v>396845</v>
      </c>
      <c r="AT10" s="110" t="n">
        <v>13055</v>
      </c>
      <c r="AU10" s="110" t="n">
        <v>59645</v>
      </c>
      <c r="AV10" s="110" t="n">
        <v>45059</v>
      </c>
      <c r="AW10" s="110" t="n">
        <v>14586</v>
      </c>
      <c r="AX10" s="110" t="n">
        <v>662220</v>
      </c>
      <c r="AY10" s="110" t="n">
        <v>593907</v>
      </c>
      <c r="AZ10" s="110" t="n">
        <v>591373</v>
      </c>
      <c r="BA10" s="110" t="n">
        <v>2534</v>
      </c>
      <c r="BB10" s="110" t="n">
        <v>68313</v>
      </c>
      <c r="BC10" s="110" t="n">
        <v>65735</v>
      </c>
      <c r="BD10" s="110" t="n">
        <v>2578</v>
      </c>
      <c r="BE10" s="110" t="n">
        <v>476306.26</v>
      </c>
      <c r="BF10" s="110" t="n">
        <v>300189.39</v>
      </c>
      <c r="BG10" s="110" t="n">
        <v>300189.39</v>
      </c>
      <c r="BH10" s="110" t="n">
        <v>0</v>
      </c>
      <c r="BI10" s="110" t="n">
        <v>176116.87</v>
      </c>
      <c r="BJ10" s="110" t="n">
        <v>176116.87</v>
      </c>
      <c r="BK10" s="110" t="n">
        <v>0</v>
      </c>
      <c r="BL10" s="110" t="n">
        <v>104584.79</v>
      </c>
      <c r="BM10" s="110" t="n">
        <v>65787.75999999999</v>
      </c>
      <c r="BN10" s="110" t="n">
        <v>65787.75999999999</v>
      </c>
      <c r="BO10" s="110" t="n">
        <v>0</v>
      </c>
      <c r="BP10" s="110" t="n">
        <v>38797.03</v>
      </c>
      <c r="BQ10" s="110" t="n">
        <v>38797.03</v>
      </c>
      <c r="BR10" s="110" t="n">
        <v>0</v>
      </c>
      <c r="BS10" s="110" t="n">
        <v>27968.47</v>
      </c>
      <c r="BT10" s="110" t="n">
        <v>18859.13</v>
      </c>
      <c r="BU10" s="110" t="n">
        <v>18859.13</v>
      </c>
      <c r="BV10" s="110" t="n">
        <v>0</v>
      </c>
      <c r="BW10" s="110" t="n">
        <v>9109.34</v>
      </c>
      <c r="BX10" s="110" t="n">
        <v>9109.34</v>
      </c>
      <c r="BY10" s="110" t="n">
        <v>0</v>
      </c>
      <c r="BZ10" s="110" t="n">
        <v>242303</v>
      </c>
      <c r="CA10" s="110" t="n">
        <v>154916</v>
      </c>
      <c r="CB10" s="110" t="n">
        <v>154916</v>
      </c>
      <c r="CC10" s="110" t="n">
        <v>0</v>
      </c>
      <c r="CD10" s="110" t="n">
        <v>87387</v>
      </c>
      <c r="CE10" s="110" t="n">
        <v>87387</v>
      </c>
      <c r="CF10" s="110" t="n">
        <v>0</v>
      </c>
      <c r="CG10" s="110" t="n">
        <v>101450</v>
      </c>
      <c r="CH10" s="110" t="n">
        <v>60626.5</v>
      </c>
      <c r="CI10" s="110" t="n">
        <v>60626.5</v>
      </c>
      <c r="CJ10" s="110" t="n">
        <v>0</v>
      </c>
      <c r="CK10" s="110" t="n">
        <v>40823.5</v>
      </c>
      <c r="CL10" s="110" t="n">
        <v>40823.5</v>
      </c>
      <c r="CM10" s="110" t="n">
        <v>0</v>
      </c>
      <c r="CN10" s="110" t="n">
        <v>0</v>
      </c>
      <c r="CO10" s="110" t="n">
        <v>536838.37</v>
      </c>
      <c r="CP10" s="110" t="n">
        <v>331092.2</v>
      </c>
      <c r="CQ10" s="110" t="n">
        <v>945251.37</v>
      </c>
      <c r="CR10" s="110" t="n">
        <v>101070.49</v>
      </c>
      <c r="CS10" s="110" t="n">
        <v>0</v>
      </c>
      <c r="CT10" s="110" t="n">
        <v>0</v>
      </c>
      <c r="CU10" s="110" t="n">
        <v>0</v>
      </c>
      <c r="CV10" s="111" t="n">
        <v>2078</v>
      </c>
      <c r="CW10" s="111" t="n">
        <v>1817</v>
      </c>
      <c r="CX10" s="111" t="n">
        <v>1741</v>
      </c>
      <c r="CY10" s="111" t="n">
        <v>76</v>
      </c>
      <c r="CZ10" s="111" t="n">
        <v>261</v>
      </c>
      <c r="DA10" s="111" t="n">
        <v>187</v>
      </c>
      <c r="DB10" s="111" t="n">
        <v>74</v>
      </c>
      <c r="DC10" s="111" t="n">
        <v>1594</v>
      </c>
      <c r="DD10" s="111" t="n">
        <v>0</v>
      </c>
      <c r="DE10" s="111" t="n">
        <v>1402</v>
      </c>
      <c r="DF10" s="111" t="n">
        <v>1343</v>
      </c>
      <c r="DG10" s="111" t="n">
        <v>59</v>
      </c>
      <c r="DH10" s="111" t="n">
        <v>192</v>
      </c>
      <c r="DI10" s="111" t="n">
        <v>138</v>
      </c>
      <c r="DJ10" s="111" t="n">
        <v>54</v>
      </c>
      <c r="DK10" s="111" t="n">
        <v>411</v>
      </c>
      <c r="DL10" s="111" t="n">
        <v>359</v>
      </c>
      <c r="DM10" s="111" t="n">
        <v>345</v>
      </c>
      <c r="DN10" s="111" t="n">
        <v>14</v>
      </c>
      <c r="DO10" s="111" t="n">
        <v>52</v>
      </c>
      <c r="DP10" s="111" t="n">
        <v>35</v>
      </c>
      <c r="DQ10" s="111" t="n">
        <v>17</v>
      </c>
      <c r="DR10" s="111" t="n">
        <v>73</v>
      </c>
      <c r="DS10" s="111" t="n">
        <v>0</v>
      </c>
      <c r="DT10" s="111" t="n">
        <v>56</v>
      </c>
      <c r="DU10" s="111" t="n">
        <v>53</v>
      </c>
      <c r="DV10" s="111" t="n">
        <v>3</v>
      </c>
      <c r="DW10" s="111" t="n">
        <v>17</v>
      </c>
      <c r="DX10" s="111" t="n">
        <v>14</v>
      </c>
      <c r="DY10" s="111" t="n">
        <v>3</v>
      </c>
      <c r="DZ10" s="111" t="n">
        <v>0</v>
      </c>
      <c r="EA10" s="111" t="n">
        <v>0</v>
      </c>
      <c r="EB10" s="111" t="n">
        <v>0</v>
      </c>
      <c r="EC10" s="111" t="n">
        <v>0</v>
      </c>
      <c r="ED10" s="111" t="n">
        <v>0</v>
      </c>
      <c r="EE10" s="111" t="n">
        <v>0</v>
      </c>
      <c r="EF10" s="111" t="n">
        <v>0</v>
      </c>
      <c r="EG10" s="111" t="n">
        <v>45</v>
      </c>
      <c r="EH10" s="111" t="n">
        <v>31</v>
      </c>
      <c r="EI10" s="111" t="n">
        <v>31</v>
      </c>
      <c r="EJ10" s="111" t="n">
        <v>0</v>
      </c>
      <c r="EK10" s="111" t="n">
        <v>14</v>
      </c>
      <c r="EL10" s="111" t="n">
        <v>14</v>
      </c>
      <c r="EM10" s="111" t="n">
        <v>0</v>
      </c>
      <c r="EN10" s="111" t="n">
        <v>15</v>
      </c>
      <c r="EO10" s="111" t="n">
        <v>1</v>
      </c>
      <c r="EP10" s="111" t="n">
        <v>0</v>
      </c>
      <c r="EQ10" s="111" t="n">
        <v>14</v>
      </c>
      <c r="ER10" s="111" t="n">
        <v>0</v>
      </c>
      <c r="ES10" s="111" t="n">
        <v>0</v>
      </c>
      <c r="ET10" s="111" t="n">
        <v>0</v>
      </c>
      <c r="EU10" s="111" t="n">
        <v>0</v>
      </c>
      <c r="EV10" s="111" t="n">
        <v>0</v>
      </c>
      <c r="EW10" s="111" t="n">
        <v>0</v>
      </c>
      <c r="EX10" s="111" t="n">
        <v>0</v>
      </c>
      <c r="EY10" s="111" t="n">
        <v>0</v>
      </c>
      <c r="EZ10" s="111" t="n">
        <v>0</v>
      </c>
      <c r="FA10" s="111" t="n">
        <v>0</v>
      </c>
      <c r="FB10" s="111" t="n">
        <v>34</v>
      </c>
    </row>
    <row r="11" ht="19.5" customHeight="1" s="247">
      <c r="A11" s="107" t="n">
        <v>8</v>
      </c>
      <c r="B11" s="107" t="inlineStr">
        <is>
          <t>成人非手术</t>
        </is>
      </c>
      <c r="C11" s="107" t="inlineStr">
        <is>
          <t>内分泌科</t>
        </is>
      </c>
      <c r="D11" s="110" t="n">
        <v>884415</v>
      </c>
      <c r="E11" s="110" t="n">
        <v>884415</v>
      </c>
      <c r="F11" s="110" t="n">
        <v>0</v>
      </c>
      <c r="G11" s="110" t="n">
        <v>3046</v>
      </c>
      <c r="H11" s="110" t="n">
        <v>0</v>
      </c>
      <c r="I11" s="110" t="n">
        <v>36</v>
      </c>
      <c r="J11" s="110" t="n">
        <v>574</v>
      </c>
      <c r="K11" s="110" t="n">
        <v>0</v>
      </c>
      <c r="L11" s="110" t="n">
        <v>0</v>
      </c>
      <c r="M11" s="110" t="n">
        <v>0</v>
      </c>
      <c r="N11" s="110" t="n">
        <v>0</v>
      </c>
      <c r="O11" s="110" t="n">
        <v>1456023.88</v>
      </c>
      <c r="P11" s="110" t="n">
        <v>1310031.69</v>
      </c>
      <c r="Q11" s="110" t="n">
        <v>1251873.82</v>
      </c>
      <c r="R11" s="110" t="n">
        <v>58157.87</v>
      </c>
      <c r="S11" s="110" t="n">
        <v>145992.19</v>
      </c>
      <c r="T11" s="110" t="n">
        <v>103912.89</v>
      </c>
      <c r="U11" s="110" t="n">
        <v>42079.3</v>
      </c>
      <c r="V11" s="110" t="n">
        <v>1456023.88</v>
      </c>
      <c r="W11" s="110" t="n">
        <v>1310031.69</v>
      </c>
      <c r="X11" s="110" t="n">
        <v>1251873.82</v>
      </c>
      <c r="Y11" s="110" t="n">
        <v>58157.87</v>
      </c>
      <c r="Z11" s="110" t="n">
        <v>145992.19</v>
      </c>
      <c r="AA11" s="110" t="n">
        <v>103912.89</v>
      </c>
      <c r="AB11" s="110" t="n">
        <v>42079.3</v>
      </c>
      <c r="AC11" s="110" t="n">
        <v>562847.28</v>
      </c>
      <c r="AD11" s="110" t="n">
        <v>510312.49</v>
      </c>
      <c r="AE11" s="110" t="n">
        <v>492984.22</v>
      </c>
      <c r="AF11" s="110" t="n">
        <v>17328.27</v>
      </c>
      <c r="AG11" s="110" t="n">
        <v>52534.79</v>
      </c>
      <c r="AH11" s="110" t="n">
        <v>40049.89</v>
      </c>
      <c r="AI11" s="110" t="n">
        <v>12484.9</v>
      </c>
      <c r="AJ11" s="110" t="n">
        <v>8761.6</v>
      </c>
      <c r="AK11" s="110" t="n">
        <v>7874.2</v>
      </c>
      <c r="AL11" s="110" t="n">
        <v>7669.6</v>
      </c>
      <c r="AM11" s="110" t="n">
        <v>204.6</v>
      </c>
      <c r="AN11" s="110" t="n">
        <v>887.4</v>
      </c>
      <c r="AO11" s="110" t="n">
        <v>516</v>
      </c>
      <c r="AP11" s="110" t="n">
        <v>371.4</v>
      </c>
      <c r="AQ11" s="110" t="n">
        <v>769455</v>
      </c>
      <c r="AR11" s="110" t="n">
        <v>690227</v>
      </c>
      <c r="AS11" s="110" t="n">
        <v>655194</v>
      </c>
      <c r="AT11" s="110" t="n">
        <v>35033</v>
      </c>
      <c r="AU11" s="110" t="n">
        <v>79228</v>
      </c>
      <c r="AV11" s="110" t="n">
        <v>53752</v>
      </c>
      <c r="AW11" s="110" t="n">
        <v>25476</v>
      </c>
      <c r="AX11" s="110" t="n">
        <v>114960</v>
      </c>
      <c r="AY11" s="110" t="n">
        <v>101618</v>
      </c>
      <c r="AZ11" s="110" t="n">
        <v>96026</v>
      </c>
      <c r="BA11" s="110" t="n">
        <v>5592</v>
      </c>
      <c r="BB11" s="110" t="n">
        <v>13342</v>
      </c>
      <c r="BC11" s="110" t="n">
        <v>9595</v>
      </c>
      <c r="BD11" s="110" t="n">
        <v>3747</v>
      </c>
      <c r="BE11" s="110" t="n">
        <v>0</v>
      </c>
      <c r="BF11" s="110" t="n">
        <v>0</v>
      </c>
      <c r="BG11" s="110" t="n">
        <v>0</v>
      </c>
      <c r="BH11" s="110" t="n">
        <v>0</v>
      </c>
      <c r="BI11" s="110" t="n">
        <v>0</v>
      </c>
      <c r="BJ11" s="110" t="n">
        <v>0</v>
      </c>
      <c r="BK11" s="110" t="n">
        <v>0</v>
      </c>
      <c r="BL11" s="110" t="n">
        <v>0</v>
      </c>
      <c r="BM11" s="110" t="n">
        <v>0</v>
      </c>
      <c r="BN11" s="110" t="n">
        <v>0</v>
      </c>
      <c r="BO11" s="110" t="n">
        <v>0</v>
      </c>
      <c r="BP11" s="110" t="n">
        <v>0</v>
      </c>
      <c r="BQ11" s="110" t="n">
        <v>0</v>
      </c>
      <c r="BR11" s="110" t="n">
        <v>0</v>
      </c>
      <c r="BS11" s="110" t="n">
        <v>0</v>
      </c>
      <c r="BT11" s="110" t="n">
        <v>0</v>
      </c>
      <c r="BU11" s="110" t="n">
        <v>0</v>
      </c>
      <c r="BV11" s="110" t="n">
        <v>0</v>
      </c>
      <c r="BW11" s="110" t="n">
        <v>0</v>
      </c>
      <c r="BX11" s="110" t="n">
        <v>0</v>
      </c>
      <c r="BY11" s="110" t="n">
        <v>0</v>
      </c>
      <c r="BZ11" s="110" t="n">
        <v>0</v>
      </c>
      <c r="CA11" s="110" t="n">
        <v>0</v>
      </c>
      <c r="CB11" s="110" t="n">
        <v>0</v>
      </c>
      <c r="CC11" s="110" t="n">
        <v>0</v>
      </c>
      <c r="CD11" s="110" t="n">
        <v>0</v>
      </c>
      <c r="CE11" s="110" t="n">
        <v>0</v>
      </c>
      <c r="CF11" s="110" t="n">
        <v>0</v>
      </c>
      <c r="CG11" s="110" t="n">
        <v>0</v>
      </c>
      <c r="CH11" s="110" t="n">
        <v>0</v>
      </c>
      <c r="CI11" s="110" t="n">
        <v>0</v>
      </c>
      <c r="CJ11" s="110" t="n">
        <v>0</v>
      </c>
      <c r="CK11" s="110" t="n">
        <v>0</v>
      </c>
      <c r="CL11" s="110" t="n">
        <v>0</v>
      </c>
      <c r="CM11" s="110" t="n">
        <v>0</v>
      </c>
      <c r="CN11" s="110" t="n">
        <v>0</v>
      </c>
      <c r="CO11" s="110" t="n">
        <v>718238.88</v>
      </c>
      <c r="CP11" s="110" t="n">
        <v>694136.47</v>
      </c>
      <c r="CQ11" s="110" t="n">
        <v>0</v>
      </c>
      <c r="CR11" s="110" t="n">
        <v>43648.53</v>
      </c>
      <c r="CS11" s="110" t="n">
        <v>0</v>
      </c>
      <c r="CT11" s="110" t="n">
        <v>0</v>
      </c>
      <c r="CU11" s="110" t="n">
        <v>0</v>
      </c>
      <c r="CV11" s="111" t="n">
        <v>3046</v>
      </c>
      <c r="CW11" s="111" t="n">
        <v>2691</v>
      </c>
      <c r="CX11" s="111" t="n">
        <v>2556</v>
      </c>
      <c r="CY11" s="111" t="n">
        <v>135</v>
      </c>
      <c r="CZ11" s="111" t="n">
        <v>355</v>
      </c>
      <c r="DA11" s="111" t="n">
        <v>253</v>
      </c>
      <c r="DB11" s="111" t="n">
        <v>102</v>
      </c>
      <c r="DC11" s="111" t="n">
        <v>1514</v>
      </c>
      <c r="DD11" s="111" t="n">
        <v>0</v>
      </c>
      <c r="DE11" s="111" t="n">
        <v>1340</v>
      </c>
      <c r="DF11" s="111" t="n">
        <v>1284</v>
      </c>
      <c r="DG11" s="111" t="n">
        <v>56</v>
      </c>
      <c r="DH11" s="111" t="n">
        <v>174</v>
      </c>
      <c r="DI11" s="111" t="n">
        <v>121</v>
      </c>
      <c r="DJ11" s="111" t="n">
        <v>53</v>
      </c>
      <c r="DK11" s="111" t="n">
        <v>1457</v>
      </c>
      <c r="DL11" s="111" t="n">
        <v>1284</v>
      </c>
      <c r="DM11" s="111" t="n">
        <v>1212</v>
      </c>
      <c r="DN11" s="111" t="n">
        <v>72</v>
      </c>
      <c r="DO11" s="111" t="n">
        <v>173</v>
      </c>
      <c r="DP11" s="111" t="n">
        <v>126</v>
      </c>
      <c r="DQ11" s="111" t="n">
        <v>47</v>
      </c>
      <c r="DR11" s="111" t="n">
        <v>75</v>
      </c>
      <c r="DS11" s="111" t="n">
        <v>0</v>
      </c>
      <c r="DT11" s="111" t="n">
        <v>67</v>
      </c>
      <c r="DU11" s="111" t="n">
        <v>60</v>
      </c>
      <c r="DV11" s="111" t="n">
        <v>7</v>
      </c>
      <c r="DW11" s="111" t="n">
        <v>8</v>
      </c>
      <c r="DX11" s="111" t="n">
        <v>6</v>
      </c>
      <c r="DY11" s="111" t="n">
        <v>2</v>
      </c>
      <c r="DZ11" s="111" t="n">
        <v>0</v>
      </c>
      <c r="EA11" s="111" t="n">
        <v>0</v>
      </c>
      <c r="EB11" s="111" t="n">
        <v>0</v>
      </c>
      <c r="EC11" s="111" t="n">
        <v>0</v>
      </c>
      <c r="ED11" s="111" t="n">
        <v>0</v>
      </c>
      <c r="EE11" s="111" t="n">
        <v>0</v>
      </c>
      <c r="EF11" s="111" t="n">
        <v>0</v>
      </c>
      <c r="EG11" s="111" t="n">
        <v>0</v>
      </c>
      <c r="EH11" s="111" t="n">
        <v>0</v>
      </c>
      <c r="EI11" s="111" t="n">
        <v>0</v>
      </c>
      <c r="EJ11" s="111" t="n">
        <v>0</v>
      </c>
      <c r="EK11" s="111" t="n">
        <v>0</v>
      </c>
      <c r="EL11" s="111" t="n">
        <v>0</v>
      </c>
      <c r="EM11" s="111" t="n">
        <v>0</v>
      </c>
      <c r="EN11" s="111" t="n">
        <v>0</v>
      </c>
      <c r="EO11" s="111" t="n">
        <v>0</v>
      </c>
      <c r="EP11" s="111" t="n">
        <v>0</v>
      </c>
      <c r="EQ11" s="111" t="n">
        <v>0</v>
      </c>
      <c r="ER11" s="111" t="n">
        <v>0</v>
      </c>
      <c r="ES11" s="111" t="n">
        <v>0</v>
      </c>
      <c r="ET11" s="111" t="n">
        <v>0</v>
      </c>
      <c r="EU11" s="111" t="n">
        <v>0</v>
      </c>
      <c r="EV11" s="111" t="n">
        <v>0</v>
      </c>
      <c r="EW11" s="111" t="n">
        <v>0</v>
      </c>
      <c r="EX11" s="111" t="n">
        <v>0</v>
      </c>
      <c r="EY11" s="111" t="n">
        <v>0</v>
      </c>
      <c r="EZ11" s="111" t="n">
        <v>0</v>
      </c>
      <c r="FA11" s="111" t="n">
        <v>0</v>
      </c>
      <c r="FB11" s="111" t="n">
        <v>0</v>
      </c>
    </row>
    <row r="12" ht="19.5" customHeight="1" s="247">
      <c r="A12" s="107" t="n">
        <v>9</v>
      </c>
      <c r="B12" s="107" t="inlineStr">
        <is>
          <t>成人手术</t>
        </is>
      </c>
      <c r="C12" s="107" t="inlineStr">
        <is>
          <t>普外科</t>
        </is>
      </c>
      <c r="D12" s="110" t="n">
        <v>4281436.25</v>
      </c>
      <c r="E12" s="110" t="n">
        <v>910151</v>
      </c>
      <c r="F12" s="110" t="n">
        <v>3371285.25</v>
      </c>
      <c r="G12" s="110" t="n">
        <v>3530</v>
      </c>
      <c r="H12" s="110" t="n">
        <v>313</v>
      </c>
      <c r="I12" s="110" t="n">
        <v>40725</v>
      </c>
      <c r="J12" s="110" t="n">
        <v>22636</v>
      </c>
      <c r="K12" s="110" t="n">
        <v>0</v>
      </c>
      <c r="L12" s="110" t="n">
        <v>251061.25</v>
      </c>
      <c r="M12" s="110" t="n">
        <v>1041823</v>
      </c>
      <c r="N12" s="110" t="n">
        <v>427.5</v>
      </c>
      <c r="O12" s="110" t="n">
        <v>8384687.36</v>
      </c>
      <c r="P12" s="110" t="n">
        <v>6430022.82</v>
      </c>
      <c r="Q12" s="110" t="n">
        <v>6298437.31</v>
      </c>
      <c r="R12" s="110" t="n">
        <v>131585.51</v>
      </c>
      <c r="S12" s="110" t="n">
        <v>1954664.54</v>
      </c>
      <c r="T12" s="110" t="n">
        <v>1883834.9</v>
      </c>
      <c r="U12" s="110" t="n">
        <v>70829.64</v>
      </c>
      <c r="V12" s="110" t="n">
        <v>1227740.83</v>
      </c>
      <c r="W12" s="110" t="n">
        <v>1022111.25</v>
      </c>
      <c r="X12" s="110" t="n">
        <v>969930.41</v>
      </c>
      <c r="Y12" s="110" t="n">
        <v>52180.84</v>
      </c>
      <c r="Z12" s="110" t="n">
        <v>205629.58</v>
      </c>
      <c r="AA12" s="110" t="n">
        <v>134799.94</v>
      </c>
      <c r="AB12" s="110" t="n">
        <v>70829.64</v>
      </c>
      <c r="AC12" s="110" t="n">
        <v>246160.94</v>
      </c>
      <c r="AD12" s="110" t="n">
        <v>204431.28</v>
      </c>
      <c r="AE12" s="110" t="n">
        <v>197707.61</v>
      </c>
      <c r="AF12" s="110" t="n">
        <v>6723.67</v>
      </c>
      <c r="AG12" s="110" t="n">
        <v>41729.66</v>
      </c>
      <c r="AH12" s="110" t="n">
        <v>29982.25</v>
      </c>
      <c r="AI12" s="110" t="n">
        <v>11747.41</v>
      </c>
      <c r="AJ12" s="110" t="n">
        <v>71428.89</v>
      </c>
      <c r="AK12" s="110" t="n">
        <v>63956.97</v>
      </c>
      <c r="AL12" s="110" t="n">
        <v>61528.8</v>
      </c>
      <c r="AM12" s="110" t="n">
        <v>2428.17</v>
      </c>
      <c r="AN12" s="110" t="n">
        <v>7471.92</v>
      </c>
      <c r="AO12" s="110" t="n">
        <v>5426.69</v>
      </c>
      <c r="AP12" s="110" t="n">
        <v>2045.23</v>
      </c>
      <c r="AQ12" s="110" t="n">
        <v>722658</v>
      </c>
      <c r="AR12" s="110" t="n">
        <v>595095</v>
      </c>
      <c r="AS12" s="110" t="n">
        <v>561378</v>
      </c>
      <c r="AT12" s="110" t="n">
        <v>33717</v>
      </c>
      <c r="AU12" s="110" t="n">
        <v>127563</v>
      </c>
      <c r="AV12" s="110" t="n">
        <v>80911</v>
      </c>
      <c r="AW12" s="110" t="n">
        <v>46652</v>
      </c>
      <c r="AX12" s="110" t="n">
        <v>187493</v>
      </c>
      <c r="AY12" s="110" t="n">
        <v>158628</v>
      </c>
      <c r="AZ12" s="110" t="n">
        <v>149316</v>
      </c>
      <c r="BA12" s="110" t="n">
        <v>9312</v>
      </c>
      <c r="BB12" s="110" t="n">
        <v>28865</v>
      </c>
      <c r="BC12" s="110" t="n">
        <v>18480</v>
      </c>
      <c r="BD12" s="110" t="n">
        <v>10385</v>
      </c>
      <c r="BE12" s="110" t="n">
        <v>7156946.53</v>
      </c>
      <c r="BF12" s="110" t="n">
        <v>5407911.57</v>
      </c>
      <c r="BG12" s="110" t="n">
        <v>5328506.9</v>
      </c>
      <c r="BH12" s="110" t="n">
        <v>79404.67</v>
      </c>
      <c r="BI12" s="110" t="n">
        <v>1749034.96</v>
      </c>
      <c r="BJ12" s="110" t="n">
        <v>1749034.96</v>
      </c>
      <c r="BK12" s="110" t="n">
        <v>0</v>
      </c>
      <c r="BL12" s="110" t="n">
        <v>1092321.73</v>
      </c>
      <c r="BM12" s="110" t="n">
        <v>808020.62</v>
      </c>
      <c r="BN12" s="110" t="n">
        <v>798389.59</v>
      </c>
      <c r="BO12" s="110" t="n">
        <v>9631.030000000001</v>
      </c>
      <c r="BP12" s="110" t="n">
        <v>284301.11</v>
      </c>
      <c r="BQ12" s="110" t="n">
        <v>284301.11</v>
      </c>
      <c r="BR12" s="110" t="n">
        <v>0</v>
      </c>
      <c r="BS12" s="110" t="n">
        <v>2693339.55</v>
      </c>
      <c r="BT12" s="110" t="n">
        <v>2037978.45</v>
      </c>
      <c r="BU12" s="110" t="n">
        <v>2007764.81</v>
      </c>
      <c r="BV12" s="110" t="n">
        <v>30213.64</v>
      </c>
      <c r="BW12" s="110" t="n">
        <v>655361.1</v>
      </c>
      <c r="BX12" s="110" t="n">
        <v>655361.1</v>
      </c>
      <c r="BY12" s="110" t="n">
        <v>0</v>
      </c>
      <c r="BZ12" s="110" t="n">
        <v>1126147</v>
      </c>
      <c r="CA12" s="110" t="n">
        <v>827296</v>
      </c>
      <c r="CB12" s="110" t="n">
        <v>811677</v>
      </c>
      <c r="CC12" s="110" t="n">
        <v>15619</v>
      </c>
      <c r="CD12" s="110" t="n">
        <v>298851</v>
      </c>
      <c r="CE12" s="110" t="n">
        <v>298851</v>
      </c>
      <c r="CF12" s="110" t="n">
        <v>0</v>
      </c>
      <c r="CG12" s="110" t="n">
        <v>2245138.25</v>
      </c>
      <c r="CH12" s="110" t="n">
        <v>1734616.5</v>
      </c>
      <c r="CI12" s="110" t="n">
        <v>1710675.5</v>
      </c>
      <c r="CJ12" s="110" t="n">
        <v>23941</v>
      </c>
      <c r="CK12" s="110" t="n">
        <v>510521.75</v>
      </c>
      <c r="CL12" s="110" t="n">
        <v>510521.75</v>
      </c>
      <c r="CM12" s="110" t="n">
        <v>0</v>
      </c>
      <c r="CN12" s="110" t="n">
        <v>568765.66</v>
      </c>
      <c r="CO12" s="110" t="n">
        <v>219173.34</v>
      </c>
      <c r="CP12" s="110" t="n">
        <v>341211.19</v>
      </c>
      <c r="CQ12" s="110" t="n">
        <v>89852.53</v>
      </c>
      <c r="CR12" s="110" t="n">
        <v>8713.110000000001</v>
      </c>
      <c r="CS12" s="110" t="n">
        <v>0</v>
      </c>
      <c r="CT12" s="110" t="n">
        <v>9463.52</v>
      </c>
      <c r="CU12" s="110" t="n">
        <v>0</v>
      </c>
      <c r="CV12" s="111" t="n">
        <v>3530</v>
      </c>
      <c r="CW12" s="111" t="n">
        <v>2929</v>
      </c>
      <c r="CX12" s="111" t="n">
        <v>2742</v>
      </c>
      <c r="CY12" s="111" t="n">
        <v>187</v>
      </c>
      <c r="CZ12" s="111" t="n">
        <v>601</v>
      </c>
      <c r="DA12" s="111" t="n">
        <v>375</v>
      </c>
      <c r="DB12" s="111" t="n">
        <v>226</v>
      </c>
      <c r="DC12" s="111" t="n">
        <v>1210</v>
      </c>
      <c r="DD12" s="111" t="n">
        <v>0</v>
      </c>
      <c r="DE12" s="111" t="n">
        <v>1030</v>
      </c>
      <c r="DF12" s="111" t="n">
        <v>957</v>
      </c>
      <c r="DG12" s="111" t="n">
        <v>73</v>
      </c>
      <c r="DH12" s="111" t="n">
        <v>180</v>
      </c>
      <c r="DI12" s="111" t="n">
        <v>112</v>
      </c>
      <c r="DJ12" s="111" t="n">
        <v>68</v>
      </c>
      <c r="DK12" s="111" t="n">
        <v>1085</v>
      </c>
      <c r="DL12" s="111" t="n">
        <v>884</v>
      </c>
      <c r="DM12" s="111" t="n">
        <v>834</v>
      </c>
      <c r="DN12" s="111" t="n">
        <v>50</v>
      </c>
      <c r="DO12" s="111" t="n">
        <v>201</v>
      </c>
      <c r="DP12" s="111" t="n">
        <v>118</v>
      </c>
      <c r="DQ12" s="111" t="n">
        <v>83</v>
      </c>
      <c r="DR12" s="111" t="n">
        <v>30</v>
      </c>
      <c r="DS12" s="111" t="n">
        <v>0</v>
      </c>
      <c r="DT12" s="111" t="n">
        <v>20</v>
      </c>
      <c r="DU12" s="111" t="n">
        <v>20</v>
      </c>
      <c r="DV12" s="111" t="n">
        <v>0</v>
      </c>
      <c r="DW12" s="111" t="n">
        <v>10</v>
      </c>
      <c r="DX12" s="111" t="n">
        <v>7</v>
      </c>
      <c r="DY12" s="111" t="n">
        <v>3</v>
      </c>
      <c r="DZ12" s="111" t="n">
        <v>1205</v>
      </c>
      <c r="EA12" s="111" t="n">
        <v>995</v>
      </c>
      <c r="EB12" s="111" t="n">
        <v>931</v>
      </c>
      <c r="EC12" s="111" t="n">
        <v>64</v>
      </c>
      <c r="ED12" s="111" t="n">
        <v>210</v>
      </c>
      <c r="EE12" s="111" t="n">
        <v>138</v>
      </c>
      <c r="EF12" s="111" t="n">
        <v>72</v>
      </c>
      <c r="EG12" s="111" t="n">
        <v>313</v>
      </c>
      <c r="EH12" s="111" t="n">
        <v>244</v>
      </c>
      <c r="EI12" s="111" t="n">
        <v>238</v>
      </c>
      <c r="EJ12" s="111" t="n">
        <v>6</v>
      </c>
      <c r="EK12" s="111" t="n">
        <v>69</v>
      </c>
      <c r="EL12" s="111" t="n">
        <v>69</v>
      </c>
      <c r="EM12" s="111" t="n">
        <v>0</v>
      </c>
      <c r="EN12" s="111" t="n">
        <v>282</v>
      </c>
      <c r="EO12" s="111" t="n">
        <v>227</v>
      </c>
      <c r="EP12" s="111" t="n">
        <v>0</v>
      </c>
      <c r="EQ12" s="111" t="n">
        <v>55</v>
      </c>
      <c r="ER12" s="111" t="n">
        <v>151</v>
      </c>
      <c r="ES12" s="111" t="n">
        <v>0</v>
      </c>
      <c r="ET12" s="111" t="n">
        <v>0</v>
      </c>
      <c r="EU12" s="111" t="n">
        <v>102</v>
      </c>
      <c r="EV12" s="111" t="n">
        <v>88</v>
      </c>
      <c r="EW12" s="111" t="n">
        <v>0</v>
      </c>
      <c r="EX12" s="111" t="n">
        <v>14</v>
      </c>
      <c r="EY12" s="111" t="n">
        <v>47</v>
      </c>
      <c r="EZ12" s="111" t="n">
        <v>47</v>
      </c>
      <c r="FA12" s="111" t="n">
        <v>0</v>
      </c>
      <c r="FB12" s="111" t="n">
        <v>138</v>
      </c>
    </row>
    <row r="13" ht="19.5" customHeight="1" s="247">
      <c r="A13" s="107" t="n">
        <v>10</v>
      </c>
      <c r="B13" s="107" t="inlineStr">
        <is>
          <t>成人手术</t>
        </is>
      </c>
      <c r="C13" s="107" t="inlineStr">
        <is>
          <t>神经外科</t>
        </is>
      </c>
      <c r="D13" s="110" t="n">
        <v>3534166</v>
      </c>
      <c r="E13" s="110" t="n">
        <v>265530</v>
      </c>
      <c r="F13" s="110" t="n">
        <v>3268636</v>
      </c>
      <c r="G13" s="110" t="n">
        <v>1270</v>
      </c>
      <c r="H13" s="110" t="n">
        <v>228</v>
      </c>
      <c r="I13" s="110" t="n">
        <v>256</v>
      </c>
      <c r="J13" s="110" t="n">
        <v>0</v>
      </c>
      <c r="K13" s="110" t="n">
        <v>0</v>
      </c>
      <c r="L13" s="110" t="n">
        <v>186303.75</v>
      </c>
      <c r="M13" s="110" t="n">
        <v>1025526.75</v>
      </c>
      <c r="N13" s="110" t="n">
        <v>0</v>
      </c>
      <c r="O13" s="110" t="n">
        <v>16169422.89</v>
      </c>
      <c r="P13" s="110" t="n">
        <v>10419652.01</v>
      </c>
      <c r="Q13" s="110" t="n">
        <v>10126396.19</v>
      </c>
      <c r="R13" s="110" t="n">
        <v>293255.82</v>
      </c>
      <c r="S13" s="110" t="n">
        <v>5749770.88</v>
      </c>
      <c r="T13" s="110" t="n">
        <v>5719633.9</v>
      </c>
      <c r="U13" s="110" t="n">
        <v>30136.98</v>
      </c>
      <c r="V13" s="110" t="n">
        <v>426576.48</v>
      </c>
      <c r="W13" s="110" t="n">
        <v>356480.59</v>
      </c>
      <c r="X13" s="110" t="n">
        <v>318919.62</v>
      </c>
      <c r="Y13" s="110" t="n">
        <v>37560.97</v>
      </c>
      <c r="Z13" s="110" t="n">
        <v>70095.89</v>
      </c>
      <c r="AA13" s="110" t="n">
        <v>39958.91</v>
      </c>
      <c r="AB13" s="110" t="n">
        <v>30136.98</v>
      </c>
      <c r="AC13" s="110" t="n">
        <v>156058.48</v>
      </c>
      <c r="AD13" s="110" t="n">
        <v>134274.59</v>
      </c>
      <c r="AE13" s="110" t="n">
        <v>126587.62</v>
      </c>
      <c r="AF13" s="110" t="n">
        <v>7686.97</v>
      </c>
      <c r="AG13" s="110" t="n">
        <v>21783.89</v>
      </c>
      <c r="AH13" s="110" t="n">
        <v>14101.91</v>
      </c>
      <c r="AI13" s="110" t="n">
        <v>7681.98</v>
      </c>
      <c r="AJ13" s="110" t="n">
        <v>4988</v>
      </c>
      <c r="AK13" s="110" t="n">
        <v>3956</v>
      </c>
      <c r="AL13" s="110" t="n">
        <v>3526</v>
      </c>
      <c r="AM13" s="110" t="n">
        <v>430</v>
      </c>
      <c r="AN13" s="110" t="n">
        <v>1032</v>
      </c>
      <c r="AO13" s="110" t="n">
        <v>473</v>
      </c>
      <c r="AP13" s="110" t="n">
        <v>559</v>
      </c>
      <c r="AQ13" s="110" t="n">
        <v>225344</v>
      </c>
      <c r="AR13" s="110" t="n">
        <v>186559</v>
      </c>
      <c r="AS13" s="110" t="n">
        <v>161004</v>
      </c>
      <c r="AT13" s="110" t="n">
        <v>25555</v>
      </c>
      <c r="AU13" s="110" t="n">
        <v>38785</v>
      </c>
      <c r="AV13" s="110" t="n">
        <v>20284</v>
      </c>
      <c r="AW13" s="110" t="n">
        <v>18501</v>
      </c>
      <c r="AX13" s="110" t="n">
        <v>40186</v>
      </c>
      <c r="AY13" s="110" t="n">
        <v>31691</v>
      </c>
      <c r="AZ13" s="110" t="n">
        <v>27802</v>
      </c>
      <c r="BA13" s="110" t="n">
        <v>3889</v>
      </c>
      <c r="BB13" s="110" t="n">
        <v>8495</v>
      </c>
      <c r="BC13" s="110" t="n">
        <v>5100</v>
      </c>
      <c r="BD13" s="110" t="n">
        <v>3395</v>
      </c>
      <c r="BE13" s="110" t="n">
        <v>15742846.41</v>
      </c>
      <c r="BF13" s="110" t="n">
        <v>10063171.42</v>
      </c>
      <c r="BG13" s="110" t="n">
        <v>9807476.57</v>
      </c>
      <c r="BH13" s="110" t="n">
        <v>255694.85</v>
      </c>
      <c r="BI13" s="110" t="n">
        <v>5679674.99</v>
      </c>
      <c r="BJ13" s="110" t="n">
        <v>5679674.99</v>
      </c>
      <c r="BK13" s="110" t="n">
        <v>0</v>
      </c>
      <c r="BL13" s="110" t="n">
        <v>1222420.31</v>
      </c>
      <c r="BM13" s="110" t="n">
        <v>706439.28</v>
      </c>
      <c r="BN13" s="110" t="n">
        <v>674550.12</v>
      </c>
      <c r="BO13" s="110" t="n">
        <v>31889.16</v>
      </c>
      <c r="BP13" s="110" t="n">
        <v>515981.03</v>
      </c>
      <c r="BQ13" s="110" t="n">
        <v>515981.03</v>
      </c>
      <c r="BR13" s="110" t="n">
        <v>0</v>
      </c>
      <c r="BS13" s="110" t="n">
        <v>11251790.1</v>
      </c>
      <c r="BT13" s="110" t="n">
        <v>7527102.64</v>
      </c>
      <c r="BU13" s="110" t="n">
        <v>7386479.95</v>
      </c>
      <c r="BV13" s="110" t="n">
        <v>140622.69</v>
      </c>
      <c r="BW13" s="110" t="n">
        <v>3724687.46</v>
      </c>
      <c r="BX13" s="110" t="n">
        <v>3724687.46</v>
      </c>
      <c r="BY13" s="110" t="n">
        <v>0</v>
      </c>
      <c r="BZ13" s="110" t="n">
        <v>1261532</v>
      </c>
      <c r="CA13" s="110" t="n">
        <v>723758</v>
      </c>
      <c r="CB13" s="110" t="n">
        <v>689500</v>
      </c>
      <c r="CC13" s="110" t="n">
        <v>34258</v>
      </c>
      <c r="CD13" s="110" t="n">
        <v>537774</v>
      </c>
      <c r="CE13" s="110" t="n">
        <v>537774</v>
      </c>
      <c r="CF13" s="110" t="n">
        <v>0</v>
      </c>
      <c r="CG13" s="110" t="n">
        <v>2007104</v>
      </c>
      <c r="CH13" s="110" t="n">
        <v>1105871.5</v>
      </c>
      <c r="CI13" s="110" t="n">
        <v>1056946.5</v>
      </c>
      <c r="CJ13" s="110" t="n">
        <v>48925</v>
      </c>
      <c r="CK13" s="110" t="n">
        <v>901232.5</v>
      </c>
      <c r="CL13" s="110" t="n">
        <v>901232.5</v>
      </c>
      <c r="CM13" s="110" t="n">
        <v>0</v>
      </c>
      <c r="CN13" s="110" t="n">
        <v>0</v>
      </c>
      <c r="CO13" s="110" t="n">
        <v>277328.64</v>
      </c>
      <c r="CP13" s="110" t="n">
        <v>121933.78</v>
      </c>
      <c r="CQ13" s="110" t="n">
        <v>27314.06</v>
      </c>
      <c r="CR13" s="110" t="n">
        <v>0</v>
      </c>
      <c r="CS13" s="110" t="n">
        <v>0</v>
      </c>
      <c r="CT13" s="110" t="n">
        <v>22427.06</v>
      </c>
      <c r="CU13" s="110" t="n">
        <v>0</v>
      </c>
      <c r="CV13" s="111" t="n">
        <v>1270</v>
      </c>
      <c r="CW13" s="111" t="n">
        <v>1019</v>
      </c>
      <c r="CX13" s="111" t="n">
        <v>897</v>
      </c>
      <c r="CY13" s="111" t="n">
        <v>122</v>
      </c>
      <c r="CZ13" s="111" t="n">
        <v>251</v>
      </c>
      <c r="DA13" s="111" t="n">
        <v>151</v>
      </c>
      <c r="DB13" s="111" t="n">
        <v>100</v>
      </c>
      <c r="DC13" s="111" t="n">
        <v>906</v>
      </c>
      <c r="DD13" s="111" t="n">
        <v>0</v>
      </c>
      <c r="DE13" s="111" t="n">
        <v>743</v>
      </c>
      <c r="DF13" s="111" t="n">
        <v>654</v>
      </c>
      <c r="DG13" s="111" t="n">
        <v>89</v>
      </c>
      <c r="DH13" s="111" t="n">
        <v>163</v>
      </c>
      <c r="DI13" s="111" t="n">
        <v>94</v>
      </c>
      <c r="DJ13" s="111" t="n">
        <v>69</v>
      </c>
      <c r="DK13" s="111" t="n">
        <v>364</v>
      </c>
      <c r="DL13" s="111" t="n">
        <v>276</v>
      </c>
      <c r="DM13" s="111" t="n">
        <v>243</v>
      </c>
      <c r="DN13" s="111" t="n">
        <v>33</v>
      </c>
      <c r="DO13" s="111" t="n">
        <v>88</v>
      </c>
      <c r="DP13" s="111" t="n">
        <v>57</v>
      </c>
      <c r="DQ13" s="111" t="n">
        <v>31</v>
      </c>
      <c r="DR13" s="111" t="n">
        <v>0</v>
      </c>
      <c r="DS13" s="111" t="n">
        <v>0</v>
      </c>
      <c r="DT13" s="111" t="n">
        <v>0</v>
      </c>
      <c r="DU13" s="111" t="n">
        <v>0</v>
      </c>
      <c r="DV13" s="111" t="n">
        <v>0</v>
      </c>
      <c r="DW13" s="111" t="n">
        <v>0</v>
      </c>
      <c r="DX13" s="111" t="n">
        <v>0</v>
      </c>
      <c r="DY13" s="111" t="n">
        <v>0</v>
      </c>
      <c r="DZ13" s="111" t="n">
        <v>0</v>
      </c>
      <c r="EA13" s="111" t="n">
        <v>0</v>
      </c>
      <c r="EB13" s="111" t="n">
        <v>0</v>
      </c>
      <c r="EC13" s="111" t="n">
        <v>0</v>
      </c>
      <c r="ED13" s="111" t="n">
        <v>0</v>
      </c>
      <c r="EE13" s="111" t="n">
        <v>0</v>
      </c>
      <c r="EF13" s="111" t="n">
        <v>0</v>
      </c>
      <c r="EG13" s="111" t="n">
        <v>228</v>
      </c>
      <c r="EH13" s="111" t="n">
        <v>147</v>
      </c>
      <c r="EI13" s="111" t="n">
        <v>139</v>
      </c>
      <c r="EJ13" s="111" t="n">
        <v>8</v>
      </c>
      <c r="EK13" s="111" t="n">
        <v>81</v>
      </c>
      <c r="EL13" s="111" t="n">
        <v>81</v>
      </c>
      <c r="EM13" s="111" t="n">
        <v>0</v>
      </c>
      <c r="EN13" s="111" t="n">
        <v>197</v>
      </c>
      <c r="EO13" s="111" t="n">
        <v>66</v>
      </c>
      <c r="EP13" s="111" t="n">
        <v>86</v>
      </c>
      <c r="EQ13" s="111" t="n">
        <v>45</v>
      </c>
      <c r="ER13" s="111" t="n">
        <v>30</v>
      </c>
      <c r="ES13" s="111" t="n">
        <v>0</v>
      </c>
      <c r="ET13" s="111" t="n">
        <v>0</v>
      </c>
      <c r="EU13" s="111" t="n">
        <v>16</v>
      </c>
      <c r="EV13" s="111" t="n">
        <v>12</v>
      </c>
      <c r="EW13" s="111" t="n">
        <v>3</v>
      </c>
      <c r="EX13" s="111" t="n">
        <v>1</v>
      </c>
      <c r="EY13" s="111" t="n">
        <v>121</v>
      </c>
      <c r="EZ13" s="111" t="n">
        <v>38</v>
      </c>
      <c r="FA13" s="111" t="n">
        <v>83</v>
      </c>
      <c r="FB13" s="111" t="n">
        <v>84</v>
      </c>
    </row>
    <row r="14" ht="19.5" customHeight="1" s="247">
      <c r="A14" s="107" t="n">
        <v>11</v>
      </c>
      <c r="B14" s="107" t="inlineStr">
        <is>
          <t>成人手术</t>
        </is>
      </c>
      <c r="C14" s="107" t="inlineStr">
        <is>
          <t>骨科</t>
        </is>
      </c>
      <c r="D14" s="110" t="n">
        <v>5884594</v>
      </c>
      <c r="E14" s="110" t="n">
        <v>1483465</v>
      </c>
      <c r="F14" s="110" t="n">
        <v>4401129</v>
      </c>
      <c r="G14" s="110" t="n">
        <v>7534</v>
      </c>
      <c r="H14" s="110" t="n">
        <v>364</v>
      </c>
      <c r="I14" s="110" t="n">
        <v>47351</v>
      </c>
      <c r="J14" s="110" t="n">
        <v>17555</v>
      </c>
      <c r="K14" s="110" t="n">
        <v>0</v>
      </c>
      <c r="L14" s="110" t="n">
        <v>324702.75</v>
      </c>
      <c r="M14" s="110" t="n">
        <v>2144705.25</v>
      </c>
      <c r="N14" s="110" t="n">
        <v>0</v>
      </c>
      <c r="O14" s="110" t="n">
        <v>16917633.47</v>
      </c>
      <c r="P14" s="110" t="n">
        <v>13487880.71</v>
      </c>
      <c r="Q14" s="110" t="n">
        <v>9984307.890000001</v>
      </c>
      <c r="R14" s="110" t="n">
        <v>3503572.82</v>
      </c>
      <c r="S14" s="110" t="n">
        <v>3429752.76</v>
      </c>
      <c r="T14" s="110" t="n">
        <v>3127080.22</v>
      </c>
      <c r="U14" s="110" t="n">
        <v>302672.54</v>
      </c>
      <c r="V14" s="110" t="n">
        <v>2859226.87</v>
      </c>
      <c r="W14" s="110" t="n">
        <v>2407706.94</v>
      </c>
      <c r="X14" s="110" t="n">
        <v>1685237.82</v>
      </c>
      <c r="Y14" s="110" t="n">
        <v>722469.12</v>
      </c>
      <c r="Z14" s="110" t="n">
        <v>451519.93</v>
      </c>
      <c r="AA14" s="110" t="n">
        <v>194296.53</v>
      </c>
      <c r="AB14" s="110" t="n">
        <v>257223.4</v>
      </c>
      <c r="AC14" s="110" t="n">
        <v>763448.72</v>
      </c>
      <c r="AD14" s="110" t="n">
        <v>642372.5</v>
      </c>
      <c r="AE14" s="110" t="n">
        <v>484505.01</v>
      </c>
      <c r="AF14" s="110" t="n">
        <v>157867.49</v>
      </c>
      <c r="AG14" s="110" t="n">
        <v>121076.22</v>
      </c>
      <c r="AH14" s="110" t="n">
        <v>51557.94</v>
      </c>
      <c r="AI14" s="110" t="n">
        <v>69518.28</v>
      </c>
      <c r="AJ14" s="110" t="n">
        <v>612313.15</v>
      </c>
      <c r="AK14" s="110" t="n">
        <v>530128.9399999999</v>
      </c>
      <c r="AL14" s="110" t="n">
        <v>294864.81</v>
      </c>
      <c r="AM14" s="110" t="n">
        <v>235264.13</v>
      </c>
      <c r="AN14" s="110" t="n">
        <v>82184.21000000001</v>
      </c>
      <c r="AO14" s="110" t="n">
        <v>29609.59</v>
      </c>
      <c r="AP14" s="110" t="n">
        <v>52574.62</v>
      </c>
      <c r="AQ14" s="110" t="n">
        <v>1159950</v>
      </c>
      <c r="AR14" s="110" t="n">
        <v>967501</v>
      </c>
      <c r="AS14" s="110" t="n">
        <v>705787</v>
      </c>
      <c r="AT14" s="110" t="n">
        <v>261714</v>
      </c>
      <c r="AU14" s="110" t="n">
        <v>192449</v>
      </c>
      <c r="AV14" s="110" t="n">
        <v>86945</v>
      </c>
      <c r="AW14" s="110" t="n">
        <v>105504</v>
      </c>
      <c r="AX14" s="110" t="n">
        <v>323515</v>
      </c>
      <c r="AY14" s="110" t="n">
        <v>267704.5</v>
      </c>
      <c r="AZ14" s="110" t="n">
        <v>200081</v>
      </c>
      <c r="BA14" s="110" t="n">
        <v>67623.5</v>
      </c>
      <c r="BB14" s="110" t="n">
        <v>55810.5</v>
      </c>
      <c r="BC14" s="110" t="n">
        <v>26184</v>
      </c>
      <c r="BD14" s="110" t="n">
        <v>29626.5</v>
      </c>
      <c r="BE14" s="110" t="n">
        <v>14058406.6</v>
      </c>
      <c r="BF14" s="110" t="n">
        <v>11080173.77</v>
      </c>
      <c r="BG14" s="110" t="n">
        <v>8299070.07</v>
      </c>
      <c r="BH14" s="110" t="n">
        <v>2781103.7</v>
      </c>
      <c r="BI14" s="110" t="n">
        <v>2978232.83</v>
      </c>
      <c r="BJ14" s="110" t="n">
        <v>2932783.69</v>
      </c>
      <c r="BK14" s="110" t="n">
        <v>45449.14</v>
      </c>
      <c r="BL14" s="110" t="n">
        <v>1081542.17</v>
      </c>
      <c r="BM14" s="110" t="n">
        <v>847124.22</v>
      </c>
      <c r="BN14" s="110" t="n">
        <v>626657.51</v>
      </c>
      <c r="BO14" s="110" t="n">
        <v>220466.71</v>
      </c>
      <c r="BP14" s="110" t="n">
        <v>234417.95</v>
      </c>
      <c r="BQ14" s="110" t="n">
        <v>229429.56</v>
      </c>
      <c r="BR14" s="110" t="n">
        <v>4988.39</v>
      </c>
      <c r="BS14" s="110" t="n">
        <v>8575735.43</v>
      </c>
      <c r="BT14" s="110" t="n">
        <v>6784714.05</v>
      </c>
      <c r="BU14" s="110" t="n">
        <v>4994748.56</v>
      </c>
      <c r="BV14" s="110" t="n">
        <v>1789965.49</v>
      </c>
      <c r="BW14" s="110" t="n">
        <v>1791021.38</v>
      </c>
      <c r="BX14" s="110" t="n">
        <v>1765519.63</v>
      </c>
      <c r="BY14" s="110" t="n">
        <v>25501.75</v>
      </c>
      <c r="BZ14" s="110" t="n">
        <v>899895</v>
      </c>
      <c r="CA14" s="110" t="n">
        <v>703113</v>
      </c>
      <c r="CB14" s="110" t="n">
        <v>554396</v>
      </c>
      <c r="CC14" s="110" t="n">
        <v>148717</v>
      </c>
      <c r="CD14" s="110" t="n">
        <v>196782</v>
      </c>
      <c r="CE14" s="110" t="n">
        <v>194433</v>
      </c>
      <c r="CF14" s="110" t="n">
        <v>2349</v>
      </c>
      <c r="CG14" s="110" t="n">
        <v>3501234</v>
      </c>
      <c r="CH14" s="110" t="n">
        <v>2745222.5</v>
      </c>
      <c r="CI14" s="110" t="n">
        <v>2123268</v>
      </c>
      <c r="CJ14" s="110" t="n">
        <v>621954.5</v>
      </c>
      <c r="CK14" s="110" t="n">
        <v>756011.5</v>
      </c>
      <c r="CL14" s="110" t="n">
        <v>743401.5</v>
      </c>
      <c r="CM14" s="110" t="n">
        <v>12610</v>
      </c>
      <c r="CN14" s="110" t="n">
        <v>1311112.04</v>
      </c>
      <c r="CO14" s="110" t="n">
        <v>781300.8199999999</v>
      </c>
      <c r="CP14" s="110" t="n">
        <v>737574.41</v>
      </c>
      <c r="CQ14" s="110" t="n">
        <v>0</v>
      </c>
      <c r="CR14" s="110" t="n">
        <v>29239.6</v>
      </c>
      <c r="CS14" s="110" t="n">
        <v>0</v>
      </c>
      <c r="CT14" s="110" t="n">
        <v>0</v>
      </c>
      <c r="CU14" s="110" t="n">
        <v>0</v>
      </c>
      <c r="CV14" s="111" t="n">
        <v>7534</v>
      </c>
      <c r="CW14" s="111" t="n">
        <v>6247</v>
      </c>
      <c r="CX14" s="111" t="n">
        <v>4835</v>
      </c>
      <c r="CY14" s="111" t="n">
        <v>1412</v>
      </c>
      <c r="CZ14" s="111" t="n">
        <v>1287</v>
      </c>
      <c r="DA14" s="111" t="n">
        <v>594</v>
      </c>
      <c r="DB14" s="111" t="n">
        <v>693</v>
      </c>
      <c r="DC14" s="111" t="n">
        <v>2889</v>
      </c>
      <c r="DD14" s="111" t="n">
        <v>0</v>
      </c>
      <c r="DE14" s="111" t="n">
        <v>2408</v>
      </c>
      <c r="DF14" s="111" t="n">
        <v>1982</v>
      </c>
      <c r="DG14" s="111" t="n">
        <v>426</v>
      </c>
      <c r="DH14" s="111" t="n">
        <v>481</v>
      </c>
      <c r="DI14" s="111" t="n">
        <v>220</v>
      </c>
      <c r="DJ14" s="111" t="n">
        <v>261</v>
      </c>
      <c r="DK14" s="111" t="n">
        <v>2780</v>
      </c>
      <c r="DL14" s="111" t="n">
        <v>2323</v>
      </c>
      <c r="DM14" s="111" t="n">
        <v>1932</v>
      </c>
      <c r="DN14" s="111" t="n">
        <v>391</v>
      </c>
      <c r="DO14" s="111" t="n">
        <v>457</v>
      </c>
      <c r="DP14" s="111" t="n">
        <v>246</v>
      </c>
      <c r="DQ14" s="111" t="n">
        <v>211</v>
      </c>
      <c r="DR14" s="111" t="n">
        <v>69</v>
      </c>
      <c r="DS14" s="111" t="n">
        <v>0</v>
      </c>
      <c r="DT14" s="111" t="n">
        <v>55</v>
      </c>
      <c r="DU14" s="111" t="n">
        <v>44</v>
      </c>
      <c r="DV14" s="111" t="n">
        <v>11</v>
      </c>
      <c r="DW14" s="111" t="n">
        <v>14</v>
      </c>
      <c r="DX14" s="111" t="n">
        <v>9</v>
      </c>
      <c r="DY14" s="111" t="n">
        <v>5</v>
      </c>
      <c r="DZ14" s="111" t="n">
        <v>1796</v>
      </c>
      <c r="EA14" s="111" t="n">
        <v>1461</v>
      </c>
      <c r="EB14" s="111" t="n">
        <v>877</v>
      </c>
      <c r="EC14" s="111" t="n">
        <v>584</v>
      </c>
      <c r="ED14" s="111" t="n">
        <v>335</v>
      </c>
      <c r="EE14" s="111" t="n">
        <v>119</v>
      </c>
      <c r="EF14" s="111" t="n">
        <v>216</v>
      </c>
      <c r="EG14" s="111" t="n">
        <v>364</v>
      </c>
      <c r="EH14" s="111" t="n">
        <v>288</v>
      </c>
      <c r="EI14" s="111" t="n">
        <v>220</v>
      </c>
      <c r="EJ14" s="111" t="n">
        <v>68</v>
      </c>
      <c r="EK14" s="111" t="n">
        <v>76</v>
      </c>
      <c r="EL14" s="111" t="n">
        <v>73</v>
      </c>
      <c r="EM14" s="111" t="n">
        <v>3</v>
      </c>
      <c r="EN14" s="111" t="n">
        <v>330</v>
      </c>
      <c r="EO14" s="111" t="n">
        <v>324</v>
      </c>
      <c r="EP14" s="111" t="n">
        <v>0</v>
      </c>
      <c r="EQ14" s="111" t="n">
        <v>6</v>
      </c>
      <c r="ER14" s="111" t="n">
        <v>109</v>
      </c>
      <c r="ES14" s="111" t="n">
        <v>0</v>
      </c>
      <c r="ET14" s="111" t="n">
        <v>0</v>
      </c>
      <c r="EU14" s="111" t="n">
        <v>125</v>
      </c>
      <c r="EV14" s="111" t="n">
        <v>125</v>
      </c>
      <c r="EW14" s="111" t="n">
        <v>0</v>
      </c>
      <c r="EX14" s="111" t="n">
        <v>0</v>
      </c>
      <c r="EY14" s="111" t="n">
        <v>75</v>
      </c>
      <c r="EZ14" s="111" t="n">
        <v>75</v>
      </c>
      <c r="FA14" s="111" t="n">
        <v>0</v>
      </c>
      <c r="FB14" s="111" t="n">
        <v>139</v>
      </c>
    </row>
    <row r="15" ht="19.5" customHeight="1" s="247">
      <c r="A15" s="107" t="n">
        <v>12</v>
      </c>
      <c r="B15" s="107" t="inlineStr">
        <is>
          <t>成人手术</t>
        </is>
      </c>
      <c r="C15" s="107" t="inlineStr">
        <is>
          <t>泌尿外科</t>
        </is>
      </c>
      <c r="D15" s="110" t="n">
        <v>3599639</v>
      </c>
      <c r="E15" s="110" t="n">
        <v>604335</v>
      </c>
      <c r="F15" s="110" t="n">
        <v>2995304</v>
      </c>
      <c r="G15" s="110" t="n">
        <v>3265</v>
      </c>
      <c r="H15" s="110" t="n">
        <v>314</v>
      </c>
      <c r="I15" s="110" t="n">
        <v>49174</v>
      </c>
      <c r="J15" s="110" t="n">
        <v>4852</v>
      </c>
      <c r="K15" s="110" t="n">
        <v>0</v>
      </c>
      <c r="L15" s="110" t="n">
        <v>712941.75</v>
      </c>
      <c r="M15" s="110" t="n">
        <v>668764.25</v>
      </c>
      <c r="N15" s="110" t="n">
        <v>112.5</v>
      </c>
      <c r="O15" s="110" t="n">
        <v>6101226.07</v>
      </c>
      <c r="P15" s="110" t="n">
        <v>4893541.8</v>
      </c>
      <c r="Q15" s="110" t="n">
        <v>4770222.42</v>
      </c>
      <c r="R15" s="110" t="n">
        <v>123319.38</v>
      </c>
      <c r="S15" s="110" t="n">
        <v>1207684.27</v>
      </c>
      <c r="T15" s="110" t="n">
        <v>1138913.58</v>
      </c>
      <c r="U15" s="110" t="n">
        <v>68770.69</v>
      </c>
      <c r="V15" s="110" t="n">
        <v>1333965.04</v>
      </c>
      <c r="W15" s="110" t="n">
        <v>1111916.09</v>
      </c>
      <c r="X15" s="110" t="n">
        <v>1062039.08</v>
      </c>
      <c r="Y15" s="110" t="n">
        <v>49877.01</v>
      </c>
      <c r="Z15" s="110" t="n">
        <v>222048.95</v>
      </c>
      <c r="AA15" s="110" t="n">
        <v>165084.4</v>
      </c>
      <c r="AB15" s="110" t="n">
        <v>56964.55</v>
      </c>
      <c r="AC15" s="110" t="n">
        <v>629696.42</v>
      </c>
      <c r="AD15" s="110" t="n">
        <v>533991.11</v>
      </c>
      <c r="AE15" s="110" t="n">
        <v>521074.71</v>
      </c>
      <c r="AF15" s="110" t="n">
        <v>12916.4</v>
      </c>
      <c r="AG15" s="110" t="n">
        <v>95705.31</v>
      </c>
      <c r="AH15" s="110" t="n">
        <v>80478.07000000001</v>
      </c>
      <c r="AI15" s="110" t="n">
        <v>15227.24</v>
      </c>
      <c r="AJ15" s="110" t="n">
        <v>99933.62</v>
      </c>
      <c r="AK15" s="110" t="n">
        <v>79754.98</v>
      </c>
      <c r="AL15" s="110" t="n">
        <v>74217.37</v>
      </c>
      <c r="AM15" s="110" t="n">
        <v>5537.61</v>
      </c>
      <c r="AN15" s="110" t="n">
        <v>20178.64</v>
      </c>
      <c r="AO15" s="110" t="n">
        <v>15177.33</v>
      </c>
      <c r="AP15" s="110" t="n">
        <v>5001.31</v>
      </c>
      <c r="AQ15" s="110" t="n">
        <v>438793</v>
      </c>
      <c r="AR15" s="110" t="n">
        <v>360848</v>
      </c>
      <c r="AS15" s="110" t="n">
        <v>338491</v>
      </c>
      <c r="AT15" s="110" t="n">
        <v>22357</v>
      </c>
      <c r="AU15" s="110" t="n">
        <v>77945</v>
      </c>
      <c r="AV15" s="110" t="n">
        <v>50063</v>
      </c>
      <c r="AW15" s="110" t="n">
        <v>27882</v>
      </c>
      <c r="AX15" s="110" t="n">
        <v>165542</v>
      </c>
      <c r="AY15" s="110" t="n">
        <v>137322</v>
      </c>
      <c r="AZ15" s="110" t="n">
        <v>128256</v>
      </c>
      <c r="BA15" s="110" t="n">
        <v>9066</v>
      </c>
      <c r="BB15" s="110" t="n">
        <v>28220</v>
      </c>
      <c r="BC15" s="110" t="n">
        <v>19366</v>
      </c>
      <c r="BD15" s="110" t="n">
        <v>8854</v>
      </c>
      <c r="BE15" s="110" t="n">
        <v>4767261.03</v>
      </c>
      <c r="BF15" s="110" t="n">
        <v>3781625.71</v>
      </c>
      <c r="BG15" s="110" t="n">
        <v>3708183.34</v>
      </c>
      <c r="BH15" s="110" t="n">
        <v>73442.37</v>
      </c>
      <c r="BI15" s="110" t="n">
        <v>985635.3199999999</v>
      </c>
      <c r="BJ15" s="110" t="n">
        <v>973829.1800000001</v>
      </c>
      <c r="BK15" s="110" t="n">
        <v>11806.14</v>
      </c>
      <c r="BL15" s="110" t="n">
        <v>545557.95</v>
      </c>
      <c r="BM15" s="110" t="n">
        <v>427398.8</v>
      </c>
      <c r="BN15" s="110" t="n">
        <v>421286.86</v>
      </c>
      <c r="BO15" s="110" t="n">
        <v>6111.94</v>
      </c>
      <c r="BP15" s="110" t="n">
        <v>118159.15</v>
      </c>
      <c r="BQ15" s="110" t="n">
        <v>117302.51</v>
      </c>
      <c r="BR15" s="110" t="n">
        <v>856.64</v>
      </c>
      <c r="BS15" s="110" t="n">
        <v>1226399.08</v>
      </c>
      <c r="BT15" s="110" t="n">
        <v>964333.16</v>
      </c>
      <c r="BU15" s="110" t="n">
        <v>948760.23</v>
      </c>
      <c r="BV15" s="110" t="n">
        <v>15572.93</v>
      </c>
      <c r="BW15" s="110" t="n">
        <v>262065.92</v>
      </c>
      <c r="BX15" s="110" t="n">
        <v>261504.92</v>
      </c>
      <c r="BY15" s="110" t="n">
        <v>561</v>
      </c>
      <c r="BZ15" s="110" t="n">
        <v>999858</v>
      </c>
      <c r="CA15" s="110" t="n">
        <v>796725</v>
      </c>
      <c r="CB15" s="110" t="n">
        <v>790728</v>
      </c>
      <c r="CC15" s="110" t="n">
        <v>5997</v>
      </c>
      <c r="CD15" s="110" t="n">
        <v>203133</v>
      </c>
      <c r="CE15" s="110" t="n">
        <v>203133</v>
      </c>
      <c r="CF15" s="110" t="n">
        <v>0</v>
      </c>
      <c r="CG15" s="110" t="n">
        <v>1995446</v>
      </c>
      <c r="CH15" s="110" t="n">
        <v>1593168.75</v>
      </c>
      <c r="CI15" s="110" t="n">
        <v>1547408.25</v>
      </c>
      <c r="CJ15" s="110" t="n">
        <v>45760.5</v>
      </c>
      <c r="CK15" s="110" t="n">
        <v>402277.25</v>
      </c>
      <c r="CL15" s="110" t="n">
        <v>391888.75</v>
      </c>
      <c r="CM15" s="110" t="n">
        <v>10388.5</v>
      </c>
      <c r="CN15" s="110" t="n">
        <v>198565.33</v>
      </c>
      <c r="CO15" s="110" t="n">
        <v>464544.47</v>
      </c>
      <c r="CP15" s="110" t="n">
        <v>664152.36</v>
      </c>
      <c r="CQ15" s="110" t="n">
        <v>0</v>
      </c>
      <c r="CR15" s="110" t="n">
        <v>6702.88</v>
      </c>
      <c r="CS15" s="110" t="n">
        <v>0</v>
      </c>
      <c r="CT15" s="110" t="n">
        <v>51750.47</v>
      </c>
      <c r="CU15" s="110" t="n">
        <v>0</v>
      </c>
      <c r="CV15" s="111" t="n">
        <v>3265</v>
      </c>
      <c r="CW15" s="111" t="n">
        <v>2757</v>
      </c>
      <c r="CX15" s="111" t="n">
        <v>2584</v>
      </c>
      <c r="CY15" s="111" t="n">
        <v>173</v>
      </c>
      <c r="CZ15" s="111" t="n">
        <v>508</v>
      </c>
      <c r="DA15" s="111" t="n">
        <v>333</v>
      </c>
      <c r="DB15" s="111" t="n">
        <v>175</v>
      </c>
      <c r="DC15" s="111" t="n">
        <v>1519</v>
      </c>
      <c r="DD15" s="111" t="n">
        <v>0</v>
      </c>
      <c r="DE15" s="111" t="n">
        <v>1296</v>
      </c>
      <c r="DF15" s="111" t="n">
        <v>1213</v>
      </c>
      <c r="DG15" s="111" t="n">
        <v>83</v>
      </c>
      <c r="DH15" s="111" t="n">
        <v>223</v>
      </c>
      <c r="DI15" s="111" t="n">
        <v>146</v>
      </c>
      <c r="DJ15" s="111" t="n">
        <v>77</v>
      </c>
      <c r="DK15" s="111" t="n">
        <v>1182</v>
      </c>
      <c r="DL15" s="111" t="n">
        <v>1001</v>
      </c>
      <c r="DM15" s="111" t="n">
        <v>953</v>
      </c>
      <c r="DN15" s="111" t="n">
        <v>48</v>
      </c>
      <c r="DO15" s="111" t="n">
        <v>181</v>
      </c>
      <c r="DP15" s="111" t="n">
        <v>124</v>
      </c>
      <c r="DQ15" s="111" t="n">
        <v>57</v>
      </c>
      <c r="DR15" s="111" t="n">
        <v>11</v>
      </c>
      <c r="DS15" s="111" t="n">
        <v>0</v>
      </c>
      <c r="DT15" s="111" t="n">
        <v>7</v>
      </c>
      <c r="DU15" s="111" t="n">
        <v>6</v>
      </c>
      <c r="DV15" s="111" t="n">
        <v>1</v>
      </c>
      <c r="DW15" s="111" t="n">
        <v>4</v>
      </c>
      <c r="DX15" s="111" t="n">
        <v>3</v>
      </c>
      <c r="DY15" s="111" t="n">
        <v>1</v>
      </c>
      <c r="DZ15" s="111" t="n">
        <v>553</v>
      </c>
      <c r="EA15" s="111" t="n">
        <v>453</v>
      </c>
      <c r="EB15" s="111" t="n">
        <v>412</v>
      </c>
      <c r="EC15" s="111" t="n">
        <v>41</v>
      </c>
      <c r="ED15" s="111" t="n">
        <v>100</v>
      </c>
      <c r="EE15" s="111" t="n">
        <v>60</v>
      </c>
      <c r="EF15" s="111" t="n">
        <v>40</v>
      </c>
      <c r="EG15" s="111" t="n">
        <v>314</v>
      </c>
      <c r="EH15" s="111" t="n">
        <v>251</v>
      </c>
      <c r="EI15" s="111" t="n">
        <v>244</v>
      </c>
      <c r="EJ15" s="111" t="n">
        <v>7</v>
      </c>
      <c r="EK15" s="111" t="n">
        <v>63</v>
      </c>
      <c r="EL15" s="111" t="n">
        <v>62</v>
      </c>
      <c r="EM15" s="111" t="n">
        <v>1</v>
      </c>
      <c r="EN15" s="111" t="n">
        <v>291</v>
      </c>
      <c r="EO15" s="111" t="n">
        <v>217</v>
      </c>
      <c r="EP15" s="111" t="n">
        <v>0</v>
      </c>
      <c r="EQ15" s="111" t="n">
        <v>74</v>
      </c>
      <c r="ER15" s="111" t="n">
        <v>35</v>
      </c>
      <c r="ES15" s="111" t="n">
        <v>0</v>
      </c>
      <c r="ET15" s="111" t="n">
        <v>0</v>
      </c>
      <c r="EU15" s="111" t="n">
        <v>148</v>
      </c>
      <c r="EV15" s="111" t="n">
        <v>148</v>
      </c>
      <c r="EW15" s="111" t="n">
        <v>0</v>
      </c>
      <c r="EX15" s="111" t="n">
        <v>0</v>
      </c>
      <c r="EY15" s="111" t="n">
        <v>45</v>
      </c>
      <c r="EZ15" s="111" t="n">
        <v>45</v>
      </c>
      <c r="FA15" s="111" t="n">
        <v>0</v>
      </c>
      <c r="FB15" s="111" t="n">
        <v>96</v>
      </c>
    </row>
    <row r="16" ht="19.5" customHeight="1" s="247">
      <c r="A16" s="107" t="n">
        <v>13</v>
      </c>
      <c r="B16" s="107" t="inlineStr">
        <is>
          <t>成人手术</t>
        </is>
      </c>
      <c r="C16" s="107" t="inlineStr">
        <is>
          <t>心胸外科</t>
        </is>
      </c>
      <c r="D16" s="110" t="n">
        <v>1347286</v>
      </c>
      <c r="E16" s="110" t="n">
        <v>214497</v>
      </c>
      <c r="F16" s="110" t="n">
        <v>1132789</v>
      </c>
      <c r="G16" s="110" t="n">
        <v>814</v>
      </c>
      <c r="H16" s="110" t="n">
        <v>64</v>
      </c>
      <c r="I16" s="110" t="n">
        <v>222</v>
      </c>
      <c r="J16" s="110" t="n">
        <v>0</v>
      </c>
      <c r="K16" s="110" t="n">
        <v>0</v>
      </c>
      <c r="L16" s="110" t="n">
        <v>69364.25</v>
      </c>
      <c r="M16" s="110" t="n">
        <v>261875.25</v>
      </c>
      <c r="N16" s="110" t="n">
        <v>0</v>
      </c>
      <c r="O16" s="110" t="n">
        <v>2731114.09</v>
      </c>
      <c r="P16" s="110" t="n">
        <v>2089590.01</v>
      </c>
      <c r="Q16" s="110" t="n">
        <v>1842377.07</v>
      </c>
      <c r="R16" s="110" t="n">
        <v>247212.94</v>
      </c>
      <c r="S16" s="110" t="n">
        <v>641524.08</v>
      </c>
      <c r="T16" s="110" t="n">
        <v>630142.26</v>
      </c>
      <c r="U16" s="110" t="n">
        <v>11381.82</v>
      </c>
      <c r="V16" s="110" t="n">
        <v>261412.89</v>
      </c>
      <c r="W16" s="110" t="n">
        <v>223606.38</v>
      </c>
      <c r="X16" s="110" t="n">
        <v>191418.4</v>
      </c>
      <c r="Y16" s="110" t="n">
        <v>32187.98</v>
      </c>
      <c r="Z16" s="110" t="n">
        <v>37806.51</v>
      </c>
      <c r="AA16" s="110" t="n">
        <v>26424.69</v>
      </c>
      <c r="AB16" s="110" t="n">
        <v>11381.82</v>
      </c>
      <c r="AC16" s="110" t="n">
        <v>46156.89</v>
      </c>
      <c r="AD16" s="110" t="n">
        <v>41140.38</v>
      </c>
      <c r="AE16" s="110" t="n">
        <v>37347.4</v>
      </c>
      <c r="AF16" s="110" t="n">
        <v>3792.98</v>
      </c>
      <c r="AG16" s="110" t="n">
        <v>5016.51</v>
      </c>
      <c r="AH16" s="110" t="n">
        <v>4671.69</v>
      </c>
      <c r="AI16" s="110" t="n">
        <v>344.82</v>
      </c>
      <c r="AJ16" s="110" t="n">
        <v>759</v>
      </c>
      <c r="AK16" s="110" t="n">
        <v>630</v>
      </c>
      <c r="AL16" s="110" t="n">
        <v>544</v>
      </c>
      <c r="AM16" s="110" t="n">
        <v>86</v>
      </c>
      <c r="AN16" s="110" t="n">
        <v>129</v>
      </c>
      <c r="AO16" s="110" t="n">
        <v>129</v>
      </c>
      <c r="AP16" s="110" t="n">
        <v>0</v>
      </c>
      <c r="AQ16" s="110" t="n">
        <v>178400</v>
      </c>
      <c r="AR16" s="110" t="n">
        <v>151442</v>
      </c>
      <c r="AS16" s="110" t="n">
        <v>128082</v>
      </c>
      <c r="AT16" s="110" t="n">
        <v>23360</v>
      </c>
      <c r="AU16" s="110" t="n">
        <v>26958</v>
      </c>
      <c r="AV16" s="110" t="n">
        <v>18481</v>
      </c>
      <c r="AW16" s="110" t="n">
        <v>8477</v>
      </c>
      <c r="AX16" s="110" t="n">
        <v>36097</v>
      </c>
      <c r="AY16" s="110" t="n">
        <v>30394</v>
      </c>
      <c r="AZ16" s="110" t="n">
        <v>25445</v>
      </c>
      <c r="BA16" s="110" t="n">
        <v>4949</v>
      </c>
      <c r="BB16" s="110" t="n">
        <v>5703</v>
      </c>
      <c r="BC16" s="110" t="n">
        <v>3143</v>
      </c>
      <c r="BD16" s="110" t="n">
        <v>2560</v>
      </c>
      <c r="BE16" s="110" t="n">
        <v>2469701.2</v>
      </c>
      <c r="BF16" s="110" t="n">
        <v>1865983.63</v>
      </c>
      <c r="BG16" s="110" t="n">
        <v>1650958.67</v>
      </c>
      <c r="BH16" s="110" t="n">
        <v>215024.96</v>
      </c>
      <c r="BI16" s="110" t="n">
        <v>603717.5699999999</v>
      </c>
      <c r="BJ16" s="110" t="n">
        <v>603717.5699999999</v>
      </c>
      <c r="BK16" s="110" t="n">
        <v>0</v>
      </c>
      <c r="BL16" s="110" t="n">
        <v>344393.34</v>
      </c>
      <c r="BM16" s="110" t="n">
        <v>264357.68</v>
      </c>
      <c r="BN16" s="110" t="n">
        <v>237467.97</v>
      </c>
      <c r="BO16" s="110" t="n">
        <v>26889.71</v>
      </c>
      <c r="BP16" s="110" t="n">
        <v>80035.66</v>
      </c>
      <c r="BQ16" s="110" t="n">
        <v>80035.66</v>
      </c>
      <c r="BR16" s="110" t="n">
        <v>0</v>
      </c>
      <c r="BS16" s="110" t="n">
        <v>992518.86</v>
      </c>
      <c r="BT16" s="110" t="n">
        <v>697066.8</v>
      </c>
      <c r="BU16" s="110" t="n">
        <v>596210.55</v>
      </c>
      <c r="BV16" s="110" t="n">
        <v>100856.25</v>
      </c>
      <c r="BW16" s="110" t="n">
        <v>295452.06</v>
      </c>
      <c r="BX16" s="110" t="n">
        <v>295452.06</v>
      </c>
      <c r="BY16" s="110" t="n">
        <v>0</v>
      </c>
      <c r="BZ16" s="110" t="n">
        <v>475253</v>
      </c>
      <c r="CA16" s="110" t="n">
        <v>364245</v>
      </c>
      <c r="CB16" s="110" t="n">
        <v>335275</v>
      </c>
      <c r="CC16" s="110" t="n">
        <v>28970</v>
      </c>
      <c r="CD16" s="110" t="n">
        <v>111008</v>
      </c>
      <c r="CE16" s="110" t="n">
        <v>111008</v>
      </c>
      <c r="CF16" s="110" t="n">
        <v>0</v>
      </c>
      <c r="CG16" s="110" t="n">
        <v>657536</v>
      </c>
      <c r="CH16" s="110" t="n">
        <v>540314.15</v>
      </c>
      <c r="CI16" s="110" t="n">
        <v>482005.15</v>
      </c>
      <c r="CJ16" s="110" t="n">
        <v>58309</v>
      </c>
      <c r="CK16" s="110" t="n">
        <v>117221.85</v>
      </c>
      <c r="CL16" s="110" t="n">
        <v>117221.85</v>
      </c>
      <c r="CM16" s="110" t="n">
        <v>0</v>
      </c>
      <c r="CN16" s="110" t="n">
        <v>0</v>
      </c>
      <c r="CO16" s="110" t="n">
        <v>30579.59</v>
      </c>
      <c r="CP16" s="110" t="n">
        <v>230833.3</v>
      </c>
      <c r="CQ16" s="110" t="n">
        <v>0</v>
      </c>
      <c r="CR16" s="110" t="n">
        <v>0</v>
      </c>
      <c r="CS16" s="110" t="n">
        <v>0</v>
      </c>
      <c r="CT16" s="110" t="n">
        <v>0</v>
      </c>
      <c r="CU16" s="110" t="n">
        <v>0</v>
      </c>
      <c r="CV16" s="111" t="n">
        <v>814</v>
      </c>
      <c r="CW16" s="111" t="n">
        <v>690</v>
      </c>
      <c r="CX16" s="111" t="n">
        <v>578</v>
      </c>
      <c r="CY16" s="111" t="n">
        <v>112</v>
      </c>
      <c r="CZ16" s="111" t="n">
        <v>124</v>
      </c>
      <c r="DA16" s="111" t="n">
        <v>67</v>
      </c>
      <c r="DB16" s="111" t="n">
        <v>57</v>
      </c>
      <c r="DC16" s="111" t="n">
        <v>109</v>
      </c>
      <c r="DD16" s="111" t="n">
        <v>0</v>
      </c>
      <c r="DE16" s="111" t="n">
        <v>102</v>
      </c>
      <c r="DF16" s="111" t="n">
        <v>83</v>
      </c>
      <c r="DG16" s="111" t="n">
        <v>19</v>
      </c>
      <c r="DH16" s="111" t="n">
        <v>7</v>
      </c>
      <c r="DI16" s="111" t="n">
        <v>3</v>
      </c>
      <c r="DJ16" s="111" t="n">
        <v>4</v>
      </c>
      <c r="DK16" s="111" t="n">
        <v>705</v>
      </c>
      <c r="DL16" s="111" t="n">
        <v>588</v>
      </c>
      <c r="DM16" s="111" t="n">
        <v>495</v>
      </c>
      <c r="DN16" s="111" t="n">
        <v>93</v>
      </c>
      <c r="DO16" s="111" t="n">
        <v>117</v>
      </c>
      <c r="DP16" s="111" t="n">
        <v>64</v>
      </c>
      <c r="DQ16" s="111" t="n">
        <v>53</v>
      </c>
      <c r="DR16" s="111" t="n">
        <v>0</v>
      </c>
      <c r="DS16" s="111" t="n">
        <v>0</v>
      </c>
      <c r="DT16" s="111" t="n">
        <v>0</v>
      </c>
      <c r="DU16" s="111" t="n">
        <v>0</v>
      </c>
      <c r="DV16" s="111" t="n">
        <v>0</v>
      </c>
      <c r="DW16" s="111" t="n">
        <v>0</v>
      </c>
      <c r="DX16" s="111" t="n">
        <v>0</v>
      </c>
      <c r="DY16" s="111" t="n">
        <v>0</v>
      </c>
      <c r="DZ16" s="111" t="n">
        <v>0</v>
      </c>
      <c r="EA16" s="111" t="n">
        <v>0</v>
      </c>
      <c r="EB16" s="111" t="n">
        <v>0</v>
      </c>
      <c r="EC16" s="111" t="n">
        <v>0</v>
      </c>
      <c r="ED16" s="111" t="n">
        <v>0</v>
      </c>
      <c r="EE16" s="111" t="n">
        <v>0</v>
      </c>
      <c r="EF16" s="111" t="n">
        <v>0</v>
      </c>
      <c r="EG16" s="111" t="n">
        <v>64</v>
      </c>
      <c r="EH16" s="111" t="n">
        <v>48</v>
      </c>
      <c r="EI16" s="111" t="n">
        <v>44</v>
      </c>
      <c r="EJ16" s="111" t="n">
        <v>4</v>
      </c>
      <c r="EK16" s="111" t="n">
        <v>16</v>
      </c>
      <c r="EL16" s="111" t="n">
        <v>16</v>
      </c>
      <c r="EM16" s="111" t="n">
        <v>0</v>
      </c>
      <c r="EN16" s="111" t="n">
        <v>41</v>
      </c>
      <c r="EO16" s="111" t="n">
        <v>35</v>
      </c>
      <c r="EP16" s="111" t="n">
        <v>2</v>
      </c>
      <c r="EQ16" s="111" t="n">
        <v>4</v>
      </c>
      <c r="ER16" s="111" t="n">
        <v>32</v>
      </c>
      <c r="ES16" s="111" t="n">
        <v>0</v>
      </c>
      <c r="ET16" s="111" t="n">
        <v>0</v>
      </c>
      <c r="EU16" s="111" t="n">
        <v>2</v>
      </c>
      <c r="EV16" s="111" t="n">
        <v>1</v>
      </c>
      <c r="EW16" s="111" t="n">
        <v>1</v>
      </c>
      <c r="EX16" s="111" t="n">
        <v>0</v>
      </c>
      <c r="EY16" s="111" t="n">
        <v>35</v>
      </c>
      <c r="EZ16" s="111" t="n">
        <v>34</v>
      </c>
      <c r="FA16" s="111" t="n">
        <v>1</v>
      </c>
      <c r="FB16" s="111" t="n">
        <v>25</v>
      </c>
    </row>
    <row r="17" ht="19.5" customHeight="1" s="247">
      <c r="A17" s="107" t="n">
        <v>14</v>
      </c>
      <c r="B17" s="107" t="inlineStr">
        <is>
          <t>成人手术</t>
        </is>
      </c>
      <c r="C17" s="107" t="inlineStr">
        <is>
          <t>整形外科</t>
        </is>
      </c>
      <c r="D17" s="110" t="n">
        <v>54749.6</v>
      </c>
      <c r="E17" s="110" t="n">
        <v>54749.6</v>
      </c>
      <c r="F17" s="110" t="n">
        <v>0</v>
      </c>
      <c r="G17" s="110" t="n">
        <v>38</v>
      </c>
      <c r="H17" s="110" t="n">
        <v>0</v>
      </c>
      <c r="I17" s="110" t="n">
        <v>200</v>
      </c>
      <c r="J17" s="110" t="n">
        <v>51828.6</v>
      </c>
      <c r="K17" s="110" t="n">
        <v>0</v>
      </c>
      <c r="L17" s="110" t="n">
        <v>0</v>
      </c>
      <c r="M17" s="110" t="n">
        <v>0</v>
      </c>
      <c r="N17" s="110" t="n">
        <v>0</v>
      </c>
      <c r="O17" s="110" t="n">
        <v>57297</v>
      </c>
      <c r="P17" s="110" t="n">
        <v>35412.55</v>
      </c>
      <c r="Q17" s="110" t="n">
        <v>0</v>
      </c>
      <c r="R17" s="110" t="n">
        <v>35412.55</v>
      </c>
      <c r="S17" s="110" t="n">
        <v>21884.45</v>
      </c>
      <c r="T17" s="110" t="n">
        <v>0</v>
      </c>
      <c r="U17" s="110" t="n">
        <v>21884.45</v>
      </c>
      <c r="V17" s="110" t="n">
        <v>57297</v>
      </c>
      <c r="W17" s="110" t="n">
        <v>35412.55</v>
      </c>
      <c r="X17" s="110" t="n">
        <v>0</v>
      </c>
      <c r="Y17" s="110" t="n">
        <v>35412.55</v>
      </c>
      <c r="Z17" s="110" t="n">
        <v>21884.45</v>
      </c>
      <c r="AA17" s="110" t="n">
        <v>0</v>
      </c>
      <c r="AB17" s="110" t="n">
        <v>21884.45</v>
      </c>
      <c r="AC17" s="110" t="n">
        <v>1315.8</v>
      </c>
      <c r="AD17" s="110" t="n">
        <v>163.8</v>
      </c>
      <c r="AE17" s="110" t="n">
        <v>0</v>
      </c>
      <c r="AF17" s="110" t="n">
        <v>163.8</v>
      </c>
      <c r="AG17" s="110" t="n">
        <v>1152</v>
      </c>
      <c r="AH17" s="110" t="n">
        <v>0</v>
      </c>
      <c r="AI17" s="110" t="n">
        <v>1152</v>
      </c>
      <c r="AJ17" s="110" t="n">
        <v>1231.6</v>
      </c>
      <c r="AK17" s="110" t="n">
        <v>767.4</v>
      </c>
      <c r="AL17" s="110" t="n">
        <v>0</v>
      </c>
      <c r="AM17" s="110" t="n">
        <v>767.4</v>
      </c>
      <c r="AN17" s="110" t="n">
        <v>464.2</v>
      </c>
      <c r="AO17" s="110" t="n">
        <v>0</v>
      </c>
      <c r="AP17" s="110" t="n">
        <v>464.2</v>
      </c>
      <c r="AQ17" s="110" t="n">
        <v>1260</v>
      </c>
      <c r="AR17" s="110" t="n">
        <v>890</v>
      </c>
      <c r="AS17" s="110" t="n">
        <v>0</v>
      </c>
      <c r="AT17" s="110" t="n">
        <v>890</v>
      </c>
      <c r="AU17" s="110" t="n">
        <v>370</v>
      </c>
      <c r="AV17" s="110" t="n">
        <v>0</v>
      </c>
      <c r="AW17" s="110" t="n">
        <v>370</v>
      </c>
      <c r="AX17" s="110" t="n">
        <v>53489.6</v>
      </c>
      <c r="AY17" s="110" t="n">
        <v>33591.35</v>
      </c>
      <c r="AZ17" s="110" t="n">
        <v>0</v>
      </c>
      <c r="BA17" s="110" t="n">
        <v>33591.35</v>
      </c>
      <c r="BB17" s="110" t="n">
        <v>19898.25</v>
      </c>
      <c r="BC17" s="110" t="n">
        <v>0</v>
      </c>
      <c r="BD17" s="110" t="n">
        <v>19898.25</v>
      </c>
      <c r="BE17" s="110" t="n">
        <v>0</v>
      </c>
      <c r="BF17" s="110" t="n">
        <v>0</v>
      </c>
      <c r="BG17" s="110" t="n">
        <v>0</v>
      </c>
      <c r="BH17" s="110" t="n">
        <v>0</v>
      </c>
      <c r="BI17" s="110" t="n">
        <v>0</v>
      </c>
      <c r="BJ17" s="110" t="n">
        <v>0</v>
      </c>
      <c r="BK17" s="110" t="n">
        <v>0</v>
      </c>
      <c r="BL17" s="110" t="n">
        <v>0</v>
      </c>
      <c r="BM17" s="110" t="n">
        <v>0</v>
      </c>
      <c r="BN17" s="110" t="n">
        <v>0</v>
      </c>
      <c r="BO17" s="110" t="n">
        <v>0</v>
      </c>
      <c r="BP17" s="110" t="n">
        <v>0</v>
      </c>
      <c r="BQ17" s="110" t="n">
        <v>0</v>
      </c>
      <c r="BR17" s="110" t="n">
        <v>0</v>
      </c>
      <c r="BS17" s="110" t="n">
        <v>0</v>
      </c>
      <c r="BT17" s="110" t="n">
        <v>0</v>
      </c>
      <c r="BU17" s="110" t="n">
        <v>0</v>
      </c>
      <c r="BV17" s="110" t="n">
        <v>0</v>
      </c>
      <c r="BW17" s="110" t="n">
        <v>0</v>
      </c>
      <c r="BX17" s="110" t="n">
        <v>0</v>
      </c>
      <c r="BY17" s="110" t="n">
        <v>0</v>
      </c>
      <c r="BZ17" s="110" t="n">
        <v>0</v>
      </c>
      <c r="CA17" s="110" t="n">
        <v>0</v>
      </c>
      <c r="CB17" s="110" t="n">
        <v>0</v>
      </c>
      <c r="CC17" s="110" t="n">
        <v>0</v>
      </c>
      <c r="CD17" s="110" t="n">
        <v>0</v>
      </c>
      <c r="CE17" s="110" t="n">
        <v>0</v>
      </c>
      <c r="CF17" s="110" t="n">
        <v>0</v>
      </c>
      <c r="CG17" s="110" t="n">
        <v>0</v>
      </c>
      <c r="CH17" s="110" t="n">
        <v>0</v>
      </c>
      <c r="CI17" s="110" t="n">
        <v>0</v>
      </c>
      <c r="CJ17" s="110" t="n">
        <v>0</v>
      </c>
      <c r="CK17" s="110" t="n">
        <v>0</v>
      </c>
      <c r="CL17" s="110" t="n">
        <v>0</v>
      </c>
      <c r="CM17" s="110" t="n">
        <v>0</v>
      </c>
      <c r="CN17" s="110" t="n">
        <v>9191.65</v>
      </c>
      <c r="CO17" s="110" t="n">
        <v>11214.1</v>
      </c>
      <c r="CP17" s="110" t="n">
        <v>34003.73</v>
      </c>
      <c r="CQ17" s="110" t="n">
        <v>0</v>
      </c>
      <c r="CR17" s="110" t="n">
        <v>2887.52</v>
      </c>
      <c r="CS17" s="110" t="n">
        <v>0</v>
      </c>
      <c r="CT17" s="110" t="n">
        <v>0</v>
      </c>
      <c r="CU17" s="110" t="n">
        <v>0</v>
      </c>
      <c r="CV17" s="111" t="n">
        <v>38</v>
      </c>
      <c r="CW17" s="111" t="n">
        <v>27</v>
      </c>
      <c r="CX17" s="111" t="n">
        <v>0</v>
      </c>
      <c r="CY17" s="111" t="n">
        <v>27</v>
      </c>
      <c r="CZ17" s="111" t="n">
        <v>11</v>
      </c>
      <c r="DA17" s="111" t="n">
        <v>0</v>
      </c>
      <c r="DB17" s="111" t="n">
        <v>11</v>
      </c>
      <c r="DC17" s="111" t="n">
        <v>9</v>
      </c>
      <c r="DD17" s="111" t="n">
        <v>0</v>
      </c>
      <c r="DE17" s="111" t="n">
        <v>8</v>
      </c>
      <c r="DF17" s="111" t="n">
        <v>0</v>
      </c>
      <c r="DG17" s="111" t="n">
        <v>8</v>
      </c>
      <c r="DH17" s="111" t="n">
        <v>1</v>
      </c>
      <c r="DI17" s="111" t="n">
        <v>0</v>
      </c>
      <c r="DJ17" s="111" t="n">
        <v>1</v>
      </c>
      <c r="DK17" s="111" t="n">
        <v>26</v>
      </c>
      <c r="DL17" s="111" t="n">
        <v>17</v>
      </c>
      <c r="DM17" s="111" t="n">
        <v>0</v>
      </c>
      <c r="DN17" s="111" t="n">
        <v>17</v>
      </c>
      <c r="DO17" s="111" t="n">
        <v>9</v>
      </c>
      <c r="DP17" s="111" t="n">
        <v>0</v>
      </c>
      <c r="DQ17" s="111" t="n">
        <v>9</v>
      </c>
      <c r="DR17" s="111" t="n">
        <v>1</v>
      </c>
      <c r="DS17" s="111" t="n">
        <v>0</v>
      </c>
      <c r="DT17" s="111" t="n">
        <v>1</v>
      </c>
      <c r="DU17" s="111" t="n">
        <v>0</v>
      </c>
      <c r="DV17" s="111" t="n">
        <v>1</v>
      </c>
      <c r="DW17" s="111" t="n">
        <v>0</v>
      </c>
      <c r="DX17" s="111" t="n">
        <v>0</v>
      </c>
      <c r="DY17" s="111" t="n">
        <v>0</v>
      </c>
      <c r="DZ17" s="111" t="n">
        <v>2</v>
      </c>
      <c r="EA17" s="111" t="n">
        <v>1</v>
      </c>
      <c r="EB17" s="111" t="n">
        <v>0</v>
      </c>
      <c r="EC17" s="111" t="n">
        <v>1</v>
      </c>
      <c r="ED17" s="111" t="n">
        <v>1</v>
      </c>
      <c r="EE17" s="111" t="n">
        <v>0</v>
      </c>
      <c r="EF17" s="111" t="n">
        <v>1</v>
      </c>
      <c r="EG17" s="111" t="n">
        <v>0</v>
      </c>
      <c r="EH17" s="111" t="n">
        <v>0</v>
      </c>
      <c r="EI17" s="111" t="n">
        <v>0</v>
      </c>
      <c r="EJ17" s="111" t="n">
        <v>0</v>
      </c>
      <c r="EK17" s="111" t="n">
        <v>0</v>
      </c>
      <c r="EL17" s="111" t="n">
        <v>0</v>
      </c>
      <c r="EM17" s="111" t="n">
        <v>0</v>
      </c>
      <c r="EN17" s="111" t="n">
        <v>0</v>
      </c>
      <c r="EO17" s="111" t="n">
        <v>0</v>
      </c>
      <c r="EP17" s="111" t="n">
        <v>0</v>
      </c>
      <c r="EQ17" s="111" t="n">
        <v>0</v>
      </c>
      <c r="ER17" s="111" t="n">
        <v>0</v>
      </c>
      <c r="ES17" s="111" t="n">
        <v>0</v>
      </c>
      <c r="ET17" s="111" t="n">
        <v>0</v>
      </c>
      <c r="EU17" s="111" t="n">
        <v>0</v>
      </c>
      <c r="EV17" s="111" t="n">
        <v>0</v>
      </c>
      <c r="EW17" s="111" t="n">
        <v>0</v>
      </c>
      <c r="EX17" s="111" t="n">
        <v>0</v>
      </c>
      <c r="EY17" s="111" t="n">
        <v>0</v>
      </c>
      <c r="EZ17" s="111" t="n">
        <v>0</v>
      </c>
      <c r="FA17" s="111" t="n">
        <v>0</v>
      </c>
      <c r="FB17" s="111" t="n">
        <v>0</v>
      </c>
    </row>
    <row r="18" ht="19.5" customHeight="1" s="247">
      <c r="A18" s="107" t="n">
        <v>15</v>
      </c>
      <c r="B18" s="107" t="inlineStr">
        <is>
          <t>成人手术</t>
        </is>
      </c>
      <c r="C18" s="107" t="inlineStr">
        <is>
          <t>肛肠外科</t>
        </is>
      </c>
      <c r="D18" s="110" t="n">
        <v>858652.25</v>
      </c>
      <c r="E18" s="110" t="n">
        <v>149017</v>
      </c>
      <c r="F18" s="110" t="n">
        <v>709635.25</v>
      </c>
      <c r="G18" s="110" t="n">
        <v>990</v>
      </c>
      <c r="H18" s="110" t="n">
        <v>74</v>
      </c>
      <c r="I18" s="110" t="n">
        <v>9201</v>
      </c>
      <c r="J18" s="110" t="n">
        <v>0</v>
      </c>
      <c r="K18" s="110" t="n">
        <v>0</v>
      </c>
      <c r="L18" s="110" t="n">
        <v>67167.25</v>
      </c>
      <c r="M18" s="110" t="n">
        <v>162439.5</v>
      </c>
      <c r="N18" s="110" t="n">
        <v>112.5</v>
      </c>
      <c r="O18" s="110" t="n">
        <v>1703518.21</v>
      </c>
      <c r="P18" s="110" t="n">
        <v>1277788.98</v>
      </c>
      <c r="Q18" s="110" t="n">
        <v>1267357.03</v>
      </c>
      <c r="R18" s="110" t="n">
        <v>10431.95</v>
      </c>
      <c r="S18" s="110" t="n">
        <v>425729.23</v>
      </c>
      <c r="T18" s="110" t="n">
        <v>418494.46</v>
      </c>
      <c r="U18" s="110" t="n">
        <v>7234.77</v>
      </c>
      <c r="V18" s="110" t="n">
        <v>282700.46</v>
      </c>
      <c r="W18" s="110" t="n">
        <v>248788.96</v>
      </c>
      <c r="X18" s="110" t="n">
        <v>238357.01</v>
      </c>
      <c r="Y18" s="110" t="n">
        <v>10431.95</v>
      </c>
      <c r="Z18" s="110" t="n">
        <v>33911.5</v>
      </c>
      <c r="AA18" s="110" t="n">
        <v>26676.73</v>
      </c>
      <c r="AB18" s="110" t="n">
        <v>7234.77</v>
      </c>
      <c r="AC18" s="110" t="n">
        <v>122578.23</v>
      </c>
      <c r="AD18" s="110" t="n">
        <v>107598.51</v>
      </c>
      <c r="AE18" s="110" t="n">
        <v>104868.56</v>
      </c>
      <c r="AF18" s="110" t="n">
        <v>2729.95</v>
      </c>
      <c r="AG18" s="110" t="n">
        <v>14979.72</v>
      </c>
      <c r="AH18" s="110" t="n">
        <v>10384.95</v>
      </c>
      <c r="AI18" s="110" t="n">
        <v>4594.77</v>
      </c>
      <c r="AJ18" s="110" t="n">
        <v>11105.23</v>
      </c>
      <c r="AK18" s="110" t="n">
        <v>9109.450000000001</v>
      </c>
      <c r="AL18" s="110" t="n">
        <v>8974.450000000001</v>
      </c>
      <c r="AM18" s="110" t="n">
        <v>135</v>
      </c>
      <c r="AN18" s="110" t="n">
        <v>1995.78</v>
      </c>
      <c r="AO18" s="110" t="n">
        <v>1995.78</v>
      </c>
      <c r="AP18" s="110" t="n">
        <v>0</v>
      </c>
      <c r="AQ18" s="110" t="n">
        <v>108980</v>
      </c>
      <c r="AR18" s="110" t="n">
        <v>98418</v>
      </c>
      <c r="AS18" s="110" t="n">
        <v>92771</v>
      </c>
      <c r="AT18" s="110" t="n">
        <v>5647</v>
      </c>
      <c r="AU18" s="110" t="n">
        <v>10562</v>
      </c>
      <c r="AV18" s="110" t="n">
        <v>9227</v>
      </c>
      <c r="AW18" s="110" t="n">
        <v>1335</v>
      </c>
      <c r="AX18" s="110" t="n">
        <v>40037</v>
      </c>
      <c r="AY18" s="110" t="n">
        <v>33663</v>
      </c>
      <c r="AZ18" s="110" t="n">
        <v>31743</v>
      </c>
      <c r="BA18" s="110" t="n">
        <v>1920</v>
      </c>
      <c r="BB18" s="110" t="n">
        <v>6374</v>
      </c>
      <c r="BC18" s="110" t="n">
        <v>5069</v>
      </c>
      <c r="BD18" s="110" t="n">
        <v>1305</v>
      </c>
      <c r="BE18" s="110" t="n">
        <v>1420817.75</v>
      </c>
      <c r="BF18" s="110" t="n">
        <v>1029000.02</v>
      </c>
      <c r="BG18" s="110" t="n">
        <v>1029000.02</v>
      </c>
      <c r="BH18" s="110" t="n">
        <v>0</v>
      </c>
      <c r="BI18" s="110" t="n">
        <v>391817.73</v>
      </c>
      <c r="BJ18" s="110" t="n">
        <v>391817.73</v>
      </c>
      <c r="BK18" s="110" t="n">
        <v>0</v>
      </c>
      <c r="BL18" s="110" t="n">
        <v>220077</v>
      </c>
      <c r="BM18" s="110" t="n">
        <v>166256.55</v>
      </c>
      <c r="BN18" s="110" t="n">
        <v>166256.55</v>
      </c>
      <c r="BO18" s="110" t="n">
        <v>0</v>
      </c>
      <c r="BP18" s="110" t="n">
        <v>53820.45</v>
      </c>
      <c r="BQ18" s="110" t="n">
        <v>53820.45</v>
      </c>
      <c r="BR18" s="110" t="n">
        <v>0</v>
      </c>
      <c r="BS18" s="110" t="n">
        <v>491105.5</v>
      </c>
      <c r="BT18" s="110" t="n">
        <v>369657.72</v>
      </c>
      <c r="BU18" s="110" t="n">
        <v>369657.72</v>
      </c>
      <c r="BV18" s="110" t="n">
        <v>0</v>
      </c>
      <c r="BW18" s="110" t="n">
        <v>121447.78</v>
      </c>
      <c r="BX18" s="110" t="n">
        <v>121447.78</v>
      </c>
      <c r="BY18" s="110" t="n">
        <v>0</v>
      </c>
      <c r="BZ18" s="110" t="n">
        <v>297701</v>
      </c>
      <c r="CA18" s="110" t="n">
        <v>190896</v>
      </c>
      <c r="CB18" s="110" t="n">
        <v>190896</v>
      </c>
      <c r="CC18" s="110" t="n">
        <v>0</v>
      </c>
      <c r="CD18" s="110" t="n">
        <v>106805</v>
      </c>
      <c r="CE18" s="110" t="n">
        <v>106805</v>
      </c>
      <c r="CF18" s="110" t="n">
        <v>0</v>
      </c>
      <c r="CG18" s="110" t="n">
        <v>411934.25</v>
      </c>
      <c r="CH18" s="110" t="n">
        <v>302189.75</v>
      </c>
      <c r="CI18" s="110" t="n">
        <v>302189.75</v>
      </c>
      <c r="CJ18" s="110" t="n">
        <v>0</v>
      </c>
      <c r="CK18" s="110" t="n">
        <v>109744.5</v>
      </c>
      <c r="CL18" s="110" t="n">
        <v>109744.5</v>
      </c>
      <c r="CM18" s="110" t="n">
        <v>0</v>
      </c>
      <c r="CN18" s="110" t="n">
        <v>119.43</v>
      </c>
      <c r="CO18" s="110" t="n">
        <v>202596.33</v>
      </c>
      <c r="CP18" s="110" t="n">
        <v>79728.7</v>
      </c>
      <c r="CQ18" s="110" t="n">
        <v>0</v>
      </c>
      <c r="CR18" s="110" t="n">
        <v>256</v>
      </c>
      <c r="CS18" s="110" t="n">
        <v>0</v>
      </c>
      <c r="CT18" s="110" t="n">
        <v>0</v>
      </c>
      <c r="CU18" s="110" t="n">
        <v>0</v>
      </c>
      <c r="CV18" s="111" t="n">
        <v>990</v>
      </c>
      <c r="CW18" s="111" t="n">
        <v>832</v>
      </c>
      <c r="CX18" s="111" t="n">
        <v>787</v>
      </c>
      <c r="CY18" s="111" t="n">
        <v>45</v>
      </c>
      <c r="CZ18" s="111" t="n">
        <v>158</v>
      </c>
      <c r="DA18" s="111" t="n">
        <v>115</v>
      </c>
      <c r="DB18" s="111" t="n">
        <v>43</v>
      </c>
      <c r="DC18" s="111" t="n">
        <v>718</v>
      </c>
      <c r="DD18" s="111" t="n">
        <v>0</v>
      </c>
      <c r="DE18" s="111" t="n">
        <v>603</v>
      </c>
      <c r="DF18" s="111" t="n">
        <v>569</v>
      </c>
      <c r="DG18" s="111" t="n">
        <v>34</v>
      </c>
      <c r="DH18" s="111" t="n">
        <v>115</v>
      </c>
      <c r="DI18" s="111" t="n">
        <v>84</v>
      </c>
      <c r="DJ18" s="111" t="n">
        <v>31</v>
      </c>
      <c r="DK18" s="111" t="n">
        <v>270</v>
      </c>
      <c r="DL18" s="111" t="n">
        <v>228</v>
      </c>
      <c r="DM18" s="111" t="n">
        <v>217</v>
      </c>
      <c r="DN18" s="111" t="n">
        <v>11</v>
      </c>
      <c r="DO18" s="111" t="n">
        <v>42</v>
      </c>
      <c r="DP18" s="111" t="n">
        <v>30</v>
      </c>
      <c r="DQ18" s="111" t="n">
        <v>12</v>
      </c>
      <c r="DR18" s="111" t="n">
        <v>1</v>
      </c>
      <c r="DS18" s="111" t="n">
        <v>0</v>
      </c>
      <c r="DT18" s="111" t="n">
        <v>0</v>
      </c>
      <c r="DU18" s="111" t="n">
        <v>0</v>
      </c>
      <c r="DV18" s="111" t="n">
        <v>0</v>
      </c>
      <c r="DW18" s="111" t="n">
        <v>1</v>
      </c>
      <c r="DX18" s="111" t="n">
        <v>1</v>
      </c>
      <c r="DY18" s="111" t="n">
        <v>0</v>
      </c>
      <c r="DZ18" s="111" t="n">
        <v>1</v>
      </c>
      <c r="EA18" s="111" t="n">
        <v>1</v>
      </c>
      <c r="EB18" s="111" t="n">
        <v>1</v>
      </c>
      <c r="EC18" s="111" t="n">
        <v>0</v>
      </c>
      <c r="ED18" s="111" t="n">
        <v>0</v>
      </c>
      <c r="EE18" s="111" t="n">
        <v>0</v>
      </c>
      <c r="EF18" s="111" t="n">
        <v>0</v>
      </c>
      <c r="EG18" s="111" t="n">
        <v>74</v>
      </c>
      <c r="EH18" s="111" t="n">
        <v>50</v>
      </c>
      <c r="EI18" s="111" t="n">
        <v>50</v>
      </c>
      <c r="EJ18" s="111" t="n">
        <v>0</v>
      </c>
      <c r="EK18" s="111" t="n">
        <v>24</v>
      </c>
      <c r="EL18" s="111" t="n">
        <v>24</v>
      </c>
      <c r="EM18" s="111" t="n">
        <v>0</v>
      </c>
      <c r="EN18" s="111" t="n">
        <v>68</v>
      </c>
      <c r="EO18" s="111" t="n">
        <v>49</v>
      </c>
      <c r="EP18" s="111" t="n">
        <v>0</v>
      </c>
      <c r="EQ18" s="111" t="n">
        <v>19</v>
      </c>
      <c r="ER18" s="111" t="n">
        <v>13</v>
      </c>
      <c r="ES18" s="111" t="n">
        <v>0</v>
      </c>
      <c r="ET18" s="111" t="n">
        <v>0</v>
      </c>
      <c r="EU18" s="111" t="n">
        <v>11</v>
      </c>
      <c r="EV18" s="111" t="n">
        <v>11</v>
      </c>
      <c r="EW18" s="111" t="n">
        <v>0</v>
      </c>
      <c r="EX18" s="111" t="n">
        <v>0</v>
      </c>
      <c r="EY18" s="111" t="n">
        <v>11</v>
      </c>
      <c r="EZ18" s="111" t="n">
        <v>11</v>
      </c>
      <c r="FA18" s="111" t="n">
        <v>0</v>
      </c>
      <c r="FB18" s="111" t="n">
        <v>11</v>
      </c>
    </row>
    <row r="19" ht="19.5" customHeight="1" s="247">
      <c r="A19" s="107" t="n">
        <v>16</v>
      </c>
      <c r="B19" s="107" t="inlineStr">
        <is>
          <t>成人手术</t>
        </is>
      </c>
      <c r="C19" s="107" t="inlineStr">
        <is>
          <t>脊柱中心</t>
        </is>
      </c>
      <c r="D19" s="110" t="n">
        <v>3734876</v>
      </c>
      <c r="E19" s="110" t="n">
        <v>439926</v>
      </c>
      <c r="F19" s="110" t="n">
        <v>3294950</v>
      </c>
      <c r="G19" s="110" t="n">
        <v>2054</v>
      </c>
      <c r="H19" s="110" t="n">
        <v>268</v>
      </c>
      <c r="I19" s="110" t="n">
        <v>80</v>
      </c>
      <c r="J19" s="110" t="n">
        <v>0</v>
      </c>
      <c r="K19" s="110" t="n">
        <v>0</v>
      </c>
      <c r="L19" s="110" t="n">
        <v>117000.5</v>
      </c>
      <c r="M19" s="110" t="n">
        <v>1481867</v>
      </c>
      <c r="N19" s="110" t="n">
        <v>0</v>
      </c>
      <c r="O19" s="110" t="n">
        <v>10729909.9</v>
      </c>
      <c r="P19" s="110" t="n">
        <v>7723049.85</v>
      </c>
      <c r="Q19" s="110" t="n">
        <v>7286598.5</v>
      </c>
      <c r="R19" s="110" t="n">
        <v>436451.35</v>
      </c>
      <c r="S19" s="110" t="n">
        <v>3006860.05</v>
      </c>
      <c r="T19" s="110" t="n">
        <v>2953269.99</v>
      </c>
      <c r="U19" s="110" t="n">
        <v>53590.06</v>
      </c>
      <c r="V19" s="110" t="n">
        <v>527065.86</v>
      </c>
      <c r="W19" s="110" t="n">
        <v>438426.68</v>
      </c>
      <c r="X19" s="110" t="n">
        <v>399071.5</v>
      </c>
      <c r="Y19" s="110" t="n">
        <v>39355.18</v>
      </c>
      <c r="Z19" s="110" t="n">
        <v>88639.17999999999</v>
      </c>
      <c r="AA19" s="110" t="n">
        <v>38953.74</v>
      </c>
      <c r="AB19" s="110" t="n">
        <v>49685.44</v>
      </c>
      <c r="AC19" s="110" t="n">
        <v>78542.86</v>
      </c>
      <c r="AD19" s="110" t="n">
        <v>67565.67999999999</v>
      </c>
      <c r="AE19" s="110" t="n">
        <v>63118.5</v>
      </c>
      <c r="AF19" s="110" t="n">
        <v>4447.18</v>
      </c>
      <c r="AG19" s="110" t="n">
        <v>10977.18</v>
      </c>
      <c r="AH19" s="110" t="n">
        <v>6619.74</v>
      </c>
      <c r="AI19" s="110" t="n">
        <v>4357.44</v>
      </c>
      <c r="AJ19" s="110" t="n">
        <v>8597</v>
      </c>
      <c r="AK19" s="110" t="n">
        <v>8037</v>
      </c>
      <c r="AL19" s="110" t="n">
        <v>8037</v>
      </c>
      <c r="AM19" s="110" t="n">
        <v>0</v>
      </c>
      <c r="AN19" s="110" t="n">
        <v>560</v>
      </c>
      <c r="AO19" s="110" t="n">
        <v>560</v>
      </c>
      <c r="AP19" s="110" t="n">
        <v>0</v>
      </c>
      <c r="AQ19" s="110" t="n">
        <v>342292</v>
      </c>
      <c r="AR19" s="110" t="n">
        <v>288696</v>
      </c>
      <c r="AS19" s="110" t="n">
        <v>265784</v>
      </c>
      <c r="AT19" s="110" t="n">
        <v>22912</v>
      </c>
      <c r="AU19" s="110" t="n">
        <v>53596</v>
      </c>
      <c r="AV19" s="110" t="n">
        <v>24461</v>
      </c>
      <c r="AW19" s="110" t="n">
        <v>29135</v>
      </c>
      <c r="AX19" s="110" t="n">
        <v>97634</v>
      </c>
      <c r="AY19" s="110" t="n">
        <v>74128</v>
      </c>
      <c r="AZ19" s="110" t="n">
        <v>62132</v>
      </c>
      <c r="BA19" s="110" t="n">
        <v>11996</v>
      </c>
      <c r="BB19" s="110" t="n">
        <v>23506</v>
      </c>
      <c r="BC19" s="110" t="n">
        <v>7313</v>
      </c>
      <c r="BD19" s="110" t="n">
        <v>16193</v>
      </c>
      <c r="BE19" s="110" t="n">
        <v>10202844.04</v>
      </c>
      <c r="BF19" s="110" t="n">
        <v>7284623.17</v>
      </c>
      <c r="BG19" s="110" t="n">
        <v>6887527</v>
      </c>
      <c r="BH19" s="110" t="n">
        <v>397096.17</v>
      </c>
      <c r="BI19" s="110" t="n">
        <v>2918220.87</v>
      </c>
      <c r="BJ19" s="110" t="n">
        <v>2914316.25</v>
      </c>
      <c r="BK19" s="110" t="n">
        <v>3904.62</v>
      </c>
      <c r="BL19" s="110" t="n">
        <v>501910.83</v>
      </c>
      <c r="BM19" s="110" t="n">
        <v>360027.43</v>
      </c>
      <c r="BN19" s="110" t="n">
        <v>333742.89</v>
      </c>
      <c r="BO19" s="110" t="n">
        <v>26284.54</v>
      </c>
      <c r="BP19" s="110" t="n">
        <v>141883.4</v>
      </c>
      <c r="BQ19" s="110" t="n">
        <v>141810.45</v>
      </c>
      <c r="BR19" s="110" t="n">
        <v>72.95</v>
      </c>
      <c r="BS19" s="110" t="n">
        <v>6405983.21</v>
      </c>
      <c r="BT19" s="110" t="n">
        <v>4593594.74</v>
      </c>
      <c r="BU19" s="110" t="n">
        <v>4383152.86</v>
      </c>
      <c r="BV19" s="110" t="n">
        <v>210441.88</v>
      </c>
      <c r="BW19" s="110" t="n">
        <v>1812388.47</v>
      </c>
      <c r="BX19" s="110" t="n">
        <v>1812321.8</v>
      </c>
      <c r="BY19" s="110" t="n">
        <v>66.67</v>
      </c>
      <c r="BZ19" s="110" t="n">
        <v>1078181</v>
      </c>
      <c r="CA19" s="110" t="n">
        <v>761266</v>
      </c>
      <c r="CB19" s="110" t="n">
        <v>710860</v>
      </c>
      <c r="CC19" s="110" t="n">
        <v>50406</v>
      </c>
      <c r="CD19" s="110" t="n">
        <v>316915</v>
      </c>
      <c r="CE19" s="110" t="n">
        <v>313625</v>
      </c>
      <c r="CF19" s="110" t="n">
        <v>3290</v>
      </c>
      <c r="CG19" s="110" t="n">
        <v>2216769</v>
      </c>
      <c r="CH19" s="110" t="n">
        <v>1569735</v>
      </c>
      <c r="CI19" s="110" t="n">
        <v>1459771.25</v>
      </c>
      <c r="CJ19" s="110" t="n">
        <v>109963.75</v>
      </c>
      <c r="CK19" s="110" t="n">
        <v>647034</v>
      </c>
      <c r="CL19" s="110" t="n">
        <v>646559</v>
      </c>
      <c r="CM19" s="110" t="n">
        <v>475</v>
      </c>
      <c r="CN19" s="110" t="n">
        <v>0</v>
      </c>
      <c r="CO19" s="110" t="n">
        <v>35786.94</v>
      </c>
      <c r="CP19" s="110" t="n">
        <v>398892.78</v>
      </c>
      <c r="CQ19" s="110" t="n">
        <v>68322.14</v>
      </c>
      <c r="CR19" s="110" t="n">
        <v>24064</v>
      </c>
      <c r="CS19" s="110" t="n">
        <v>0</v>
      </c>
      <c r="CT19" s="110" t="n">
        <v>0</v>
      </c>
      <c r="CU19" s="110" t="n">
        <v>0</v>
      </c>
      <c r="CV19" s="111" t="n">
        <v>2054</v>
      </c>
      <c r="CW19" s="111" t="n">
        <v>1697</v>
      </c>
      <c r="CX19" s="111" t="n">
        <v>1532</v>
      </c>
      <c r="CY19" s="111" t="n">
        <v>165</v>
      </c>
      <c r="CZ19" s="111" t="n">
        <v>357</v>
      </c>
      <c r="DA19" s="111" t="n">
        <v>173</v>
      </c>
      <c r="DB19" s="111" t="n">
        <v>184</v>
      </c>
      <c r="DC19" s="111" t="n">
        <v>402</v>
      </c>
      <c r="DD19" s="111" t="n">
        <v>0</v>
      </c>
      <c r="DE19" s="111" t="n">
        <v>356</v>
      </c>
      <c r="DF19" s="111" t="n">
        <v>324</v>
      </c>
      <c r="DG19" s="111" t="n">
        <v>32</v>
      </c>
      <c r="DH19" s="111" t="n">
        <v>46</v>
      </c>
      <c r="DI19" s="111" t="n">
        <v>19</v>
      </c>
      <c r="DJ19" s="111" t="n">
        <v>27</v>
      </c>
      <c r="DK19" s="111" t="n">
        <v>1623</v>
      </c>
      <c r="DL19" s="111" t="n">
        <v>1330</v>
      </c>
      <c r="DM19" s="111" t="n">
        <v>1208</v>
      </c>
      <c r="DN19" s="111" t="n">
        <v>122</v>
      </c>
      <c r="DO19" s="111" t="n">
        <v>293</v>
      </c>
      <c r="DP19" s="111" t="n">
        <v>154</v>
      </c>
      <c r="DQ19" s="111" t="n">
        <v>139</v>
      </c>
      <c r="DR19" s="111" t="n">
        <v>29</v>
      </c>
      <c r="DS19" s="111" t="n">
        <v>0</v>
      </c>
      <c r="DT19" s="111" t="n">
        <v>11</v>
      </c>
      <c r="DU19" s="111" t="n">
        <v>0</v>
      </c>
      <c r="DV19" s="111" t="n">
        <v>11</v>
      </c>
      <c r="DW19" s="111" t="n">
        <v>18</v>
      </c>
      <c r="DX19" s="111" t="n">
        <v>0</v>
      </c>
      <c r="DY19" s="111" t="n">
        <v>18</v>
      </c>
      <c r="DZ19" s="111" t="n">
        <v>0</v>
      </c>
      <c r="EA19" s="111" t="n">
        <v>0</v>
      </c>
      <c r="EB19" s="111" t="n">
        <v>0</v>
      </c>
      <c r="EC19" s="111" t="n">
        <v>0</v>
      </c>
      <c r="ED19" s="111" t="n">
        <v>0</v>
      </c>
      <c r="EE19" s="111" t="n">
        <v>0</v>
      </c>
      <c r="EF19" s="111" t="n">
        <v>0</v>
      </c>
      <c r="EG19" s="111" t="n">
        <v>268</v>
      </c>
      <c r="EH19" s="111" t="n">
        <v>193</v>
      </c>
      <c r="EI19" s="111" t="n">
        <v>183</v>
      </c>
      <c r="EJ19" s="111" t="n">
        <v>10</v>
      </c>
      <c r="EK19" s="111" t="n">
        <v>75</v>
      </c>
      <c r="EL19" s="111" t="n">
        <v>74</v>
      </c>
      <c r="EM19" s="111" t="n">
        <v>1</v>
      </c>
      <c r="EN19" s="111" t="n">
        <v>240</v>
      </c>
      <c r="EO19" s="111" t="n">
        <v>236</v>
      </c>
      <c r="EP19" s="111" t="n">
        <v>0</v>
      </c>
      <c r="EQ19" s="111" t="n">
        <v>4</v>
      </c>
      <c r="ER19" s="111" t="n">
        <v>53</v>
      </c>
      <c r="ES19" s="111" t="n">
        <v>0</v>
      </c>
      <c r="ET19" s="111" t="n">
        <v>0</v>
      </c>
      <c r="EU19" s="111" t="n">
        <v>0</v>
      </c>
      <c r="EV19" s="111" t="n">
        <v>0</v>
      </c>
      <c r="EW19" s="111" t="n">
        <v>0</v>
      </c>
      <c r="EX19" s="111" t="n">
        <v>0</v>
      </c>
      <c r="EY19" s="111" t="n">
        <v>179</v>
      </c>
      <c r="EZ19" s="111" t="n">
        <v>179</v>
      </c>
      <c r="FA19" s="111" t="n">
        <v>0</v>
      </c>
      <c r="FB19" s="111" t="n">
        <v>209</v>
      </c>
    </row>
    <row r="20" ht="19.5" customHeight="1" s="247">
      <c r="A20" s="107" t="n">
        <v>17</v>
      </c>
      <c r="B20" s="107" t="inlineStr">
        <is>
          <t>成人手术</t>
        </is>
      </c>
      <c r="C20" s="107" t="inlineStr">
        <is>
          <t>乳腺外科</t>
        </is>
      </c>
      <c r="D20" s="110" t="n">
        <v>355012.5</v>
      </c>
      <c r="E20" s="110" t="n">
        <v>232442</v>
      </c>
      <c r="F20" s="110" t="n">
        <v>122570.5</v>
      </c>
      <c r="G20" s="110" t="n">
        <v>665</v>
      </c>
      <c r="H20" s="110" t="n">
        <v>10</v>
      </c>
      <c r="I20" s="110" t="n">
        <v>648</v>
      </c>
      <c r="J20" s="110" t="n">
        <v>950</v>
      </c>
      <c r="K20" s="110" t="n">
        <v>0</v>
      </c>
      <c r="L20" s="110" t="n">
        <v>5624</v>
      </c>
      <c r="M20" s="110" t="n">
        <v>41228</v>
      </c>
      <c r="N20" s="110" t="n">
        <v>0</v>
      </c>
      <c r="O20" s="110" t="n">
        <v>457103.79</v>
      </c>
      <c r="P20" s="110" t="n">
        <v>305770.31</v>
      </c>
      <c r="Q20" s="110" t="n">
        <v>286399.89</v>
      </c>
      <c r="R20" s="110" t="n">
        <v>19370.42</v>
      </c>
      <c r="S20" s="110" t="n">
        <v>151333.48</v>
      </c>
      <c r="T20" s="110" t="n">
        <v>139715.28</v>
      </c>
      <c r="U20" s="110" t="n">
        <v>11618.2</v>
      </c>
      <c r="V20" s="110" t="n">
        <v>276565.12</v>
      </c>
      <c r="W20" s="110" t="n">
        <v>241933.12</v>
      </c>
      <c r="X20" s="110" t="n">
        <v>222562.7</v>
      </c>
      <c r="Y20" s="110" t="n">
        <v>19370.42</v>
      </c>
      <c r="Z20" s="110" t="n">
        <v>34632</v>
      </c>
      <c r="AA20" s="110" t="n">
        <v>23013.8</v>
      </c>
      <c r="AB20" s="110" t="n">
        <v>11618.2</v>
      </c>
      <c r="AC20" s="110" t="n">
        <v>37607.92</v>
      </c>
      <c r="AD20" s="110" t="n">
        <v>39491.92</v>
      </c>
      <c r="AE20" s="110" t="n">
        <v>32060.5</v>
      </c>
      <c r="AF20" s="110" t="n">
        <v>7431.42</v>
      </c>
      <c r="AG20" s="110" t="n">
        <v>-1884</v>
      </c>
      <c r="AH20" s="110" t="n">
        <v>-2755.2</v>
      </c>
      <c r="AI20" s="110" t="n">
        <v>871.2</v>
      </c>
      <c r="AJ20" s="110" t="n">
        <v>6515.2</v>
      </c>
      <c r="AK20" s="110" t="n">
        <v>5055.2</v>
      </c>
      <c r="AL20" s="110" t="n">
        <v>4969.2</v>
      </c>
      <c r="AM20" s="110" t="n">
        <v>86</v>
      </c>
      <c r="AN20" s="110" t="n">
        <v>1460</v>
      </c>
      <c r="AO20" s="110" t="n">
        <v>1288</v>
      </c>
      <c r="AP20" s="110" t="n">
        <v>172</v>
      </c>
      <c r="AQ20" s="110" t="n">
        <v>203669</v>
      </c>
      <c r="AR20" s="110" t="n">
        <v>173329</v>
      </c>
      <c r="AS20" s="110" t="n">
        <v>163035</v>
      </c>
      <c r="AT20" s="110" t="n">
        <v>10294</v>
      </c>
      <c r="AU20" s="110" t="n">
        <v>30340</v>
      </c>
      <c r="AV20" s="110" t="n">
        <v>21170</v>
      </c>
      <c r="AW20" s="110" t="n">
        <v>9170</v>
      </c>
      <c r="AX20" s="110" t="n">
        <v>28773</v>
      </c>
      <c r="AY20" s="110" t="n">
        <v>24057</v>
      </c>
      <c r="AZ20" s="110" t="n">
        <v>22498</v>
      </c>
      <c r="BA20" s="110" t="n">
        <v>1559</v>
      </c>
      <c r="BB20" s="110" t="n">
        <v>4716</v>
      </c>
      <c r="BC20" s="110" t="n">
        <v>3311</v>
      </c>
      <c r="BD20" s="110" t="n">
        <v>1405</v>
      </c>
      <c r="BE20" s="110" t="n">
        <v>180538.67</v>
      </c>
      <c r="BF20" s="110" t="n">
        <v>63837.19</v>
      </c>
      <c r="BG20" s="110" t="n">
        <v>63837.19</v>
      </c>
      <c r="BH20" s="110" t="n">
        <v>0</v>
      </c>
      <c r="BI20" s="110" t="n">
        <v>116701.48</v>
      </c>
      <c r="BJ20" s="110" t="n">
        <v>116701.48</v>
      </c>
      <c r="BK20" s="110" t="n">
        <v>0</v>
      </c>
      <c r="BL20" s="110" t="n">
        <v>29195.19</v>
      </c>
      <c r="BM20" s="110" t="n">
        <v>5580.42</v>
      </c>
      <c r="BN20" s="110" t="n">
        <v>5580.42</v>
      </c>
      <c r="BO20" s="110" t="n">
        <v>0</v>
      </c>
      <c r="BP20" s="110" t="n">
        <v>23614.77</v>
      </c>
      <c r="BQ20" s="110" t="n">
        <v>23614.77</v>
      </c>
      <c r="BR20" s="110" t="n">
        <v>0</v>
      </c>
      <c r="BS20" s="110" t="n">
        <v>28772.98</v>
      </c>
      <c r="BT20" s="110" t="n">
        <v>12189.77</v>
      </c>
      <c r="BU20" s="110" t="n">
        <v>12189.77</v>
      </c>
      <c r="BV20" s="110" t="n">
        <v>0</v>
      </c>
      <c r="BW20" s="110" t="n">
        <v>16583.21</v>
      </c>
      <c r="BX20" s="110" t="n">
        <v>16583.21</v>
      </c>
      <c r="BY20" s="110" t="n">
        <v>0</v>
      </c>
      <c r="BZ20" s="110" t="n">
        <v>56440</v>
      </c>
      <c r="CA20" s="110" t="n">
        <v>22771</v>
      </c>
      <c r="CB20" s="110" t="n">
        <v>22771</v>
      </c>
      <c r="CC20" s="110" t="n">
        <v>0</v>
      </c>
      <c r="CD20" s="110" t="n">
        <v>33669</v>
      </c>
      <c r="CE20" s="110" t="n">
        <v>33669</v>
      </c>
      <c r="CF20" s="110" t="n">
        <v>0</v>
      </c>
      <c r="CG20" s="110" t="n">
        <v>66130.5</v>
      </c>
      <c r="CH20" s="110" t="n">
        <v>23296</v>
      </c>
      <c r="CI20" s="110" t="n">
        <v>23296</v>
      </c>
      <c r="CJ20" s="110" t="n">
        <v>0</v>
      </c>
      <c r="CK20" s="110" t="n">
        <v>42834.5</v>
      </c>
      <c r="CL20" s="110" t="n">
        <v>42834.5</v>
      </c>
      <c r="CM20" s="110" t="n">
        <v>0</v>
      </c>
      <c r="CN20" s="110" t="n">
        <v>0</v>
      </c>
      <c r="CO20" s="110" t="n">
        <v>15580.12</v>
      </c>
      <c r="CP20" s="110" t="n">
        <v>260985</v>
      </c>
      <c r="CQ20" s="110" t="n">
        <v>0</v>
      </c>
      <c r="CR20" s="110" t="n">
        <v>0</v>
      </c>
      <c r="CS20" s="110" t="n">
        <v>0</v>
      </c>
      <c r="CT20" s="110" t="n">
        <v>0</v>
      </c>
      <c r="CU20" s="110" t="n">
        <v>0</v>
      </c>
      <c r="CV20" s="111" t="n">
        <v>665</v>
      </c>
      <c r="CW20" s="111" t="n">
        <v>564</v>
      </c>
      <c r="CX20" s="111" t="n">
        <v>528</v>
      </c>
      <c r="CY20" s="111" t="n">
        <v>36</v>
      </c>
      <c r="CZ20" s="111" t="n">
        <v>101</v>
      </c>
      <c r="DA20" s="111" t="n">
        <v>67</v>
      </c>
      <c r="DB20" s="111" t="n">
        <v>34</v>
      </c>
      <c r="DC20" s="111" t="n">
        <v>50</v>
      </c>
      <c r="DD20" s="111" t="n">
        <v>0</v>
      </c>
      <c r="DE20" s="111" t="n">
        <v>46</v>
      </c>
      <c r="DF20" s="111" t="n">
        <v>45</v>
      </c>
      <c r="DG20" s="111" t="n">
        <v>1</v>
      </c>
      <c r="DH20" s="111" t="n">
        <v>4</v>
      </c>
      <c r="DI20" s="111" t="n">
        <v>3</v>
      </c>
      <c r="DJ20" s="111" t="n">
        <v>1</v>
      </c>
      <c r="DK20" s="111" t="n">
        <v>615</v>
      </c>
      <c r="DL20" s="111" t="n">
        <v>518</v>
      </c>
      <c r="DM20" s="111" t="n">
        <v>483</v>
      </c>
      <c r="DN20" s="111" t="n">
        <v>35</v>
      </c>
      <c r="DO20" s="111" t="n">
        <v>97</v>
      </c>
      <c r="DP20" s="111" t="n">
        <v>64</v>
      </c>
      <c r="DQ20" s="111" t="n">
        <v>33</v>
      </c>
      <c r="DR20" s="111" t="n">
        <v>0</v>
      </c>
      <c r="DS20" s="111" t="n">
        <v>0</v>
      </c>
      <c r="DT20" s="111" t="n">
        <v>0</v>
      </c>
      <c r="DU20" s="111" t="n">
        <v>0</v>
      </c>
      <c r="DV20" s="111" t="n">
        <v>0</v>
      </c>
      <c r="DW20" s="111" t="n">
        <v>0</v>
      </c>
      <c r="DX20" s="111" t="n">
        <v>0</v>
      </c>
      <c r="DY20" s="111" t="n">
        <v>0</v>
      </c>
      <c r="DZ20" s="111" t="n">
        <v>0</v>
      </c>
      <c r="EA20" s="111" t="n">
        <v>0</v>
      </c>
      <c r="EB20" s="111" t="n">
        <v>0</v>
      </c>
      <c r="EC20" s="111" t="n">
        <v>0</v>
      </c>
      <c r="ED20" s="111" t="n">
        <v>0</v>
      </c>
      <c r="EE20" s="111" t="n">
        <v>0</v>
      </c>
      <c r="EF20" s="111" t="n">
        <v>0</v>
      </c>
      <c r="EG20" s="111" t="n">
        <v>10</v>
      </c>
      <c r="EH20" s="111" t="n">
        <v>4</v>
      </c>
      <c r="EI20" s="111" t="n">
        <v>4</v>
      </c>
      <c r="EJ20" s="111" t="n">
        <v>0</v>
      </c>
      <c r="EK20" s="111" t="n">
        <v>6</v>
      </c>
      <c r="EL20" s="111" t="n">
        <v>6</v>
      </c>
      <c r="EM20" s="111" t="n">
        <v>0</v>
      </c>
      <c r="EN20" s="111" t="n">
        <v>9</v>
      </c>
      <c r="EO20" s="111" t="n">
        <v>7</v>
      </c>
      <c r="EP20" s="111" t="n">
        <v>0</v>
      </c>
      <c r="EQ20" s="111" t="n">
        <v>2</v>
      </c>
      <c r="ER20" s="111" t="n">
        <v>0</v>
      </c>
      <c r="ES20" s="111" t="n">
        <v>0</v>
      </c>
      <c r="ET20" s="111" t="n">
        <v>0</v>
      </c>
      <c r="EU20" s="111" t="n">
        <v>7</v>
      </c>
      <c r="EV20" s="111" t="n">
        <v>7</v>
      </c>
      <c r="EW20" s="111" t="n">
        <v>0</v>
      </c>
      <c r="EX20" s="111" t="n">
        <v>0</v>
      </c>
      <c r="EY20" s="111" t="n">
        <v>0</v>
      </c>
      <c r="EZ20" s="111" t="n">
        <v>0</v>
      </c>
      <c r="FA20" s="111" t="n">
        <v>0</v>
      </c>
      <c r="FB20" s="111" t="n">
        <v>2</v>
      </c>
    </row>
    <row r="21" ht="19.5" customHeight="1" s="247">
      <c r="A21" s="107" t="n">
        <v>18</v>
      </c>
      <c r="B21" s="107" t="inlineStr">
        <is>
          <t>成人手术</t>
        </is>
      </c>
      <c r="C21" s="107" t="inlineStr">
        <is>
          <t>介入血管外科</t>
        </is>
      </c>
      <c r="D21" s="110" t="n">
        <v>468081</v>
      </c>
      <c r="E21" s="110" t="n">
        <v>77315</v>
      </c>
      <c r="F21" s="110" t="n">
        <v>390766</v>
      </c>
      <c r="G21" s="110" t="n">
        <v>405</v>
      </c>
      <c r="H21" s="110" t="n">
        <v>65</v>
      </c>
      <c r="I21" s="110" t="n">
        <v>336</v>
      </c>
      <c r="J21" s="110" t="n">
        <v>0</v>
      </c>
      <c r="K21" s="110" t="n">
        <v>0</v>
      </c>
      <c r="L21" s="110" t="n">
        <v>70453</v>
      </c>
      <c r="M21" s="110" t="n">
        <v>52842.5</v>
      </c>
      <c r="N21" s="110" t="n">
        <v>0</v>
      </c>
      <c r="O21" s="110" t="n">
        <v>2538485.99</v>
      </c>
      <c r="P21" s="110" t="n">
        <v>1767750.71</v>
      </c>
      <c r="Q21" s="110" t="n">
        <v>1761266.33</v>
      </c>
      <c r="R21" s="110" t="n">
        <v>6484.38</v>
      </c>
      <c r="S21" s="110" t="n">
        <v>770735.28</v>
      </c>
      <c r="T21" s="110" t="n">
        <v>760504.0699999999</v>
      </c>
      <c r="U21" s="110" t="n">
        <v>10231.21</v>
      </c>
      <c r="V21" s="110" t="n">
        <v>137291.87</v>
      </c>
      <c r="W21" s="110" t="n">
        <v>115151.48</v>
      </c>
      <c r="X21" s="110" t="n">
        <v>108667.1</v>
      </c>
      <c r="Y21" s="110" t="n">
        <v>6484.38</v>
      </c>
      <c r="Z21" s="110" t="n">
        <v>22140.39</v>
      </c>
      <c r="AA21" s="110" t="n">
        <v>11909.18</v>
      </c>
      <c r="AB21" s="110" t="n">
        <v>10231.21</v>
      </c>
      <c r="AC21" s="110" t="n">
        <v>59197.37</v>
      </c>
      <c r="AD21" s="110" t="n">
        <v>49770.98</v>
      </c>
      <c r="AE21" s="110" t="n">
        <v>46666.6</v>
      </c>
      <c r="AF21" s="110" t="n">
        <v>3104.38</v>
      </c>
      <c r="AG21" s="110" t="n">
        <v>9426.389999999999</v>
      </c>
      <c r="AH21" s="110" t="n">
        <v>4980.18</v>
      </c>
      <c r="AI21" s="110" t="n">
        <v>4446.21</v>
      </c>
      <c r="AJ21" s="110" t="n">
        <v>779.5</v>
      </c>
      <c r="AK21" s="110" t="n">
        <v>693.5</v>
      </c>
      <c r="AL21" s="110" t="n">
        <v>650.5</v>
      </c>
      <c r="AM21" s="110" t="n">
        <v>43</v>
      </c>
      <c r="AN21" s="110" t="n">
        <v>86</v>
      </c>
      <c r="AO21" s="110" t="n">
        <v>86</v>
      </c>
      <c r="AP21" s="110" t="n">
        <v>0</v>
      </c>
      <c r="AQ21" s="110" t="n">
        <v>60734</v>
      </c>
      <c r="AR21" s="110" t="n">
        <v>50776</v>
      </c>
      <c r="AS21" s="110" t="n">
        <v>48239</v>
      </c>
      <c r="AT21" s="110" t="n">
        <v>2537</v>
      </c>
      <c r="AU21" s="110" t="n">
        <v>9958</v>
      </c>
      <c r="AV21" s="110" t="n">
        <v>5013</v>
      </c>
      <c r="AW21" s="110" t="n">
        <v>4945</v>
      </c>
      <c r="AX21" s="110" t="n">
        <v>16581</v>
      </c>
      <c r="AY21" s="110" t="n">
        <v>13911</v>
      </c>
      <c r="AZ21" s="110" t="n">
        <v>13111</v>
      </c>
      <c r="BA21" s="110" t="n">
        <v>800</v>
      </c>
      <c r="BB21" s="110" t="n">
        <v>2670</v>
      </c>
      <c r="BC21" s="110" t="n">
        <v>1830</v>
      </c>
      <c r="BD21" s="110" t="n">
        <v>840</v>
      </c>
      <c r="BE21" s="110" t="n">
        <v>2401194.12</v>
      </c>
      <c r="BF21" s="110" t="n">
        <v>1652599.23</v>
      </c>
      <c r="BG21" s="110" t="n">
        <v>1652599.23</v>
      </c>
      <c r="BH21" s="110" t="n">
        <v>0</v>
      </c>
      <c r="BI21" s="110" t="n">
        <v>748594.89</v>
      </c>
      <c r="BJ21" s="110" t="n">
        <v>748594.89</v>
      </c>
      <c r="BK21" s="110" t="n">
        <v>0</v>
      </c>
      <c r="BL21" s="110" t="n">
        <v>123131.43</v>
      </c>
      <c r="BM21" s="110" t="n">
        <v>76012.16</v>
      </c>
      <c r="BN21" s="110" t="n">
        <v>76012.16</v>
      </c>
      <c r="BO21" s="110" t="n">
        <v>0</v>
      </c>
      <c r="BP21" s="110" t="n">
        <v>47119.27</v>
      </c>
      <c r="BQ21" s="110" t="n">
        <v>47119.27</v>
      </c>
      <c r="BR21" s="110" t="n">
        <v>0</v>
      </c>
      <c r="BS21" s="110" t="n">
        <v>1887296.69</v>
      </c>
      <c r="BT21" s="110" t="n">
        <v>1333219.07</v>
      </c>
      <c r="BU21" s="110" t="n">
        <v>1333219.07</v>
      </c>
      <c r="BV21" s="110" t="n">
        <v>0</v>
      </c>
      <c r="BW21" s="110" t="n">
        <v>554077.62</v>
      </c>
      <c r="BX21" s="110" t="n">
        <v>554077.62</v>
      </c>
      <c r="BY21" s="110" t="n">
        <v>0</v>
      </c>
      <c r="BZ21" s="110" t="n">
        <v>216567</v>
      </c>
      <c r="CA21" s="110" t="n">
        <v>142123</v>
      </c>
      <c r="CB21" s="110" t="n">
        <v>142123</v>
      </c>
      <c r="CC21" s="110" t="n">
        <v>0</v>
      </c>
      <c r="CD21" s="110" t="n">
        <v>74444</v>
      </c>
      <c r="CE21" s="110" t="n">
        <v>74444</v>
      </c>
      <c r="CF21" s="110" t="n">
        <v>0</v>
      </c>
      <c r="CG21" s="110" t="n">
        <v>174199</v>
      </c>
      <c r="CH21" s="110" t="n">
        <v>101245</v>
      </c>
      <c r="CI21" s="110" t="n">
        <v>101245</v>
      </c>
      <c r="CJ21" s="110" t="n">
        <v>0</v>
      </c>
      <c r="CK21" s="110" t="n">
        <v>72954</v>
      </c>
      <c r="CL21" s="110" t="n">
        <v>72954</v>
      </c>
      <c r="CM21" s="110" t="n">
        <v>0</v>
      </c>
      <c r="CN21" s="110" t="n">
        <v>0</v>
      </c>
      <c r="CO21" s="110" t="n">
        <v>0</v>
      </c>
      <c r="CP21" s="110" t="n">
        <v>86236.44</v>
      </c>
      <c r="CQ21" s="110" t="n">
        <v>51055.43</v>
      </c>
      <c r="CR21" s="110" t="n">
        <v>0</v>
      </c>
      <c r="CS21" s="110" t="n">
        <v>0</v>
      </c>
      <c r="CT21" s="110" t="n">
        <v>0</v>
      </c>
      <c r="CU21" s="110" t="n">
        <v>0</v>
      </c>
      <c r="CV21" s="111" t="n">
        <v>405</v>
      </c>
      <c r="CW21" s="111" t="n">
        <v>339</v>
      </c>
      <c r="CX21" s="111" t="n">
        <v>319</v>
      </c>
      <c r="CY21" s="111" t="n">
        <v>20</v>
      </c>
      <c r="CZ21" s="111" t="n">
        <v>66</v>
      </c>
      <c r="DA21" s="111" t="n">
        <v>43</v>
      </c>
      <c r="DB21" s="111" t="n">
        <v>23</v>
      </c>
      <c r="DC21" s="111" t="n">
        <v>151</v>
      </c>
      <c r="DD21" s="111" t="n">
        <v>0</v>
      </c>
      <c r="DE21" s="111" t="n">
        <v>127</v>
      </c>
      <c r="DF21" s="111" t="n">
        <v>119</v>
      </c>
      <c r="DG21" s="111" t="n">
        <v>8</v>
      </c>
      <c r="DH21" s="111" t="n">
        <v>24</v>
      </c>
      <c r="DI21" s="111" t="n">
        <v>12</v>
      </c>
      <c r="DJ21" s="111" t="n">
        <v>12</v>
      </c>
      <c r="DK21" s="111" t="n">
        <v>254</v>
      </c>
      <c r="DL21" s="111" t="n">
        <v>212</v>
      </c>
      <c r="DM21" s="111" t="n">
        <v>200</v>
      </c>
      <c r="DN21" s="111" t="n">
        <v>12</v>
      </c>
      <c r="DO21" s="111" t="n">
        <v>42</v>
      </c>
      <c r="DP21" s="111" t="n">
        <v>31</v>
      </c>
      <c r="DQ21" s="111" t="n">
        <v>11</v>
      </c>
      <c r="DR21" s="111" t="n">
        <v>0</v>
      </c>
      <c r="DS21" s="111" t="n">
        <v>0</v>
      </c>
      <c r="DT21" s="111" t="n">
        <v>0</v>
      </c>
      <c r="DU21" s="111" t="n">
        <v>0</v>
      </c>
      <c r="DV21" s="111" t="n">
        <v>0</v>
      </c>
      <c r="DW21" s="111" t="n">
        <v>0</v>
      </c>
      <c r="DX21" s="111" t="n">
        <v>0</v>
      </c>
      <c r="DY21" s="111" t="n">
        <v>0</v>
      </c>
      <c r="DZ21" s="111" t="n">
        <v>0</v>
      </c>
      <c r="EA21" s="111" t="n">
        <v>0</v>
      </c>
      <c r="EB21" s="111" t="n">
        <v>0</v>
      </c>
      <c r="EC21" s="111" t="n">
        <v>0</v>
      </c>
      <c r="ED21" s="111" t="n">
        <v>0</v>
      </c>
      <c r="EE21" s="111" t="n">
        <v>0</v>
      </c>
      <c r="EF21" s="111" t="n">
        <v>0</v>
      </c>
      <c r="EG21" s="111" t="n">
        <v>65</v>
      </c>
      <c r="EH21" s="111" t="n">
        <v>40</v>
      </c>
      <c r="EI21" s="111" t="n">
        <v>40</v>
      </c>
      <c r="EJ21" s="111" t="n">
        <v>0</v>
      </c>
      <c r="EK21" s="111" t="n">
        <v>25</v>
      </c>
      <c r="EL21" s="111" t="n">
        <v>25</v>
      </c>
      <c r="EM21" s="111" t="n">
        <v>0</v>
      </c>
      <c r="EN21" s="111" t="n">
        <v>63</v>
      </c>
      <c r="EO21" s="111" t="n">
        <v>18</v>
      </c>
      <c r="EP21" s="111" t="n">
        <v>38</v>
      </c>
      <c r="EQ21" s="111" t="n">
        <v>7</v>
      </c>
      <c r="ER21" s="111" t="n">
        <v>0</v>
      </c>
      <c r="ES21" s="111" t="n">
        <v>0</v>
      </c>
      <c r="ET21" s="111" t="n">
        <v>0</v>
      </c>
      <c r="EU21" s="111" t="n">
        <v>27</v>
      </c>
      <c r="EV21" s="111" t="n">
        <v>0</v>
      </c>
      <c r="EW21" s="111" t="n">
        <v>27</v>
      </c>
      <c r="EX21" s="111" t="n">
        <v>0</v>
      </c>
      <c r="EY21" s="111" t="n">
        <v>5</v>
      </c>
      <c r="EZ21" s="111" t="n">
        <v>0</v>
      </c>
      <c r="FA21" s="111" t="n">
        <v>5</v>
      </c>
      <c r="FB21" s="111" t="n">
        <v>17</v>
      </c>
    </row>
    <row r="22" ht="19.5" customHeight="1" s="247">
      <c r="A22" s="107" t="n">
        <v>19</v>
      </c>
      <c r="B22" s="107" t="inlineStr">
        <is>
          <t>成人手术</t>
        </is>
      </c>
      <c r="C22" s="107" t="inlineStr">
        <is>
          <t>妇产科</t>
        </is>
      </c>
      <c r="D22" s="110" t="n">
        <v>2030040.75</v>
      </c>
      <c r="E22" s="110" t="n">
        <v>782297</v>
      </c>
      <c r="F22" s="110" t="n">
        <v>1247743.75</v>
      </c>
      <c r="G22" s="110" t="n">
        <v>2606</v>
      </c>
      <c r="H22" s="110" t="n">
        <v>175</v>
      </c>
      <c r="I22" s="110" t="n">
        <v>11219</v>
      </c>
      <c r="J22" s="110" t="n">
        <v>2253</v>
      </c>
      <c r="K22" s="110" t="n">
        <v>10411.14</v>
      </c>
      <c r="L22" s="110" t="n">
        <v>101733.75</v>
      </c>
      <c r="M22" s="110" t="n">
        <v>315766</v>
      </c>
      <c r="N22" s="110" t="n">
        <v>1599.45</v>
      </c>
      <c r="O22" s="110" t="n">
        <v>2903802.98</v>
      </c>
      <c r="P22" s="110" t="n">
        <v>2090029</v>
      </c>
      <c r="Q22" s="110" t="n">
        <v>1981175.58</v>
      </c>
      <c r="R22" s="110" t="n">
        <v>108853.42</v>
      </c>
      <c r="S22" s="110" t="n">
        <v>813773.98</v>
      </c>
      <c r="T22" s="110" t="n">
        <v>710107.5</v>
      </c>
      <c r="U22" s="110" t="n">
        <v>103666.48</v>
      </c>
      <c r="V22" s="110" t="n">
        <v>944248.0699999999</v>
      </c>
      <c r="W22" s="110" t="n">
        <v>776976.58</v>
      </c>
      <c r="X22" s="110" t="n">
        <v>712025.05</v>
      </c>
      <c r="Y22" s="110" t="n">
        <v>64951.53</v>
      </c>
      <c r="Z22" s="110" t="n">
        <v>167271.49</v>
      </c>
      <c r="AA22" s="110" t="n">
        <v>95680.69</v>
      </c>
      <c r="AB22" s="110" t="n">
        <v>71590.8</v>
      </c>
      <c r="AC22" s="110" t="n">
        <v>160397.26</v>
      </c>
      <c r="AD22" s="110" t="n">
        <v>134736.38</v>
      </c>
      <c r="AE22" s="110" t="n">
        <v>125965.43</v>
      </c>
      <c r="AF22" s="110" t="n">
        <v>8770.950000000001</v>
      </c>
      <c r="AG22" s="110" t="n">
        <v>25660.88</v>
      </c>
      <c r="AH22" s="110" t="n">
        <v>16169.61</v>
      </c>
      <c r="AI22" s="110" t="n">
        <v>9491.27</v>
      </c>
      <c r="AJ22" s="110" t="n">
        <v>1553.81</v>
      </c>
      <c r="AK22" s="110" t="n">
        <v>1225.2</v>
      </c>
      <c r="AL22" s="110" t="n">
        <v>1066.62</v>
      </c>
      <c r="AM22" s="110" t="n">
        <v>158.58</v>
      </c>
      <c r="AN22" s="110" t="n">
        <v>328.61</v>
      </c>
      <c r="AO22" s="110" t="n">
        <v>146.08</v>
      </c>
      <c r="AP22" s="110" t="n">
        <v>182.53</v>
      </c>
      <c r="AQ22" s="110" t="n">
        <v>688229</v>
      </c>
      <c r="AR22" s="110" t="n">
        <v>566292</v>
      </c>
      <c r="AS22" s="110" t="n">
        <v>517161</v>
      </c>
      <c r="AT22" s="110" t="n">
        <v>49131</v>
      </c>
      <c r="AU22" s="110" t="n">
        <v>121937</v>
      </c>
      <c r="AV22" s="110" t="n">
        <v>67262</v>
      </c>
      <c r="AW22" s="110" t="n">
        <v>54675</v>
      </c>
      <c r="AX22" s="110" t="n">
        <v>94068</v>
      </c>
      <c r="AY22" s="110" t="n">
        <v>74723</v>
      </c>
      <c r="AZ22" s="110" t="n">
        <v>67832</v>
      </c>
      <c r="BA22" s="110" t="n">
        <v>6891</v>
      </c>
      <c r="BB22" s="110" t="n">
        <v>19345</v>
      </c>
      <c r="BC22" s="110" t="n">
        <v>12103</v>
      </c>
      <c r="BD22" s="110" t="n">
        <v>7242</v>
      </c>
      <c r="BE22" s="110" t="n">
        <v>1959554.91</v>
      </c>
      <c r="BF22" s="110" t="n">
        <v>1313052.42</v>
      </c>
      <c r="BG22" s="110" t="n">
        <v>1269150.53</v>
      </c>
      <c r="BH22" s="110" t="n">
        <v>43901.89</v>
      </c>
      <c r="BI22" s="110" t="n">
        <v>646502.49</v>
      </c>
      <c r="BJ22" s="110" t="n">
        <v>614426.8100000001</v>
      </c>
      <c r="BK22" s="110" t="n">
        <v>32075.68</v>
      </c>
      <c r="BL22" s="110" t="n">
        <v>237744.28</v>
      </c>
      <c r="BM22" s="110" t="n">
        <v>145148.32</v>
      </c>
      <c r="BN22" s="110" t="n">
        <v>138891.5</v>
      </c>
      <c r="BO22" s="110" t="n">
        <v>6256.82</v>
      </c>
      <c r="BP22" s="110" t="n">
        <v>92595.96000000001</v>
      </c>
      <c r="BQ22" s="110" t="n">
        <v>87959.48</v>
      </c>
      <c r="BR22" s="110" t="n">
        <v>4636.48</v>
      </c>
      <c r="BS22" s="110" t="n">
        <v>474066.88</v>
      </c>
      <c r="BT22" s="110" t="n">
        <v>306838.85</v>
      </c>
      <c r="BU22" s="110" t="n">
        <v>300802.78</v>
      </c>
      <c r="BV22" s="110" t="n">
        <v>6036.07</v>
      </c>
      <c r="BW22" s="110" t="n">
        <v>167228.03</v>
      </c>
      <c r="BX22" s="110" t="n">
        <v>157248.33</v>
      </c>
      <c r="BY22" s="110" t="n">
        <v>9979.700000000001</v>
      </c>
      <c r="BZ22" s="110" t="n">
        <v>576390</v>
      </c>
      <c r="CA22" s="110" t="n">
        <v>399108</v>
      </c>
      <c r="CB22" s="110" t="n">
        <v>388062</v>
      </c>
      <c r="CC22" s="110" t="n">
        <v>11046</v>
      </c>
      <c r="CD22" s="110" t="n">
        <v>177282</v>
      </c>
      <c r="CE22" s="110" t="n">
        <v>172177</v>
      </c>
      <c r="CF22" s="110" t="n">
        <v>5105</v>
      </c>
      <c r="CG22" s="110" t="n">
        <v>671353.75</v>
      </c>
      <c r="CH22" s="110" t="n">
        <v>461957.25</v>
      </c>
      <c r="CI22" s="110" t="n">
        <v>441394.25</v>
      </c>
      <c r="CJ22" s="110" t="n">
        <v>20563</v>
      </c>
      <c r="CK22" s="110" t="n">
        <v>209396.5</v>
      </c>
      <c r="CL22" s="110" t="n">
        <v>197042</v>
      </c>
      <c r="CM22" s="110" t="n">
        <v>12354.5</v>
      </c>
      <c r="CN22" s="110" t="n">
        <v>56997.22</v>
      </c>
      <c r="CO22" s="110" t="n">
        <v>510936.15</v>
      </c>
      <c r="CP22" s="110" t="n">
        <v>259640.03</v>
      </c>
      <c r="CQ22" s="110" t="n">
        <v>115858.67</v>
      </c>
      <c r="CR22" s="110" t="n">
        <v>0</v>
      </c>
      <c r="CS22" s="110" t="n">
        <v>816</v>
      </c>
      <c r="CT22" s="110" t="n">
        <v>0</v>
      </c>
      <c r="CU22" s="110" t="n">
        <v>0</v>
      </c>
      <c r="CV22" s="111" t="n">
        <v>2606</v>
      </c>
      <c r="CW22" s="111" t="n">
        <v>2131</v>
      </c>
      <c r="CX22" s="111" t="n">
        <v>1915</v>
      </c>
      <c r="CY22" s="111" t="n">
        <v>216</v>
      </c>
      <c r="CZ22" s="111" t="n">
        <v>475</v>
      </c>
      <c r="DA22" s="111" t="n">
        <v>261</v>
      </c>
      <c r="DB22" s="111" t="n">
        <v>214</v>
      </c>
      <c r="DC22" s="111" t="n">
        <v>1805</v>
      </c>
      <c r="DD22" s="111" t="n">
        <v>0</v>
      </c>
      <c r="DE22" s="111" t="n">
        <v>1483</v>
      </c>
      <c r="DF22" s="111" t="n">
        <v>1338</v>
      </c>
      <c r="DG22" s="111" t="n">
        <v>145</v>
      </c>
      <c r="DH22" s="111" t="n">
        <v>322</v>
      </c>
      <c r="DI22" s="111" t="n">
        <v>156</v>
      </c>
      <c r="DJ22" s="111" t="n">
        <v>166</v>
      </c>
      <c r="DK22" s="111" t="n">
        <v>659</v>
      </c>
      <c r="DL22" s="111" t="n">
        <v>528</v>
      </c>
      <c r="DM22" s="111" t="n">
        <v>478</v>
      </c>
      <c r="DN22" s="111" t="n">
        <v>50</v>
      </c>
      <c r="DO22" s="111" t="n">
        <v>131</v>
      </c>
      <c r="DP22" s="111" t="n">
        <v>96</v>
      </c>
      <c r="DQ22" s="111" t="n">
        <v>35</v>
      </c>
      <c r="DR22" s="111" t="n">
        <v>1</v>
      </c>
      <c r="DS22" s="111" t="n">
        <v>0</v>
      </c>
      <c r="DT22" s="111" t="n">
        <v>0</v>
      </c>
      <c r="DU22" s="111" t="n">
        <v>0</v>
      </c>
      <c r="DV22" s="111" t="n">
        <v>0</v>
      </c>
      <c r="DW22" s="111" t="n">
        <v>1</v>
      </c>
      <c r="DX22" s="111" t="n">
        <v>1</v>
      </c>
      <c r="DY22" s="111" t="n">
        <v>0</v>
      </c>
      <c r="DZ22" s="111" t="n">
        <v>141</v>
      </c>
      <c r="EA22" s="111" t="n">
        <v>120</v>
      </c>
      <c r="EB22" s="111" t="n">
        <v>99</v>
      </c>
      <c r="EC22" s="111" t="n">
        <v>21</v>
      </c>
      <c r="ED22" s="111" t="n">
        <v>21</v>
      </c>
      <c r="EE22" s="111" t="n">
        <v>8</v>
      </c>
      <c r="EF22" s="111" t="n">
        <v>13</v>
      </c>
      <c r="EG22" s="111" t="n">
        <v>175</v>
      </c>
      <c r="EH22" s="111" t="n">
        <v>125</v>
      </c>
      <c r="EI22" s="111" t="n">
        <v>115</v>
      </c>
      <c r="EJ22" s="111" t="n">
        <v>10</v>
      </c>
      <c r="EK22" s="111" t="n">
        <v>50</v>
      </c>
      <c r="EL22" s="111" t="n">
        <v>48</v>
      </c>
      <c r="EM22" s="111" t="n">
        <v>2</v>
      </c>
      <c r="EN22" s="111" t="n">
        <v>159</v>
      </c>
      <c r="EO22" s="111" t="n">
        <v>99</v>
      </c>
      <c r="EP22" s="111" t="n">
        <v>0</v>
      </c>
      <c r="EQ22" s="111" t="n">
        <v>60</v>
      </c>
      <c r="ER22" s="111" t="n">
        <v>33</v>
      </c>
      <c r="ES22" s="111" t="n">
        <v>0</v>
      </c>
      <c r="ET22" s="111" t="n">
        <v>0</v>
      </c>
      <c r="EU22" s="111" t="n">
        <v>76</v>
      </c>
      <c r="EV22" s="111" t="n">
        <v>76</v>
      </c>
      <c r="EW22" s="111" t="n">
        <v>0</v>
      </c>
      <c r="EX22" s="111" t="n">
        <v>0</v>
      </c>
      <c r="EY22" s="111" t="n">
        <v>14</v>
      </c>
      <c r="EZ22" s="111" t="n">
        <v>14</v>
      </c>
      <c r="FA22" s="111" t="n">
        <v>0</v>
      </c>
      <c r="FB22" s="111" t="n">
        <v>26</v>
      </c>
    </row>
    <row r="23" ht="19.5" customHeight="1" s="247">
      <c r="A23" s="107" t="n">
        <v>20</v>
      </c>
      <c r="B23" s="107" t="inlineStr">
        <is>
          <t>儿童非手术</t>
        </is>
      </c>
      <c r="C23" s="107" t="inlineStr">
        <is>
          <t>儿内科</t>
        </is>
      </c>
      <c r="D23" s="110" t="n">
        <v>51028</v>
      </c>
      <c r="E23" s="110" t="n">
        <v>51028</v>
      </c>
      <c r="F23" s="110" t="n">
        <v>0</v>
      </c>
      <c r="G23" s="110" t="n">
        <v>295</v>
      </c>
      <c r="H23" s="110" t="n">
        <v>0</v>
      </c>
      <c r="I23" s="110" t="n">
        <v>724</v>
      </c>
      <c r="J23" s="110" t="n">
        <v>0</v>
      </c>
      <c r="K23" s="110" t="n">
        <v>0</v>
      </c>
      <c r="L23" s="110" t="n">
        <v>0</v>
      </c>
      <c r="M23" s="110" t="n">
        <v>0</v>
      </c>
      <c r="N23" s="110" t="n">
        <v>0</v>
      </c>
      <c r="O23" s="110" t="n">
        <v>105577.31</v>
      </c>
      <c r="P23" s="110" t="n">
        <v>96436.32000000001</v>
      </c>
      <c r="Q23" s="110" t="n">
        <v>87764.28999999999</v>
      </c>
      <c r="R23" s="110" t="n">
        <v>8672.030000000001</v>
      </c>
      <c r="S23" s="110" t="n">
        <v>9140.99</v>
      </c>
      <c r="T23" s="110" t="n">
        <v>3434.02</v>
      </c>
      <c r="U23" s="110" t="n">
        <v>5706.97</v>
      </c>
      <c r="V23" s="110" t="n">
        <v>105577.31</v>
      </c>
      <c r="W23" s="110" t="n">
        <v>96436.32000000001</v>
      </c>
      <c r="X23" s="110" t="n">
        <v>87764.28999999999</v>
      </c>
      <c r="Y23" s="110" t="n">
        <v>8672.030000000001</v>
      </c>
      <c r="Z23" s="110" t="n">
        <v>9140.99</v>
      </c>
      <c r="AA23" s="110" t="n">
        <v>3434.02</v>
      </c>
      <c r="AB23" s="110" t="n">
        <v>5706.97</v>
      </c>
      <c r="AC23" s="110" t="n">
        <v>53322.6</v>
      </c>
      <c r="AD23" s="110" t="n">
        <v>49695.19</v>
      </c>
      <c r="AE23" s="110" t="n">
        <v>45627.51</v>
      </c>
      <c r="AF23" s="110" t="n">
        <v>4067.68</v>
      </c>
      <c r="AG23" s="110" t="n">
        <v>3627.41</v>
      </c>
      <c r="AH23" s="110" t="n">
        <v>1099.44</v>
      </c>
      <c r="AI23" s="110" t="n">
        <v>2527.97</v>
      </c>
      <c r="AJ23" s="110" t="n">
        <v>1226.71</v>
      </c>
      <c r="AK23" s="110" t="n">
        <v>1180.13</v>
      </c>
      <c r="AL23" s="110" t="n">
        <v>1009.78</v>
      </c>
      <c r="AM23" s="110" t="n">
        <v>170.35</v>
      </c>
      <c r="AN23" s="110" t="n">
        <v>46.58</v>
      </c>
      <c r="AO23" s="110" t="n">
        <v>46.58</v>
      </c>
      <c r="AP23" s="110" t="n">
        <v>0</v>
      </c>
      <c r="AQ23" s="110" t="n">
        <v>42073</v>
      </c>
      <c r="AR23" s="110" t="n">
        <v>37521</v>
      </c>
      <c r="AS23" s="110" t="n">
        <v>34202</v>
      </c>
      <c r="AT23" s="110" t="n">
        <v>3319</v>
      </c>
      <c r="AU23" s="110" t="n">
        <v>4552</v>
      </c>
      <c r="AV23" s="110" t="n">
        <v>1908</v>
      </c>
      <c r="AW23" s="110" t="n">
        <v>2644</v>
      </c>
      <c r="AX23" s="110" t="n">
        <v>8955</v>
      </c>
      <c r="AY23" s="110" t="n">
        <v>8040</v>
      </c>
      <c r="AZ23" s="110" t="n">
        <v>6925</v>
      </c>
      <c r="BA23" s="110" t="n">
        <v>1115</v>
      </c>
      <c r="BB23" s="110" t="n">
        <v>915</v>
      </c>
      <c r="BC23" s="110" t="n">
        <v>380</v>
      </c>
      <c r="BD23" s="110" t="n">
        <v>535</v>
      </c>
      <c r="BE23" s="110" t="n">
        <v>0</v>
      </c>
      <c r="BF23" s="110" t="n">
        <v>0</v>
      </c>
      <c r="BG23" s="110" t="n">
        <v>0</v>
      </c>
      <c r="BH23" s="110" t="n">
        <v>0</v>
      </c>
      <c r="BI23" s="110" t="n">
        <v>0</v>
      </c>
      <c r="BJ23" s="110" t="n">
        <v>0</v>
      </c>
      <c r="BK23" s="110" t="n">
        <v>0</v>
      </c>
      <c r="BL23" s="110" t="n">
        <v>0</v>
      </c>
      <c r="BM23" s="110" t="n">
        <v>0</v>
      </c>
      <c r="BN23" s="110" t="n">
        <v>0</v>
      </c>
      <c r="BO23" s="110" t="n">
        <v>0</v>
      </c>
      <c r="BP23" s="110" t="n">
        <v>0</v>
      </c>
      <c r="BQ23" s="110" t="n">
        <v>0</v>
      </c>
      <c r="BR23" s="110" t="n">
        <v>0</v>
      </c>
      <c r="BS23" s="110" t="n">
        <v>0</v>
      </c>
      <c r="BT23" s="110" t="n">
        <v>0</v>
      </c>
      <c r="BU23" s="110" t="n">
        <v>0</v>
      </c>
      <c r="BV23" s="110" t="n">
        <v>0</v>
      </c>
      <c r="BW23" s="110" t="n">
        <v>0</v>
      </c>
      <c r="BX23" s="110" t="n">
        <v>0</v>
      </c>
      <c r="BY23" s="110" t="n">
        <v>0</v>
      </c>
      <c r="BZ23" s="110" t="n">
        <v>0</v>
      </c>
      <c r="CA23" s="110" t="n">
        <v>0</v>
      </c>
      <c r="CB23" s="110" t="n">
        <v>0</v>
      </c>
      <c r="CC23" s="110" t="n">
        <v>0</v>
      </c>
      <c r="CD23" s="110" t="n">
        <v>0</v>
      </c>
      <c r="CE23" s="110" t="n">
        <v>0</v>
      </c>
      <c r="CF23" s="110" t="n">
        <v>0</v>
      </c>
      <c r="CG23" s="110" t="n">
        <v>0</v>
      </c>
      <c r="CH23" s="110" t="n">
        <v>0</v>
      </c>
      <c r="CI23" s="110" t="n">
        <v>0</v>
      </c>
      <c r="CJ23" s="110" t="n">
        <v>0</v>
      </c>
      <c r="CK23" s="110" t="n">
        <v>0</v>
      </c>
      <c r="CL23" s="110" t="n">
        <v>0</v>
      </c>
      <c r="CM23" s="110" t="n">
        <v>0</v>
      </c>
      <c r="CN23" s="110" t="n">
        <v>10432.46</v>
      </c>
      <c r="CO23" s="110" t="n">
        <v>87000.88</v>
      </c>
      <c r="CP23" s="110" t="n">
        <v>8007.97</v>
      </c>
      <c r="CQ23" s="110" t="n">
        <v>0</v>
      </c>
      <c r="CR23" s="110" t="n">
        <v>136</v>
      </c>
      <c r="CS23" s="110" t="n">
        <v>0</v>
      </c>
      <c r="CT23" s="110" t="n">
        <v>0</v>
      </c>
      <c r="CU23" s="110" t="n">
        <v>0</v>
      </c>
      <c r="CV23" s="111" t="n">
        <v>295</v>
      </c>
      <c r="CW23" s="111" t="n">
        <v>264</v>
      </c>
      <c r="CX23" s="111" t="n">
        <v>225</v>
      </c>
      <c r="CY23" s="111" t="n">
        <v>39</v>
      </c>
      <c r="CZ23" s="111" t="n">
        <v>31</v>
      </c>
      <c r="DA23" s="111" t="n">
        <v>12</v>
      </c>
      <c r="DB23" s="111" t="n">
        <v>19</v>
      </c>
      <c r="DC23" s="111" t="n">
        <v>210</v>
      </c>
      <c r="DD23" s="111" t="n">
        <v>0</v>
      </c>
      <c r="DE23" s="111" t="n">
        <v>189</v>
      </c>
      <c r="DF23" s="111" t="n">
        <v>163</v>
      </c>
      <c r="DG23" s="111" t="n">
        <v>26</v>
      </c>
      <c r="DH23" s="111" t="n">
        <v>21</v>
      </c>
      <c r="DI23" s="111" t="n">
        <v>6</v>
      </c>
      <c r="DJ23" s="111" t="n">
        <v>15</v>
      </c>
      <c r="DK23" s="111" t="n">
        <v>25</v>
      </c>
      <c r="DL23" s="111" t="n">
        <v>18</v>
      </c>
      <c r="DM23" s="111" t="n">
        <v>15</v>
      </c>
      <c r="DN23" s="111" t="n">
        <v>3</v>
      </c>
      <c r="DO23" s="111" t="n">
        <v>7</v>
      </c>
      <c r="DP23" s="111" t="n">
        <v>3</v>
      </c>
      <c r="DQ23" s="111" t="n">
        <v>4</v>
      </c>
      <c r="DR23" s="111" t="n">
        <v>1</v>
      </c>
      <c r="DS23" s="111" t="n">
        <v>0</v>
      </c>
      <c r="DT23" s="111" t="n">
        <v>1</v>
      </c>
      <c r="DU23" s="111" t="n">
        <v>1</v>
      </c>
      <c r="DV23" s="111" t="n">
        <v>0</v>
      </c>
      <c r="DW23" s="111" t="n">
        <v>0</v>
      </c>
      <c r="DX23" s="111" t="n">
        <v>0</v>
      </c>
      <c r="DY23" s="111" t="n">
        <v>0</v>
      </c>
      <c r="DZ23" s="111" t="n">
        <v>59</v>
      </c>
      <c r="EA23" s="111" t="n">
        <v>56</v>
      </c>
      <c r="EB23" s="111" t="n">
        <v>46</v>
      </c>
      <c r="EC23" s="111" t="n">
        <v>10</v>
      </c>
      <c r="ED23" s="111" t="n">
        <v>3</v>
      </c>
      <c r="EE23" s="111" t="n">
        <v>3</v>
      </c>
      <c r="EF23" s="111" t="n">
        <v>0</v>
      </c>
      <c r="EG23" s="111" t="n">
        <v>0</v>
      </c>
      <c r="EH23" s="111" t="n">
        <v>0</v>
      </c>
      <c r="EI23" s="111" t="n">
        <v>0</v>
      </c>
      <c r="EJ23" s="111" t="n">
        <v>0</v>
      </c>
      <c r="EK23" s="111" t="n">
        <v>0</v>
      </c>
      <c r="EL23" s="111" t="n">
        <v>0</v>
      </c>
      <c r="EM23" s="111" t="n">
        <v>0</v>
      </c>
      <c r="EN23" s="111" t="n">
        <v>0</v>
      </c>
      <c r="EO23" s="111" t="n">
        <v>0</v>
      </c>
      <c r="EP23" s="111" t="n">
        <v>0</v>
      </c>
      <c r="EQ23" s="111" t="n">
        <v>0</v>
      </c>
      <c r="ER23" s="111" t="n">
        <v>0</v>
      </c>
      <c r="ES23" s="111" t="n">
        <v>0</v>
      </c>
      <c r="ET23" s="111" t="n">
        <v>0</v>
      </c>
      <c r="EU23" s="111" t="n">
        <v>0</v>
      </c>
      <c r="EV23" s="111" t="n">
        <v>0</v>
      </c>
      <c r="EW23" s="111" t="n">
        <v>0</v>
      </c>
      <c r="EX23" s="111" t="n">
        <v>0</v>
      </c>
      <c r="EY23" s="111" t="n">
        <v>0</v>
      </c>
      <c r="EZ23" s="111" t="n">
        <v>0</v>
      </c>
      <c r="FA23" s="111" t="n">
        <v>0</v>
      </c>
      <c r="FB23" s="111" t="n">
        <v>0</v>
      </c>
    </row>
    <row r="24" ht="19.5" customHeight="1" s="247">
      <c r="A24" s="107" t="n">
        <v>21</v>
      </c>
      <c r="B24" s="107" t="inlineStr">
        <is>
          <t>儿童非手术</t>
        </is>
      </c>
      <c r="C24" s="107" t="inlineStr">
        <is>
          <t>儿消化营养科</t>
        </is>
      </c>
      <c r="D24" s="110" t="n">
        <v>134783</v>
      </c>
      <c r="E24" s="110" t="n">
        <v>134783</v>
      </c>
      <c r="F24" s="110" t="n">
        <v>0</v>
      </c>
      <c r="G24" s="110" t="n">
        <v>644</v>
      </c>
      <c r="H24" s="110" t="n">
        <v>0</v>
      </c>
      <c r="I24" s="110" t="n">
        <v>1938</v>
      </c>
      <c r="J24" s="110" t="n">
        <v>0</v>
      </c>
      <c r="K24" s="110" t="n">
        <v>0</v>
      </c>
      <c r="L24" s="110" t="n">
        <v>0</v>
      </c>
      <c r="M24" s="110" t="n">
        <v>0</v>
      </c>
      <c r="N24" s="110" t="n">
        <v>0</v>
      </c>
      <c r="O24" s="110" t="n">
        <v>235378.52</v>
      </c>
      <c r="P24" s="110" t="n">
        <v>218768.56</v>
      </c>
      <c r="Q24" s="110" t="n">
        <v>195973.78</v>
      </c>
      <c r="R24" s="110" t="n">
        <v>22794.78</v>
      </c>
      <c r="S24" s="110" t="n">
        <v>16609.96</v>
      </c>
      <c r="T24" s="110" t="n">
        <v>9128.66</v>
      </c>
      <c r="U24" s="110" t="n">
        <v>7481.3</v>
      </c>
      <c r="V24" s="110" t="n">
        <v>235378.52</v>
      </c>
      <c r="W24" s="110" t="n">
        <v>218768.56</v>
      </c>
      <c r="X24" s="110" t="n">
        <v>195973.78</v>
      </c>
      <c r="Y24" s="110" t="n">
        <v>22794.78</v>
      </c>
      <c r="Z24" s="110" t="n">
        <v>16609.96</v>
      </c>
      <c r="AA24" s="110" t="n">
        <v>9128.66</v>
      </c>
      <c r="AB24" s="110" t="n">
        <v>7481.3</v>
      </c>
      <c r="AC24" s="110" t="n">
        <v>96894.24000000001</v>
      </c>
      <c r="AD24" s="110" t="n">
        <v>90441.14</v>
      </c>
      <c r="AE24" s="110" t="n">
        <v>83006.16</v>
      </c>
      <c r="AF24" s="110" t="n">
        <v>7434.98</v>
      </c>
      <c r="AG24" s="110" t="n">
        <v>6453.1</v>
      </c>
      <c r="AH24" s="110" t="n">
        <v>4218.96</v>
      </c>
      <c r="AI24" s="110" t="n">
        <v>2234.14</v>
      </c>
      <c r="AJ24" s="110" t="n">
        <v>3701.28</v>
      </c>
      <c r="AK24" s="110" t="n">
        <v>3477.42</v>
      </c>
      <c r="AL24" s="110" t="n">
        <v>3267.62</v>
      </c>
      <c r="AM24" s="110" t="n">
        <v>209.8</v>
      </c>
      <c r="AN24" s="110" t="n">
        <v>223.86</v>
      </c>
      <c r="AO24" s="110" t="n">
        <v>186.7</v>
      </c>
      <c r="AP24" s="110" t="n">
        <v>37.16</v>
      </c>
      <c r="AQ24" s="110" t="n">
        <v>112271</v>
      </c>
      <c r="AR24" s="110" t="n">
        <v>104158</v>
      </c>
      <c r="AS24" s="110" t="n">
        <v>92015</v>
      </c>
      <c r="AT24" s="110" t="n">
        <v>12143</v>
      </c>
      <c r="AU24" s="110" t="n">
        <v>8113</v>
      </c>
      <c r="AV24" s="110" t="n">
        <v>3698</v>
      </c>
      <c r="AW24" s="110" t="n">
        <v>4415</v>
      </c>
      <c r="AX24" s="110" t="n">
        <v>22512</v>
      </c>
      <c r="AY24" s="110" t="n">
        <v>20692</v>
      </c>
      <c r="AZ24" s="110" t="n">
        <v>17685</v>
      </c>
      <c r="BA24" s="110" t="n">
        <v>3007</v>
      </c>
      <c r="BB24" s="110" t="n">
        <v>1820</v>
      </c>
      <c r="BC24" s="110" t="n">
        <v>1025</v>
      </c>
      <c r="BD24" s="110" t="n">
        <v>795</v>
      </c>
      <c r="BE24" s="110" t="n">
        <v>0</v>
      </c>
      <c r="BF24" s="110" t="n">
        <v>0</v>
      </c>
      <c r="BG24" s="110" t="n">
        <v>0</v>
      </c>
      <c r="BH24" s="110" t="n">
        <v>0</v>
      </c>
      <c r="BI24" s="110" t="n">
        <v>0</v>
      </c>
      <c r="BJ24" s="110" t="n">
        <v>0</v>
      </c>
      <c r="BK24" s="110" t="n">
        <v>0</v>
      </c>
      <c r="BL24" s="110" t="n">
        <v>0</v>
      </c>
      <c r="BM24" s="110" t="n">
        <v>0</v>
      </c>
      <c r="BN24" s="110" t="n">
        <v>0</v>
      </c>
      <c r="BO24" s="110" t="n">
        <v>0</v>
      </c>
      <c r="BP24" s="110" t="n">
        <v>0</v>
      </c>
      <c r="BQ24" s="110" t="n">
        <v>0</v>
      </c>
      <c r="BR24" s="110" t="n">
        <v>0</v>
      </c>
      <c r="BS24" s="110" t="n">
        <v>0</v>
      </c>
      <c r="BT24" s="110" t="n">
        <v>0</v>
      </c>
      <c r="BU24" s="110" t="n">
        <v>0</v>
      </c>
      <c r="BV24" s="110" t="n">
        <v>0</v>
      </c>
      <c r="BW24" s="110" t="n">
        <v>0</v>
      </c>
      <c r="BX24" s="110" t="n">
        <v>0</v>
      </c>
      <c r="BY24" s="110" t="n">
        <v>0</v>
      </c>
      <c r="BZ24" s="110" t="n">
        <v>0</v>
      </c>
      <c r="CA24" s="110" t="n">
        <v>0</v>
      </c>
      <c r="CB24" s="110" t="n">
        <v>0</v>
      </c>
      <c r="CC24" s="110" t="n">
        <v>0</v>
      </c>
      <c r="CD24" s="110" t="n">
        <v>0</v>
      </c>
      <c r="CE24" s="110" t="n">
        <v>0</v>
      </c>
      <c r="CF24" s="110" t="n">
        <v>0</v>
      </c>
      <c r="CG24" s="110" t="n">
        <v>0</v>
      </c>
      <c r="CH24" s="110" t="n">
        <v>0</v>
      </c>
      <c r="CI24" s="110" t="n">
        <v>0</v>
      </c>
      <c r="CJ24" s="110" t="n">
        <v>0</v>
      </c>
      <c r="CK24" s="110" t="n">
        <v>0</v>
      </c>
      <c r="CL24" s="110" t="n">
        <v>0</v>
      </c>
      <c r="CM24" s="110" t="n">
        <v>0</v>
      </c>
      <c r="CN24" s="110" t="n">
        <v>173805.3</v>
      </c>
      <c r="CO24" s="110" t="n">
        <v>14.03</v>
      </c>
      <c r="CP24" s="110" t="n">
        <v>28239</v>
      </c>
      <c r="CQ24" s="110" t="n">
        <v>33320.19</v>
      </c>
      <c r="CR24" s="110" t="n">
        <v>0</v>
      </c>
      <c r="CS24" s="110" t="n">
        <v>0</v>
      </c>
      <c r="CT24" s="110" t="n">
        <v>0</v>
      </c>
      <c r="CU24" s="110" t="n">
        <v>0</v>
      </c>
      <c r="CV24" s="111" t="n">
        <v>644</v>
      </c>
      <c r="CW24" s="111" t="n">
        <v>593</v>
      </c>
      <c r="CX24" s="111" t="n">
        <v>504</v>
      </c>
      <c r="CY24" s="111" t="n">
        <v>89</v>
      </c>
      <c r="CZ24" s="111" t="n">
        <v>51</v>
      </c>
      <c r="DA24" s="111" t="n">
        <v>29</v>
      </c>
      <c r="DB24" s="111" t="n">
        <v>22</v>
      </c>
      <c r="DC24" s="111" t="n">
        <v>94</v>
      </c>
      <c r="DD24" s="111" t="n">
        <v>0</v>
      </c>
      <c r="DE24" s="111" t="n">
        <v>90</v>
      </c>
      <c r="DF24" s="111" t="n">
        <v>79</v>
      </c>
      <c r="DG24" s="111" t="n">
        <v>11</v>
      </c>
      <c r="DH24" s="111" t="n">
        <v>4</v>
      </c>
      <c r="DI24" s="111" t="n">
        <v>3</v>
      </c>
      <c r="DJ24" s="111" t="n">
        <v>1</v>
      </c>
      <c r="DK24" s="111" t="n">
        <v>68</v>
      </c>
      <c r="DL24" s="111" t="n">
        <v>61</v>
      </c>
      <c r="DM24" s="111" t="n">
        <v>50</v>
      </c>
      <c r="DN24" s="111" t="n">
        <v>11</v>
      </c>
      <c r="DO24" s="111" t="n">
        <v>7</v>
      </c>
      <c r="DP24" s="111" t="n">
        <v>2</v>
      </c>
      <c r="DQ24" s="111" t="n">
        <v>5</v>
      </c>
      <c r="DR24" s="111" t="n">
        <v>0</v>
      </c>
      <c r="DS24" s="111" t="n">
        <v>0</v>
      </c>
      <c r="DT24" s="111" t="n">
        <v>0</v>
      </c>
      <c r="DU24" s="111" t="n">
        <v>0</v>
      </c>
      <c r="DV24" s="111" t="n">
        <v>0</v>
      </c>
      <c r="DW24" s="111" t="n">
        <v>0</v>
      </c>
      <c r="DX24" s="111" t="n">
        <v>0</v>
      </c>
      <c r="DY24" s="111" t="n">
        <v>0</v>
      </c>
      <c r="DZ24" s="111" t="n">
        <v>482</v>
      </c>
      <c r="EA24" s="111" t="n">
        <v>442</v>
      </c>
      <c r="EB24" s="111" t="n">
        <v>375</v>
      </c>
      <c r="EC24" s="111" t="n">
        <v>67</v>
      </c>
      <c r="ED24" s="111" t="n">
        <v>40</v>
      </c>
      <c r="EE24" s="111" t="n">
        <v>24</v>
      </c>
      <c r="EF24" s="111" t="n">
        <v>16</v>
      </c>
      <c r="EG24" s="111" t="n">
        <v>0</v>
      </c>
      <c r="EH24" s="111" t="n">
        <v>0</v>
      </c>
      <c r="EI24" s="111" t="n">
        <v>0</v>
      </c>
      <c r="EJ24" s="111" t="n">
        <v>0</v>
      </c>
      <c r="EK24" s="111" t="n">
        <v>0</v>
      </c>
      <c r="EL24" s="111" t="n">
        <v>0</v>
      </c>
      <c r="EM24" s="111" t="n">
        <v>0</v>
      </c>
      <c r="EN24" s="111" t="n">
        <v>0</v>
      </c>
      <c r="EO24" s="111" t="n">
        <v>0</v>
      </c>
      <c r="EP24" s="111" t="n">
        <v>0</v>
      </c>
      <c r="EQ24" s="111" t="n">
        <v>0</v>
      </c>
      <c r="ER24" s="111" t="n">
        <v>0</v>
      </c>
      <c r="ES24" s="111" t="n">
        <v>0</v>
      </c>
      <c r="ET24" s="111" t="n">
        <v>0</v>
      </c>
      <c r="EU24" s="111" t="n">
        <v>0</v>
      </c>
      <c r="EV24" s="111" t="n">
        <v>0</v>
      </c>
      <c r="EW24" s="111" t="n">
        <v>0</v>
      </c>
      <c r="EX24" s="111" t="n">
        <v>0</v>
      </c>
      <c r="EY24" s="111" t="n">
        <v>0</v>
      </c>
      <c r="EZ24" s="111" t="n">
        <v>0</v>
      </c>
      <c r="FA24" s="111" t="n">
        <v>0</v>
      </c>
      <c r="FB24" s="111" t="n">
        <v>0</v>
      </c>
    </row>
    <row r="25" ht="19.5" customHeight="1" s="247">
      <c r="A25" s="107" t="n">
        <v>22</v>
      </c>
      <c r="B25" s="107" t="inlineStr">
        <is>
          <t>儿童非手术</t>
        </is>
      </c>
      <c r="C25" s="107" t="inlineStr">
        <is>
          <t>儿呼吸内科</t>
        </is>
      </c>
      <c r="D25" s="110" t="n">
        <v>860526.5</v>
      </c>
      <c r="E25" s="110" t="n">
        <v>302270</v>
      </c>
      <c r="F25" s="110" t="n">
        <v>558256.5</v>
      </c>
      <c r="G25" s="110" t="n">
        <v>1563</v>
      </c>
      <c r="H25" s="110" t="n">
        <v>67</v>
      </c>
      <c r="I25" s="110" t="n">
        <v>4483</v>
      </c>
      <c r="J25" s="110" t="n">
        <v>0</v>
      </c>
      <c r="K25" s="110" t="n">
        <v>0</v>
      </c>
      <c r="L25" s="110" t="n">
        <v>25867</v>
      </c>
      <c r="M25" s="110" t="n">
        <v>0</v>
      </c>
      <c r="N25" s="110" t="n">
        <v>0</v>
      </c>
      <c r="O25" s="110" t="n">
        <v>1285405.23</v>
      </c>
      <c r="P25" s="110" t="n">
        <v>1187603.57</v>
      </c>
      <c r="Q25" s="110" t="n">
        <v>1090947.63</v>
      </c>
      <c r="R25" s="110" t="n">
        <v>96655.94</v>
      </c>
      <c r="S25" s="110" t="n">
        <v>97801.66</v>
      </c>
      <c r="T25" s="110" t="n">
        <v>60087.91</v>
      </c>
      <c r="U25" s="110" t="n">
        <v>37713.75</v>
      </c>
      <c r="V25" s="110" t="n">
        <v>583007.13</v>
      </c>
      <c r="W25" s="110" t="n">
        <v>532476.02</v>
      </c>
      <c r="X25" s="110" t="n">
        <v>485225.23</v>
      </c>
      <c r="Y25" s="110" t="n">
        <v>47250.79</v>
      </c>
      <c r="Z25" s="110" t="n">
        <v>50531.11</v>
      </c>
      <c r="AA25" s="110" t="n">
        <v>23349.39</v>
      </c>
      <c r="AB25" s="110" t="n">
        <v>27181.72</v>
      </c>
      <c r="AC25" s="110" t="n">
        <v>266539.49</v>
      </c>
      <c r="AD25" s="110" t="n">
        <v>245009.2</v>
      </c>
      <c r="AE25" s="110" t="n">
        <v>225564.03</v>
      </c>
      <c r="AF25" s="110" t="n">
        <v>19445.17</v>
      </c>
      <c r="AG25" s="110" t="n">
        <v>21530.29</v>
      </c>
      <c r="AH25" s="110" t="n">
        <v>9671.209999999999</v>
      </c>
      <c r="AI25" s="110" t="n">
        <v>11859.08</v>
      </c>
      <c r="AJ25" s="110" t="n">
        <v>14197.64</v>
      </c>
      <c r="AK25" s="110" t="n">
        <v>12748.82</v>
      </c>
      <c r="AL25" s="110" t="n">
        <v>11725.2</v>
      </c>
      <c r="AM25" s="110" t="n">
        <v>1023.62</v>
      </c>
      <c r="AN25" s="110" t="n">
        <v>1448.82</v>
      </c>
      <c r="AO25" s="110" t="n">
        <v>806.1799999999999</v>
      </c>
      <c r="AP25" s="110" t="n">
        <v>642.64</v>
      </c>
      <c r="AQ25" s="110" t="n">
        <v>239230</v>
      </c>
      <c r="AR25" s="110" t="n">
        <v>217021</v>
      </c>
      <c r="AS25" s="110" t="n">
        <v>196966</v>
      </c>
      <c r="AT25" s="110" t="n">
        <v>20055</v>
      </c>
      <c r="AU25" s="110" t="n">
        <v>22209</v>
      </c>
      <c r="AV25" s="110" t="n">
        <v>10010</v>
      </c>
      <c r="AW25" s="110" t="n">
        <v>12199</v>
      </c>
      <c r="AX25" s="110" t="n">
        <v>63040</v>
      </c>
      <c r="AY25" s="110" t="n">
        <v>57697</v>
      </c>
      <c r="AZ25" s="110" t="n">
        <v>50970</v>
      </c>
      <c r="BA25" s="110" t="n">
        <v>6727</v>
      </c>
      <c r="BB25" s="110" t="n">
        <v>5343</v>
      </c>
      <c r="BC25" s="110" t="n">
        <v>2862</v>
      </c>
      <c r="BD25" s="110" t="n">
        <v>2481</v>
      </c>
      <c r="BE25" s="110" t="n">
        <v>702398.1</v>
      </c>
      <c r="BF25" s="110" t="n">
        <v>655127.55</v>
      </c>
      <c r="BG25" s="110" t="n">
        <v>605722.4</v>
      </c>
      <c r="BH25" s="110" t="n">
        <v>49405.15</v>
      </c>
      <c r="BI25" s="110" t="n">
        <v>47270.55</v>
      </c>
      <c r="BJ25" s="110" t="n">
        <v>36738.52</v>
      </c>
      <c r="BK25" s="110" t="n">
        <v>10532.03</v>
      </c>
      <c r="BL25" s="110" t="n">
        <v>117858.25</v>
      </c>
      <c r="BM25" s="110" t="n">
        <v>112281.95</v>
      </c>
      <c r="BN25" s="110" t="n">
        <v>99286.25999999999</v>
      </c>
      <c r="BO25" s="110" t="n">
        <v>12995.69</v>
      </c>
      <c r="BP25" s="110" t="n">
        <v>5576.3</v>
      </c>
      <c r="BQ25" s="110" t="n">
        <v>4601.84</v>
      </c>
      <c r="BR25" s="110" t="n">
        <v>974.46</v>
      </c>
      <c r="BS25" s="110" t="n">
        <v>26283.35</v>
      </c>
      <c r="BT25" s="110" t="n">
        <v>24385.6</v>
      </c>
      <c r="BU25" s="110" t="n">
        <v>22591.14</v>
      </c>
      <c r="BV25" s="110" t="n">
        <v>1794.46</v>
      </c>
      <c r="BW25" s="110" t="n">
        <v>1897.75</v>
      </c>
      <c r="BX25" s="110" t="n">
        <v>1529.18</v>
      </c>
      <c r="BY25" s="110" t="n">
        <v>368.57</v>
      </c>
      <c r="BZ25" s="110" t="n">
        <v>373213</v>
      </c>
      <c r="CA25" s="110" t="n">
        <v>345066</v>
      </c>
      <c r="CB25" s="110" t="n">
        <v>322466</v>
      </c>
      <c r="CC25" s="110" t="n">
        <v>22600</v>
      </c>
      <c r="CD25" s="110" t="n">
        <v>28147</v>
      </c>
      <c r="CE25" s="110" t="n">
        <v>21843</v>
      </c>
      <c r="CF25" s="110" t="n">
        <v>6304</v>
      </c>
      <c r="CG25" s="110" t="n">
        <v>185043.5</v>
      </c>
      <c r="CH25" s="110" t="n">
        <v>173394</v>
      </c>
      <c r="CI25" s="110" t="n">
        <v>161379</v>
      </c>
      <c r="CJ25" s="110" t="n">
        <v>12015</v>
      </c>
      <c r="CK25" s="110" t="n">
        <v>11649.5</v>
      </c>
      <c r="CL25" s="110" t="n">
        <v>8764.5</v>
      </c>
      <c r="CM25" s="110" t="n">
        <v>2885</v>
      </c>
      <c r="CN25" s="110" t="n">
        <v>203320.6</v>
      </c>
      <c r="CO25" s="110" t="n">
        <v>710.3</v>
      </c>
      <c r="CP25" s="110" t="n">
        <v>189413.87</v>
      </c>
      <c r="CQ25" s="110" t="n">
        <v>153573.14</v>
      </c>
      <c r="CR25" s="110" t="n">
        <v>35924.22</v>
      </c>
      <c r="CS25" s="110" t="n">
        <v>0</v>
      </c>
      <c r="CT25" s="110" t="n">
        <v>0</v>
      </c>
      <c r="CU25" s="110" t="n">
        <v>0</v>
      </c>
      <c r="CV25" s="111" t="n">
        <v>1563</v>
      </c>
      <c r="CW25" s="111" t="n">
        <v>1428</v>
      </c>
      <c r="CX25" s="111" t="n">
        <v>1269</v>
      </c>
      <c r="CY25" s="111" t="n">
        <v>159</v>
      </c>
      <c r="CZ25" s="111" t="n">
        <v>135</v>
      </c>
      <c r="DA25" s="111" t="n">
        <v>71</v>
      </c>
      <c r="DB25" s="111" t="n">
        <v>64</v>
      </c>
      <c r="DC25" s="111" t="n">
        <v>386</v>
      </c>
      <c r="DD25" s="111" t="n">
        <v>0</v>
      </c>
      <c r="DE25" s="111" t="n">
        <v>361</v>
      </c>
      <c r="DF25" s="111" t="n">
        <v>310</v>
      </c>
      <c r="DG25" s="111" t="n">
        <v>51</v>
      </c>
      <c r="DH25" s="111" t="n">
        <v>25</v>
      </c>
      <c r="DI25" s="111" t="n">
        <v>8</v>
      </c>
      <c r="DJ25" s="111" t="n">
        <v>17</v>
      </c>
      <c r="DK25" s="111" t="n">
        <v>416</v>
      </c>
      <c r="DL25" s="111" t="n">
        <v>362</v>
      </c>
      <c r="DM25" s="111" t="n">
        <v>328</v>
      </c>
      <c r="DN25" s="111" t="n">
        <v>34</v>
      </c>
      <c r="DO25" s="111" t="n">
        <v>54</v>
      </c>
      <c r="DP25" s="111" t="n">
        <v>22</v>
      </c>
      <c r="DQ25" s="111" t="n">
        <v>32</v>
      </c>
      <c r="DR25" s="111" t="n">
        <v>74</v>
      </c>
      <c r="DS25" s="111" t="n">
        <v>0</v>
      </c>
      <c r="DT25" s="111" t="n">
        <v>71</v>
      </c>
      <c r="DU25" s="111" t="n">
        <v>59</v>
      </c>
      <c r="DV25" s="111" t="n">
        <v>12</v>
      </c>
      <c r="DW25" s="111" t="n">
        <v>3</v>
      </c>
      <c r="DX25" s="111" t="n">
        <v>2</v>
      </c>
      <c r="DY25" s="111" t="n">
        <v>1</v>
      </c>
      <c r="DZ25" s="111" t="n">
        <v>687</v>
      </c>
      <c r="EA25" s="111" t="n">
        <v>634</v>
      </c>
      <c r="EB25" s="111" t="n">
        <v>572</v>
      </c>
      <c r="EC25" s="111" t="n">
        <v>62</v>
      </c>
      <c r="ED25" s="111" t="n">
        <v>53</v>
      </c>
      <c r="EE25" s="111" t="n">
        <v>39</v>
      </c>
      <c r="EF25" s="111" t="n">
        <v>14</v>
      </c>
      <c r="EG25" s="111" t="n">
        <v>67</v>
      </c>
      <c r="EH25" s="111" t="n">
        <v>61</v>
      </c>
      <c r="EI25" s="111" t="n">
        <v>57</v>
      </c>
      <c r="EJ25" s="111" t="n">
        <v>4</v>
      </c>
      <c r="EK25" s="111" t="n">
        <v>6</v>
      </c>
      <c r="EL25" s="111" t="n">
        <v>5</v>
      </c>
      <c r="EM25" s="111" t="n">
        <v>1</v>
      </c>
      <c r="EN25" s="111" t="n">
        <v>3</v>
      </c>
      <c r="EO25" s="111" t="n">
        <v>0</v>
      </c>
      <c r="EP25" s="111" t="n">
        <v>0</v>
      </c>
      <c r="EQ25" s="111" t="n">
        <v>3</v>
      </c>
      <c r="ER25" s="111" t="n">
        <v>0</v>
      </c>
      <c r="ES25" s="111" t="n">
        <v>0</v>
      </c>
      <c r="ET25" s="111" t="n">
        <v>0</v>
      </c>
      <c r="EU25" s="111" t="n">
        <v>0</v>
      </c>
      <c r="EV25" s="111" t="n">
        <v>0</v>
      </c>
      <c r="EW25" s="111" t="n">
        <v>0</v>
      </c>
      <c r="EX25" s="111" t="n">
        <v>0</v>
      </c>
      <c r="EY25" s="111" t="n">
        <v>0</v>
      </c>
      <c r="EZ25" s="111" t="n">
        <v>0</v>
      </c>
      <c r="FA25" s="111" t="n">
        <v>0</v>
      </c>
      <c r="FB25" s="111" t="n">
        <v>47</v>
      </c>
    </row>
    <row r="26" ht="19.5" customHeight="1" s="247">
      <c r="A26" s="107" t="n">
        <v>23</v>
      </c>
      <c r="B26" s="107" t="inlineStr">
        <is>
          <t>儿童非手术</t>
        </is>
      </c>
      <c r="C26" s="107" t="inlineStr">
        <is>
          <t>儿肾脏内科</t>
        </is>
      </c>
      <c r="D26" s="110" t="n">
        <v>193669.5</v>
      </c>
      <c r="E26" s="110" t="n">
        <v>193669.5</v>
      </c>
      <c r="F26" s="110" t="n">
        <v>0</v>
      </c>
      <c r="G26" s="110" t="n">
        <v>1266</v>
      </c>
      <c r="H26" s="110" t="n">
        <v>0</v>
      </c>
      <c r="I26" s="110" t="n">
        <v>5516.5</v>
      </c>
      <c r="J26" s="110" t="n">
        <v>0</v>
      </c>
      <c r="K26" s="110" t="n">
        <v>0</v>
      </c>
      <c r="L26" s="110" t="n">
        <v>0</v>
      </c>
      <c r="M26" s="110" t="n">
        <v>0</v>
      </c>
      <c r="N26" s="110" t="n">
        <v>0</v>
      </c>
      <c r="O26" s="110" t="n">
        <v>343310.28</v>
      </c>
      <c r="P26" s="110" t="n">
        <v>304062.99</v>
      </c>
      <c r="Q26" s="110" t="n">
        <v>266338.84</v>
      </c>
      <c r="R26" s="110" t="n">
        <v>37724.15</v>
      </c>
      <c r="S26" s="110" t="n">
        <v>39247.29</v>
      </c>
      <c r="T26" s="110" t="n">
        <v>18073.7</v>
      </c>
      <c r="U26" s="110" t="n">
        <v>21173.59</v>
      </c>
      <c r="V26" s="110" t="n">
        <v>343310.28</v>
      </c>
      <c r="W26" s="110" t="n">
        <v>304062.99</v>
      </c>
      <c r="X26" s="110" t="n">
        <v>266338.84</v>
      </c>
      <c r="Y26" s="110" t="n">
        <v>37724.15</v>
      </c>
      <c r="Z26" s="110" t="n">
        <v>39247.29</v>
      </c>
      <c r="AA26" s="110" t="n">
        <v>18073.7</v>
      </c>
      <c r="AB26" s="110" t="n">
        <v>21173.59</v>
      </c>
      <c r="AC26" s="110" t="n">
        <v>138329.65</v>
      </c>
      <c r="AD26" s="110" t="n">
        <v>122615.08</v>
      </c>
      <c r="AE26" s="110" t="n">
        <v>107416.51</v>
      </c>
      <c r="AF26" s="110" t="n">
        <v>15198.57</v>
      </c>
      <c r="AG26" s="110" t="n">
        <v>15714.57</v>
      </c>
      <c r="AH26" s="110" t="n">
        <v>8340.360000000001</v>
      </c>
      <c r="AI26" s="110" t="n">
        <v>7374.21</v>
      </c>
      <c r="AJ26" s="110" t="n">
        <v>11311.13</v>
      </c>
      <c r="AK26" s="110" t="n">
        <v>10522.41</v>
      </c>
      <c r="AL26" s="110" t="n">
        <v>9222.33</v>
      </c>
      <c r="AM26" s="110" t="n">
        <v>1300.08</v>
      </c>
      <c r="AN26" s="110" t="n">
        <v>788.72</v>
      </c>
      <c r="AO26" s="110" t="n">
        <v>560.34</v>
      </c>
      <c r="AP26" s="110" t="n">
        <v>228.38</v>
      </c>
      <c r="AQ26" s="110" t="n">
        <v>142100</v>
      </c>
      <c r="AR26" s="110" t="n">
        <v>127029</v>
      </c>
      <c r="AS26" s="110" t="n">
        <v>111650</v>
      </c>
      <c r="AT26" s="110" t="n">
        <v>15379</v>
      </c>
      <c r="AU26" s="110" t="n">
        <v>15071</v>
      </c>
      <c r="AV26" s="110" t="n">
        <v>6213</v>
      </c>
      <c r="AW26" s="110" t="n">
        <v>8858</v>
      </c>
      <c r="AX26" s="110" t="n">
        <v>51569.5</v>
      </c>
      <c r="AY26" s="110" t="n">
        <v>43896.5</v>
      </c>
      <c r="AZ26" s="110" t="n">
        <v>38050</v>
      </c>
      <c r="BA26" s="110" t="n">
        <v>5846.5</v>
      </c>
      <c r="BB26" s="110" t="n">
        <v>7673</v>
      </c>
      <c r="BC26" s="110" t="n">
        <v>2960</v>
      </c>
      <c r="BD26" s="110" t="n">
        <v>4713</v>
      </c>
      <c r="BE26" s="110" t="n">
        <v>0</v>
      </c>
      <c r="BF26" s="110" t="n">
        <v>0</v>
      </c>
      <c r="BG26" s="110" t="n">
        <v>0</v>
      </c>
      <c r="BH26" s="110" t="n">
        <v>0</v>
      </c>
      <c r="BI26" s="110" t="n">
        <v>0</v>
      </c>
      <c r="BJ26" s="110" t="n">
        <v>0</v>
      </c>
      <c r="BK26" s="110" t="n">
        <v>0</v>
      </c>
      <c r="BL26" s="110" t="n">
        <v>0</v>
      </c>
      <c r="BM26" s="110" t="n">
        <v>0</v>
      </c>
      <c r="BN26" s="110" t="n">
        <v>0</v>
      </c>
      <c r="BO26" s="110" t="n">
        <v>0</v>
      </c>
      <c r="BP26" s="110" t="n">
        <v>0</v>
      </c>
      <c r="BQ26" s="110" t="n">
        <v>0</v>
      </c>
      <c r="BR26" s="110" t="n">
        <v>0</v>
      </c>
      <c r="BS26" s="110" t="n">
        <v>0</v>
      </c>
      <c r="BT26" s="110" t="n">
        <v>0</v>
      </c>
      <c r="BU26" s="110" t="n">
        <v>0</v>
      </c>
      <c r="BV26" s="110" t="n">
        <v>0</v>
      </c>
      <c r="BW26" s="110" t="n">
        <v>0</v>
      </c>
      <c r="BX26" s="110" t="n">
        <v>0</v>
      </c>
      <c r="BY26" s="110" t="n">
        <v>0</v>
      </c>
      <c r="BZ26" s="110" t="n">
        <v>0</v>
      </c>
      <c r="CA26" s="110" t="n">
        <v>0</v>
      </c>
      <c r="CB26" s="110" t="n">
        <v>0</v>
      </c>
      <c r="CC26" s="110" t="n">
        <v>0</v>
      </c>
      <c r="CD26" s="110" t="n">
        <v>0</v>
      </c>
      <c r="CE26" s="110" t="n">
        <v>0</v>
      </c>
      <c r="CF26" s="110" t="n">
        <v>0</v>
      </c>
      <c r="CG26" s="110" t="n">
        <v>0</v>
      </c>
      <c r="CH26" s="110" t="n">
        <v>0</v>
      </c>
      <c r="CI26" s="110" t="n">
        <v>0</v>
      </c>
      <c r="CJ26" s="110" t="n">
        <v>0</v>
      </c>
      <c r="CK26" s="110" t="n">
        <v>0</v>
      </c>
      <c r="CL26" s="110" t="n">
        <v>0</v>
      </c>
      <c r="CM26" s="110" t="n">
        <v>0</v>
      </c>
      <c r="CN26" s="110" t="n">
        <v>254832.17</v>
      </c>
      <c r="CO26" s="110" t="n">
        <v>878.72</v>
      </c>
      <c r="CP26" s="110" t="n">
        <v>80565</v>
      </c>
      <c r="CQ26" s="110" t="n">
        <v>0</v>
      </c>
      <c r="CR26" s="110" t="n">
        <v>7034.39</v>
      </c>
      <c r="CS26" s="110" t="n">
        <v>0</v>
      </c>
      <c r="CT26" s="110" t="n">
        <v>0</v>
      </c>
      <c r="CU26" s="110" t="n">
        <v>0</v>
      </c>
      <c r="CV26" s="111" t="n">
        <v>1266</v>
      </c>
      <c r="CW26" s="111" t="n">
        <v>1099</v>
      </c>
      <c r="CX26" s="111" t="n">
        <v>954</v>
      </c>
      <c r="CY26" s="111" t="n">
        <v>145</v>
      </c>
      <c r="CZ26" s="111" t="n">
        <v>167</v>
      </c>
      <c r="DA26" s="111" t="n">
        <v>73</v>
      </c>
      <c r="DB26" s="111" t="n">
        <v>94</v>
      </c>
      <c r="DC26" s="111" t="n">
        <v>3</v>
      </c>
      <c r="DD26" s="111" t="n">
        <v>0</v>
      </c>
      <c r="DE26" s="111" t="n">
        <v>2</v>
      </c>
      <c r="DF26" s="111" t="n">
        <v>2</v>
      </c>
      <c r="DG26" s="111" t="n">
        <v>0</v>
      </c>
      <c r="DH26" s="111" t="n">
        <v>1</v>
      </c>
      <c r="DI26" s="111" t="n">
        <v>0</v>
      </c>
      <c r="DJ26" s="111" t="n">
        <v>1</v>
      </c>
      <c r="DK26" s="111" t="n">
        <v>188</v>
      </c>
      <c r="DL26" s="111" t="n">
        <v>94</v>
      </c>
      <c r="DM26" s="111" t="n">
        <v>85</v>
      </c>
      <c r="DN26" s="111" t="n">
        <v>9</v>
      </c>
      <c r="DO26" s="111" t="n">
        <v>94</v>
      </c>
      <c r="DP26" s="111" t="n">
        <v>23</v>
      </c>
      <c r="DQ26" s="111" t="n">
        <v>71</v>
      </c>
      <c r="DR26" s="111" t="n">
        <v>30</v>
      </c>
      <c r="DS26" s="111" t="n">
        <v>0</v>
      </c>
      <c r="DT26" s="111" t="n">
        <v>27</v>
      </c>
      <c r="DU26" s="111" t="n">
        <v>23</v>
      </c>
      <c r="DV26" s="111" t="n">
        <v>4</v>
      </c>
      <c r="DW26" s="111" t="n">
        <v>3</v>
      </c>
      <c r="DX26" s="111" t="n">
        <v>0</v>
      </c>
      <c r="DY26" s="111" t="n">
        <v>3</v>
      </c>
      <c r="DZ26" s="111" t="n">
        <v>1045</v>
      </c>
      <c r="EA26" s="111" t="n">
        <v>976</v>
      </c>
      <c r="EB26" s="111" t="n">
        <v>844</v>
      </c>
      <c r="EC26" s="111" t="n">
        <v>132</v>
      </c>
      <c r="ED26" s="111" t="n">
        <v>69</v>
      </c>
      <c r="EE26" s="111" t="n">
        <v>50</v>
      </c>
      <c r="EF26" s="111" t="n">
        <v>19</v>
      </c>
      <c r="EG26" s="111" t="n">
        <v>0</v>
      </c>
      <c r="EH26" s="111" t="n">
        <v>0</v>
      </c>
      <c r="EI26" s="111" t="n">
        <v>0</v>
      </c>
      <c r="EJ26" s="111" t="n">
        <v>0</v>
      </c>
      <c r="EK26" s="111" t="n">
        <v>0</v>
      </c>
      <c r="EL26" s="111" t="n">
        <v>0</v>
      </c>
      <c r="EM26" s="111" t="n">
        <v>0</v>
      </c>
      <c r="EN26" s="111" t="n">
        <v>0</v>
      </c>
      <c r="EO26" s="111" t="n">
        <v>0</v>
      </c>
      <c r="EP26" s="111" t="n">
        <v>0</v>
      </c>
      <c r="EQ26" s="111" t="n">
        <v>0</v>
      </c>
      <c r="ER26" s="111" t="n">
        <v>0</v>
      </c>
      <c r="ES26" s="111" t="n">
        <v>0</v>
      </c>
      <c r="ET26" s="111" t="n">
        <v>0</v>
      </c>
      <c r="EU26" s="111" t="n">
        <v>0</v>
      </c>
      <c r="EV26" s="111" t="n">
        <v>0</v>
      </c>
      <c r="EW26" s="111" t="n">
        <v>0</v>
      </c>
      <c r="EX26" s="111" t="n">
        <v>0</v>
      </c>
      <c r="EY26" s="111" t="n">
        <v>0</v>
      </c>
      <c r="EZ26" s="111" t="n">
        <v>0</v>
      </c>
      <c r="FA26" s="111" t="n">
        <v>0</v>
      </c>
      <c r="FB26" s="111" t="n">
        <v>0</v>
      </c>
    </row>
    <row r="27" ht="19.5" customHeight="1" s="247">
      <c r="A27" s="107" t="n">
        <v>24</v>
      </c>
      <c r="B27" s="107" t="inlineStr">
        <is>
          <t>儿童非手术</t>
        </is>
      </c>
      <c r="C27" s="107" t="inlineStr">
        <is>
          <t>儿血液肿瘤科</t>
        </is>
      </c>
      <c r="D27" s="110" t="n">
        <v>711408.5</v>
      </c>
      <c r="E27" s="110" t="n">
        <v>146509.5</v>
      </c>
      <c r="F27" s="110" t="n">
        <v>564899</v>
      </c>
      <c r="G27" s="110" t="n">
        <v>837</v>
      </c>
      <c r="H27" s="110" t="n">
        <v>65</v>
      </c>
      <c r="I27" s="110" t="n">
        <v>3274.5</v>
      </c>
      <c r="J27" s="110" t="n">
        <v>0</v>
      </c>
      <c r="K27" s="110" t="n">
        <v>0</v>
      </c>
      <c r="L27" s="110" t="n">
        <v>22015.5</v>
      </c>
      <c r="M27" s="110" t="n">
        <v>2800</v>
      </c>
      <c r="N27" s="110" t="n">
        <v>462.04</v>
      </c>
      <c r="O27" s="110" t="n">
        <v>1590988.69</v>
      </c>
      <c r="P27" s="110" t="n">
        <v>549453.62</v>
      </c>
      <c r="Q27" s="110" t="n">
        <v>527822.74</v>
      </c>
      <c r="R27" s="110" t="n">
        <v>21630.88</v>
      </c>
      <c r="S27" s="110" t="n">
        <v>1041535.07</v>
      </c>
      <c r="T27" s="110" t="n">
        <v>1017355.21</v>
      </c>
      <c r="U27" s="110" t="n">
        <v>24179.86</v>
      </c>
      <c r="V27" s="110" t="n">
        <v>298826.66</v>
      </c>
      <c r="W27" s="110" t="n">
        <v>254987.34</v>
      </c>
      <c r="X27" s="110" t="n">
        <v>233356.46</v>
      </c>
      <c r="Y27" s="110" t="n">
        <v>21630.88</v>
      </c>
      <c r="Z27" s="110" t="n">
        <v>43839.32</v>
      </c>
      <c r="AA27" s="110" t="n">
        <v>37725.14</v>
      </c>
      <c r="AB27" s="110" t="n">
        <v>6114.18</v>
      </c>
      <c r="AC27" s="110" t="n">
        <v>145351.87</v>
      </c>
      <c r="AD27" s="110" t="n">
        <v>122498.45</v>
      </c>
      <c r="AE27" s="110" t="n">
        <v>116107.07</v>
      </c>
      <c r="AF27" s="110" t="n">
        <v>6391.38</v>
      </c>
      <c r="AG27" s="110" t="n">
        <v>22853.42</v>
      </c>
      <c r="AH27" s="110" t="n">
        <v>20253.84</v>
      </c>
      <c r="AI27" s="110" t="n">
        <v>2599.58</v>
      </c>
      <c r="AJ27" s="110" t="n">
        <v>6965.29</v>
      </c>
      <c r="AK27" s="110" t="n">
        <v>6234.39</v>
      </c>
      <c r="AL27" s="110" t="n">
        <v>5697.89</v>
      </c>
      <c r="AM27" s="110" t="n">
        <v>536.5</v>
      </c>
      <c r="AN27" s="110" t="n">
        <v>730.9</v>
      </c>
      <c r="AO27" s="110" t="n">
        <v>451.3</v>
      </c>
      <c r="AP27" s="110" t="n">
        <v>279.6</v>
      </c>
      <c r="AQ27" s="110" t="n">
        <v>117558</v>
      </c>
      <c r="AR27" s="110" t="n">
        <v>102175</v>
      </c>
      <c r="AS27" s="110" t="n">
        <v>90342</v>
      </c>
      <c r="AT27" s="110" t="n">
        <v>11833</v>
      </c>
      <c r="AU27" s="110" t="n">
        <v>15383</v>
      </c>
      <c r="AV27" s="110" t="n">
        <v>13655</v>
      </c>
      <c r="AW27" s="110" t="n">
        <v>1728</v>
      </c>
      <c r="AX27" s="110" t="n">
        <v>28951.5</v>
      </c>
      <c r="AY27" s="110" t="n">
        <v>24079.5</v>
      </c>
      <c r="AZ27" s="110" t="n">
        <v>21209.5</v>
      </c>
      <c r="BA27" s="110" t="n">
        <v>2870</v>
      </c>
      <c r="BB27" s="110" t="n">
        <v>4872</v>
      </c>
      <c r="BC27" s="110" t="n">
        <v>3365</v>
      </c>
      <c r="BD27" s="110" t="n">
        <v>1507</v>
      </c>
      <c r="BE27" s="110" t="n">
        <v>1292162.03</v>
      </c>
      <c r="BF27" s="110" t="n">
        <v>294466.28</v>
      </c>
      <c r="BG27" s="110" t="n">
        <v>294466.28</v>
      </c>
      <c r="BH27" s="110" t="n">
        <v>0</v>
      </c>
      <c r="BI27" s="110" t="n">
        <v>997695.75</v>
      </c>
      <c r="BJ27" s="110" t="n">
        <v>979630.0699999999</v>
      </c>
      <c r="BK27" s="110" t="n">
        <v>18065.68</v>
      </c>
      <c r="BL27" s="110" t="n">
        <v>681625.29</v>
      </c>
      <c r="BM27" s="110" t="n">
        <v>157817.07</v>
      </c>
      <c r="BN27" s="110" t="n">
        <v>157817.07</v>
      </c>
      <c r="BO27" s="110" t="n">
        <v>0</v>
      </c>
      <c r="BP27" s="110" t="n">
        <v>523808.22</v>
      </c>
      <c r="BQ27" s="110" t="n">
        <v>519174.72</v>
      </c>
      <c r="BR27" s="110" t="n">
        <v>4633.5</v>
      </c>
      <c r="BS27" s="110" t="n">
        <v>45637.74</v>
      </c>
      <c r="BT27" s="110" t="n">
        <v>8193.709999999999</v>
      </c>
      <c r="BU27" s="110" t="n">
        <v>8193.709999999999</v>
      </c>
      <c r="BV27" s="110" t="n">
        <v>0</v>
      </c>
      <c r="BW27" s="110" t="n">
        <v>37444.03</v>
      </c>
      <c r="BX27" s="110" t="n">
        <v>37131.85</v>
      </c>
      <c r="BY27" s="110" t="n">
        <v>312.18</v>
      </c>
      <c r="BZ27" s="110" t="n">
        <v>357599</v>
      </c>
      <c r="CA27" s="110" t="n">
        <v>70091</v>
      </c>
      <c r="CB27" s="110" t="n">
        <v>70091</v>
      </c>
      <c r="CC27" s="110" t="n">
        <v>0</v>
      </c>
      <c r="CD27" s="110" t="n">
        <v>287508</v>
      </c>
      <c r="CE27" s="110" t="n">
        <v>277890</v>
      </c>
      <c r="CF27" s="110" t="n">
        <v>9618</v>
      </c>
      <c r="CG27" s="110" t="n">
        <v>207300</v>
      </c>
      <c r="CH27" s="110" t="n">
        <v>58364.5</v>
      </c>
      <c r="CI27" s="110" t="n">
        <v>58364.5</v>
      </c>
      <c r="CJ27" s="110" t="n">
        <v>0</v>
      </c>
      <c r="CK27" s="110" t="n">
        <v>148935.5</v>
      </c>
      <c r="CL27" s="110" t="n">
        <v>145433.5</v>
      </c>
      <c r="CM27" s="110" t="n">
        <v>3502</v>
      </c>
      <c r="CN27" s="110" t="n">
        <v>172783.36</v>
      </c>
      <c r="CO27" s="110" t="n">
        <v>47747.42</v>
      </c>
      <c r="CP27" s="110" t="n">
        <v>59735.76</v>
      </c>
      <c r="CQ27" s="110" t="n">
        <v>18560.12</v>
      </c>
      <c r="CR27" s="110" t="n">
        <v>0</v>
      </c>
      <c r="CS27" s="110" t="n">
        <v>0</v>
      </c>
      <c r="CT27" s="110" t="n">
        <v>10942.9</v>
      </c>
      <c r="CU27" s="110" t="n">
        <v>0</v>
      </c>
      <c r="CV27" s="111" t="n">
        <v>837</v>
      </c>
      <c r="CW27" s="111" t="n">
        <v>704</v>
      </c>
      <c r="CX27" s="111" t="n">
        <v>617</v>
      </c>
      <c r="CY27" s="111" t="n">
        <v>87</v>
      </c>
      <c r="CZ27" s="111" t="n">
        <v>133</v>
      </c>
      <c r="DA27" s="111" t="n">
        <v>91</v>
      </c>
      <c r="DB27" s="111" t="n">
        <v>42</v>
      </c>
      <c r="DC27" s="111" t="n">
        <v>227</v>
      </c>
      <c r="DD27" s="111" t="n">
        <v>0</v>
      </c>
      <c r="DE27" s="111" t="n">
        <v>171</v>
      </c>
      <c r="DF27" s="111" t="n">
        <v>147</v>
      </c>
      <c r="DG27" s="111" t="n">
        <v>24</v>
      </c>
      <c r="DH27" s="111" t="n">
        <v>56</v>
      </c>
      <c r="DI27" s="111" t="n">
        <v>33</v>
      </c>
      <c r="DJ27" s="111" t="n">
        <v>23</v>
      </c>
      <c r="DK27" s="111" t="n">
        <v>79</v>
      </c>
      <c r="DL27" s="111" t="n">
        <v>36</v>
      </c>
      <c r="DM27" s="111" t="n">
        <v>31</v>
      </c>
      <c r="DN27" s="111" t="n">
        <v>5</v>
      </c>
      <c r="DO27" s="111" t="n">
        <v>43</v>
      </c>
      <c r="DP27" s="111" t="n">
        <v>29</v>
      </c>
      <c r="DQ27" s="111" t="n">
        <v>14</v>
      </c>
      <c r="DR27" s="111" t="n">
        <v>0</v>
      </c>
      <c r="DS27" s="111" t="n">
        <v>0</v>
      </c>
      <c r="DT27" s="111" t="n">
        <v>0</v>
      </c>
      <c r="DU27" s="111" t="n">
        <v>0</v>
      </c>
      <c r="DV27" s="111" t="n">
        <v>0</v>
      </c>
      <c r="DW27" s="111" t="n">
        <v>0</v>
      </c>
      <c r="DX27" s="111" t="n">
        <v>0</v>
      </c>
      <c r="DY27" s="111" t="n">
        <v>0</v>
      </c>
      <c r="DZ27" s="111" t="n">
        <v>531</v>
      </c>
      <c r="EA27" s="111" t="n">
        <v>497</v>
      </c>
      <c r="EB27" s="111" t="n">
        <v>439</v>
      </c>
      <c r="EC27" s="111" t="n">
        <v>58</v>
      </c>
      <c r="ED27" s="111" t="n">
        <v>34</v>
      </c>
      <c r="EE27" s="111" t="n">
        <v>29</v>
      </c>
      <c r="EF27" s="111" t="n">
        <v>5</v>
      </c>
      <c r="EG27" s="111" t="n">
        <v>65</v>
      </c>
      <c r="EH27" s="111" t="n">
        <v>13</v>
      </c>
      <c r="EI27" s="111" t="n">
        <v>13</v>
      </c>
      <c r="EJ27" s="111" t="n">
        <v>0</v>
      </c>
      <c r="EK27" s="111" t="n">
        <v>52</v>
      </c>
      <c r="EL27" s="111" t="n">
        <v>50</v>
      </c>
      <c r="EM27" s="111" t="n">
        <v>2</v>
      </c>
      <c r="EN27" s="111" t="n">
        <v>61</v>
      </c>
      <c r="EO27" s="111" t="n">
        <v>0</v>
      </c>
      <c r="EP27" s="111" t="n">
        <v>0</v>
      </c>
      <c r="EQ27" s="111" t="n">
        <v>61</v>
      </c>
      <c r="ER27" s="111" t="n">
        <v>0</v>
      </c>
      <c r="ES27" s="111" t="n">
        <v>0</v>
      </c>
      <c r="ET27" s="111" t="n">
        <v>0</v>
      </c>
      <c r="EU27" s="111" t="n">
        <v>0</v>
      </c>
      <c r="EV27" s="111" t="n">
        <v>0</v>
      </c>
      <c r="EW27" s="111" t="n">
        <v>0</v>
      </c>
      <c r="EX27" s="111" t="n">
        <v>0</v>
      </c>
      <c r="EY27" s="111" t="n">
        <v>0</v>
      </c>
      <c r="EZ27" s="111" t="n">
        <v>0</v>
      </c>
      <c r="FA27" s="111" t="n">
        <v>0</v>
      </c>
      <c r="FB27" s="111" t="n">
        <v>19</v>
      </c>
    </row>
    <row r="28" ht="19.5" customHeight="1" s="247">
      <c r="A28" s="107" t="n">
        <v>25</v>
      </c>
      <c r="B28" s="107" t="inlineStr">
        <is>
          <t>儿童非手术</t>
        </is>
      </c>
      <c r="C28" s="107" t="inlineStr">
        <is>
          <t>儿内分泌遗传科</t>
        </is>
      </c>
      <c r="D28" s="110" t="n">
        <v>152659</v>
      </c>
      <c r="E28" s="110" t="n">
        <v>152659</v>
      </c>
      <c r="F28" s="110" t="n">
        <v>0</v>
      </c>
      <c r="G28" s="110" t="n">
        <v>334</v>
      </c>
      <c r="H28" s="110" t="n">
        <v>0</v>
      </c>
      <c r="I28" s="110" t="n">
        <v>528</v>
      </c>
      <c r="J28" s="110" t="n">
        <v>0</v>
      </c>
      <c r="K28" s="110" t="n">
        <v>0</v>
      </c>
      <c r="L28" s="110" t="n">
        <v>0</v>
      </c>
      <c r="M28" s="110" t="n">
        <v>0</v>
      </c>
      <c r="N28" s="110" t="n">
        <v>0</v>
      </c>
      <c r="O28" s="110" t="n">
        <v>259950.06</v>
      </c>
      <c r="P28" s="110" t="n">
        <v>207180.09</v>
      </c>
      <c r="Q28" s="110" t="n">
        <v>193884.9</v>
      </c>
      <c r="R28" s="110" t="n">
        <v>13295.19</v>
      </c>
      <c r="S28" s="110" t="n">
        <v>52769.97</v>
      </c>
      <c r="T28" s="110" t="n">
        <v>14622.4</v>
      </c>
      <c r="U28" s="110" t="n">
        <v>38147.57</v>
      </c>
      <c r="V28" s="110" t="n">
        <v>259950.06</v>
      </c>
      <c r="W28" s="110" t="n">
        <v>207180.09</v>
      </c>
      <c r="X28" s="110" t="n">
        <v>193884.9</v>
      </c>
      <c r="Y28" s="110" t="n">
        <v>13295.19</v>
      </c>
      <c r="Z28" s="110" t="n">
        <v>52769.97</v>
      </c>
      <c r="AA28" s="110" t="n">
        <v>14622.4</v>
      </c>
      <c r="AB28" s="110" t="n">
        <v>38147.57</v>
      </c>
      <c r="AC28" s="110" t="n">
        <v>106526.49</v>
      </c>
      <c r="AD28" s="110" t="n">
        <v>105749.52</v>
      </c>
      <c r="AE28" s="110" t="n">
        <v>103634.29</v>
      </c>
      <c r="AF28" s="110" t="n">
        <v>2115.23</v>
      </c>
      <c r="AG28" s="110" t="n">
        <v>776.97</v>
      </c>
      <c r="AH28" s="110" t="n">
        <v>641.4</v>
      </c>
      <c r="AI28" s="110" t="n">
        <v>135.57</v>
      </c>
      <c r="AJ28" s="110" t="n">
        <v>764.5700000000001</v>
      </c>
      <c r="AK28" s="110" t="n">
        <v>764.5700000000001</v>
      </c>
      <c r="AL28" s="110" t="n">
        <v>533.61</v>
      </c>
      <c r="AM28" s="110" t="n">
        <v>230.96</v>
      </c>
      <c r="AN28" s="110" t="n">
        <v>0</v>
      </c>
      <c r="AO28" s="110" t="n">
        <v>0</v>
      </c>
      <c r="AP28" s="110" t="n">
        <v>0</v>
      </c>
      <c r="AQ28" s="110" t="n">
        <v>114645</v>
      </c>
      <c r="AR28" s="110" t="n">
        <v>75315</v>
      </c>
      <c r="AS28" s="110" t="n">
        <v>67592</v>
      </c>
      <c r="AT28" s="110" t="n">
        <v>7723</v>
      </c>
      <c r="AU28" s="110" t="n">
        <v>39330</v>
      </c>
      <c r="AV28" s="110" t="n">
        <v>10709</v>
      </c>
      <c r="AW28" s="110" t="n">
        <v>28621</v>
      </c>
      <c r="AX28" s="110" t="n">
        <v>38014</v>
      </c>
      <c r="AY28" s="110" t="n">
        <v>25351</v>
      </c>
      <c r="AZ28" s="110" t="n">
        <v>22125</v>
      </c>
      <c r="BA28" s="110" t="n">
        <v>3226</v>
      </c>
      <c r="BB28" s="110" t="n">
        <v>12663</v>
      </c>
      <c r="BC28" s="110" t="n">
        <v>3272</v>
      </c>
      <c r="BD28" s="110" t="n">
        <v>9391</v>
      </c>
      <c r="BE28" s="110" t="n">
        <v>0</v>
      </c>
      <c r="BF28" s="110" t="n">
        <v>0</v>
      </c>
      <c r="BG28" s="110" t="n">
        <v>0</v>
      </c>
      <c r="BH28" s="110" t="n">
        <v>0</v>
      </c>
      <c r="BI28" s="110" t="n">
        <v>0</v>
      </c>
      <c r="BJ28" s="110" t="n">
        <v>0</v>
      </c>
      <c r="BK28" s="110" t="n">
        <v>0</v>
      </c>
      <c r="BL28" s="110" t="n">
        <v>0</v>
      </c>
      <c r="BM28" s="110" t="n">
        <v>0</v>
      </c>
      <c r="BN28" s="110" t="n">
        <v>0</v>
      </c>
      <c r="BO28" s="110" t="n">
        <v>0</v>
      </c>
      <c r="BP28" s="110" t="n">
        <v>0</v>
      </c>
      <c r="BQ28" s="110" t="n">
        <v>0</v>
      </c>
      <c r="BR28" s="110" t="n">
        <v>0</v>
      </c>
      <c r="BS28" s="110" t="n">
        <v>0</v>
      </c>
      <c r="BT28" s="110" t="n">
        <v>0</v>
      </c>
      <c r="BU28" s="110" t="n">
        <v>0</v>
      </c>
      <c r="BV28" s="110" t="n">
        <v>0</v>
      </c>
      <c r="BW28" s="110" t="n">
        <v>0</v>
      </c>
      <c r="BX28" s="110" t="n">
        <v>0</v>
      </c>
      <c r="BY28" s="110" t="n">
        <v>0</v>
      </c>
      <c r="BZ28" s="110" t="n">
        <v>0</v>
      </c>
      <c r="CA28" s="110" t="n">
        <v>0</v>
      </c>
      <c r="CB28" s="110" t="n">
        <v>0</v>
      </c>
      <c r="CC28" s="110" t="n">
        <v>0</v>
      </c>
      <c r="CD28" s="110" t="n">
        <v>0</v>
      </c>
      <c r="CE28" s="110" t="n">
        <v>0</v>
      </c>
      <c r="CF28" s="110" t="n">
        <v>0</v>
      </c>
      <c r="CG28" s="110" t="n">
        <v>0</v>
      </c>
      <c r="CH28" s="110" t="n">
        <v>0</v>
      </c>
      <c r="CI28" s="110" t="n">
        <v>0</v>
      </c>
      <c r="CJ28" s="110" t="n">
        <v>0</v>
      </c>
      <c r="CK28" s="110" t="n">
        <v>0</v>
      </c>
      <c r="CL28" s="110" t="n">
        <v>0</v>
      </c>
      <c r="CM28" s="110" t="n">
        <v>0</v>
      </c>
      <c r="CN28" s="110" t="n">
        <v>22323.28</v>
      </c>
      <c r="CO28" s="110" t="n">
        <v>105683.05</v>
      </c>
      <c r="CP28" s="110" t="n">
        <v>0</v>
      </c>
      <c r="CQ28" s="110" t="n">
        <v>0</v>
      </c>
      <c r="CR28" s="110" t="n">
        <v>131943.73</v>
      </c>
      <c r="CS28" s="110" t="n">
        <v>0</v>
      </c>
      <c r="CT28" s="110" t="n">
        <v>0</v>
      </c>
      <c r="CU28" s="110" t="n">
        <v>0</v>
      </c>
      <c r="CV28" s="111" t="n">
        <v>334</v>
      </c>
      <c r="CW28" s="111" t="n">
        <v>272</v>
      </c>
      <c r="CX28" s="111" t="n">
        <v>235</v>
      </c>
      <c r="CY28" s="111" t="n">
        <v>37</v>
      </c>
      <c r="CZ28" s="111" t="n">
        <v>62</v>
      </c>
      <c r="DA28" s="111" t="n">
        <v>19</v>
      </c>
      <c r="DB28" s="111" t="n">
        <v>43</v>
      </c>
      <c r="DC28" s="111" t="n">
        <v>122</v>
      </c>
      <c r="DD28" s="111" t="n">
        <v>0</v>
      </c>
      <c r="DE28" s="111" t="n">
        <v>113</v>
      </c>
      <c r="DF28" s="111" t="n">
        <v>107</v>
      </c>
      <c r="DG28" s="111" t="n">
        <v>6</v>
      </c>
      <c r="DH28" s="111" t="n">
        <v>9</v>
      </c>
      <c r="DI28" s="111" t="n">
        <v>2</v>
      </c>
      <c r="DJ28" s="111" t="n">
        <v>7</v>
      </c>
      <c r="DK28" s="111" t="n">
        <v>0</v>
      </c>
      <c r="DL28" s="111" t="n">
        <v>0</v>
      </c>
      <c r="DM28" s="111" t="n">
        <v>0</v>
      </c>
      <c r="DN28" s="111" t="n">
        <v>0</v>
      </c>
      <c r="DO28" s="111" t="n">
        <v>0</v>
      </c>
      <c r="DP28" s="111" t="n">
        <v>0</v>
      </c>
      <c r="DQ28" s="111" t="n">
        <v>0</v>
      </c>
      <c r="DR28" s="111" t="n">
        <v>124</v>
      </c>
      <c r="DS28" s="111" t="n">
        <v>0</v>
      </c>
      <c r="DT28" s="111" t="n">
        <v>76</v>
      </c>
      <c r="DU28" s="111" t="n">
        <v>67</v>
      </c>
      <c r="DV28" s="111" t="n">
        <v>9</v>
      </c>
      <c r="DW28" s="111" t="n">
        <v>48</v>
      </c>
      <c r="DX28" s="111" t="n">
        <v>12</v>
      </c>
      <c r="DY28" s="111" t="n">
        <v>36</v>
      </c>
      <c r="DZ28" s="111" t="n">
        <v>88</v>
      </c>
      <c r="EA28" s="111" t="n">
        <v>83</v>
      </c>
      <c r="EB28" s="111" t="n">
        <v>61</v>
      </c>
      <c r="EC28" s="111" t="n">
        <v>22</v>
      </c>
      <c r="ED28" s="111" t="n">
        <v>5</v>
      </c>
      <c r="EE28" s="111" t="n">
        <v>5</v>
      </c>
      <c r="EF28" s="111" t="n">
        <v>0</v>
      </c>
      <c r="EG28" s="111" t="n">
        <v>0</v>
      </c>
      <c r="EH28" s="111" t="n">
        <v>0</v>
      </c>
      <c r="EI28" s="111" t="n">
        <v>0</v>
      </c>
      <c r="EJ28" s="111" t="n">
        <v>0</v>
      </c>
      <c r="EK28" s="111" t="n">
        <v>0</v>
      </c>
      <c r="EL28" s="111" t="n">
        <v>0</v>
      </c>
      <c r="EM28" s="111" t="n">
        <v>0</v>
      </c>
      <c r="EN28" s="111" t="n">
        <v>0</v>
      </c>
      <c r="EO28" s="111" t="n">
        <v>0</v>
      </c>
      <c r="EP28" s="111" t="n">
        <v>0</v>
      </c>
      <c r="EQ28" s="111" t="n">
        <v>0</v>
      </c>
      <c r="ER28" s="111" t="n">
        <v>0</v>
      </c>
      <c r="ES28" s="111" t="n">
        <v>0</v>
      </c>
      <c r="ET28" s="111" t="n">
        <v>0</v>
      </c>
      <c r="EU28" s="111" t="n">
        <v>0</v>
      </c>
      <c r="EV28" s="111" t="n">
        <v>0</v>
      </c>
      <c r="EW28" s="111" t="n">
        <v>0</v>
      </c>
      <c r="EX28" s="111" t="n">
        <v>0</v>
      </c>
      <c r="EY28" s="111" t="n">
        <v>0</v>
      </c>
      <c r="EZ28" s="111" t="n">
        <v>0</v>
      </c>
      <c r="FA28" s="111" t="n">
        <v>0</v>
      </c>
      <c r="FB28" s="111" t="n">
        <v>0</v>
      </c>
    </row>
    <row r="29" ht="19.5" customHeight="1" s="247">
      <c r="A29" s="107" t="n">
        <v>26</v>
      </c>
      <c r="B29" s="107" t="inlineStr">
        <is>
          <t>儿童非手术</t>
        </is>
      </c>
      <c r="C29" s="107" t="inlineStr">
        <is>
          <t>新生儿科</t>
        </is>
      </c>
      <c r="D29" s="110" t="n">
        <v>771772.65</v>
      </c>
      <c r="E29" s="110" t="n">
        <v>175086.5</v>
      </c>
      <c r="F29" s="110" t="n">
        <v>596686.15</v>
      </c>
      <c r="G29" s="110" t="n">
        <v>1170</v>
      </c>
      <c r="H29" s="110" t="n">
        <v>57</v>
      </c>
      <c r="I29" s="110" t="n">
        <v>4367.5</v>
      </c>
      <c r="J29" s="110" t="n">
        <v>0</v>
      </c>
      <c r="K29" s="110" t="n">
        <v>0</v>
      </c>
      <c r="L29" s="110" t="n">
        <v>36607.5</v>
      </c>
      <c r="M29" s="110" t="n">
        <v>14494.25</v>
      </c>
      <c r="N29" s="110" t="n">
        <v>0</v>
      </c>
      <c r="O29" s="110" t="n">
        <v>1012848.38</v>
      </c>
      <c r="P29" s="110" t="n">
        <v>738221.59</v>
      </c>
      <c r="Q29" s="110" t="n">
        <v>560210.02</v>
      </c>
      <c r="R29" s="110" t="n">
        <v>178011.57</v>
      </c>
      <c r="S29" s="110" t="n">
        <v>274626.79</v>
      </c>
      <c r="T29" s="110" t="n">
        <v>263517.51</v>
      </c>
      <c r="U29" s="110" t="n">
        <v>11109.28</v>
      </c>
      <c r="V29" s="110" t="n">
        <v>340942.39</v>
      </c>
      <c r="W29" s="110" t="n">
        <v>313799.32</v>
      </c>
      <c r="X29" s="110" t="n">
        <v>273729.42</v>
      </c>
      <c r="Y29" s="110" t="n">
        <v>40069.9</v>
      </c>
      <c r="Z29" s="110" t="n">
        <v>27143.07</v>
      </c>
      <c r="AA29" s="110" t="n">
        <v>16033.79</v>
      </c>
      <c r="AB29" s="110" t="n">
        <v>11109.28</v>
      </c>
      <c r="AC29" s="110" t="n">
        <v>157174.21</v>
      </c>
      <c r="AD29" s="110" t="n">
        <v>145009.2</v>
      </c>
      <c r="AE29" s="110" t="n">
        <v>130088.24</v>
      </c>
      <c r="AF29" s="110" t="n">
        <v>14920.96</v>
      </c>
      <c r="AG29" s="110" t="n">
        <v>12165.01</v>
      </c>
      <c r="AH29" s="110" t="n">
        <v>6450.65</v>
      </c>
      <c r="AI29" s="110" t="n">
        <v>5714.36</v>
      </c>
      <c r="AJ29" s="110" t="n">
        <v>8681.68</v>
      </c>
      <c r="AK29" s="110" t="n">
        <v>7945.12</v>
      </c>
      <c r="AL29" s="110" t="n">
        <v>7119.18</v>
      </c>
      <c r="AM29" s="110" t="n">
        <v>825.9400000000001</v>
      </c>
      <c r="AN29" s="110" t="n">
        <v>736.5599999999999</v>
      </c>
      <c r="AO29" s="110" t="n">
        <v>288.64</v>
      </c>
      <c r="AP29" s="110" t="n">
        <v>447.92</v>
      </c>
      <c r="AQ29" s="110" t="n">
        <v>132060</v>
      </c>
      <c r="AR29" s="110" t="n">
        <v>121900</v>
      </c>
      <c r="AS29" s="110" t="n">
        <v>104625</v>
      </c>
      <c r="AT29" s="110" t="n">
        <v>17275</v>
      </c>
      <c r="AU29" s="110" t="n">
        <v>10160</v>
      </c>
      <c r="AV29" s="110" t="n">
        <v>7185</v>
      </c>
      <c r="AW29" s="110" t="n">
        <v>2975</v>
      </c>
      <c r="AX29" s="110" t="n">
        <v>43026.5</v>
      </c>
      <c r="AY29" s="110" t="n">
        <v>38945</v>
      </c>
      <c r="AZ29" s="110" t="n">
        <v>31897</v>
      </c>
      <c r="BA29" s="110" t="n">
        <v>7048</v>
      </c>
      <c r="BB29" s="110" t="n">
        <v>4081.5</v>
      </c>
      <c r="BC29" s="110" t="n">
        <v>2109.5</v>
      </c>
      <c r="BD29" s="110" t="n">
        <v>1972</v>
      </c>
      <c r="BE29" s="110" t="n">
        <v>671905.99</v>
      </c>
      <c r="BF29" s="110" t="n">
        <v>424422.27</v>
      </c>
      <c r="BG29" s="110" t="n">
        <v>286480.6</v>
      </c>
      <c r="BH29" s="110" t="n">
        <v>137941.67</v>
      </c>
      <c r="BI29" s="110" t="n">
        <v>247483.72</v>
      </c>
      <c r="BJ29" s="110" t="n">
        <v>247483.72</v>
      </c>
      <c r="BK29" s="110" t="n">
        <v>0</v>
      </c>
      <c r="BL29" s="110" t="n">
        <v>46644.08</v>
      </c>
      <c r="BM29" s="110" t="n">
        <v>24693.7</v>
      </c>
      <c r="BN29" s="110" t="n">
        <v>18611.22</v>
      </c>
      <c r="BO29" s="110" t="n">
        <v>6082.48</v>
      </c>
      <c r="BP29" s="110" t="n">
        <v>21950.38</v>
      </c>
      <c r="BQ29" s="110" t="n">
        <v>21950.38</v>
      </c>
      <c r="BR29" s="110" t="n">
        <v>0</v>
      </c>
      <c r="BS29" s="110" t="n">
        <v>28575.76</v>
      </c>
      <c r="BT29" s="110" t="n">
        <v>9771.030000000001</v>
      </c>
      <c r="BU29" s="110" t="n">
        <v>7710.48</v>
      </c>
      <c r="BV29" s="110" t="n">
        <v>2060.55</v>
      </c>
      <c r="BW29" s="110" t="n">
        <v>18804.73</v>
      </c>
      <c r="BX29" s="110" t="n">
        <v>18804.73</v>
      </c>
      <c r="BY29" s="110" t="n">
        <v>0</v>
      </c>
      <c r="BZ29" s="110" t="n">
        <v>313487</v>
      </c>
      <c r="CA29" s="110" t="n">
        <v>222171</v>
      </c>
      <c r="CB29" s="110" t="n">
        <v>142282</v>
      </c>
      <c r="CC29" s="110" t="n">
        <v>79889</v>
      </c>
      <c r="CD29" s="110" t="n">
        <v>91316</v>
      </c>
      <c r="CE29" s="110" t="n">
        <v>91316</v>
      </c>
      <c r="CF29" s="110" t="n">
        <v>0</v>
      </c>
      <c r="CG29" s="110" t="n">
        <v>283199.15</v>
      </c>
      <c r="CH29" s="110" t="n">
        <v>167786.54</v>
      </c>
      <c r="CI29" s="110" t="n">
        <v>117876.9</v>
      </c>
      <c r="CJ29" s="110" t="n">
        <v>49909.64</v>
      </c>
      <c r="CK29" s="110" t="n">
        <v>115412.61</v>
      </c>
      <c r="CL29" s="110" t="n">
        <v>115412.61</v>
      </c>
      <c r="CM29" s="110" t="n">
        <v>0</v>
      </c>
      <c r="CN29" s="110" t="n">
        <v>220783.2</v>
      </c>
      <c r="CO29" s="110" t="n">
        <v>48534.65</v>
      </c>
      <c r="CP29" s="110" t="n">
        <v>71624.53999999999</v>
      </c>
      <c r="CQ29" s="110" t="n">
        <v>0</v>
      </c>
      <c r="CR29" s="110" t="n">
        <v>0</v>
      </c>
      <c r="CS29" s="110" t="n">
        <v>0</v>
      </c>
      <c r="CT29" s="110" t="n">
        <v>0</v>
      </c>
      <c r="CU29" s="110" t="n">
        <v>0</v>
      </c>
      <c r="CV29" s="111" t="n">
        <v>1170</v>
      </c>
      <c r="CW29" s="111" t="n">
        <v>1063</v>
      </c>
      <c r="CX29" s="111" t="n">
        <v>882</v>
      </c>
      <c r="CY29" s="111" t="n">
        <v>181</v>
      </c>
      <c r="CZ29" s="111" t="n">
        <v>107</v>
      </c>
      <c r="DA29" s="111" t="n">
        <v>54</v>
      </c>
      <c r="DB29" s="111" t="n">
        <v>53</v>
      </c>
      <c r="DC29" s="111" t="n">
        <v>169</v>
      </c>
      <c r="DD29" s="111" t="n">
        <v>0</v>
      </c>
      <c r="DE29" s="111" t="n">
        <v>148</v>
      </c>
      <c r="DF29" s="111" t="n">
        <v>121</v>
      </c>
      <c r="DG29" s="111" t="n">
        <v>27</v>
      </c>
      <c r="DH29" s="111" t="n">
        <v>21</v>
      </c>
      <c r="DI29" s="111" t="n">
        <v>5</v>
      </c>
      <c r="DJ29" s="111" t="n">
        <v>16</v>
      </c>
      <c r="DK29" s="111" t="n">
        <v>308</v>
      </c>
      <c r="DL29" s="111" t="n">
        <v>274</v>
      </c>
      <c r="DM29" s="111" t="n">
        <v>201</v>
      </c>
      <c r="DN29" s="111" t="n">
        <v>73</v>
      </c>
      <c r="DO29" s="111" t="n">
        <v>34</v>
      </c>
      <c r="DP29" s="111" t="n">
        <v>16</v>
      </c>
      <c r="DQ29" s="111" t="n">
        <v>18</v>
      </c>
      <c r="DR29" s="111" t="n">
        <v>0</v>
      </c>
      <c r="DS29" s="111" t="n">
        <v>0</v>
      </c>
      <c r="DT29" s="111" t="n">
        <v>0</v>
      </c>
      <c r="DU29" s="111" t="n">
        <v>0</v>
      </c>
      <c r="DV29" s="111" t="n">
        <v>0</v>
      </c>
      <c r="DW29" s="111" t="n">
        <v>0</v>
      </c>
      <c r="DX29" s="111" t="n">
        <v>0</v>
      </c>
      <c r="DY29" s="111" t="n">
        <v>0</v>
      </c>
      <c r="DZ29" s="111" t="n">
        <v>693</v>
      </c>
      <c r="EA29" s="111" t="n">
        <v>641</v>
      </c>
      <c r="EB29" s="111" t="n">
        <v>560</v>
      </c>
      <c r="EC29" s="111" t="n">
        <v>81</v>
      </c>
      <c r="ED29" s="111" t="n">
        <v>52</v>
      </c>
      <c r="EE29" s="111" t="n">
        <v>33</v>
      </c>
      <c r="EF29" s="111" t="n">
        <v>19</v>
      </c>
      <c r="EG29" s="111" t="n">
        <v>57</v>
      </c>
      <c r="EH29" s="111" t="n">
        <v>47</v>
      </c>
      <c r="EI29" s="111" t="n">
        <v>26</v>
      </c>
      <c r="EJ29" s="111" t="n">
        <v>21</v>
      </c>
      <c r="EK29" s="111" t="n">
        <v>10</v>
      </c>
      <c r="EL29" s="111" t="n">
        <v>10</v>
      </c>
      <c r="EM29" s="111" t="n">
        <v>0</v>
      </c>
      <c r="EN29" s="111" t="n">
        <v>20</v>
      </c>
      <c r="EO29" s="111" t="n">
        <v>0</v>
      </c>
      <c r="EP29" s="111" t="n">
        <v>0</v>
      </c>
      <c r="EQ29" s="111" t="n">
        <v>20</v>
      </c>
      <c r="ER29" s="111" t="n">
        <v>0</v>
      </c>
      <c r="ES29" s="111" t="n">
        <v>0</v>
      </c>
      <c r="ET29" s="111" t="n">
        <v>0</v>
      </c>
      <c r="EU29" s="111" t="n">
        <v>0</v>
      </c>
      <c r="EV29" s="111" t="n">
        <v>0</v>
      </c>
      <c r="EW29" s="111" t="n">
        <v>0</v>
      </c>
      <c r="EX29" s="111" t="n">
        <v>0</v>
      </c>
      <c r="EY29" s="111" t="n">
        <v>0</v>
      </c>
      <c r="EZ29" s="111" t="n">
        <v>0</v>
      </c>
      <c r="FA29" s="111" t="n">
        <v>0</v>
      </c>
      <c r="FB29" s="111" t="n">
        <v>26</v>
      </c>
    </row>
    <row r="30" ht="19.5" customHeight="1" s="247">
      <c r="A30" s="107" t="n">
        <v>27</v>
      </c>
      <c r="B30" s="107" t="inlineStr">
        <is>
          <t>儿童手术</t>
        </is>
      </c>
      <c r="C30" s="107" t="inlineStr">
        <is>
          <t>儿心脏中心</t>
        </is>
      </c>
      <c r="D30" s="110" t="n">
        <v>50684</v>
      </c>
      <c r="E30" s="110" t="n">
        <v>50684</v>
      </c>
      <c r="F30" s="110" t="n">
        <v>0</v>
      </c>
      <c r="G30" s="110" t="n">
        <v>214</v>
      </c>
      <c r="H30" s="110" t="n">
        <v>0</v>
      </c>
      <c r="I30" s="110" t="n">
        <v>600</v>
      </c>
      <c r="J30" s="110" t="n">
        <v>0</v>
      </c>
      <c r="K30" s="110" t="n">
        <v>0</v>
      </c>
      <c r="L30" s="110" t="n">
        <v>0</v>
      </c>
      <c r="M30" s="110" t="n">
        <v>0</v>
      </c>
      <c r="N30" s="110" t="n">
        <v>0</v>
      </c>
      <c r="O30" s="110" t="n">
        <v>67979.78999999999</v>
      </c>
      <c r="P30" s="110" t="n">
        <v>64328.79</v>
      </c>
      <c r="Q30" s="110" t="n">
        <v>56405.33</v>
      </c>
      <c r="R30" s="110" t="n">
        <v>7923.46</v>
      </c>
      <c r="S30" s="110" t="n">
        <v>3651</v>
      </c>
      <c r="T30" s="110" t="n">
        <v>2189.22</v>
      </c>
      <c r="U30" s="110" t="n">
        <v>1461.78</v>
      </c>
      <c r="V30" s="110" t="n">
        <v>67979.78999999999</v>
      </c>
      <c r="W30" s="110" t="n">
        <v>64328.79</v>
      </c>
      <c r="X30" s="110" t="n">
        <v>56405.33</v>
      </c>
      <c r="Y30" s="110" t="n">
        <v>7923.46</v>
      </c>
      <c r="Z30" s="110" t="n">
        <v>3651</v>
      </c>
      <c r="AA30" s="110" t="n">
        <v>2189.22</v>
      </c>
      <c r="AB30" s="110" t="n">
        <v>1461.78</v>
      </c>
      <c r="AC30" s="110" t="n">
        <v>16049.19</v>
      </c>
      <c r="AD30" s="110" t="n">
        <v>15288.41</v>
      </c>
      <c r="AE30" s="110" t="n">
        <v>14176.33</v>
      </c>
      <c r="AF30" s="110" t="n">
        <v>1112.08</v>
      </c>
      <c r="AG30" s="110" t="n">
        <v>760.78</v>
      </c>
      <c r="AH30" s="110" t="n">
        <v>494.58</v>
      </c>
      <c r="AI30" s="110" t="n">
        <v>266.2</v>
      </c>
      <c r="AJ30" s="110" t="n">
        <v>1246.6</v>
      </c>
      <c r="AK30" s="110" t="n">
        <v>1027.38</v>
      </c>
      <c r="AL30" s="110" t="n">
        <v>915</v>
      </c>
      <c r="AM30" s="110" t="n">
        <v>112.38</v>
      </c>
      <c r="AN30" s="110" t="n">
        <v>219.22</v>
      </c>
      <c r="AO30" s="110" t="n">
        <v>172.64</v>
      </c>
      <c r="AP30" s="110" t="n">
        <v>46.58</v>
      </c>
      <c r="AQ30" s="110" t="n">
        <v>42674</v>
      </c>
      <c r="AR30" s="110" t="n">
        <v>40603</v>
      </c>
      <c r="AS30" s="110" t="n">
        <v>34740</v>
      </c>
      <c r="AT30" s="110" t="n">
        <v>5863</v>
      </c>
      <c r="AU30" s="110" t="n">
        <v>2071</v>
      </c>
      <c r="AV30" s="110" t="n">
        <v>1192</v>
      </c>
      <c r="AW30" s="110" t="n">
        <v>879</v>
      </c>
      <c r="AX30" s="110" t="n">
        <v>8010</v>
      </c>
      <c r="AY30" s="110" t="n">
        <v>7410</v>
      </c>
      <c r="AZ30" s="110" t="n">
        <v>6574</v>
      </c>
      <c r="BA30" s="110" t="n">
        <v>836</v>
      </c>
      <c r="BB30" s="110" t="n">
        <v>600</v>
      </c>
      <c r="BC30" s="110" t="n">
        <v>330</v>
      </c>
      <c r="BD30" s="110" t="n">
        <v>270</v>
      </c>
      <c r="BE30" s="110" t="n">
        <v>0</v>
      </c>
      <c r="BF30" s="110" t="n">
        <v>0</v>
      </c>
      <c r="BG30" s="110" t="n">
        <v>0</v>
      </c>
      <c r="BH30" s="110" t="n">
        <v>0</v>
      </c>
      <c r="BI30" s="110" t="n">
        <v>0</v>
      </c>
      <c r="BJ30" s="110" t="n">
        <v>0</v>
      </c>
      <c r="BK30" s="110" t="n">
        <v>0</v>
      </c>
      <c r="BL30" s="110" t="n">
        <v>0</v>
      </c>
      <c r="BM30" s="110" t="n">
        <v>0</v>
      </c>
      <c r="BN30" s="110" t="n">
        <v>0</v>
      </c>
      <c r="BO30" s="110" t="n">
        <v>0</v>
      </c>
      <c r="BP30" s="110" t="n">
        <v>0</v>
      </c>
      <c r="BQ30" s="110" t="n">
        <v>0</v>
      </c>
      <c r="BR30" s="110" t="n">
        <v>0</v>
      </c>
      <c r="BS30" s="110" t="n">
        <v>0</v>
      </c>
      <c r="BT30" s="110" t="n">
        <v>0</v>
      </c>
      <c r="BU30" s="110" t="n">
        <v>0</v>
      </c>
      <c r="BV30" s="110" t="n">
        <v>0</v>
      </c>
      <c r="BW30" s="110" t="n">
        <v>0</v>
      </c>
      <c r="BX30" s="110" t="n">
        <v>0</v>
      </c>
      <c r="BY30" s="110" t="n">
        <v>0</v>
      </c>
      <c r="BZ30" s="110" t="n">
        <v>0</v>
      </c>
      <c r="CA30" s="110" t="n">
        <v>0</v>
      </c>
      <c r="CB30" s="110" t="n">
        <v>0</v>
      </c>
      <c r="CC30" s="110" t="n">
        <v>0</v>
      </c>
      <c r="CD30" s="110" t="n">
        <v>0</v>
      </c>
      <c r="CE30" s="110" t="n">
        <v>0</v>
      </c>
      <c r="CF30" s="110" t="n">
        <v>0</v>
      </c>
      <c r="CG30" s="110" t="n">
        <v>0</v>
      </c>
      <c r="CH30" s="110" t="n">
        <v>0</v>
      </c>
      <c r="CI30" s="110" t="n">
        <v>0</v>
      </c>
      <c r="CJ30" s="110" t="n">
        <v>0</v>
      </c>
      <c r="CK30" s="110" t="n">
        <v>0</v>
      </c>
      <c r="CL30" s="110" t="n">
        <v>0</v>
      </c>
      <c r="CM30" s="110" t="n">
        <v>0</v>
      </c>
      <c r="CN30" s="110" t="n">
        <v>47055.07</v>
      </c>
      <c r="CO30" s="110" t="n">
        <v>0</v>
      </c>
      <c r="CP30" s="110" t="n">
        <v>20924.72</v>
      </c>
      <c r="CQ30" s="110" t="n">
        <v>0</v>
      </c>
      <c r="CR30" s="110" t="n">
        <v>0</v>
      </c>
      <c r="CS30" s="110" t="n">
        <v>0</v>
      </c>
      <c r="CT30" s="110" t="n">
        <v>0</v>
      </c>
      <c r="CU30" s="110" t="n">
        <v>0</v>
      </c>
      <c r="CV30" s="111" t="n">
        <v>214</v>
      </c>
      <c r="CW30" s="111" t="n">
        <v>199</v>
      </c>
      <c r="CX30" s="111" t="n">
        <v>176</v>
      </c>
      <c r="CY30" s="111" t="n">
        <v>23</v>
      </c>
      <c r="CZ30" s="111" t="n">
        <v>15</v>
      </c>
      <c r="DA30" s="111" t="n">
        <v>8</v>
      </c>
      <c r="DB30" s="111" t="n">
        <v>7</v>
      </c>
      <c r="DC30" s="111" t="n">
        <v>0</v>
      </c>
      <c r="DD30" s="111" t="n">
        <v>0</v>
      </c>
      <c r="DE30" s="111" t="n">
        <v>0</v>
      </c>
      <c r="DF30" s="111" t="n">
        <v>0</v>
      </c>
      <c r="DG30" s="111" t="n">
        <v>0</v>
      </c>
      <c r="DH30" s="111" t="n">
        <v>0</v>
      </c>
      <c r="DI30" s="111" t="n">
        <v>0</v>
      </c>
      <c r="DJ30" s="111" t="n">
        <v>0</v>
      </c>
      <c r="DK30" s="111" t="n">
        <v>67</v>
      </c>
      <c r="DL30" s="111" t="n">
        <v>62</v>
      </c>
      <c r="DM30" s="111" t="n">
        <v>55</v>
      </c>
      <c r="DN30" s="111" t="n">
        <v>7</v>
      </c>
      <c r="DO30" s="111" t="n">
        <v>5</v>
      </c>
      <c r="DP30" s="111" t="n">
        <v>2</v>
      </c>
      <c r="DQ30" s="111" t="n">
        <v>3</v>
      </c>
      <c r="DR30" s="111" t="n">
        <v>0</v>
      </c>
      <c r="DS30" s="111" t="n">
        <v>0</v>
      </c>
      <c r="DT30" s="111" t="n">
        <v>0</v>
      </c>
      <c r="DU30" s="111" t="n">
        <v>0</v>
      </c>
      <c r="DV30" s="111" t="n">
        <v>0</v>
      </c>
      <c r="DW30" s="111" t="n">
        <v>0</v>
      </c>
      <c r="DX30" s="111" t="n">
        <v>0</v>
      </c>
      <c r="DY30" s="111" t="n">
        <v>0</v>
      </c>
      <c r="DZ30" s="111" t="n">
        <v>147</v>
      </c>
      <c r="EA30" s="111" t="n">
        <v>137</v>
      </c>
      <c r="EB30" s="111" t="n">
        <v>121</v>
      </c>
      <c r="EC30" s="111" t="n">
        <v>16</v>
      </c>
      <c r="ED30" s="111" t="n">
        <v>10</v>
      </c>
      <c r="EE30" s="111" t="n">
        <v>6</v>
      </c>
      <c r="EF30" s="111" t="n">
        <v>4</v>
      </c>
      <c r="EG30" s="111" t="n">
        <v>0</v>
      </c>
      <c r="EH30" s="111" t="n">
        <v>0</v>
      </c>
      <c r="EI30" s="111" t="n">
        <v>0</v>
      </c>
      <c r="EJ30" s="111" t="n">
        <v>0</v>
      </c>
      <c r="EK30" s="111" t="n">
        <v>0</v>
      </c>
      <c r="EL30" s="111" t="n">
        <v>0</v>
      </c>
      <c r="EM30" s="111" t="n">
        <v>0</v>
      </c>
      <c r="EN30" s="111" t="n">
        <v>0</v>
      </c>
      <c r="EO30" s="111" t="n">
        <v>0</v>
      </c>
      <c r="EP30" s="111" t="n">
        <v>0</v>
      </c>
      <c r="EQ30" s="111" t="n">
        <v>0</v>
      </c>
      <c r="ER30" s="111" t="n">
        <v>0</v>
      </c>
      <c r="ES30" s="111" t="n">
        <v>0</v>
      </c>
      <c r="ET30" s="111" t="n">
        <v>0</v>
      </c>
      <c r="EU30" s="111" t="n">
        <v>0</v>
      </c>
      <c r="EV30" s="111" t="n">
        <v>0</v>
      </c>
      <c r="EW30" s="111" t="n">
        <v>0</v>
      </c>
      <c r="EX30" s="111" t="n">
        <v>0</v>
      </c>
      <c r="EY30" s="111" t="n">
        <v>0</v>
      </c>
      <c r="EZ30" s="111" t="n">
        <v>0</v>
      </c>
      <c r="FA30" s="111" t="n">
        <v>0</v>
      </c>
      <c r="FB30" s="111" t="n">
        <v>0</v>
      </c>
    </row>
    <row r="31" ht="19.5" customHeight="1" s="247">
      <c r="A31" s="107" t="n">
        <v>28</v>
      </c>
      <c r="B31" s="107" t="inlineStr">
        <is>
          <t>儿童非手术</t>
        </is>
      </c>
      <c r="C31" s="107" t="inlineStr">
        <is>
          <t>儿神经内科</t>
        </is>
      </c>
      <c r="D31" s="110" t="n">
        <v>453504</v>
      </c>
      <c r="E31" s="110" t="n">
        <v>106542</v>
      </c>
      <c r="F31" s="110" t="n">
        <v>346962</v>
      </c>
      <c r="G31" s="110" t="n">
        <v>438</v>
      </c>
      <c r="H31" s="110" t="n">
        <v>136</v>
      </c>
      <c r="I31" s="110" t="n">
        <v>700</v>
      </c>
      <c r="J31" s="110" t="n">
        <v>0</v>
      </c>
      <c r="K31" s="110" t="n">
        <v>0</v>
      </c>
      <c r="L31" s="110" t="n">
        <v>4462</v>
      </c>
      <c r="M31" s="110" t="n">
        <v>0</v>
      </c>
      <c r="N31" s="110" t="n">
        <v>0</v>
      </c>
      <c r="O31" s="110" t="n">
        <v>2181654.35</v>
      </c>
      <c r="P31" s="110" t="n">
        <v>543777.2</v>
      </c>
      <c r="Q31" s="110" t="n">
        <v>527461.15</v>
      </c>
      <c r="R31" s="110" t="n">
        <v>16316.05</v>
      </c>
      <c r="S31" s="110" t="n">
        <v>1637877.15</v>
      </c>
      <c r="T31" s="110" t="n">
        <v>1561662.05</v>
      </c>
      <c r="U31" s="110" t="n">
        <v>76215.10000000001</v>
      </c>
      <c r="V31" s="110" t="n">
        <v>162206.17</v>
      </c>
      <c r="W31" s="110" t="n">
        <v>125399.61</v>
      </c>
      <c r="X31" s="110" t="n">
        <v>114316.56</v>
      </c>
      <c r="Y31" s="110" t="n">
        <v>11083.05</v>
      </c>
      <c r="Z31" s="110" t="n">
        <v>36806.56</v>
      </c>
      <c r="AA31" s="110" t="n">
        <v>22398.85</v>
      </c>
      <c r="AB31" s="110" t="n">
        <v>14407.71</v>
      </c>
      <c r="AC31" s="110" t="n">
        <v>54106.81</v>
      </c>
      <c r="AD31" s="110" t="n">
        <v>40586.95</v>
      </c>
      <c r="AE31" s="110" t="n">
        <v>37857.6</v>
      </c>
      <c r="AF31" s="110" t="n">
        <v>2729.35</v>
      </c>
      <c r="AG31" s="110" t="n">
        <v>13519.86</v>
      </c>
      <c r="AH31" s="110" t="n">
        <v>8963.85</v>
      </c>
      <c r="AI31" s="110" t="n">
        <v>4556.01</v>
      </c>
      <c r="AJ31" s="110" t="n">
        <v>1557.36</v>
      </c>
      <c r="AK31" s="110" t="n">
        <v>1458.66</v>
      </c>
      <c r="AL31" s="110" t="n">
        <v>1271.96</v>
      </c>
      <c r="AM31" s="110" t="n">
        <v>186.7</v>
      </c>
      <c r="AN31" s="110" t="n">
        <v>98.7</v>
      </c>
      <c r="AO31" s="110" t="n">
        <v>0</v>
      </c>
      <c r="AP31" s="110" t="n">
        <v>98.7</v>
      </c>
      <c r="AQ31" s="110" t="n">
        <v>78930</v>
      </c>
      <c r="AR31" s="110" t="n">
        <v>64787</v>
      </c>
      <c r="AS31" s="110" t="n">
        <v>58594</v>
      </c>
      <c r="AT31" s="110" t="n">
        <v>6193</v>
      </c>
      <c r="AU31" s="110" t="n">
        <v>14143</v>
      </c>
      <c r="AV31" s="110" t="n">
        <v>8544</v>
      </c>
      <c r="AW31" s="110" t="n">
        <v>5599</v>
      </c>
      <c r="AX31" s="110" t="n">
        <v>27612</v>
      </c>
      <c r="AY31" s="110" t="n">
        <v>18567</v>
      </c>
      <c r="AZ31" s="110" t="n">
        <v>16593</v>
      </c>
      <c r="BA31" s="110" t="n">
        <v>1974</v>
      </c>
      <c r="BB31" s="110" t="n">
        <v>9045</v>
      </c>
      <c r="BC31" s="110" t="n">
        <v>4891</v>
      </c>
      <c r="BD31" s="110" t="n">
        <v>4154</v>
      </c>
      <c r="BE31" s="110" t="n">
        <v>2019448.18</v>
      </c>
      <c r="BF31" s="110" t="n">
        <v>418377.59</v>
      </c>
      <c r="BG31" s="110" t="n">
        <v>413144.59</v>
      </c>
      <c r="BH31" s="110" t="n">
        <v>5233</v>
      </c>
      <c r="BI31" s="110" t="n">
        <v>1601070.59</v>
      </c>
      <c r="BJ31" s="110" t="n">
        <v>1539263.2</v>
      </c>
      <c r="BK31" s="110" t="n">
        <v>61807.39</v>
      </c>
      <c r="BL31" s="110" t="n">
        <v>1652568.51</v>
      </c>
      <c r="BM31" s="110" t="n">
        <v>325135.63</v>
      </c>
      <c r="BN31" s="110" t="n">
        <v>325135.63</v>
      </c>
      <c r="BO31" s="110" t="n">
        <v>0</v>
      </c>
      <c r="BP31" s="110" t="n">
        <v>1327432.88</v>
      </c>
      <c r="BQ31" s="110" t="n">
        <v>1278636.37</v>
      </c>
      <c r="BR31" s="110" t="n">
        <v>48796.51</v>
      </c>
      <c r="BS31" s="110" t="n">
        <v>19917.67</v>
      </c>
      <c r="BT31" s="110" t="n">
        <v>4148.96</v>
      </c>
      <c r="BU31" s="110" t="n">
        <v>4148.96</v>
      </c>
      <c r="BV31" s="110" t="n">
        <v>0</v>
      </c>
      <c r="BW31" s="110" t="n">
        <v>15768.71</v>
      </c>
      <c r="BX31" s="110" t="n">
        <v>15067.83</v>
      </c>
      <c r="BY31" s="110" t="n">
        <v>700.88</v>
      </c>
      <c r="BZ31" s="110" t="n">
        <v>211841</v>
      </c>
      <c r="CA31" s="110" t="n">
        <v>46161</v>
      </c>
      <c r="CB31" s="110" t="n">
        <v>43857</v>
      </c>
      <c r="CC31" s="110" t="n">
        <v>2304</v>
      </c>
      <c r="CD31" s="110" t="n">
        <v>165680</v>
      </c>
      <c r="CE31" s="110" t="n">
        <v>158893</v>
      </c>
      <c r="CF31" s="110" t="n">
        <v>6787</v>
      </c>
      <c r="CG31" s="110" t="n">
        <v>135121</v>
      </c>
      <c r="CH31" s="110" t="n">
        <v>42932</v>
      </c>
      <c r="CI31" s="110" t="n">
        <v>40003</v>
      </c>
      <c r="CJ31" s="110" t="n">
        <v>2929</v>
      </c>
      <c r="CK31" s="110" t="n">
        <v>92189</v>
      </c>
      <c r="CL31" s="110" t="n">
        <v>86666</v>
      </c>
      <c r="CM31" s="110" t="n">
        <v>5523</v>
      </c>
      <c r="CN31" s="110" t="n">
        <v>66519.82000000001</v>
      </c>
      <c r="CO31" s="110" t="n">
        <v>10</v>
      </c>
      <c r="CP31" s="110" t="n">
        <v>15233.69</v>
      </c>
      <c r="CQ31" s="110" t="n">
        <v>35816.82</v>
      </c>
      <c r="CR31" s="110" t="n">
        <v>44585.84</v>
      </c>
      <c r="CS31" s="110" t="n">
        <v>0</v>
      </c>
      <c r="CT31" s="110" t="n">
        <v>0</v>
      </c>
      <c r="CU31" s="110" t="n">
        <v>0</v>
      </c>
      <c r="CV31" s="111" t="n">
        <v>438</v>
      </c>
      <c r="CW31" s="111" t="n">
        <v>367</v>
      </c>
      <c r="CX31" s="111" t="n">
        <v>333</v>
      </c>
      <c r="CY31" s="111" t="n">
        <v>34</v>
      </c>
      <c r="CZ31" s="111" t="n">
        <v>71</v>
      </c>
      <c r="DA31" s="111" t="n">
        <v>41</v>
      </c>
      <c r="DB31" s="111" t="n">
        <v>30</v>
      </c>
      <c r="DC31" s="111" t="n">
        <v>54</v>
      </c>
      <c r="DD31" s="111" t="n">
        <v>0</v>
      </c>
      <c r="DE31" s="111" t="n">
        <v>47</v>
      </c>
      <c r="DF31" s="111" t="n">
        <v>43</v>
      </c>
      <c r="DG31" s="111" t="n">
        <v>4</v>
      </c>
      <c r="DH31" s="111" t="n">
        <v>7</v>
      </c>
      <c r="DI31" s="111" t="n">
        <v>5</v>
      </c>
      <c r="DJ31" s="111" t="n">
        <v>2</v>
      </c>
      <c r="DK31" s="111" t="n">
        <v>41</v>
      </c>
      <c r="DL31" s="111" t="n">
        <v>31</v>
      </c>
      <c r="DM31" s="111" t="n">
        <v>27</v>
      </c>
      <c r="DN31" s="111" t="n">
        <v>4</v>
      </c>
      <c r="DO31" s="111" t="n">
        <v>10</v>
      </c>
      <c r="DP31" s="111" t="n">
        <v>7</v>
      </c>
      <c r="DQ31" s="111" t="n">
        <v>3</v>
      </c>
      <c r="DR31" s="111" t="n">
        <v>60</v>
      </c>
      <c r="DS31" s="111" t="n">
        <v>0</v>
      </c>
      <c r="DT31" s="111" t="n">
        <v>30</v>
      </c>
      <c r="DU31" s="111" t="n">
        <v>26</v>
      </c>
      <c r="DV31" s="111" t="n">
        <v>4</v>
      </c>
      <c r="DW31" s="111" t="n">
        <v>30</v>
      </c>
      <c r="DX31" s="111" t="n">
        <v>16</v>
      </c>
      <c r="DY31" s="111" t="n">
        <v>14</v>
      </c>
      <c r="DZ31" s="111" t="n">
        <v>283</v>
      </c>
      <c r="EA31" s="111" t="n">
        <v>259</v>
      </c>
      <c r="EB31" s="111" t="n">
        <v>237</v>
      </c>
      <c r="EC31" s="111" t="n">
        <v>22</v>
      </c>
      <c r="ED31" s="111" t="n">
        <v>24</v>
      </c>
      <c r="EE31" s="111" t="n">
        <v>13</v>
      </c>
      <c r="EF31" s="111" t="n">
        <v>11</v>
      </c>
      <c r="EG31" s="111" t="n">
        <v>136</v>
      </c>
      <c r="EH31" s="111" t="n">
        <v>39</v>
      </c>
      <c r="EI31" s="111" t="n">
        <v>36</v>
      </c>
      <c r="EJ31" s="111" t="n">
        <v>3</v>
      </c>
      <c r="EK31" s="111" t="n">
        <v>97</v>
      </c>
      <c r="EL31" s="111" t="n">
        <v>92</v>
      </c>
      <c r="EM31" s="111" t="n">
        <v>5</v>
      </c>
      <c r="EN31" s="111" t="n">
        <v>28</v>
      </c>
      <c r="EO31" s="111" t="n">
        <v>0</v>
      </c>
      <c r="EP31" s="111" t="n">
        <v>0</v>
      </c>
      <c r="EQ31" s="111" t="n">
        <v>28</v>
      </c>
      <c r="ER31" s="111" t="n">
        <v>0</v>
      </c>
      <c r="ES31" s="111" t="n">
        <v>0</v>
      </c>
      <c r="ET31" s="111" t="n">
        <v>0</v>
      </c>
      <c r="EU31" s="111" t="n">
        <v>0</v>
      </c>
      <c r="EV31" s="111" t="n">
        <v>0</v>
      </c>
      <c r="EW31" s="111" t="n">
        <v>0</v>
      </c>
      <c r="EX31" s="111" t="n">
        <v>0</v>
      </c>
      <c r="EY31" s="111" t="n">
        <v>0</v>
      </c>
      <c r="EZ31" s="111" t="n">
        <v>0</v>
      </c>
      <c r="FA31" s="111" t="n">
        <v>0</v>
      </c>
      <c r="FB31" s="111" t="n">
        <v>131</v>
      </c>
    </row>
    <row r="32" ht="19.5" customHeight="1" s="247">
      <c r="A32" s="107" t="n">
        <v>29</v>
      </c>
      <c r="B32" s="107" t="inlineStr">
        <is>
          <t>儿童非手术</t>
        </is>
      </c>
      <c r="C32" s="107" t="inlineStr">
        <is>
          <t>儿感染科</t>
        </is>
      </c>
      <c r="D32" s="110" t="n">
        <v>454786.5</v>
      </c>
      <c r="E32" s="110" t="n">
        <v>454786.5</v>
      </c>
      <c r="F32" s="110" t="n">
        <v>0</v>
      </c>
      <c r="G32" s="110" t="n">
        <v>2941</v>
      </c>
      <c r="H32" s="110" t="n">
        <v>0</v>
      </c>
      <c r="I32" s="110" t="n">
        <v>8685.5</v>
      </c>
      <c r="J32" s="110" t="n">
        <v>0</v>
      </c>
      <c r="K32" s="110" t="n">
        <v>0</v>
      </c>
      <c r="L32" s="110" t="n">
        <v>0</v>
      </c>
      <c r="M32" s="110" t="n">
        <v>0</v>
      </c>
      <c r="N32" s="110" t="n">
        <v>0</v>
      </c>
      <c r="O32" s="110" t="n">
        <v>904602.84</v>
      </c>
      <c r="P32" s="110" t="n">
        <v>853758.28</v>
      </c>
      <c r="Q32" s="110" t="n">
        <v>773000.53</v>
      </c>
      <c r="R32" s="110" t="n">
        <v>80757.75</v>
      </c>
      <c r="S32" s="110" t="n">
        <v>50844.56</v>
      </c>
      <c r="T32" s="110" t="n">
        <v>27773.44</v>
      </c>
      <c r="U32" s="110" t="n">
        <v>23071.12</v>
      </c>
      <c r="V32" s="110" t="n">
        <v>904602.84</v>
      </c>
      <c r="W32" s="110" t="n">
        <v>853758.28</v>
      </c>
      <c r="X32" s="110" t="n">
        <v>773000.53</v>
      </c>
      <c r="Y32" s="110" t="n">
        <v>80757.75</v>
      </c>
      <c r="Z32" s="110" t="n">
        <v>50844.56</v>
      </c>
      <c r="AA32" s="110" t="n">
        <v>27773.44</v>
      </c>
      <c r="AB32" s="110" t="n">
        <v>23071.12</v>
      </c>
      <c r="AC32" s="110" t="n">
        <v>430922.16</v>
      </c>
      <c r="AD32" s="110" t="n">
        <v>408210.4</v>
      </c>
      <c r="AE32" s="110" t="n">
        <v>371334.25</v>
      </c>
      <c r="AF32" s="110" t="n">
        <v>36876.15</v>
      </c>
      <c r="AG32" s="110" t="n">
        <v>22711.76</v>
      </c>
      <c r="AH32" s="110" t="n">
        <v>11846.52</v>
      </c>
      <c r="AI32" s="110" t="n">
        <v>10865.24</v>
      </c>
      <c r="AJ32" s="110" t="n">
        <v>18894.18</v>
      </c>
      <c r="AK32" s="110" t="n">
        <v>17453.38</v>
      </c>
      <c r="AL32" s="110" t="n">
        <v>15550.78</v>
      </c>
      <c r="AM32" s="110" t="n">
        <v>1902.6</v>
      </c>
      <c r="AN32" s="110" t="n">
        <v>1440.8</v>
      </c>
      <c r="AO32" s="110" t="n">
        <v>605.92</v>
      </c>
      <c r="AP32" s="110" t="n">
        <v>834.88</v>
      </c>
      <c r="AQ32" s="110" t="n">
        <v>344108</v>
      </c>
      <c r="AR32" s="110" t="n">
        <v>324899</v>
      </c>
      <c r="AS32" s="110" t="n">
        <v>295795</v>
      </c>
      <c r="AT32" s="110" t="n">
        <v>29104</v>
      </c>
      <c r="AU32" s="110" t="n">
        <v>19209</v>
      </c>
      <c r="AV32" s="110" t="n">
        <v>11407</v>
      </c>
      <c r="AW32" s="110" t="n">
        <v>7802</v>
      </c>
      <c r="AX32" s="110" t="n">
        <v>110678.5</v>
      </c>
      <c r="AY32" s="110" t="n">
        <v>103195.5</v>
      </c>
      <c r="AZ32" s="110" t="n">
        <v>90320.5</v>
      </c>
      <c r="BA32" s="110" t="n">
        <v>12875</v>
      </c>
      <c r="BB32" s="110" t="n">
        <v>7483</v>
      </c>
      <c r="BC32" s="110" t="n">
        <v>3914</v>
      </c>
      <c r="BD32" s="110" t="n">
        <v>3569</v>
      </c>
      <c r="BE32" s="110" t="n">
        <v>0</v>
      </c>
      <c r="BF32" s="110" t="n">
        <v>0</v>
      </c>
      <c r="BG32" s="110" t="n">
        <v>0</v>
      </c>
      <c r="BH32" s="110" t="n">
        <v>0</v>
      </c>
      <c r="BI32" s="110" t="n">
        <v>0</v>
      </c>
      <c r="BJ32" s="110" t="n">
        <v>0</v>
      </c>
      <c r="BK32" s="110" t="n">
        <v>0</v>
      </c>
      <c r="BL32" s="110" t="n">
        <v>0</v>
      </c>
      <c r="BM32" s="110" t="n">
        <v>0</v>
      </c>
      <c r="BN32" s="110" t="n">
        <v>0</v>
      </c>
      <c r="BO32" s="110" t="n">
        <v>0</v>
      </c>
      <c r="BP32" s="110" t="n">
        <v>0</v>
      </c>
      <c r="BQ32" s="110" t="n">
        <v>0</v>
      </c>
      <c r="BR32" s="110" t="n">
        <v>0</v>
      </c>
      <c r="BS32" s="110" t="n">
        <v>0</v>
      </c>
      <c r="BT32" s="110" t="n">
        <v>0</v>
      </c>
      <c r="BU32" s="110" t="n">
        <v>0</v>
      </c>
      <c r="BV32" s="110" t="n">
        <v>0</v>
      </c>
      <c r="BW32" s="110" t="n">
        <v>0</v>
      </c>
      <c r="BX32" s="110" t="n">
        <v>0</v>
      </c>
      <c r="BY32" s="110" t="n">
        <v>0</v>
      </c>
      <c r="BZ32" s="110" t="n">
        <v>0</v>
      </c>
      <c r="CA32" s="110" t="n">
        <v>0</v>
      </c>
      <c r="CB32" s="110" t="n">
        <v>0</v>
      </c>
      <c r="CC32" s="110" t="n">
        <v>0</v>
      </c>
      <c r="CD32" s="110" t="n">
        <v>0</v>
      </c>
      <c r="CE32" s="110" t="n">
        <v>0</v>
      </c>
      <c r="CF32" s="110" t="n">
        <v>0</v>
      </c>
      <c r="CG32" s="110" t="n">
        <v>0</v>
      </c>
      <c r="CH32" s="110" t="n">
        <v>0</v>
      </c>
      <c r="CI32" s="110" t="n">
        <v>0</v>
      </c>
      <c r="CJ32" s="110" t="n">
        <v>0</v>
      </c>
      <c r="CK32" s="110" t="n">
        <v>0</v>
      </c>
      <c r="CL32" s="110" t="n">
        <v>0</v>
      </c>
      <c r="CM32" s="110" t="n">
        <v>0</v>
      </c>
      <c r="CN32" s="110" t="n">
        <v>468082.32</v>
      </c>
      <c r="CO32" s="110" t="n">
        <v>240873.52</v>
      </c>
      <c r="CP32" s="110" t="n">
        <v>148378.8</v>
      </c>
      <c r="CQ32" s="110" t="n">
        <v>36</v>
      </c>
      <c r="CR32" s="110" t="n">
        <v>47232.2</v>
      </c>
      <c r="CS32" s="110" t="n">
        <v>0</v>
      </c>
      <c r="CT32" s="110" t="n">
        <v>0</v>
      </c>
      <c r="CU32" s="110" t="n">
        <v>0</v>
      </c>
      <c r="CV32" s="111" t="n">
        <v>2941</v>
      </c>
      <c r="CW32" s="111" t="n">
        <v>2742</v>
      </c>
      <c r="CX32" s="111" t="n">
        <v>2406</v>
      </c>
      <c r="CY32" s="111" t="n">
        <v>336</v>
      </c>
      <c r="CZ32" s="111" t="n">
        <v>199</v>
      </c>
      <c r="DA32" s="111" t="n">
        <v>105</v>
      </c>
      <c r="DB32" s="111" t="n">
        <v>94</v>
      </c>
      <c r="DC32" s="111" t="n">
        <v>897</v>
      </c>
      <c r="DD32" s="111" t="n">
        <v>0</v>
      </c>
      <c r="DE32" s="111" t="n">
        <v>830</v>
      </c>
      <c r="DF32" s="111" t="n">
        <v>719</v>
      </c>
      <c r="DG32" s="111" t="n">
        <v>111</v>
      </c>
      <c r="DH32" s="111" t="n">
        <v>67</v>
      </c>
      <c r="DI32" s="111" t="n">
        <v>30</v>
      </c>
      <c r="DJ32" s="111" t="n">
        <v>37</v>
      </c>
      <c r="DK32" s="111" t="n">
        <v>456</v>
      </c>
      <c r="DL32" s="111" t="n">
        <v>417</v>
      </c>
      <c r="DM32" s="111" t="n">
        <v>357</v>
      </c>
      <c r="DN32" s="111" t="n">
        <v>60</v>
      </c>
      <c r="DO32" s="111" t="n">
        <v>39</v>
      </c>
      <c r="DP32" s="111" t="n">
        <v>17</v>
      </c>
      <c r="DQ32" s="111" t="n">
        <v>22</v>
      </c>
      <c r="DR32" s="111" t="n">
        <v>111</v>
      </c>
      <c r="DS32" s="111" t="n">
        <v>0</v>
      </c>
      <c r="DT32" s="111" t="n">
        <v>104</v>
      </c>
      <c r="DU32" s="111" t="n">
        <v>89</v>
      </c>
      <c r="DV32" s="111" t="n">
        <v>15</v>
      </c>
      <c r="DW32" s="111" t="n">
        <v>7</v>
      </c>
      <c r="DX32" s="111" t="n">
        <v>4</v>
      </c>
      <c r="DY32" s="111" t="n">
        <v>3</v>
      </c>
      <c r="DZ32" s="111" t="n">
        <v>1477</v>
      </c>
      <c r="EA32" s="111" t="n">
        <v>1391</v>
      </c>
      <c r="EB32" s="111" t="n">
        <v>1241</v>
      </c>
      <c r="EC32" s="111" t="n">
        <v>150</v>
      </c>
      <c r="ED32" s="111" t="n">
        <v>86</v>
      </c>
      <c r="EE32" s="111" t="n">
        <v>54</v>
      </c>
      <c r="EF32" s="111" t="n">
        <v>32</v>
      </c>
      <c r="EG32" s="111" t="n">
        <v>0</v>
      </c>
      <c r="EH32" s="111" t="n">
        <v>0</v>
      </c>
      <c r="EI32" s="111" t="n">
        <v>0</v>
      </c>
      <c r="EJ32" s="111" t="n">
        <v>0</v>
      </c>
      <c r="EK32" s="111" t="n">
        <v>0</v>
      </c>
      <c r="EL32" s="111" t="n">
        <v>0</v>
      </c>
      <c r="EM32" s="111" t="n">
        <v>0</v>
      </c>
      <c r="EN32" s="111" t="n">
        <v>0</v>
      </c>
      <c r="EO32" s="111" t="n">
        <v>0</v>
      </c>
      <c r="EP32" s="111" t="n">
        <v>0</v>
      </c>
      <c r="EQ32" s="111" t="n">
        <v>0</v>
      </c>
      <c r="ER32" s="111" t="n">
        <v>0</v>
      </c>
      <c r="ES32" s="111" t="n">
        <v>0</v>
      </c>
      <c r="ET32" s="111" t="n">
        <v>0</v>
      </c>
      <c r="EU32" s="111" t="n">
        <v>0</v>
      </c>
      <c r="EV32" s="111" t="n">
        <v>0</v>
      </c>
      <c r="EW32" s="111" t="n">
        <v>0</v>
      </c>
      <c r="EX32" s="111" t="n">
        <v>0</v>
      </c>
      <c r="EY32" s="111" t="n">
        <v>0</v>
      </c>
      <c r="EZ32" s="111" t="n">
        <v>0</v>
      </c>
      <c r="FA32" s="111" t="n">
        <v>0</v>
      </c>
      <c r="FB32" s="111" t="n">
        <v>0</v>
      </c>
    </row>
    <row r="33" ht="19.5" customHeight="1" s="247">
      <c r="A33" s="107" t="n">
        <v>30</v>
      </c>
      <c r="B33" s="107" t="inlineStr">
        <is>
          <t>儿童非手术</t>
        </is>
      </c>
      <c r="C33" s="107" t="inlineStr">
        <is>
          <t>儿急危重症医学科</t>
        </is>
      </c>
      <c r="D33" s="110" t="n">
        <v>1248800.74</v>
      </c>
      <c r="E33" s="110" t="n">
        <v>250012.5</v>
      </c>
      <c r="F33" s="110" t="n">
        <v>998788.24</v>
      </c>
      <c r="G33" s="110" t="n">
        <v>1723</v>
      </c>
      <c r="H33" s="110" t="n">
        <v>61</v>
      </c>
      <c r="I33" s="110" t="n">
        <v>5151.5</v>
      </c>
      <c r="J33" s="110" t="n">
        <v>0</v>
      </c>
      <c r="K33" s="110" t="n">
        <v>0</v>
      </c>
      <c r="L33" s="110" t="n">
        <v>56691.75</v>
      </c>
      <c r="M33" s="110" t="n">
        <v>194717</v>
      </c>
      <c r="N33" s="110" t="n">
        <v>0</v>
      </c>
      <c r="O33" s="110" t="n">
        <v>1827527.61</v>
      </c>
      <c r="P33" s="110" t="n">
        <v>1098913.92</v>
      </c>
      <c r="Q33" s="110" t="n">
        <v>1032819.12</v>
      </c>
      <c r="R33" s="110" t="n">
        <v>66094.8</v>
      </c>
      <c r="S33" s="110" t="n">
        <v>728613.6899999999</v>
      </c>
      <c r="T33" s="110" t="n">
        <v>678115.78</v>
      </c>
      <c r="U33" s="110" t="n">
        <v>50497.91</v>
      </c>
      <c r="V33" s="110" t="n">
        <v>502243.92</v>
      </c>
      <c r="W33" s="110" t="n">
        <v>475653.34</v>
      </c>
      <c r="X33" s="110" t="n">
        <v>431587.99</v>
      </c>
      <c r="Y33" s="110" t="n">
        <v>44065.35</v>
      </c>
      <c r="Z33" s="110" t="n">
        <v>26590.58</v>
      </c>
      <c r="AA33" s="110" t="n">
        <v>12550.58</v>
      </c>
      <c r="AB33" s="110" t="n">
        <v>14040</v>
      </c>
      <c r="AC33" s="110" t="n">
        <v>241032.98</v>
      </c>
      <c r="AD33" s="110" t="n">
        <v>230056.96</v>
      </c>
      <c r="AE33" s="110" t="n">
        <v>209987.28</v>
      </c>
      <c r="AF33" s="110" t="n">
        <v>20069.68</v>
      </c>
      <c r="AG33" s="110" t="n">
        <v>10976.02</v>
      </c>
      <c r="AH33" s="110" t="n">
        <v>4873.23</v>
      </c>
      <c r="AI33" s="110" t="n">
        <v>6102.79</v>
      </c>
      <c r="AJ33" s="110" t="n">
        <v>11198.44</v>
      </c>
      <c r="AK33" s="110" t="n">
        <v>10277.88</v>
      </c>
      <c r="AL33" s="110" t="n">
        <v>9299.209999999999</v>
      </c>
      <c r="AM33" s="110" t="n">
        <v>978.67</v>
      </c>
      <c r="AN33" s="110" t="n">
        <v>920.5599999999999</v>
      </c>
      <c r="AO33" s="110" t="n">
        <v>142.35</v>
      </c>
      <c r="AP33" s="110" t="n">
        <v>778.21</v>
      </c>
      <c r="AQ33" s="110" t="n">
        <v>194128</v>
      </c>
      <c r="AR33" s="110" t="n">
        <v>183199</v>
      </c>
      <c r="AS33" s="110" t="n">
        <v>166335</v>
      </c>
      <c r="AT33" s="110" t="n">
        <v>16864</v>
      </c>
      <c r="AU33" s="110" t="n">
        <v>10929</v>
      </c>
      <c r="AV33" s="110" t="n">
        <v>5935</v>
      </c>
      <c r="AW33" s="110" t="n">
        <v>4994</v>
      </c>
      <c r="AX33" s="110" t="n">
        <v>55884.5</v>
      </c>
      <c r="AY33" s="110" t="n">
        <v>52119.5</v>
      </c>
      <c r="AZ33" s="110" t="n">
        <v>45966.5</v>
      </c>
      <c r="BA33" s="110" t="n">
        <v>6153</v>
      </c>
      <c r="BB33" s="110" t="n">
        <v>3765</v>
      </c>
      <c r="BC33" s="110" t="n">
        <v>1600</v>
      </c>
      <c r="BD33" s="110" t="n">
        <v>2165</v>
      </c>
      <c r="BE33" s="110" t="n">
        <v>1325283.69</v>
      </c>
      <c r="BF33" s="110" t="n">
        <v>623260.58</v>
      </c>
      <c r="BG33" s="110" t="n">
        <v>601231.13</v>
      </c>
      <c r="BH33" s="110" t="n">
        <v>22029.45</v>
      </c>
      <c r="BI33" s="110" t="n">
        <v>702023.11</v>
      </c>
      <c r="BJ33" s="110" t="n">
        <v>665565.2</v>
      </c>
      <c r="BK33" s="110" t="n">
        <v>36457.91</v>
      </c>
      <c r="BL33" s="110" t="n">
        <v>143061.94</v>
      </c>
      <c r="BM33" s="110" t="n">
        <v>89108.72</v>
      </c>
      <c r="BN33" s="110" t="n">
        <v>88238.92999999999</v>
      </c>
      <c r="BO33" s="110" t="n">
        <v>869.79</v>
      </c>
      <c r="BP33" s="110" t="n">
        <v>53953.22</v>
      </c>
      <c r="BQ33" s="110" t="n">
        <v>46872.97</v>
      </c>
      <c r="BR33" s="110" t="n">
        <v>7080.25</v>
      </c>
      <c r="BS33" s="110" t="n">
        <v>183433.51</v>
      </c>
      <c r="BT33" s="110" t="n">
        <v>46511.53</v>
      </c>
      <c r="BU33" s="110" t="n">
        <v>45795.87</v>
      </c>
      <c r="BV33" s="110" t="n">
        <v>715.66</v>
      </c>
      <c r="BW33" s="110" t="n">
        <v>136921.98</v>
      </c>
      <c r="BX33" s="110" t="n">
        <v>135517.32</v>
      </c>
      <c r="BY33" s="110" t="n">
        <v>1404.66</v>
      </c>
      <c r="BZ33" s="110" t="n">
        <v>546671</v>
      </c>
      <c r="CA33" s="110" t="n">
        <v>333570</v>
      </c>
      <c r="CB33" s="110" t="n">
        <v>318539</v>
      </c>
      <c r="CC33" s="110" t="n">
        <v>15031</v>
      </c>
      <c r="CD33" s="110" t="n">
        <v>213101</v>
      </c>
      <c r="CE33" s="110" t="n">
        <v>188466</v>
      </c>
      <c r="CF33" s="110" t="n">
        <v>24635</v>
      </c>
      <c r="CG33" s="110" t="n">
        <v>452117.24</v>
      </c>
      <c r="CH33" s="110" t="n">
        <v>154070.33</v>
      </c>
      <c r="CI33" s="110" t="n">
        <v>148657.33</v>
      </c>
      <c r="CJ33" s="110" t="n">
        <v>5413</v>
      </c>
      <c r="CK33" s="110" t="n">
        <v>298046.91</v>
      </c>
      <c r="CL33" s="110" t="n">
        <v>294708.91</v>
      </c>
      <c r="CM33" s="110" t="n">
        <v>3338</v>
      </c>
      <c r="CN33" s="110" t="n">
        <v>186851.79</v>
      </c>
      <c r="CO33" s="110" t="n">
        <v>231681.28</v>
      </c>
      <c r="CP33" s="110" t="n">
        <v>83667.95</v>
      </c>
      <c r="CQ33" s="110" t="n">
        <v>0</v>
      </c>
      <c r="CR33" s="110" t="n">
        <v>42.9</v>
      </c>
      <c r="CS33" s="110" t="n">
        <v>0</v>
      </c>
      <c r="CT33" s="110" t="n">
        <v>0</v>
      </c>
      <c r="CU33" s="110" t="n">
        <v>0</v>
      </c>
      <c r="CV33" s="111" t="n">
        <v>1723</v>
      </c>
      <c r="CW33" s="111" t="n">
        <v>1606</v>
      </c>
      <c r="CX33" s="111" t="n">
        <v>1415</v>
      </c>
      <c r="CY33" s="111" t="n">
        <v>191</v>
      </c>
      <c r="CZ33" s="111" t="n">
        <v>117</v>
      </c>
      <c r="DA33" s="111" t="n">
        <v>54</v>
      </c>
      <c r="DB33" s="111" t="n">
        <v>63</v>
      </c>
      <c r="DC33" s="111" t="n">
        <v>869</v>
      </c>
      <c r="DD33" s="111" t="n">
        <v>0</v>
      </c>
      <c r="DE33" s="111" t="n">
        <v>802</v>
      </c>
      <c r="DF33" s="111" t="n">
        <v>697</v>
      </c>
      <c r="DG33" s="111" t="n">
        <v>105</v>
      </c>
      <c r="DH33" s="111" t="n">
        <v>67</v>
      </c>
      <c r="DI33" s="111" t="n">
        <v>28</v>
      </c>
      <c r="DJ33" s="111" t="n">
        <v>39</v>
      </c>
      <c r="DK33" s="111" t="n">
        <v>235</v>
      </c>
      <c r="DL33" s="111" t="n">
        <v>220</v>
      </c>
      <c r="DM33" s="111" t="n">
        <v>194</v>
      </c>
      <c r="DN33" s="111" t="n">
        <v>26</v>
      </c>
      <c r="DO33" s="111" t="n">
        <v>15</v>
      </c>
      <c r="DP33" s="111" t="n">
        <v>4</v>
      </c>
      <c r="DQ33" s="111" t="n">
        <v>11</v>
      </c>
      <c r="DR33" s="111" t="n">
        <v>0</v>
      </c>
      <c r="DS33" s="111" t="n">
        <v>0</v>
      </c>
      <c r="DT33" s="111" t="n">
        <v>0</v>
      </c>
      <c r="DU33" s="111" t="n">
        <v>0</v>
      </c>
      <c r="DV33" s="111" t="n">
        <v>0</v>
      </c>
      <c r="DW33" s="111" t="n">
        <v>0</v>
      </c>
      <c r="DX33" s="111" t="n">
        <v>0</v>
      </c>
      <c r="DY33" s="111" t="n">
        <v>0</v>
      </c>
      <c r="DZ33" s="111" t="n">
        <v>619</v>
      </c>
      <c r="EA33" s="111" t="n">
        <v>584</v>
      </c>
      <c r="EB33" s="111" t="n">
        <v>524</v>
      </c>
      <c r="EC33" s="111" t="n">
        <v>60</v>
      </c>
      <c r="ED33" s="111" t="n">
        <v>35</v>
      </c>
      <c r="EE33" s="111" t="n">
        <v>22</v>
      </c>
      <c r="EF33" s="111" t="n">
        <v>13</v>
      </c>
      <c r="EG33" s="111" t="n">
        <v>61</v>
      </c>
      <c r="EH33" s="111" t="n">
        <v>47</v>
      </c>
      <c r="EI33" s="111" t="n">
        <v>43</v>
      </c>
      <c r="EJ33" s="111" t="n">
        <v>4</v>
      </c>
      <c r="EK33" s="111" t="n">
        <v>14</v>
      </c>
      <c r="EL33" s="111" t="n">
        <v>12</v>
      </c>
      <c r="EM33" s="111" t="n">
        <v>2</v>
      </c>
      <c r="EN33" s="111" t="n">
        <v>13</v>
      </c>
      <c r="EO33" s="111" t="n">
        <v>0</v>
      </c>
      <c r="EP33" s="111" t="n">
        <v>0</v>
      </c>
      <c r="EQ33" s="111" t="n">
        <v>13</v>
      </c>
      <c r="ER33" s="111" t="n">
        <v>0</v>
      </c>
      <c r="ES33" s="111" t="n">
        <v>0</v>
      </c>
      <c r="ET33" s="111" t="n">
        <v>0</v>
      </c>
      <c r="EU33" s="111" t="n">
        <v>0</v>
      </c>
      <c r="EV33" s="111" t="n">
        <v>0</v>
      </c>
      <c r="EW33" s="111" t="n">
        <v>0</v>
      </c>
      <c r="EX33" s="111" t="n">
        <v>0</v>
      </c>
      <c r="EY33" s="111" t="n">
        <v>0</v>
      </c>
      <c r="EZ33" s="111" t="n">
        <v>0</v>
      </c>
      <c r="FA33" s="111" t="n">
        <v>0</v>
      </c>
      <c r="FB33" s="111" t="n">
        <v>0</v>
      </c>
    </row>
    <row r="34" ht="19.5" customHeight="1" s="247">
      <c r="A34" s="107" t="n">
        <v>31</v>
      </c>
      <c r="B34" s="107" t="inlineStr">
        <is>
          <t>儿童手术</t>
        </is>
      </c>
      <c r="C34" s="107" t="inlineStr">
        <is>
          <t>儿普外科</t>
        </is>
      </c>
      <c r="D34" s="110" t="n">
        <v>208241.25</v>
      </c>
      <c r="E34" s="110" t="n">
        <v>43798</v>
      </c>
      <c r="F34" s="110" t="n">
        <v>164443.25</v>
      </c>
      <c r="G34" s="110" t="n">
        <v>443</v>
      </c>
      <c r="H34" s="110" t="n">
        <v>21</v>
      </c>
      <c r="I34" s="110" t="n">
        <v>1828</v>
      </c>
      <c r="J34" s="110" t="n">
        <v>1415</v>
      </c>
      <c r="K34" s="110" t="n">
        <v>0</v>
      </c>
      <c r="L34" s="110" t="n">
        <v>15279.75</v>
      </c>
      <c r="M34" s="110" t="n">
        <v>60824</v>
      </c>
      <c r="N34" s="110" t="n">
        <v>0</v>
      </c>
      <c r="O34" s="110" t="n">
        <v>333852.57</v>
      </c>
      <c r="P34" s="110" t="n">
        <v>185215.48</v>
      </c>
      <c r="Q34" s="110" t="n">
        <v>164636.36</v>
      </c>
      <c r="R34" s="110" t="n">
        <v>20579.12</v>
      </c>
      <c r="S34" s="110" t="n">
        <v>148637.09</v>
      </c>
      <c r="T34" s="110" t="n">
        <v>146176.05</v>
      </c>
      <c r="U34" s="110" t="n">
        <v>2461.04</v>
      </c>
      <c r="V34" s="110" t="n">
        <v>47511.46</v>
      </c>
      <c r="W34" s="110" t="n">
        <v>40997.98</v>
      </c>
      <c r="X34" s="110" t="n">
        <v>30889.67</v>
      </c>
      <c r="Y34" s="110" t="n">
        <v>10108.31</v>
      </c>
      <c r="Z34" s="110" t="n">
        <v>6513.48</v>
      </c>
      <c r="AA34" s="110" t="n">
        <v>4052.44</v>
      </c>
      <c r="AB34" s="110" t="n">
        <v>2461.04</v>
      </c>
      <c r="AC34" s="110" t="n">
        <v>3120.87</v>
      </c>
      <c r="AD34" s="110" t="n">
        <v>2928.39</v>
      </c>
      <c r="AE34" s="110" t="n">
        <v>2490.08</v>
      </c>
      <c r="AF34" s="110" t="n">
        <v>438.31</v>
      </c>
      <c r="AG34" s="110" t="n">
        <v>192.48</v>
      </c>
      <c r="AH34" s="110" t="n">
        <v>121.44</v>
      </c>
      <c r="AI34" s="110" t="n">
        <v>71.04000000000001</v>
      </c>
      <c r="AJ34" s="110" t="n">
        <v>592.59</v>
      </c>
      <c r="AK34" s="110" t="n">
        <v>592.59</v>
      </c>
      <c r="AL34" s="110" t="n">
        <v>236.59</v>
      </c>
      <c r="AM34" s="110" t="n">
        <v>356</v>
      </c>
      <c r="AN34" s="110" t="n">
        <v>0</v>
      </c>
      <c r="AO34" s="110" t="n">
        <v>0</v>
      </c>
      <c r="AP34" s="110" t="n">
        <v>0</v>
      </c>
      <c r="AQ34" s="110" t="n">
        <v>27140</v>
      </c>
      <c r="AR34" s="110" t="n">
        <v>23553</v>
      </c>
      <c r="AS34" s="110" t="n">
        <v>17153</v>
      </c>
      <c r="AT34" s="110" t="n">
        <v>6400</v>
      </c>
      <c r="AU34" s="110" t="n">
        <v>3587</v>
      </c>
      <c r="AV34" s="110" t="n">
        <v>2534</v>
      </c>
      <c r="AW34" s="110" t="n">
        <v>1053</v>
      </c>
      <c r="AX34" s="110" t="n">
        <v>16658</v>
      </c>
      <c r="AY34" s="110" t="n">
        <v>13924</v>
      </c>
      <c r="AZ34" s="110" t="n">
        <v>11010</v>
      </c>
      <c r="BA34" s="110" t="n">
        <v>2914</v>
      </c>
      <c r="BB34" s="110" t="n">
        <v>2734</v>
      </c>
      <c r="BC34" s="110" t="n">
        <v>1397</v>
      </c>
      <c r="BD34" s="110" t="n">
        <v>1337</v>
      </c>
      <c r="BE34" s="110" t="n">
        <v>286341.11</v>
      </c>
      <c r="BF34" s="110" t="n">
        <v>144217.5</v>
      </c>
      <c r="BG34" s="110" t="n">
        <v>133746.69</v>
      </c>
      <c r="BH34" s="110" t="n">
        <v>10470.81</v>
      </c>
      <c r="BI34" s="110" t="n">
        <v>142123.61</v>
      </c>
      <c r="BJ34" s="110" t="n">
        <v>142123.61</v>
      </c>
      <c r="BK34" s="110" t="n">
        <v>0</v>
      </c>
      <c r="BL34" s="110" t="n">
        <v>22499.07</v>
      </c>
      <c r="BM34" s="110" t="n">
        <v>7062.7</v>
      </c>
      <c r="BN34" s="110" t="n">
        <v>6435.24</v>
      </c>
      <c r="BO34" s="110" t="n">
        <v>627.46</v>
      </c>
      <c r="BP34" s="110" t="n">
        <v>15436.37</v>
      </c>
      <c r="BQ34" s="110" t="n">
        <v>15436.37</v>
      </c>
      <c r="BR34" s="110" t="n">
        <v>0</v>
      </c>
      <c r="BS34" s="110" t="n">
        <v>99398.78999999999</v>
      </c>
      <c r="BT34" s="110" t="n">
        <v>60111.05</v>
      </c>
      <c r="BU34" s="110" t="n">
        <v>57474.7</v>
      </c>
      <c r="BV34" s="110" t="n">
        <v>2636.35</v>
      </c>
      <c r="BW34" s="110" t="n">
        <v>39287.74</v>
      </c>
      <c r="BX34" s="110" t="n">
        <v>39287.74</v>
      </c>
      <c r="BY34" s="110" t="n">
        <v>0</v>
      </c>
      <c r="BZ34" s="110" t="n">
        <v>27001</v>
      </c>
      <c r="CA34" s="110" t="n">
        <v>11509</v>
      </c>
      <c r="CB34" s="110" t="n">
        <v>10668</v>
      </c>
      <c r="CC34" s="110" t="n">
        <v>841</v>
      </c>
      <c r="CD34" s="110" t="n">
        <v>15492</v>
      </c>
      <c r="CE34" s="110" t="n">
        <v>15492</v>
      </c>
      <c r="CF34" s="110" t="n">
        <v>0</v>
      </c>
      <c r="CG34" s="110" t="n">
        <v>137442.25</v>
      </c>
      <c r="CH34" s="110" t="n">
        <v>65534.75</v>
      </c>
      <c r="CI34" s="110" t="n">
        <v>59168.75</v>
      </c>
      <c r="CJ34" s="110" t="n">
        <v>6366</v>
      </c>
      <c r="CK34" s="110" t="n">
        <v>71907.5</v>
      </c>
      <c r="CL34" s="110" t="n">
        <v>71907.5</v>
      </c>
      <c r="CM34" s="110" t="n">
        <v>0</v>
      </c>
      <c r="CN34" s="110" t="n">
        <v>23474.37</v>
      </c>
      <c r="CO34" s="110" t="n">
        <v>18163.47</v>
      </c>
      <c r="CP34" s="110" t="n">
        <v>5873.62</v>
      </c>
      <c r="CQ34" s="110" t="n">
        <v>0</v>
      </c>
      <c r="CR34" s="110" t="n">
        <v>0</v>
      </c>
      <c r="CS34" s="110" t="n">
        <v>0</v>
      </c>
      <c r="CT34" s="110" t="n">
        <v>0</v>
      </c>
      <c r="CU34" s="110" t="n">
        <v>0</v>
      </c>
      <c r="CV34" s="111" t="n">
        <v>443</v>
      </c>
      <c r="CW34" s="111" t="n">
        <v>368</v>
      </c>
      <c r="CX34" s="111" t="n">
        <v>291</v>
      </c>
      <c r="CY34" s="111" t="n">
        <v>77</v>
      </c>
      <c r="CZ34" s="111" t="n">
        <v>75</v>
      </c>
      <c r="DA34" s="111" t="n">
        <v>42</v>
      </c>
      <c r="DB34" s="111" t="n">
        <v>33</v>
      </c>
      <c r="DC34" s="111" t="n">
        <v>194</v>
      </c>
      <c r="DD34" s="111" t="n">
        <v>0</v>
      </c>
      <c r="DE34" s="111" t="n">
        <v>162</v>
      </c>
      <c r="DF34" s="111" t="n">
        <v>134</v>
      </c>
      <c r="DG34" s="111" t="n">
        <v>28</v>
      </c>
      <c r="DH34" s="111" t="n">
        <v>32</v>
      </c>
      <c r="DI34" s="111" t="n">
        <v>19</v>
      </c>
      <c r="DJ34" s="111" t="n">
        <v>13</v>
      </c>
      <c r="DK34" s="111" t="n">
        <v>70</v>
      </c>
      <c r="DL34" s="111" t="n">
        <v>47</v>
      </c>
      <c r="DM34" s="111" t="n">
        <v>32</v>
      </c>
      <c r="DN34" s="111" t="n">
        <v>15</v>
      </c>
      <c r="DO34" s="111" t="n">
        <v>23</v>
      </c>
      <c r="DP34" s="111" t="n">
        <v>7</v>
      </c>
      <c r="DQ34" s="111" t="n">
        <v>16</v>
      </c>
      <c r="DR34" s="111" t="n">
        <v>0</v>
      </c>
      <c r="DS34" s="111" t="n">
        <v>0</v>
      </c>
      <c r="DT34" s="111" t="n">
        <v>0</v>
      </c>
      <c r="DU34" s="111" t="n">
        <v>0</v>
      </c>
      <c r="DV34" s="111" t="n">
        <v>0</v>
      </c>
      <c r="DW34" s="111" t="n">
        <v>0</v>
      </c>
      <c r="DX34" s="111" t="n">
        <v>0</v>
      </c>
      <c r="DY34" s="111" t="n">
        <v>0</v>
      </c>
      <c r="DZ34" s="111" t="n">
        <v>179</v>
      </c>
      <c r="EA34" s="111" t="n">
        <v>159</v>
      </c>
      <c r="EB34" s="111" t="n">
        <v>125</v>
      </c>
      <c r="EC34" s="111" t="n">
        <v>34</v>
      </c>
      <c r="ED34" s="111" t="n">
        <v>20</v>
      </c>
      <c r="EE34" s="111" t="n">
        <v>16</v>
      </c>
      <c r="EF34" s="111" t="n">
        <v>4</v>
      </c>
      <c r="EG34" s="111" t="n">
        <v>21</v>
      </c>
      <c r="EH34" s="111" t="n">
        <v>11</v>
      </c>
      <c r="EI34" s="111" t="n">
        <v>10</v>
      </c>
      <c r="EJ34" s="111" t="n">
        <v>1</v>
      </c>
      <c r="EK34" s="111" t="n">
        <v>10</v>
      </c>
      <c r="EL34" s="111" t="n">
        <v>10</v>
      </c>
      <c r="EM34" s="111" t="n">
        <v>0</v>
      </c>
      <c r="EN34" s="111" t="n">
        <v>19</v>
      </c>
      <c r="EO34" s="111" t="n">
        <v>19</v>
      </c>
      <c r="EP34" s="111" t="n">
        <v>0</v>
      </c>
      <c r="EQ34" s="111" t="n">
        <v>0</v>
      </c>
      <c r="ER34" s="111" t="n">
        <v>11</v>
      </c>
      <c r="ES34" s="111" t="n">
        <v>0</v>
      </c>
      <c r="ET34" s="111" t="n">
        <v>0</v>
      </c>
      <c r="EU34" s="111" t="n">
        <v>7</v>
      </c>
      <c r="EV34" s="111" t="n">
        <v>7</v>
      </c>
      <c r="EW34" s="111" t="n">
        <v>0</v>
      </c>
      <c r="EX34" s="111" t="n">
        <v>0</v>
      </c>
      <c r="EY34" s="111" t="n">
        <v>2</v>
      </c>
      <c r="EZ34" s="111" t="n">
        <v>2</v>
      </c>
      <c r="FA34" s="111" t="n">
        <v>0</v>
      </c>
      <c r="FB34" s="111" t="n">
        <v>0</v>
      </c>
    </row>
    <row r="35" ht="19.5" customHeight="1" s="247">
      <c r="A35" s="107" t="n">
        <v>32</v>
      </c>
      <c r="B35" s="107" t="inlineStr">
        <is>
          <t>儿童手术</t>
        </is>
      </c>
      <c r="C35" s="107" t="inlineStr">
        <is>
          <t>儿泌尿外科</t>
        </is>
      </c>
      <c r="D35" s="110" t="n">
        <v>8360</v>
      </c>
      <c r="E35" s="110" t="n">
        <v>8360</v>
      </c>
      <c r="F35" s="110" t="n">
        <v>0</v>
      </c>
      <c r="G35" s="110" t="n">
        <v>124</v>
      </c>
      <c r="H35" s="110" t="n">
        <v>0</v>
      </c>
      <c r="I35" s="110" t="n">
        <v>400</v>
      </c>
      <c r="J35" s="110" t="n">
        <v>0</v>
      </c>
      <c r="K35" s="110" t="n">
        <v>0</v>
      </c>
      <c r="L35" s="110" t="n">
        <v>0</v>
      </c>
      <c r="M35" s="110" t="n">
        <v>0</v>
      </c>
      <c r="N35" s="110" t="n">
        <v>0</v>
      </c>
      <c r="O35" s="110" t="n">
        <v>8745.99</v>
      </c>
      <c r="P35" s="110" t="n">
        <v>7691.89</v>
      </c>
      <c r="Q35" s="110" t="n">
        <v>6449.73</v>
      </c>
      <c r="R35" s="110" t="n">
        <v>1242.16</v>
      </c>
      <c r="S35" s="110" t="n">
        <v>1054.1</v>
      </c>
      <c r="T35" s="110" t="n">
        <v>460</v>
      </c>
      <c r="U35" s="110" t="n">
        <v>594.1</v>
      </c>
      <c r="V35" s="110" t="n">
        <v>8745.99</v>
      </c>
      <c r="W35" s="110" t="n">
        <v>7691.89</v>
      </c>
      <c r="X35" s="110" t="n">
        <v>6449.73</v>
      </c>
      <c r="Y35" s="110" t="n">
        <v>1242.16</v>
      </c>
      <c r="Z35" s="110" t="n">
        <v>1054.1</v>
      </c>
      <c r="AA35" s="110" t="n">
        <v>460</v>
      </c>
      <c r="AB35" s="110" t="n">
        <v>594.1</v>
      </c>
      <c r="AC35" s="110" t="n">
        <v>385.99</v>
      </c>
      <c r="AD35" s="110" t="n">
        <v>381.89</v>
      </c>
      <c r="AE35" s="110" t="n">
        <v>329.73</v>
      </c>
      <c r="AF35" s="110" t="n">
        <v>52.16</v>
      </c>
      <c r="AG35" s="110" t="n">
        <v>4.1</v>
      </c>
      <c r="AH35" s="110" t="n">
        <v>0</v>
      </c>
      <c r="AI35" s="110" t="n">
        <v>4.1</v>
      </c>
      <c r="AJ35" s="110" t="n">
        <v>0</v>
      </c>
      <c r="AK35" s="110" t="n">
        <v>0</v>
      </c>
      <c r="AL35" s="110" t="n">
        <v>0</v>
      </c>
      <c r="AM35" s="110" t="n">
        <v>0</v>
      </c>
      <c r="AN35" s="110" t="n">
        <v>0</v>
      </c>
      <c r="AO35" s="110" t="n">
        <v>0</v>
      </c>
      <c r="AP35" s="110" t="n">
        <v>0</v>
      </c>
      <c r="AQ35" s="110" t="n">
        <v>3010</v>
      </c>
      <c r="AR35" s="110" t="n">
        <v>2550</v>
      </c>
      <c r="AS35" s="110" t="n">
        <v>2160</v>
      </c>
      <c r="AT35" s="110" t="n">
        <v>390</v>
      </c>
      <c r="AU35" s="110" t="n">
        <v>460</v>
      </c>
      <c r="AV35" s="110" t="n">
        <v>190</v>
      </c>
      <c r="AW35" s="110" t="n">
        <v>270</v>
      </c>
      <c r="AX35" s="110" t="n">
        <v>5350</v>
      </c>
      <c r="AY35" s="110" t="n">
        <v>4760</v>
      </c>
      <c r="AZ35" s="110" t="n">
        <v>3960</v>
      </c>
      <c r="BA35" s="110" t="n">
        <v>800</v>
      </c>
      <c r="BB35" s="110" t="n">
        <v>590</v>
      </c>
      <c r="BC35" s="110" t="n">
        <v>270</v>
      </c>
      <c r="BD35" s="110" t="n">
        <v>320</v>
      </c>
      <c r="BE35" s="110" t="n">
        <v>0</v>
      </c>
      <c r="BF35" s="110" t="n">
        <v>0</v>
      </c>
      <c r="BG35" s="110" t="n">
        <v>0</v>
      </c>
      <c r="BH35" s="110" t="n">
        <v>0</v>
      </c>
      <c r="BI35" s="110" t="n">
        <v>0</v>
      </c>
      <c r="BJ35" s="110" t="n">
        <v>0</v>
      </c>
      <c r="BK35" s="110" t="n">
        <v>0</v>
      </c>
      <c r="BL35" s="110" t="n">
        <v>0</v>
      </c>
      <c r="BM35" s="110" t="n">
        <v>0</v>
      </c>
      <c r="BN35" s="110" t="n">
        <v>0</v>
      </c>
      <c r="BO35" s="110" t="n">
        <v>0</v>
      </c>
      <c r="BP35" s="110" t="n">
        <v>0</v>
      </c>
      <c r="BQ35" s="110" t="n">
        <v>0</v>
      </c>
      <c r="BR35" s="110" t="n">
        <v>0</v>
      </c>
      <c r="BS35" s="110" t="n">
        <v>0</v>
      </c>
      <c r="BT35" s="110" t="n">
        <v>0</v>
      </c>
      <c r="BU35" s="110" t="n">
        <v>0</v>
      </c>
      <c r="BV35" s="110" t="n">
        <v>0</v>
      </c>
      <c r="BW35" s="110" t="n">
        <v>0</v>
      </c>
      <c r="BX35" s="110" t="n">
        <v>0</v>
      </c>
      <c r="BY35" s="110" t="n">
        <v>0</v>
      </c>
      <c r="BZ35" s="110" t="n">
        <v>0</v>
      </c>
      <c r="CA35" s="110" t="n">
        <v>0</v>
      </c>
      <c r="CB35" s="110" t="n">
        <v>0</v>
      </c>
      <c r="CC35" s="110" t="n">
        <v>0</v>
      </c>
      <c r="CD35" s="110" t="n">
        <v>0</v>
      </c>
      <c r="CE35" s="110" t="n">
        <v>0</v>
      </c>
      <c r="CF35" s="110" t="n">
        <v>0</v>
      </c>
      <c r="CG35" s="110" t="n">
        <v>0</v>
      </c>
      <c r="CH35" s="110" t="n">
        <v>0</v>
      </c>
      <c r="CI35" s="110" t="n">
        <v>0</v>
      </c>
      <c r="CJ35" s="110" t="n">
        <v>0</v>
      </c>
      <c r="CK35" s="110" t="n">
        <v>0</v>
      </c>
      <c r="CL35" s="110" t="n">
        <v>0</v>
      </c>
      <c r="CM35" s="110" t="n">
        <v>0</v>
      </c>
      <c r="CN35" s="110" t="n">
        <v>30</v>
      </c>
      <c r="CO35" s="110" t="n">
        <v>0</v>
      </c>
      <c r="CP35" s="110" t="n">
        <v>8715.99</v>
      </c>
      <c r="CQ35" s="110" t="n">
        <v>0</v>
      </c>
      <c r="CR35" s="110" t="n">
        <v>0</v>
      </c>
      <c r="CS35" s="110" t="n">
        <v>0</v>
      </c>
      <c r="CT35" s="110" t="n">
        <v>0</v>
      </c>
      <c r="CU35" s="110" t="n">
        <v>0</v>
      </c>
      <c r="CV35" s="111" t="n">
        <v>124</v>
      </c>
      <c r="CW35" s="111" t="n">
        <v>109</v>
      </c>
      <c r="CX35" s="111" t="n">
        <v>89</v>
      </c>
      <c r="CY35" s="111" t="n">
        <v>20</v>
      </c>
      <c r="CZ35" s="111" t="n">
        <v>15</v>
      </c>
      <c r="DA35" s="111" t="n">
        <v>7</v>
      </c>
      <c r="DB35" s="111" t="n">
        <v>8</v>
      </c>
      <c r="DC35" s="111" t="n">
        <v>0</v>
      </c>
      <c r="DD35" s="111" t="n">
        <v>0</v>
      </c>
      <c r="DE35" s="111" t="n">
        <v>0</v>
      </c>
      <c r="DF35" s="111" t="n">
        <v>0</v>
      </c>
      <c r="DG35" s="111" t="n">
        <v>0</v>
      </c>
      <c r="DH35" s="111" t="n">
        <v>0</v>
      </c>
      <c r="DI35" s="111" t="n">
        <v>0</v>
      </c>
      <c r="DJ35" s="111" t="n">
        <v>0</v>
      </c>
      <c r="DK35" s="111" t="n">
        <v>123</v>
      </c>
      <c r="DL35" s="111" t="n">
        <v>109</v>
      </c>
      <c r="DM35" s="111" t="n">
        <v>89</v>
      </c>
      <c r="DN35" s="111" t="n">
        <v>20</v>
      </c>
      <c r="DO35" s="111" t="n">
        <v>14</v>
      </c>
      <c r="DP35" s="111" t="n">
        <v>6</v>
      </c>
      <c r="DQ35" s="111" t="n">
        <v>8</v>
      </c>
      <c r="DR35" s="111" t="n">
        <v>0</v>
      </c>
      <c r="DS35" s="111" t="n">
        <v>0</v>
      </c>
      <c r="DT35" s="111" t="n">
        <v>0</v>
      </c>
      <c r="DU35" s="111" t="n">
        <v>0</v>
      </c>
      <c r="DV35" s="111" t="n">
        <v>0</v>
      </c>
      <c r="DW35" s="111" t="n">
        <v>0</v>
      </c>
      <c r="DX35" s="111" t="n">
        <v>0</v>
      </c>
      <c r="DY35" s="111" t="n">
        <v>0</v>
      </c>
      <c r="DZ35" s="111" t="n">
        <v>1</v>
      </c>
      <c r="EA35" s="111" t="n">
        <v>0</v>
      </c>
      <c r="EB35" s="111" t="n">
        <v>0</v>
      </c>
      <c r="EC35" s="111" t="n">
        <v>0</v>
      </c>
      <c r="ED35" s="111" t="n">
        <v>1</v>
      </c>
      <c r="EE35" s="111" t="n">
        <v>1</v>
      </c>
      <c r="EF35" s="111" t="n">
        <v>0</v>
      </c>
      <c r="EG35" s="111" t="n">
        <v>0</v>
      </c>
      <c r="EH35" s="111" t="n">
        <v>0</v>
      </c>
      <c r="EI35" s="111" t="n">
        <v>0</v>
      </c>
      <c r="EJ35" s="111" t="n">
        <v>0</v>
      </c>
      <c r="EK35" s="111" t="n">
        <v>0</v>
      </c>
      <c r="EL35" s="111" t="n">
        <v>0</v>
      </c>
      <c r="EM35" s="111" t="n">
        <v>0</v>
      </c>
      <c r="EN35" s="111" t="n">
        <v>6</v>
      </c>
      <c r="EO35" s="111" t="n">
        <v>6</v>
      </c>
      <c r="EP35" s="111" t="n">
        <v>0</v>
      </c>
      <c r="EQ35" s="111" t="n">
        <v>0</v>
      </c>
      <c r="ER35" s="111" t="n">
        <v>2</v>
      </c>
      <c r="ES35" s="111" t="n">
        <v>0</v>
      </c>
      <c r="ET35" s="111" t="n">
        <v>0</v>
      </c>
      <c r="EU35" s="111" t="n">
        <v>1</v>
      </c>
      <c r="EV35" s="111" t="n">
        <v>1</v>
      </c>
      <c r="EW35" s="111" t="n">
        <v>0</v>
      </c>
      <c r="EX35" s="111" t="n">
        <v>0</v>
      </c>
      <c r="EY35" s="111" t="n">
        <v>0</v>
      </c>
      <c r="EZ35" s="111" t="n">
        <v>0</v>
      </c>
      <c r="FA35" s="111" t="n">
        <v>0</v>
      </c>
      <c r="FB35" s="111" t="n">
        <v>0</v>
      </c>
    </row>
    <row r="36" ht="19.5" customHeight="1" s="247">
      <c r="A36" s="107" t="n">
        <v>33</v>
      </c>
      <c r="B36" s="107" t="inlineStr">
        <is>
          <t>儿童手术</t>
        </is>
      </c>
      <c r="C36" s="107" t="inlineStr">
        <is>
          <t>儿骨科</t>
        </is>
      </c>
      <c r="D36" s="110" t="n">
        <v>410081.75</v>
      </c>
      <c r="E36" s="110" t="n">
        <v>187234</v>
      </c>
      <c r="F36" s="110" t="n">
        <v>222847.75</v>
      </c>
      <c r="G36" s="110" t="n">
        <v>1137</v>
      </c>
      <c r="H36" s="110" t="n">
        <v>27</v>
      </c>
      <c r="I36" s="110" t="n">
        <v>3414</v>
      </c>
      <c r="J36" s="110" t="n">
        <v>12861</v>
      </c>
      <c r="K36" s="110" t="n">
        <v>0</v>
      </c>
      <c r="L36" s="110" t="n">
        <v>14115.25</v>
      </c>
      <c r="M36" s="110" t="n">
        <v>143339</v>
      </c>
      <c r="N36" s="110" t="n">
        <v>0</v>
      </c>
      <c r="O36" s="110" t="n">
        <v>1038542.22</v>
      </c>
      <c r="P36" s="110" t="n">
        <v>755562.6800000001</v>
      </c>
      <c r="Q36" s="110" t="n">
        <v>679668.99</v>
      </c>
      <c r="R36" s="110" t="n">
        <v>75893.69</v>
      </c>
      <c r="S36" s="110" t="n">
        <v>282979.54</v>
      </c>
      <c r="T36" s="110" t="n">
        <v>264343.4</v>
      </c>
      <c r="U36" s="110" t="n">
        <v>18636.14</v>
      </c>
      <c r="V36" s="110" t="n">
        <v>380660.2</v>
      </c>
      <c r="W36" s="110" t="n">
        <v>353646.35</v>
      </c>
      <c r="X36" s="110" t="n">
        <v>312909.99</v>
      </c>
      <c r="Y36" s="110" t="n">
        <v>40736.36</v>
      </c>
      <c r="Z36" s="110" t="n">
        <v>27013.85</v>
      </c>
      <c r="AA36" s="110" t="n">
        <v>8377.709999999999</v>
      </c>
      <c r="AB36" s="110" t="n">
        <v>18636.14</v>
      </c>
      <c r="AC36" s="110" t="n">
        <v>17518.28</v>
      </c>
      <c r="AD36" s="110" t="n">
        <v>17107.68</v>
      </c>
      <c r="AE36" s="110" t="n">
        <v>14499.07</v>
      </c>
      <c r="AF36" s="110" t="n">
        <v>2608.61</v>
      </c>
      <c r="AG36" s="110" t="n">
        <v>410.6</v>
      </c>
      <c r="AH36" s="110" t="n">
        <v>404.06</v>
      </c>
      <c r="AI36" s="110" t="n">
        <v>6.54</v>
      </c>
      <c r="AJ36" s="110" t="n">
        <v>175907.92</v>
      </c>
      <c r="AK36" s="110" t="n">
        <v>169188.67</v>
      </c>
      <c r="AL36" s="110" t="n">
        <v>155842.92</v>
      </c>
      <c r="AM36" s="110" t="n">
        <v>13345.75</v>
      </c>
      <c r="AN36" s="110" t="n">
        <v>6719.25</v>
      </c>
      <c r="AO36" s="110" t="n">
        <v>907.65</v>
      </c>
      <c r="AP36" s="110" t="n">
        <v>5811.6</v>
      </c>
      <c r="AQ36" s="110" t="n">
        <v>112696</v>
      </c>
      <c r="AR36" s="110" t="n">
        <v>105045</v>
      </c>
      <c r="AS36" s="110" t="n">
        <v>89578</v>
      </c>
      <c r="AT36" s="110" t="n">
        <v>15467</v>
      </c>
      <c r="AU36" s="110" t="n">
        <v>7651</v>
      </c>
      <c r="AV36" s="110" t="n">
        <v>2758</v>
      </c>
      <c r="AW36" s="110" t="n">
        <v>4893</v>
      </c>
      <c r="AX36" s="110" t="n">
        <v>74538</v>
      </c>
      <c r="AY36" s="110" t="n">
        <v>62305</v>
      </c>
      <c r="AZ36" s="110" t="n">
        <v>52990</v>
      </c>
      <c r="BA36" s="110" t="n">
        <v>9315</v>
      </c>
      <c r="BB36" s="110" t="n">
        <v>12233</v>
      </c>
      <c r="BC36" s="110" t="n">
        <v>4308</v>
      </c>
      <c r="BD36" s="110" t="n">
        <v>7925</v>
      </c>
      <c r="BE36" s="110" t="n">
        <v>657882.02</v>
      </c>
      <c r="BF36" s="110" t="n">
        <v>401916.33</v>
      </c>
      <c r="BG36" s="110" t="n">
        <v>366759</v>
      </c>
      <c r="BH36" s="110" t="n">
        <v>35157.33</v>
      </c>
      <c r="BI36" s="110" t="n">
        <v>255965.69</v>
      </c>
      <c r="BJ36" s="110" t="n">
        <v>255965.69</v>
      </c>
      <c r="BK36" s="110" t="n">
        <v>0</v>
      </c>
      <c r="BL36" s="110" t="n">
        <v>23225.97</v>
      </c>
      <c r="BM36" s="110" t="n">
        <v>15363.73</v>
      </c>
      <c r="BN36" s="110" t="n">
        <v>14285.4</v>
      </c>
      <c r="BO36" s="110" t="n">
        <v>1078.33</v>
      </c>
      <c r="BP36" s="110" t="n">
        <v>7862.24</v>
      </c>
      <c r="BQ36" s="110" t="n">
        <v>7862.24</v>
      </c>
      <c r="BR36" s="110" t="n">
        <v>0</v>
      </c>
      <c r="BS36" s="110" t="n">
        <v>411808.3</v>
      </c>
      <c r="BT36" s="110" t="n">
        <v>238459.35</v>
      </c>
      <c r="BU36" s="110" t="n">
        <v>219904.85</v>
      </c>
      <c r="BV36" s="110" t="n">
        <v>18554.5</v>
      </c>
      <c r="BW36" s="110" t="n">
        <v>173348.95</v>
      </c>
      <c r="BX36" s="110" t="n">
        <v>173348.95</v>
      </c>
      <c r="BY36" s="110" t="n">
        <v>0</v>
      </c>
      <c r="BZ36" s="110" t="n">
        <v>32418</v>
      </c>
      <c r="CA36" s="110" t="n">
        <v>18611</v>
      </c>
      <c r="CB36" s="110" t="n">
        <v>17082</v>
      </c>
      <c r="CC36" s="110" t="n">
        <v>1529</v>
      </c>
      <c r="CD36" s="110" t="n">
        <v>13807</v>
      </c>
      <c r="CE36" s="110" t="n">
        <v>13807</v>
      </c>
      <c r="CF36" s="110" t="n">
        <v>0</v>
      </c>
      <c r="CG36" s="110" t="n">
        <v>190429.75</v>
      </c>
      <c r="CH36" s="110" t="n">
        <v>129482.25</v>
      </c>
      <c r="CI36" s="110" t="n">
        <v>115486.75</v>
      </c>
      <c r="CJ36" s="110" t="n">
        <v>13995.5</v>
      </c>
      <c r="CK36" s="110" t="n">
        <v>60947.5</v>
      </c>
      <c r="CL36" s="110" t="n">
        <v>60947.5</v>
      </c>
      <c r="CM36" s="110" t="n">
        <v>0</v>
      </c>
      <c r="CN36" s="110" t="n">
        <v>246977.69</v>
      </c>
      <c r="CO36" s="110" t="n">
        <v>48058.56</v>
      </c>
      <c r="CP36" s="110" t="n">
        <v>41303.45</v>
      </c>
      <c r="CQ36" s="110" t="n">
        <v>0</v>
      </c>
      <c r="CR36" s="110" t="n">
        <v>44320.5</v>
      </c>
      <c r="CS36" s="110" t="n">
        <v>0</v>
      </c>
      <c r="CT36" s="110" t="n">
        <v>0</v>
      </c>
      <c r="CU36" s="110" t="n">
        <v>0</v>
      </c>
      <c r="CV36" s="111" t="n">
        <v>1137</v>
      </c>
      <c r="CW36" s="111" t="n">
        <v>1028</v>
      </c>
      <c r="CX36" s="111" t="n">
        <v>857</v>
      </c>
      <c r="CY36" s="111" t="n">
        <v>171</v>
      </c>
      <c r="CZ36" s="111" t="n">
        <v>109</v>
      </c>
      <c r="DA36" s="111" t="n">
        <v>49</v>
      </c>
      <c r="DB36" s="111" t="n">
        <v>60</v>
      </c>
      <c r="DC36" s="111" t="n">
        <v>209</v>
      </c>
      <c r="DD36" s="111" t="n">
        <v>0</v>
      </c>
      <c r="DE36" s="111" t="n">
        <v>192</v>
      </c>
      <c r="DF36" s="111" t="n">
        <v>168</v>
      </c>
      <c r="DG36" s="111" t="n">
        <v>24</v>
      </c>
      <c r="DH36" s="111" t="n">
        <v>17</v>
      </c>
      <c r="DI36" s="111" t="n">
        <v>9</v>
      </c>
      <c r="DJ36" s="111" t="n">
        <v>8</v>
      </c>
      <c r="DK36" s="111" t="n">
        <v>189</v>
      </c>
      <c r="DL36" s="111" t="n">
        <v>169</v>
      </c>
      <c r="DM36" s="111" t="n">
        <v>135</v>
      </c>
      <c r="DN36" s="111" t="n">
        <v>34</v>
      </c>
      <c r="DO36" s="111" t="n">
        <v>20</v>
      </c>
      <c r="DP36" s="111" t="n">
        <v>8</v>
      </c>
      <c r="DQ36" s="111" t="n">
        <v>12</v>
      </c>
      <c r="DR36" s="111" t="n">
        <v>103</v>
      </c>
      <c r="DS36" s="111" t="n">
        <v>0</v>
      </c>
      <c r="DT36" s="111" t="n">
        <v>68</v>
      </c>
      <c r="DU36" s="111" t="n">
        <v>60</v>
      </c>
      <c r="DV36" s="111" t="n">
        <v>8</v>
      </c>
      <c r="DW36" s="111" t="n">
        <v>35</v>
      </c>
      <c r="DX36" s="111" t="n">
        <v>11</v>
      </c>
      <c r="DY36" s="111" t="n">
        <v>24</v>
      </c>
      <c r="DZ36" s="111" t="n">
        <v>636</v>
      </c>
      <c r="EA36" s="111" t="n">
        <v>599</v>
      </c>
      <c r="EB36" s="111" t="n">
        <v>494</v>
      </c>
      <c r="EC36" s="111" t="n">
        <v>105</v>
      </c>
      <c r="ED36" s="111" t="n">
        <v>37</v>
      </c>
      <c r="EE36" s="111" t="n">
        <v>21</v>
      </c>
      <c r="EF36" s="111" t="n">
        <v>16</v>
      </c>
      <c r="EG36" s="111" t="n">
        <v>27</v>
      </c>
      <c r="EH36" s="111" t="n">
        <v>20</v>
      </c>
      <c r="EI36" s="111" t="n">
        <v>18</v>
      </c>
      <c r="EJ36" s="111" t="n">
        <v>2</v>
      </c>
      <c r="EK36" s="111" t="n">
        <v>7</v>
      </c>
      <c r="EL36" s="111" t="n">
        <v>7</v>
      </c>
      <c r="EM36" s="111" t="n">
        <v>0</v>
      </c>
      <c r="EN36" s="111" t="n">
        <v>27</v>
      </c>
      <c r="EO36" s="111" t="n">
        <v>26</v>
      </c>
      <c r="EP36" s="111" t="n">
        <v>0</v>
      </c>
      <c r="EQ36" s="111" t="n">
        <v>1</v>
      </c>
      <c r="ER36" s="111" t="n">
        <v>0</v>
      </c>
      <c r="ES36" s="111" t="n">
        <v>0</v>
      </c>
      <c r="ET36" s="111" t="n">
        <v>0</v>
      </c>
      <c r="EU36" s="111" t="n">
        <v>12</v>
      </c>
      <c r="EV36" s="111" t="n">
        <v>12</v>
      </c>
      <c r="EW36" s="111" t="n">
        <v>0</v>
      </c>
      <c r="EX36" s="111" t="n">
        <v>0</v>
      </c>
      <c r="EY36" s="111" t="n">
        <v>1</v>
      </c>
      <c r="EZ36" s="111" t="n">
        <v>1</v>
      </c>
      <c r="FA36" s="111" t="n">
        <v>0</v>
      </c>
      <c r="FB36" s="111" t="n">
        <v>2</v>
      </c>
    </row>
    <row r="37" ht="19.5" customHeight="1" s="247">
      <c r="A37" s="107" t="n">
        <v>34</v>
      </c>
      <c r="B37" s="107" t="inlineStr">
        <is>
          <t>儿童手术</t>
        </is>
      </c>
      <c r="C37" s="107" t="inlineStr">
        <is>
          <t>儿神经外科</t>
        </is>
      </c>
      <c r="D37" s="110" t="n">
        <v>1026400.5</v>
      </c>
      <c r="E37" s="110" t="n">
        <v>103469</v>
      </c>
      <c r="F37" s="110" t="n">
        <v>922931.5</v>
      </c>
      <c r="G37" s="110" t="n">
        <v>563</v>
      </c>
      <c r="H37" s="110" t="n">
        <v>66</v>
      </c>
      <c r="I37" s="110" t="n">
        <v>3490</v>
      </c>
      <c r="J37" s="110" t="n">
        <v>0</v>
      </c>
      <c r="K37" s="110" t="n">
        <v>0</v>
      </c>
      <c r="L37" s="110" t="n">
        <v>42291</v>
      </c>
      <c r="M37" s="110" t="n">
        <v>301692.5</v>
      </c>
      <c r="N37" s="110" t="n">
        <v>0</v>
      </c>
      <c r="O37" s="110" t="n">
        <v>2977750.59</v>
      </c>
      <c r="P37" s="110" t="n">
        <v>510529.86</v>
      </c>
      <c r="Q37" s="110" t="n">
        <v>486869.72</v>
      </c>
      <c r="R37" s="110" t="n">
        <v>23660.14</v>
      </c>
      <c r="S37" s="110" t="n">
        <v>2467220.73</v>
      </c>
      <c r="T37" s="110" t="n">
        <v>2444582.49</v>
      </c>
      <c r="U37" s="110" t="n">
        <v>22638.24</v>
      </c>
      <c r="V37" s="110" t="n">
        <v>192081.65</v>
      </c>
      <c r="W37" s="110" t="n">
        <v>144050.38</v>
      </c>
      <c r="X37" s="110" t="n">
        <v>122047.1</v>
      </c>
      <c r="Y37" s="110" t="n">
        <v>22003.28</v>
      </c>
      <c r="Z37" s="110" t="n">
        <v>48031.27</v>
      </c>
      <c r="AA37" s="110" t="n">
        <v>25393.03</v>
      </c>
      <c r="AB37" s="110" t="n">
        <v>22638.24</v>
      </c>
      <c r="AC37" s="110" t="n">
        <v>78073.64999999999</v>
      </c>
      <c r="AD37" s="110" t="n">
        <v>77269.38</v>
      </c>
      <c r="AE37" s="110" t="n">
        <v>74655.10000000001</v>
      </c>
      <c r="AF37" s="110" t="n">
        <v>2614.28</v>
      </c>
      <c r="AG37" s="110" t="n">
        <v>804.27</v>
      </c>
      <c r="AH37" s="110" t="n">
        <v>444.03</v>
      </c>
      <c r="AI37" s="110" t="n">
        <v>360.24</v>
      </c>
      <c r="AJ37" s="110" t="n">
        <v>10539</v>
      </c>
      <c r="AK37" s="110" t="n">
        <v>10011</v>
      </c>
      <c r="AL37" s="110" t="n">
        <v>7875</v>
      </c>
      <c r="AM37" s="110" t="n">
        <v>2136</v>
      </c>
      <c r="AN37" s="110" t="n">
        <v>528</v>
      </c>
      <c r="AO37" s="110" t="n">
        <v>172</v>
      </c>
      <c r="AP37" s="110" t="n">
        <v>356</v>
      </c>
      <c r="AQ37" s="110" t="n">
        <v>78014</v>
      </c>
      <c r="AR37" s="110" t="n">
        <v>41197</v>
      </c>
      <c r="AS37" s="110" t="n">
        <v>28578</v>
      </c>
      <c r="AT37" s="110" t="n">
        <v>12619</v>
      </c>
      <c r="AU37" s="110" t="n">
        <v>36817</v>
      </c>
      <c r="AV37" s="110" t="n">
        <v>20385</v>
      </c>
      <c r="AW37" s="110" t="n">
        <v>16432</v>
      </c>
      <c r="AX37" s="110" t="n">
        <v>25455</v>
      </c>
      <c r="AY37" s="110" t="n">
        <v>15573</v>
      </c>
      <c r="AZ37" s="110" t="n">
        <v>10939</v>
      </c>
      <c r="BA37" s="110" t="n">
        <v>4634</v>
      </c>
      <c r="BB37" s="110" t="n">
        <v>9882</v>
      </c>
      <c r="BC37" s="110" t="n">
        <v>4392</v>
      </c>
      <c r="BD37" s="110" t="n">
        <v>5490</v>
      </c>
      <c r="BE37" s="110" t="n">
        <v>2785668.94</v>
      </c>
      <c r="BF37" s="110" t="n">
        <v>366479.48</v>
      </c>
      <c r="BG37" s="110" t="n">
        <v>364822.62</v>
      </c>
      <c r="BH37" s="110" t="n">
        <v>1656.86</v>
      </c>
      <c r="BI37" s="110" t="n">
        <v>2419189.46</v>
      </c>
      <c r="BJ37" s="110" t="n">
        <v>2419189.46</v>
      </c>
      <c r="BK37" s="110" t="n">
        <v>0</v>
      </c>
      <c r="BL37" s="110" t="n">
        <v>328388.03</v>
      </c>
      <c r="BM37" s="110" t="n">
        <v>22483.1</v>
      </c>
      <c r="BN37" s="110" t="n">
        <v>22245.66</v>
      </c>
      <c r="BO37" s="110" t="n">
        <v>237.44</v>
      </c>
      <c r="BP37" s="110" t="n">
        <v>305904.93</v>
      </c>
      <c r="BQ37" s="110" t="n">
        <v>305904.93</v>
      </c>
      <c r="BR37" s="110" t="n">
        <v>0</v>
      </c>
      <c r="BS37" s="110" t="n">
        <v>1534349.41</v>
      </c>
      <c r="BT37" s="110" t="n">
        <v>238102.13</v>
      </c>
      <c r="BU37" s="110" t="n">
        <v>237987.21</v>
      </c>
      <c r="BV37" s="110" t="n">
        <v>114.92</v>
      </c>
      <c r="BW37" s="110" t="n">
        <v>1296247.28</v>
      </c>
      <c r="BX37" s="110" t="n">
        <v>1296247.28</v>
      </c>
      <c r="BY37" s="110" t="n">
        <v>0</v>
      </c>
      <c r="BZ37" s="110" t="n">
        <v>214076</v>
      </c>
      <c r="CA37" s="110" t="n">
        <v>21233</v>
      </c>
      <c r="CB37" s="110" t="n">
        <v>20965</v>
      </c>
      <c r="CC37" s="110" t="n">
        <v>268</v>
      </c>
      <c r="CD37" s="110" t="n">
        <v>192843</v>
      </c>
      <c r="CE37" s="110" t="n">
        <v>192843</v>
      </c>
      <c r="CF37" s="110" t="n">
        <v>0</v>
      </c>
      <c r="CG37" s="110" t="n">
        <v>708855.5</v>
      </c>
      <c r="CH37" s="110" t="n">
        <v>84661.25</v>
      </c>
      <c r="CI37" s="110" t="n">
        <v>83624.75</v>
      </c>
      <c r="CJ37" s="110" t="n">
        <v>1036.5</v>
      </c>
      <c r="CK37" s="110" t="n">
        <v>624194.25</v>
      </c>
      <c r="CL37" s="110" t="n">
        <v>624194.25</v>
      </c>
      <c r="CM37" s="110" t="n">
        <v>0</v>
      </c>
      <c r="CN37" s="110" t="n">
        <v>51712.26</v>
      </c>
      <c r="CO37" s="110" t="n">
        <v>214</v>
      </c>
      <c r="CP37" s="110" t="n">
        <v>140155.39</v>
      </c>
      <c r="CQ37" s="110" t="n">
        <v>0</v>
      </c>
      <c r="CR37" s="110" t="n">
        <v>0</v>
      </c>
      <c r="CS37" s="110" t="n">
        <v>0</v>
      </c>
      <c r="CT37" s="110" t="n">
        <v>26738.41</v>
      </c>
      <c r="CU37" s="110" t="n">
        <v>0</v>
      </c>
      <c r="CV37" s="111" t="n">
        <v>563</v>
      </c>
      <c r="CW37" s="111" t="n">
        <v>355</v>
      </c>
      <c r="CX37" s="111" t="n">
        <v>251</v>
      </c>
      <c r="CY37" s="111" t="n">
        <v>104</v>
      </c>
      <c r="CZ37" s="111" t="n">
        <v>208</v>
      </c>
      <c r="DA37" s="111" t="n">
        <v>94</v>
      </c>
      <c r="DB37" s="111" t="n">
        <v>114</v>
      </c>
      <c r="DC37" s="111" t="n">
        <v>1</v>
      </c>
      <c r="DD37" s="111" t="n">
        <v>0</v>
      </c>
      <c r="DE37" s="111" t="n">
        <v>1</v>
      </c>
      <c r="DF37" s="111" t="n">
        <v>1</v>
      </c>
      <c r="DG37" s="111" t="n">
        <v>0</v>
      </c>
      <c r="DH37" s="111" t="n">
        <v>0</v>
      </c>
      <c r="DI37" s="111" t="n">
        <v>0</v>
      </c>
      <c r="DJ37" s="111" t="n">
        <v>0</v>
      </c>
      <c r="DK37" s="111" t="n">
        <v>293</v>
      </c>
      <c r="DL37" s="111" t="n">
        <v>124</v>
      </c>
      <c r="DM37" s="111" t="n">
        <v>82</v>
      </c>
      <c r="DN37" s="111" t="n">
        <v>42</v>
      </c>
      <c r="DO37" s="111" t="n">
        <v>169</v>
      </c>
      <c r="DP37" s="111" t="n">
        <v>64</v>
      </c>
      <c r="DQ37" s="111" t="n">
        <v>105</v>
      </c>
      <c r="DR37" s="111" t="n">
        <v>0</v>
      </c>
      <c r="DS37" s="111" t="n">
        <v>0</v>
      </c>
      <c r="DT37" s="111" t="n">
        <v>0</v>
      </c>
      <c r="DU37" s="111" t="n">
        <v>0</v>
      </c>
      <c r="DV37" s="111" t="n">
        <v>0</v>
      </c>
      <c r="DW37" s="111" t="n">
        <v>0</v>
      </c>
      <c r="DX37" s="111" t="n">
        <v>0</v>
      </c>
      <c r="DY37" s="111" t="n">
        <v>0</v>
      </c>
      <c r="DZ37" s="111" t="n">
        <v>269</v>
      </c>
      <c r="EA37" s="111" t="n">
        <v>230</v>
      </c>
      <c r="EB37" s="111" t="n">
        <v>168</v>
      </c>
      <c r="EC37" s="111" t="n">
        <v>62</v>
      </c>
      <c r="ED37" s="111" t="n">
        <v>39</v>
      </c>
      <c r="EE37" s="111" t="n">
        <v>30</v>
      </c>
      <c r="EF37" s="111" t="n">
        <v>9</v>
      </c>
      <c r="EG37" s="111" t="n">
        <v>66</v>
      </c>
      <c r="EH37" s="111" t="n">
        <v>10</v>
      </c>
      <c r="EI37" s="111" t="n">
        <v>9</v>
      </c>
      <c r="EJ37" s="111" t="n">
        <v>1</v>
      </c>
      <c r="EK37" s="111" t="n">
        <v>56</v>
      </c>
      <c r="EL37" s="111" t="n">
        <v>56</v>
      </c>
      <c r="EM37" s="111" t="n">
        <v>0</v>
      </c>
      <c r="EN37" s="111" t="n">
        <v>57</v>
      </c>
      <c r="EO37" s="111" t="n">
        <v>56</v>
      </c>
      <c r="EP37" s="111" t="n">
        <v>0</v>
      </c>
      <c r="EQ37" s="111" t="n">
        <v>1</v>
      </c>
      <c r="ER37" s="111" t="n">
        <v>33</v>
      </c>
      <c r="ES37" s="111" t="n">
        <v>0</v>
      </c>
      <c r="ET37" s="111" t="n">
        <v>0</v>
      </c>
      <c r="EU37" s="111" t="n">
        <v>13</v>
      </c>
      <c r="EV37" s="111" t="n">
        <v>13</v>
      </c>
      <c r="EW37" s="111" t="n">
        <v>0</v>
      </c>
      <c r="EX37" s="111" t="n">
        <v>0</v>
      </c>
      <c r="EY37" s="111" t="n">
        <v>34</v>
      </c>
      <c r="EZ37" s="111" t="n">
        <v>34</v>
      </c>
      <c r="FA37" s="111" t="n">
        <v>0</v>
      </c>
      <c r="FB37" s="111" t="n">
        <v>8</v>
      </c>
    </row>
    <row r="38" ht="19.5" customHeight="1" s="247">
      <c r="A38" s="107" t="n">
        <v>35</v>
      </c>
      <c r="B38" s="107" t="inlineStr">
        <is>
          <t>儿童非手术</t>
        </is>
      </c>
      <c r="C38" s="107" t="inlineStr">
        <is>
          <t>发育行为儿童保健科</t>
        </is>
      </c>
      <c r="D38" s="110" t="n">
        <v>378864</v>
      </c>
      <c r="E38" s="110" t="n">
        <v>378864</v>
      </c>
      <c r="F38" s="110" t="n">
        <v>0</v>
      </c>
      <c r="G38" s="110" t="n">
        <v>1204</v>
      </c>
      <c r="H38" s="110" t="n">
        <v>0</v>
      </c>
      <c r="I38" s="110" t="n">
        <v>64279</v>
      </c>
      <c r="J38" s="110" t="n">
        <v>0</v>
      </c>
      <c r="K38" s="110" t="n">
        <v>0</v>
      </c>
      <c r="L38" s="110" t="n">
        <v>0</v>
      </c>
      <c r="M38" s="110" t="n">
        <v>0</v>
      </c>
      <c r="N38" s="110" t="n">
        <v>0</v>
      </c>
      <c r="O38" s="110" t="n">
        <v>485704.66</v>
      </c>
      <c r="P38" s="110" t="n">
        <v>420752.51</v>
      </c>
      <c r="Q38" s="110" t="n">
        <v>371612.65</v>
      </c>
      <c r="R38" s="110" t="n">
        <v>49139.86</v>
      </c>
      <c r="S38" s="110" t="n">
        <v>64952.15</v>
      </c>
      <c r="T38" s="110" t="n">
        <v>23424.3</v>
      </c>
      <c r="U38" s="110" t="n">
        <v>41527.85</v>
      </c>
      <c r="V38" s="110" t="n">
        <v>485704.66</v>
      </c>
      <c r="W38" s="110" t="n">
        <v>420752.51</v>
      </c>
      <c r="X38" s="110" t="n">
        <v>371612.65</v>
      </c>
      <c r="Y38" s="110" t="n">
        <v>49139.86</v>
      </c>
      <c r="Z38" s="110" t="n">
        <v>64952.15</v>
      </c>
      <c r="AA38" s="110" t="n">
        <v>23424.3</v>
      </c>
      <c r="AB38" s="110" t="n">
        <v>41527.85</v>
      </c>
      <c r="AC38" s="110" t="n">
        <v>106840.66</v>
      </c>
      <c r="AD38" s="110" t="n">
        <v>93162.50999999999</v>
      </c>
      <c r="AE38" s="110" t="n">
        <v>86526.64999999999</v>
      </c>
      <c r="AF38" s="110" t="n">
        <v>6635.86</v>
      </c>
      <c r="AG38" s="110" t="n">
        <v>13678.15</v>
      </c>
      <c r="AH38" s="110" t="n">
        <v>3426.3</v>
      </c>
      <c r="AI38" s="110" t="n">
        <v>10251.85</v>
      </c>
      <c r="AJ38" s="110" t="n">
        <v>0</v>
      </c>
      <c r="AK38" s="110" t="n">
        <v>0</v>
      </c>
      <c r="AL38" s="110" t="n">
        <v>0</v>
      </c>
      <c r="AM38" s="110" t="n">
        <v>0</v>
      </c>
      <c r="AN38" s="110" t="n">
        <v>0</v>
      </c>
      <c r="AO38" s="110" t="n">
        <v>0</v>
      </c>
      <c r="AP38" s="110" t="n">
        <v>0</v>
      </c>
      <c r="AQ38" s="110" t="n">
        <v>247201</v>
      </c>
      <c r="AR38" s="110" t="n">
        <v>214871</v>
      </c>
      <c r="AS38" s="110" t="n">
        <v>185284</v>
      </c>
      <c r="AT38" s="110" t="n">
        <v>29587</v>
      </c>
      <c r="AU38" s="110" t="n">
        <v>32330</v>
      </c>
      <c r="AV38" s="110" t="n">
        <v>11691</v>
      </c>
      <c r="AW38" s="110" t="n">
        <v>20639</v>
      </c>
      <c r="AX38" s="110" t="n">
        <v>131663</v>
      </c>
      <c r="AY38" s="110" t="n">
        <v>112719</v>
      </c>
      <c r="AZ38" s="110" t="n">
        <v>99802</v>
      </c>
      <c r="BA38" s="110" t="n">
        <v>12917</v>
      </c>
      <c r="BB38" s="110" t="n">
        <v>18944</v>
      </c>
      <c r="BC38" s="110" t="n">
        <v>8307</v>
      </c>
      <c r="BD38" s="110" t="n">
        <v>10637</v>
      </c>
      <c r="BE38" s="110" t="n">
        <v>0</v>
      </c>
      <c r="BF38" s="110" t="n">
        <v>0</v>
      </c>
      <c r="BG38" s="110" t="n">
        <v>0</v>
      </c>
      <c r="BH38" s="110" t="n">
        <v>0</v>
      </c>
      <c r="BI38" s="110" t="n">
        <v>0</v>
      </c>
      <c r="BJ38" s="110" t="n">
        <v>0</v>
      </c>
      <c r="BK38" s="110" t="n">
        <v>0</v>
      </c>
      <c r="BL38" s="110" t="n">
        <v>0</v>
      </c>
      <c r="BM38" s="110" t="n">
        <v>0</v>
      </c>
      <c r="BN38" s="110" t="n">
        <v>0</v>
      </c>
      <c r="BO38" s="110" t="n">
        <v>0</v>
      </c>
      <c r="BP38" s="110" t="n">
        <v>0</v>
      </c>
      <c r="BQ38" s="110" t="n">
        <v>0</v>
      </c>
      <c r="BR38" s="110" t="n">
        <v>0</v>
      </c>
      <c r="BS38" s="110" t="n">
        <v>0</v>
      </c>
      <c r="BT38" s="110" t="n">
        <v>0</v>
      </c>
      <c r="BU38" s="110" t="n">
        <v>0</v>
      </c>
      <c r="BV38" s="110" t="n">
        <v>0</v>
      </c>
      <c r="BW38" s="110" t="n">
        <v>0</v>
      </c>
      <c r="BX38" s="110" t="n">
        <v>0</v>
      </c>
      <c r="BY38" s="110" t="n">
        <v>0</v>
      </c>
      <c r="BZ38" s="110" t="n">
        <v>0</v>
      </c>
      <c r="CA38" s="110" t="n">
        <v>0</v>
      </c>
      <c r="CB38" s="110" t="n">
        <v>0</v>
      </c>
      <c r="CC38" s="110" t="n">
        <v>0</v>
      </c>
      <c r="CD38" s="110" t="n">
        <v>0</v>
      </c>
      <c r="CE38" s="110" t="n">
        <v>0</v>
      </c>
      <c r="CF38" s="110" t="n">
        <v>0</v>
      </c>
      <c r="CG38" s="110" t="n">
        <v>0</v>
      </c>
      <c r="CH38" s="110" t="n">
        <v>0</v>
      </c>
      <c r="CI38" s="110" t="n">
        <v>0</v>
      </c>
      <c r="CJ38" s="110" t="n">
        <v>0</v>
      </c>
      <c r="CK38" s="110" t="n">
        <v>0</v>
      </c>
      <c r="CL38" s="110" t="n">
        <v>0</v>
      </c>
      <c r="CM38" s="110" t="n">
        <v>0</v>
      </c>
      <c r="CN38" s="110" t="n">
        <v>0</v>
      </c>
      <c r="CO38" s="110" t="n">
        <v>212128.19</v>
      </c>
      <c r="CP38" s="110" t="n">
        <v>139826.13</v>
      </c>
      <c r="CQ38" s="110" t="n">
        <v>39484.32</v>
      </c>
      <c r="CR38" s="110" t="n">
        <v>94266.02</v>
      </c>
      <c r="CS38" s="110" t="n">
        <v>0</v>
      </c>
      <c r="CT38" s="110" t="n">
        <v>0</v>
      </c>
      <c r="CU38" s="110" t="n">
        <v>0</v>
      </c>
      <c r="CV38" s="111" t="n">
        <v>1204</v>
      </c>
      <c r="CW38" s="111" t="n">
        <v>1079</v>
      </c>
      <c r="CX38" s="111" t="n">
        <v>888</v>
      </c>
      <c r="CY38" s="111" t="n">
        <v>191</v>
      </c>
      <c r="CZ38" s="111" t="n">
        <v>125</v>
      </c>
      <c r="DA38" s="111" t="n">
        <v>43</v>
      </c>
      <c r="DB38" s="111" t="n">
        <v>82</v>
      </c>
      <c r="DC38" s="111" t="n">
        <v>728</v>
      </c>
      <c r="DD38" s="111" t="n">
        <v>0</v>
      </c>
      <c r="DE38" s="111" t="n">
        <v>670</v>
      </c>
      <c r="DF38" s="111" t="n">
        <v>554</v>
      </c>
      <c r="DG38" s="111" t="n">
        <v>116</v>
      </c>
      <c r="DH38" s="111" t="n">
        <v>58</v>
      </c>
      <c r="DI38" s="111" t="n">
        <v>18</v>
      </c>
      <c r="DJ38" s="111" t="n">
        <v>40</v>
      </c>
      <c r="DK38" s="111" t="n">
        <v>362</v>
      </c>
      <c r="DL38" s="111" t="n">
        <v>311</v>
      </c>
      <c r="DM38" s="111" t="n">
        <v>251</v>
      </c>
      <c r="DN38" s="111" t="n">
        <v>60</v>
      </c>
      <c r="DO38" s="111" t="n">
        <v>51</v>
      </c>
      <c r="DP38" s="111" t="n">
        <v>21</v>
      </c>
      <c r="DQ38" s="111" t="n">
        <v>30</v>
      </c>
      <c r="DR38" s="111" t="n">
        <v>114</v>
      </c>
      <c r="DS38" s="111" t="n">
        <v>0</v>
      </c>
      <c r="DT38" s="111" t="n">
        <v>98</v>
      </c>
      <c r="DU38" s="111" t="n">
        <v>83</v>
      </c>
      <c r="DV38" s="111" t="n">
        <v>15</v>
      </c>
      <c r="DW38" s="111" t="n">
        <v>16</v>
      </c>
      <c r="DX38" s="111" t="n">
        <v>4</v>
      </c>
      <c r="DY38" s="111" t="n">
        <v>12</v>
      </c>
      <c r="DZ38" s="111" t="n">
        <v>0</v>
      </c>
      <c r="EA38" s="111" t="n">
        <v>0</v>
      </c>
      <c r="EB38" s="111" t="n">
        <v>0</v>
      </c>
      <c r="EC38" s="111" t="n">
        <v>0</v>
      </c>
      <c r="ED38" s="111" t="n">
        <v>0</v>
      </c>
      <c r="EE38" s="111" t="n">
        <v>0</v>
      </c>
      <c r="EF38" s="111" t="n">
        <v>0</v>
      </c>
      <c r="EG38" s="111" t="n">
        <v>0</v>
      </c>
      <c r="EH38" s="111" t="n">
        <v>0</v>
      </c>
      <c r="EI38" s="111" t="n">
        <v>0</v>
      </c>
      <c r="EJ38" s="111" t="n">
        <v>0</v>
      </c>
      <c r="EK38" s="111" t="n">
        <v>0</v>
      </c>
      <c r="EL38" s="111" t="n">
        <v>0</v>
      </c>
      <c r="EM38" s="111" t="n">
        <v>0</v>
      </c>
      <c r="EN38" s="111" t="n">
        <v>0</v>
      </c>
      <c r="EO38" s="111" t="n">
        <v>0</v>
      </c>
      <c r="EP38" s="111" t="n">
        <v>0</v>
      </c>
      <c r="EQ38" s="111" t="n">
        <v>0</v>
      </c>
      <c r="ER38" s="111" t="n">
        <v>0</v>
      </c>
      <c r="ES38" s="111" t="n">
        <v>0</v>
      </c>
      <c r="ET38" s="111" t="n">
        <v>0</v>
      </c>
      <c r="EU38" s="111" t="n">
        <v>0</v>
      </c>
      <c r="EV38" s="111" t="n">
        <v>0</v>
      </c>
      <c r="EW38" s="111" t="n">
        <v>0</v>
      </c>
      <c r="EX38" s="111" t="n">
        <v>0</v>
      </c>
      <c r="EY38" s="111" t="n">
        <v>0</v>
      </c>
      <c r="EZ38" s="111" t="n">
        <v>0</v>
      </c>
      <c r="FA38" s="111" t="n">
        <v>0</v>
      </c>
      <c r="FB38" s="111" t="n">
        <v>0</v>
      </c>
    </row>
    <row r="39" ht="19.5" customHeight="1" s="247">
      <c r="A39" s="107" t="n">
        <v>36</v>
      </c>
      <c r="B39" s="107" t="inlineStr">
        <is>
          <t>成人手术</t>
        </is>
      </c>
      <c r="C39" s="107" t="inlineStr">
        <is>
          <t>眼科</t>
        </is>
      </c>
      <c r="D39" s="110" t="n">
        <v>1389902.25</v>
      </c>
      <c r="E39" s="110" t="n">
        <v>694313</v>
      </c>
      <c r="F39" s="110" t="n">
        <v>695589.25</v>
      </c>
      <c r="G39" s="110" t="n">
        <v>3839</v>
      </c>
      <c r="H39" s="110" t="n">
        <v>129</v>
      </c>
      <c r="I39" s="110" t="n">
        <v>34265</v>
      </c>
      <c r="J39" s="110" t="n">
        <v>29361</v>
      </c>
      <c r="K39" s="110" t="n">
        <v>0</v>
      </c>
      <c r="L39" s="110" t="n">
        <v>10522</v>
      </c>
      <c r="M39" s="110" t="n">
        <v>456063.75</v>
      </c>
      <c r="N39" s="110" t="n">
        <v>0</v>
      </c>
      <c r="O39" s="110" t="n">
        <v>2163576.99</v>
      </c>
      <c r="P39" s="110" t="n">
        <v>1625625.22</v>
      </c>
      <c r="Q39" s="110" t="n">
        <v>1450388.57</v>
      </c>
      <c r="R39" s="110" t="n">
        <v>175236.65</v>
      </c>
      <c r="S39" s="110" t="n">
        <v>537951.77</v>
      </c>
      <c r="T39" s="110" t="n">
        <v>474775.15</v>
      </c>
      <c r="U39" s="110" t="n">
        <v>63176.62</v>
      </c>
      <c r="V39" s="110" t="n">
        <v>1125104.18</v>
      </c>
      <c r="W39" s="110" t="n">
        <v>885321.67</v>
      </c>
      <c r="X39" s="110" t="n">
        <v>822612.8</v>
      </c>
      <c r="Y39" s="110" t="n">
        <v>62708.87</v>
      </c>
      <c r="Z39" s="110" t="n">
        <v>239782.51</v>
      </c>
      <c r="AA39" s="110" t="n">
        <v>176605.89</v>
      </c>
      <c r="AB39" s="110" t="n">
        <v>63176.62</v>
      </c>
      <c r="AC39" s="110" t="n">
        <v>429967.18</v>
      </c>
      <c r="AD39" s="110" t="n">
        <v>347234.03</v>
      </c>
      <c r="AE39" s="110" t="n">
        <v>328743.16</v>
      </c>
      <c r="AF39" s="110" t="n">
        <v>18490.87</v>
      </c>
      <c r="AG39" s="110" t="n">
        <v>82733.14999999999</v>
      </c>
      <c r="AH39" s="110" t="n">
        <v>66373.3</v>
      </c>
      <c r="AI39" s="110" t="n">
        <v>16359.85</v>
      </c>
      <c r="AJ39" s="110" t="n">
        <v>824</v>
      </c>
      <c r="AK39" s="110" t="n">
        <v>606.64</v>
      </c>
      <c r="AL39" s="110" t="n">
        <v>606.64</v>
      </c>
      <c r="AM39" s="110" t="n">
        <v>0</v>
      </c>
      <c r="AN39" s="110" t="n">
        <v>217.36</v>
      </c>
      <c r="AO39" s="110" t="n">
        <v>86.59</v>
      </c>
      <c r="AP39" s="110" t="n">
        <v>130.77</v>
      </c>
      <c r="AQ39" s="110" t="n">
        <v>490357</v>
      </c>
      <c r="AR39" s="110" t="n">
        <v>373725</v>
      </c>
      <c r="AS39" s="110" t="n">
        <v>342510</v>
      </c>
      <c r="AT39" s="110" t="n">
        <v>31215</v>
      </c>
      <c r="AU39" s="110" t="n">
        <v>116632</v>
      </c>
      <c r="AV39" s="110" t="n">
        <v>81493</v>
      </c>
      <c r="AW39" s="110" t="n">
        <v>35139</v>
      </c>
      <c r="AX39" s="110" t="n">
        <v>203956</v>
      </c>
      <c r="AY39" s="110" t="n">
        <v>163756</v>
      </c>
      <c r="AZ39" s="110" t="n">
        <v>150753</v>
      </c>
      <c r="BA39" s="110" t="n">
        <v>13003</v>
      </c>
      <c r="BB39" s="110" t="n">
        <v>40200</v>
      </c>
      <c r="BC39" s="110" t="n">
        <v>28653</v>
      </c>
      <c r="BD39" s="110" t="n">
        <v>11547</v>
      </c>
      <c r="BE39" s="110" t="n">
        <v>1038472.81</v>
      </c>
      <c r="BF39" s="110" t="n">
        <v>740303.55</v>
      </c>
      <c r="BG39" s="110" t="n">
        <v>627775.77</v>
      </c>
      <c r="BH39" s="110" t="n">
        <v>112527.78</v>
      </c>
      <c r="BI39" s="110" t="n">
        <v>298169.26</v>
      </c>
      <c r="BJ39" s="110" t="n">
        <v>298169.26</v>
      </c>
      <c r="BK39" s="110" t="n">
        <v>0</v>
      </c>
      <c r="BL39" s="110" t="n">
        <v>29587.52</v>
      </c>
      <c r="BM39" s="110" t="n">
        <v>18628.53</v>
      </c>
      <c r="BN39" s="110" t="n">
        <v>15926.66</v>
      </c>
      <c r="BO39" s="110" t="n">
        <v>2701.87</v>
      </c>
      <c r="BP39" s="110" t="n">
        <v>10958.99</v>
      </c>
      <c r="BQ39" s="110" t="n">
        <v>10958.99</v>
      </c>
      <c r="BR39" s="110" t="n">
        <v>0</v>
      </c>
      <c r="BS39" s="110" t="n">
        <v>313296.04</v>
      </c>
      <c r="BT39" s="110" t="n">
        <v>231016.52</v>
      </c>
      <c r="BU39" s="110" t="n">
        <v>195038.61</v>
      </c>
      <c r="BV39" s="110" t="n">
        <v>35977.91</v>
      </c>
      <c r="BW39" s="110" t="n">
        <v>82279.52</v>
      </c>
      <c r="BX39" s="110" t="n">
        <v>82279.52</v>
      </c>
      <c r="BY39" s="110" t="n">
        <v>0</v>
      </c>
      <c r="BZ39" s="110" t="n">
        <v>1768</v>
      </c>
      <c r="CA39" s="110" t="n">
        <v>1060</v>
      </c>
      <c r="CB39" s="110" t="n">
        <v>1060</v>
      </c>
      <c r="CC39" s="110" t="n">
        <v>0</v>
      </c>
      <c r="CD39" s="110" t="n">
        <v>708</v>
      </c>
      <c r="CE39" s="110" t="n">
        <v>708</v>
      </c>
      <c r="CF39" s="110" t="n">
        <v>0</v>
      </c>
      <c r="CG39" s="110" t="n">
        <v>693821.25</v>
      </c>
      <c r="CH39" s="110" t="n">
        <v>489598.5</v>
      </c>
      <c r="CI39" s="110" t="n">
        <v>415750.5</v>
      </c>
      <c r="CJ39" s="110" t="n">
        <v>73848</v>
      </c>
      <c r="CK39" s="110" t="n">
        <v>204222.75</v>
      </c>
      <c r="CL39" s="110" t="n">
        <v>204222.75</v>
      </c>
      <c r="CM39" s="110" t="n">
        <v>0</v>
      </c>
      <c r="CN39" s="110" t="n">
        <v>53953.37</v>
      </c>
      <c r="CO39" s="110" t="n">
        <v>416066.52</v>
      </c>
      <c r="CP39" s="110" t="n">
        <v>611366.25</v>
      </c>
      <c r="CQ39" s="110" t="n">
        <v>43718.04</v>
      </c>
      <c r="CR39" s="110" t="n">
        <v>0</v>
      </c>
      <c r="CS39" s="110" t="n">
        <v>0</v>
      </c>
      <c r="CT39" s="110" t="n">
        <v>0</v>
      </c>
      <c r="CU39" s="110" t="n">
        <v>0</v>
      </c>
      <c r="CV39" s="111" t="n">
        <v>3839</v>
      </c>
      <c r="CW39" s="111" t="n">
        <v>3222</v>
      </c>
      <c r="CX39" s="111" t="n">
        <v>2924</v>
      </c>
      <c r="CY39" s="111" t="n">
        <v>298</v>
      </c>
      <c r="CZ39" s="111" t="n">
        <v>617</v>
      </c>
      <c r="DA39" s="111" t="n">
        <v>343</v>
      </c>
      <c r="DB39" s="111" t="n">
        <v>274</v>
      </c>
      <c r="DC39" s="111" t="n">
        <v>2398</v>
      </c>
      <c r="DD39" s="111" t="n">
        <v>0</v>
      </c>
      <c r="DE39" s="111" t="n">
        <v>2115</v>
      </c>
      <c r="DF39" s="111" t="n">
        <v>1950</v>
      </c>
      <c r="DG39" s="111" t="n">
        <v>165</v>
      </c>
      <c r="DH39" s="111" t="n">
        <v>283</v>
      </c>
      <c r="DI39" s="111" t="n">
        <v>143</v>
      </c>
      <c r="DJ39" s="111" t="n">
        <v>140</v>
      </c>
      <c r="DK39" s="111" t="n">
        <v>1011</v>
      </c>
      <c r="DL39" s="111" t="n">
        <v>748</v>
      </c>
      <c r="DM39" s="111" t="n">
        <v>676</v>
      </c>
      <c r="DN39" s="111" t="n">
        <v>72</v>
      </c>
      <c r="DO39" s="111" t="n">
        <v>263</v>
      </c>
      <c r="DP39" s="111" t="n">
        <v>174</v>
      </c>
      <c r="DQ39" s="111" t="n">
        <v>89</v>
      </c>
      <c r="DR39" s="111" t="n">
        <v>0</v>
      </c>
      <c r="DS39" s="111" t="n">
        <v>0</v>
      </c>
      <c r="DT39" s="111" t="n">
        <v>0</v>
      </c>
      <c r="DU39" s="111" t="n">
        <v>0</v>
      </c>
      <c r="DV39" s="111" t="n">
        <v>0</v>
      </c>
      <c r="DW39" s="111" t="n">
        <v>0</v>
      </c>
      <c r="DX39" s="111" t="n">
        <v>0</v>
      </c>
      <c r="DY39" s="111" t="n">
        <v>0</v>
      </c>
      <c r="DZ39" s="111" t="n">
        <v>430</v>
      </c>
      <c r="EA39" s="111" t="n">
        <v>359</v>
      </c>
      <c r="EB39" s="111" t="n">
        <v>298</v>
      </c>
      <c r="EC39" s="111" t="n">
        <v>61</v>
      </c>
      <c r="ED39" s="111" t="n">
        <v>71</v>
      </c>
      <c r="EE39" s="111" t="n">
        <v>26</v>
      </c>
      <c r="EF39" s="111" t="n">
        <v>45</v>
      </c>
      <c r="EG39" s="111" t="n">
        <v>129</v>
      </c>
      <c r="EH39" s="111" t="n">
        <v>85</v>
      </c>
      <c r="EI39" s="111" t="n">
        <v>75</v>
      </c>
      <c r="EJ39" s="111" t="n">
        <v>10</v>
      </c>
      <c r="EK39" s="111" t="n">
        <v>44</v>
      </c>
      <c r="EL39" s="111" t="n">
        <v>44</v>
      </c>
      <c r="EM39" s="111" t="n">
        <v>0</v>
      </c>
      <c r="EN39" s="111" t="n">
        <v>127</v>
      </c>
      <c r="EO39" s="111" t="n">
        <v>124</v>
      </c>
      <c r="EP39" s="111" t="n">
        <v>0</v>
      </c>
      <c r="EQ39" s="111" t="n">
        <v>3</v>
      </c>
      <c r="ER39" s="111" t="n">
        <v>0</v>
      </c>
      <c r="ES39" s="111" t="n">
        <v>0</v>
      </c>
      <c r="ET39" s="111" t="n">
        <v>0</v>
      </c>
      <c r="EU39" s="111" t="n">
        <v>84</v>
      </c>
      <c r="EV39" s="111" t="n">
        <v>84</v>
      </c>
      <c r="EW39" s="111" t="n">
        <v>0</v>
      </c>
      <c r="EX39" s="111" t="n">
        <v>0</v>
      </c>
      <c r="EY39" s="111" t="n">
        <v>29</v>
      </c>
      <c r="EZ39" s="111" t="n">
        <v>29</v>
      </c>
      <c r="FA39" s="111" t="n">
        <v>0</v>
      </c>
      <c r="FB39" s="111" t="n">
        <v>99</v>
      </c>
    </row>
    <row r="40" ht="19.5" customHeight="1" s="247">
      <c r="A40" s="107" t="n">
        <v>37</v>
      </c>
      <c r="B40" s="107" t="inlineStr">
        <is>
          <t>成人手术</t>
        </is>
      </c>
      <c r="C40" s="107" t="inlineStr">
        <is>
          <t>耳鼻咽喉-头颈外科</t>
        </is>
      </c>
      <c r="D40" s="110" t="n">
        <v>2484653</v>
      </c>
      <c r="E40" s="110" t="n">
        <v>916488</v>
      </c>
      <c r="F40" s="110" t="n">
        <v>1568165</v>
      </c>
      <c r="G40" s="110" t="n">
        <v>4876</v>
      </c>
      <c r="H40" s="110" t="n">
        <v>178</v>
      </c>
      <c r="I40" s="110" t="n">
        <v>124336</v>
      </c>
      <c r="J40" s="110" t="n">
        <v>1560</v>
      </c>
      <c r="K40" s="110" t="n">
        <v>7377.49</v>
      </c>
      <c r="L40" s="110" t="n">
        <v>37293</v>
      </c>
      <c r="M40" s="110" t="n">
        <v>800872</v>
      </c>
      <c r="N40" s="110" t="n">
        <v>0</v>
      </c>
      <c r="O40" s="110" t="n">
        <v>4368662.89</v>
      </c>
      <c r="P40" s="110" t="n">
        <v>3372501.06</v>
      </c>
      <c r="Q40" s="110" t="n">
        <v>3233856.68</v>
      </c>
      <c r="R40" s="110" t="n">
        <v>138644.38</v>
      </c>
      <c r="S40" s="110" t="n">
        <v>996161.83</v>
      </c>
      <c r="T40" s="110" t="n">
        <v>908255.13</v>
      </c>
      <c r="U40" s="110" t="n">
        <v>87906.7</v>
      </c>
      <c r="V40" s="110" t="n">
        <v>1740135.73</v>
      </c>
      <c r="W40" s="110" t="n">
        <v>1519211.28</v>
      </c>
      <c r="X40" s="110" t="n">
        <v>1420723.58</v>
      </c>
      <c r="Y40" s="110" t="n">
        <v>98487.7</v>
      </c>
      <c r="Z40" s="110" t="n">
        <v>220924.45</v>
      </c>
      <c r="AA40" s="110" t="n">
        <v>133017.75</v>
      </c>
      <c r="AB40" s="110" t="n">
        <v>87906.7</v>
      </c>
      <c r="AC40" s="110" t="n">
        <v>778119.87</v>
      </c>
      <c r="AD40" s="110" t="n">
        <v>691150.12</v>
      </c>
      <c r="AE40" s="110" t="n">
        <v>657926.25</v>
      </c>
      <c r="AF40" s="110" t="n">
        <v>33223.87</v>
      </c>
      <c r="AG40" s="110" t="n">
        <v>86969.75</v>
      </c>
      <c r="AH40" s="110" t="n">
        <v>50053.73</v>
      </c>
      <c r="AI40" s="110" t="n">
        <v>36916.02</v>
      </c>
      <c r="AJ40" s="110" t="n">
        <v>45527.86</v>
      </c>
      <c r="AK40" s="110" t="n">
        <v>40409.16</v>
      </c>
      <c r="AL40" s="110" t="n">
        <v>37915.33</v>
      </c>
      <c r="AM40" s="110" t="n">
        <v>2493.83</v>
      </c>
      <c r="AN40" s="110" t="n">
        <v>5118.7</v>
      </c>
      <c r="AO40" s="110" t="n">
        <v>2891.02</v>
      </c>
      <c r="AP40" s="110" t="n">
        <v>2227.68</v>
      </c>
      <c r="AQ40" s="110" t="n">
        <v>602107</v>
      </c>
      <c r="AR40" s="110" t="n">
        <v>513474</v>
      </c>
      <c r="AS40" s="110" t="n">
        <v>475945</v>
      </c>
      <c r="AT40" s="110" t="n">
        <v>37529</v>
      </c>
      <c r="AU40" s="110" t="n">
        <v>88633</v>
      </c>
      <c r="AV40" s="110" t="n">
        <v>54876</v>
      </c>
      <c r="AW40" s="110" t="n">
        <v>33757</v>
      </c>
      <c r="AX40" s="110" t="n">
        <v>314381</v>
      </c>
      <c r="AY40" s="110" t="n">
        <v>274178</v>
      </c>
      <c r="AZ40" s="110" t="n">
        <v>248937</v>
      </c>
      <c r="BA40" s="110" t="n">
        <v>25241</v>
      </c>
      <c r="BB40" s="110" t="n">
        <v>40203</v>
      </c>
      <c r="BC40" s="110" t="n">
        <v>25197</v>
      </c>
      <c r="BD40" s="110" t="n">
        <v>15006</v>
      </c>
      <c r="BE40" s="110" t="n">
        <v>2628527.16</v>
      </c>
      <c r="BF40" s="110" t="n">
        <v>1853289.78</v>
      </c>
      <c r="BG40" s="110" t="n">
        <v>1813133.1</v>
      </c>
      <c r="BH40" s="110" t="n">
        <v>40156.68</v>
      </c>
      <c r="BI40" s="110" t="n">
        <v>775237.38</v>
      </c>
      <c r="BJ40" s="110" t="n">
        <v>775237.38</v>
      </c>
      <c r="BK40" s="110" t="n">
        <v>0</v>
      </c>
      <c r="BL40" s="110" t="n">
        <v>269823.1</v>
      </c>
      <c r="BM40" s="110" t="n">
        <v>193559.62</v>
      </c>
      <c r="BN40" s="110" t="n">
        <v>188829.91</v>
      </c>
      <c r="BO40" s="110" t="n">
        <v>4729.71</v>
      </c>
      <c r="BP40" s="110" t="n">
        <v>76263.48</v>
      </c>
      <c r="BQ40" s="110" t="n">
        <v>76263.48</v>
      </c>
      <c r="BR40" s="110" t="n">
        <v>0</v>
      </c>
      <c r="BS40" s="110" t="n">
        <v>790539.0600000001</v>
      </c>
      <c r="BT40" s="110" t="n">
        <v>577171.41</v>
      </c>
      <c r="BU40" s="110" t="n">
        <v>566516.1899999999</v>
      </c>
      <c r="BV40" s="110" t="n">
        <v>10655.22</v>
      </c>
      <c r="BW40" s="110" t="n">
        <v>213367.65</v>
      </c>
      <c r="BX40" s="110" t="n">
        <v>213367.65</v>
      </c>
      <c r="BY40" s="110" t="n">
        <v>0</v>
      </c>
      <c r="BZ40" s="110" t="n">
        <v>411090</v>
      </c>
      <c r="CA40" s="110" t="n">
        <v>294757</v>
      </c>
      <c r="CB40" s="110" t="n">
        <v>291104</v>
      </c>
      <c r="CC40" s="110" t="n">
        <v>3653</v>
      </c>
      <c r="CD40" s="110" t="n">
        <v>116333</v>
      </c>
      <c r="CE40" s="110" t="n">
        <v>116333</v>
      </c>
      <c r="CF40" s="110" t="n">
        <v>0</v>
      </c>
      <c r="CG40" s="110" t="n">
        <v>1157075</v>
      </c>
      <c r="CH40" s="110" t="n">
        <v>787801.75</v>
      </c>
      <c r="CI40" s="110" t="n">
        <v>766683</v>
      </c>
      <c r="CJ40" s="110" t="n">
        <v>21118.75</v>
      </c>
      <c r="CK40" s="110" t="n">
        <v>369273.25</v>
      </c>
      <c r="CL40" s="110" t="n">
        <v>369273.25</v>
      </c>
      <c r="CM40" s="110" t="n">
        <v>0</v>
      </c>
      <c r="CN40" s="110" t="n">
        <v>136796.33</v>
      </c>
      <c r="CO40" s="110" t="n">
        <v>594689</v>
      </c>
      <c r="CP40" s="110" t="n">
        <v>510503.6</v>
      </c>
      <c r="CQ40" s="110" t="n">
        <v>363280.27</v>
      </c>
      <c r="CR40" s="110" t="n">
        <v>134791.53</v>
      </c>
      <c r="CS40" s="110" t="n">
        <v>0</v>
      </c>
      <c r="CT40" s="110" t="n">
        <v>0</v>
      </c>
      <c r="CU40" s="110" t="n">
        <v>0</v>
      </c>
      <c r="CV40" s="111" t="n">
        <v>4876</v>
      </c>
      <c r="CW40" s="111" t="n">
        <v>4248</v>
      </c>
      <c r="CX40" s="111" t="n">
        <v>3889</v>
      </c>
      <c r="CY40" s="111" t="n">
        <v>359</v>
      </c>
      <c r="CZ40" s="111" t="n">
        <v>628</v>
      </c>
      <c r="DA40" s="111" t="n">
        <v>340</v>
      </c>
      <c r="DB40" s="111" t="n">
        <v>288</v>
      </c>
      <c r="DC40" s="111" t="n">
        <v>2321</v>
      </c>
      <c r="DD40" s="111" t="n">
        <v>0</v>
      </c>
      <c r="DE40" s="111" t="n">
        <v>2062</v>
      </c>
      <c r="DF40" s="111" t="n">
        <v>1903</v>
      </c>
      <c r="DG40" s="111" t="n">
        <v>159</v>
      </c>
      <c r="DH40" s="111" t="n">
        <v>259</v>
      </c>
      <c r="DI40" s="111" t="n">
        <v>137</v>
      </c>
      <c r="DJ40" s="111" t="n">
        <v>122</v>
      </c>
      <c r="DK40" s="111" t="n">
        <v>1541</v>
      </c>
      <c r="DL40" s="111" t="n">
        <v>1291</v>
      </c>
      <c r="DM40" s="111" t="n">
        <v>1186</v>
      </c>
      <c r="DN40" s="111" t="n">
        <v>105</v>
      </c>
      <c r="DO40" s="111" t="n">
        <v>250</v>
      </c>
      <c r="DP40" s="111" t="n">
        <v>143</v>
      </c>
      <c r="DQ40" s="111" t="n">
        <v>107</v>
      </c>
      <c r="DR40" s="111" t="n">
        <v>294</v>
      </c>
      <c r="DS40" s="111" t="n">
        <v>0</v>
      </c>
      <c r="DT40" s="111" t="n">
        <v>250</v>
      </c>
      <c r="DU40" s="111" t="n">
        <v>230</v>
      </c>
      <c r="DV40" s="111" t="n">
        <v>20</v>
      </c>
      <c r="DW40" s="111" t="n">
        <v>44</v>
      </c>
      <c r="DX40" s="111" t="n">
        <v>24</v>
      </c>
      <c r="DY40" s="111" t="n">
        <v>20</v>
      </c>
      <c r="DZ40" s="111" t="n">
        <v>720</v>
      </c>
      <c r="EA40" s="111" t="n">
        <v>645</v>
      </c>
      <c r="EB40" s="111" t="n">
        <v>570</v>
      </c>
      <c r="EC40" s="111" t="n">
        <v>75</v>
      </c>
      <c r="ED40" s="111" t="n">
        <v>75</v>
      </c>
      <c r="EE40" s="111" t="n">
        <v>36</v>
      </c>
      <c r="EF40" s="111" t="n">
        <v>39</v>
      </c>
      <c r="EG40" s="111" t="n">
        <v>178</v>
      </c>
      <c r="EH40" s="111" t="n">
        <v>125</v>
      </c>
      <c r="EI40" s="111" t="n">
        <v>122</v>
      </c>
      <c r="EJ40" s="111" t="n">
        <v>3</v>
      </c>
      <c r="EK40" s="111" t="n">
        <v>53</v>
      </c>
      <c r="EL40" s="111" t="n">
        <v>53</v>
      </c>
      <c r="EM40" s="111" t="n">
        <v>0</v>
      </c>
      <c r="EN40" s="111" t="n">
        <v>177</v>
      </c>
      <c r="EO40" s="111" t="n">
        <v>162</v>
      </c>
      <c r="EP40" s="111" t="n">
        <v>0</v>
      </c>
      <c r="EQ40" s="111" t="n">
        <v>15</v>
      </c>
      <c r="ER40" s="111" t="n">
        <v>0</v>
      </c>
      <c r="ES40" s="111" t="n">
        <v>0</v>
      </c>
      <c r="ET40" s="111" t="n">
        <v>0</v>
      </c>
      <c r="EU40" s="111" t="n">
        <v>115</v>
      </c>
      <c r="EV40" s="111" t="n">
        <v>115</v>
      </c>
      <c r="EW40" s="111" t="n">
        <v>0</v>
      </c>
      <c r="EX40" s="111" t="n">
        <v>0</v>
      </c>
      <c r="EY40" s="111" t="n">
        <v>9</v>
      </c>
      <c r="EZ40" s="111" t="n">
        <v>9</v>
      </c>
      <c r="FA40" s="111" t="n">
        <v>0</v>
      </c>
      <c r="FB40" s="111" t="n">
        <v>12</v>
      </c>
    </row>
    <row r="41" ht="19.5" customHeight="1" s="247">
      <c r="A41" s="107" t="n">
        <v>38</v>
      </c>
      <c r="B41" s="107" t="inlineStr">
        <is>
          <t>成人非手术</t>
        </is>
      </c>
      <c r="C41" s="107" t="inlineStr">
        <is>
          <t>口腔科</t>
        </is>
      </c>
      <c r="D41" s="110" t="n">
        <v>774252</v>
      </c>
      <c r="E41" s="110" t="n">
        <v>774252</v>
      </c>
      <c r="F41" s="110" t="n">
        <v>0</v>
      </c>
      <c r="G41" s="110" t="n">
        <v>2500</v>
      </c>
      <c r="H41" s="110" t="n">
        <v>0</v>
      </c>
      <c r="I41" s="110" t="n">
        <v>461389</v>
      </c>
      <c r="J41" s="110" t="n">
        <v>123232</v>
      </c>
      <c r="K41" s="110" t="n">
        <v>0</v>
      </c>
      <c r="L41" s="110" t="n">
        <v>0</v>
      </c>
      <c r="M41" s="110" t="n">
        <v>0</v>
      </c>
      <c r="N41" s="110" t="n">
        <v>0</v>
      </c>
      <c r="O41" s="110" t="n">
        <v>831612.67</v>
      </c>
      <c r="P41" s="110" t="n">
        <v>716117.1</v>
      </c>
      <c r="Q41" s="110" t="n">
        <v>529610.4300000001</v>
      </c>
      <c r="R41" s="110" t="n">
        <v>186506.67</v>
      </c>
      <c r="S41" s="110" t="n">
        <v>115495.57</v>
      </c>
      <c r="T41" s="110" t="n">
        <v>42306.66</v>
      </c>
      <c r="U41" s="110" t="n">
        <v>73188.91</v>
      </c>
      <c r="V41" s="110" t="n">
        <v>831612.67</v>
      </c>
      <c r="W41" s="110" t="n">
        <v>716117.1</v>
      </c>
      <c r="X41" s="110" t="n">
        <v>529610.4300000001</v>
      </c>
      <c r="Y41" s="110" t="n">
        <v>186506.67</v>
      </c>
      <c r="Z41" s="110" t="n">
        <v>115495.57</v>
      </c>
      <c r="AA41" s="110" t="n">
        <v>42306.66</v>
      </c>
      <c r="AB41" s="110" t="n">
        <v>73188.91</v>
      </c>
      <c r="AC41" s="110" t="n">
        <v>44175.22</v>
      </c>
      <c r="AD41" s="110" t="n">
        <v>36308.55</v>
      </c>
      <c r="AE41" s="110" t="n">
        <v>32926.31</v>
      </c>
      <c r="AF41" s="110" t="n">
        <v>3382.24</v>
      </c>
      <c r="AG41" s="110" t="n">
        <v>7866.67</v>
      </c>
      <c r="AH41" s="110" t="n">
        <v>4263.08</v>
      </c>
      <c r="AI41" s="110" t="n">
        <v>3603.59</v>
      </c>
      <c r="AJ41" s="110" t="n">
        <v>13185.45</v>
      </c>
      <c r="AK41" s="110" t="n">
        <v>11930.55</v>
      </c>
      <c r="AL41" s="110" t="n">
        <v>1037.12</v>
      </c>
      <c r="AM41" s="110" t="n">
        <v>10893.43</v>
      </c>
      <c r="AN41" s="110" t="n">
        <v>1254.9</v>
      </c>
      <c r="AO41" s="110" t="n">
        <v>166.58</v>
      </c>
      <c r="AP41" s="110" t="n">
        <v>1088.32</v>
      </c>
      <c r="AQ41" s="110" t="n">
        <v>110131</v>
      </c>
      <c r="AR41" s="110" t="n">
        <v>97301</v>
      </c>
      <c r="AS41" s="110" t="n">
        <v>84392</v>
      </c>
      <c r="AT41" s="110" t="n">
        <v>12909</v>
      </c>
      <c r="AU41" s="110" t="n">
        <v>12830</v>
      </c>
      <c r="AV41" s="110" t="n">
        <v>6053</v>
      </c>
      <c r="AW41" s="110" t="n">
        <v>6777</v>
      </c>
      <c r="AX41" s="110" t="n">
        <v>664121</v>
      </c>
      <c r="AY41" s="110" t="n">
        <v>570577</v>
      </c>
      <c r="AZ41" s="110" t="n">
        <v>411255</v>
      </c>
      <c r="BA41" s="110" t="n">
        <v>159322</v>
      </c>
      <c r="BB41" s="110" t="n">
        <v>93544</v>
      </c>
      <c r="BC41" s="110" t="n">
        <v>31824</v>
      </c>
      <c r="BD41" s="110" t="n">
        <v>61720</v>
      </c>
      <c r="BE41" s="110" t="n">
        <v>0</v>
      </c>
      <c r="BF41" s="110" t="n">
        <v>0</v>
      </c>
      <c r="BG41" s="110" t="n">
        <v>0</v>
      </c>
      <c r="BH41" s="110" t="n">
        <v>0</v>
      </c>
      <c r="BI41" s="110" t="n">
        <v>0</v>
      </c>
      <c r="BJ41" s="110" t="n">
        <v>0</v>
      </c>
      <c r="BK41" s="110" t="n">
        <v>0</v>
      </c>
      <c r="BL41" s="110" t="n">
        <v>0</v>
      </c>
      <c r="BM41" s="110" t="n">
        <v>0</v>
      </c>
      <c r="BN41" s="110" t="n">
        <v>0</v>
      </c>
      <c r="BO41" s="110" t="n">
        <v>0</v>
      </c>
      <c r="BP41" s="110" t="n">
        <v>0</v>
      </c>
      <c r="BQ41" s="110" t="n">
        <v>0</v>
      </c>
      <c r="BR41" s="110" t="n">
        <v>0</v>
      </c>
      <c r="BS41" s="110" t="n">
        <v>0</v>
      </c>
      <c r="BT41" s="110" t="n">
        <v>0</v>
      </c>
      <c r="BU41" s="110" t="n">
        <v>0</v>
      </c>
      <c r="BV41" s="110" t="n">
        <v>0</v>
      </c>
      <c r="BW41" s="110" t="n">
        <v>0</v>
      </c>
      <c r="BX41" s="110" t="n">
        <v>0</v>
      </c>
      <c r="BY41" s="110" t="n">
        <v>0</v>
      </c>
      <c r="BZ41" s="110" t="n">
        <v>0</v>
      </c>
      <c r="CA41" s="110" t="n">
        <v>0</v>
      </c>
      <c r="CB41" s="110" t="n">
        <v>0</v>
      </c>
      <c r="CC41" s="110" t="n">
        <v>0</v>
      </c>
      <c r="CD41" s="110" t="n">
        <v>0</v>
      </c>
      <c r="CE41" s="110" t="n">
        <v>0</v>
      </c>
      <c r="CF41" s="110" t="n">
        <v>0</v>
      </c>
      <c r="CG41" s="110" t="n">
        <v>0</v>
      </c>
      <c r="CH41" s="110" t="n">
        <v>0</v>
      </c>
      <c r="CI41" s="110" t="n">
        <v>0</v>
      </c>
      <c r="CJ41" s="110" t="n">
        <v>0</v>
      </c>
      <c r="CK41" s="110" t="n">
        <v>0</v>
      </c>
      <c r="CL41" s="110" t="n">
        <v>0</v>
      </c>
      <c r="CM41" s="110" t="n">
        <v>0</v>
      </c>
      <c r="CN41" s="110" t="n">
        <v>8633.18</v>
      </c>
      <c r="CO41" s="110" t="n">
        <v>428777.87</v>
      </c>
      <c r="CP41" s="110" t="n">
        <v>320595.98</v>
      </c>
      <c r="CQ41" s="110" t="n">
        <v>69384.34</v>
      </c>
      <c r="CR41" s="110" t="n">
        <v>4181.3</v>
      </c>
      <c r="CS41" s="110" t="n">
        <v>0</v>
      </c>
      <c r="CT41" s="110" t="n">
        <v>0</v>
      </c>
      <c r="CU41" s="110" t="n">
        <v>0</v>
      </c>
      <c r="CV41" s="111" t="n">
        <v>2500</v>
      </c>
      <c r="CW41" s="111" t="n">
        <v>2162</v>
      </c>
      <c r="CX41" s="111" t="n">
        <v>1838</v>
      </c>
      <c r="CY41" s="111" t="n">
        <v>324</v>
      </c>
      <c r="CZ41" s="111" t="n">
        <v>338</v>
      </c>
      <c r="DA41" s="111" t="n">
        <v>163</v>
      </c>
      <c r="DB41" s="111" t="n">
        <v>175</v>
      </c>
      <c r="DC41" s="111" t="n">
        <v>1944</v>
      </c>
      <c r="DD41" s="111" t="n">
        <v>0</v>
      </c>
      <c r="DE41" s="111" t="n">
        <v>1709</v>
      </c>
      <c r="DF41" s="111" t="n">
        <v>1505</v>
      </c>
      <c r="DG41" s="111" t="n">
        <v>204</v>
      </c>
      <c r="DH41" s="111" t="n">
        <v>235</v>
      </c>
      <c r="DI41" s="111" t="n">
        <v>115</v>
      </c>
      <c r="DJ41" s="111" t="n">
        <v>120</v>
      </c>
      <c r="DK41" s="111" t="n">
        <v>518</v>
      </c>
      <c r="DL41" s="111" t="n">
        <v>425</v>
      </c>
      <c r="DM41" s="111" t="n">
        <v>313</v>
      </c>
      <c r="DN41" s="111" t="n">
        <v>112</v>
      </c>
      <c r="DO41" s="111" t="n">
        <v>93</v>
      </c>
      <c r="DP41" s="111" t="n">
        <v>46</v>
      </c>
      <c r="DQ41" s="111" t="n">
        <v>47</v>
      </c>
      <c r="DR41" s="111" t="n">
        <v>10</v>
      </c>
      <c r="DS41" s="111" t="n">
        <v>0</v>
      </c>
      <c r="DT41" s="111" t="n">
        <v>8</v>
      </c>
      <c r="DU41" s="111" t="n">
        <v>7</v>
      </c>
      <c r="DV41" s="111" t="n">
        <v>1</v>
      </c>
      <c r="DW41" s="111" t="n">
        <v>2</v>
      </c>
      <c r="DX41" s="111" t="n">
        <v>0</v>
      </c>
      <c r="DY41" s="111" t="n">
        <v>2</v>
      </c>
      <c r="DZ41" s="111" t="n">
        <v>28</v>
      </c>
      <c r="EA41" s="111" t="n">
        <v>20</v>
      </c>
      <c r="EB41" s="111" t="n">
        <v>13</v>
      </c>
      <c r="EC41" s="111" t="n">
        <v>7</v>
      </c>
      <c r="ED41" s="111" t="n">
        <v>8</v>
      </c>
      <c r="EE41" s="111" t="n">
        <v>2</v>
      </c>
      <c r="EF41" s="111" t="n">
        <v>6</v>
      </c>
      <c r="EG41" s="111" t="n">
        <v>0</v>
      </c>
      <c r="EH41" s="111" t="n">
        <v>0</v>
      </c>
      <c r="EI41" s="111" t="n">
        <v>0</v>
      </c>
      <c r="EJ41" s="111" t="n">
        <v>0</v>
      </c>
      <c r="EK41" s="111" t="n">
        <v>0</v>
      </c>
      <c r="EL41" s="111" t="n">
        <v>0</v>
      </c>
      <c r="EM41" s="111" t="n">
        <v>0</v>
      </c>
      <c r="EN41" s="111" t="n">
        <v>0</v>
      </c>
      <c r="EO41" s="111" t="n">
        <v>0</v>
      </c>
      <c r="EP41" s="111" t="n">
        <v>0</v>
      </c>
      <c r="EQ41" s="111" t="n">
        <v>0</v>
      </c>
      <c r="ER41" s="111" t="n">
        <v>0</v>
      </c>
      <c r="ES41" s="111" t="n">
        <v>0</v>
      </c>
      <c r="ET41" s="111" t="n">
        <v>0</v>
      </c>
      <c r="EU41" s="111" t="n">
        <v>0</v>
      </c>
      <c r="EV41" s="111" t="n">
        <v>0</v>
      </c>
      <c r="EW41" s="111" t="n">
        <v>0</v>
      </c>
      <c r="EX41" s="111" t="n">
        <v>0</v>
      </c>
      <c r="EY41" s="111" t="n">
        <v>0</v>
      </c>
      <c r="EZ41" s="111" t="n">
        <v>0</v>
      </c>
      <c r="FA41" s="111" t="n">
        <v>0</v>
      </c>
      <c r="FB41" s="111" t="n">
        <v>0</v>
      </c>
    </row>
    <row r="42" ht="19.5" customHeight="1" s="247">
      <c r="A42" s="107" t="n">
        <v>39</v>
      </c>
      <c r="B42" s="107" t="inlineStr">
        <is>
          <t>成人非手术</t>
        </is>
      </c>
      <c r="C42" s="107" t="inlineStr">
        <is>
          <t>皮肤疾病诊治中心</t>
        </is>
      </c>
      <c r="D42" s="110" t="n">
        <v>1590767.9</v>
      </c>
      <c r="E42" s="110" t="n">
        <v>1590767.9</v>
      </c>
      <c r="F42" s="110" t="n">
        <v>0</v>
      </c>
      <c r="G42" s="110" t="n">
        <v>6709</v>
      </c>
      <c r="H42" s="110" t="n">
        <v>0</v>
      </c>
      <c r="I42" s="110" t="n">
        <v>520407.7</v>
      </c>
      <c r="J42" s="110" t="n">
        <v>357708.2</v>
      </c>
      <c r="K42" s="110" t="n">
        <v>1885.59</v>
      </c>
      <c r="L42" s="110" t="n">
        <v>0</v>
      </c>
      <c r="M42" s="110" t="n">
        <v>0</v>
      </c>
      <c r="N42" s="110" t="n">
        <v>0</v>
      </c>
      <c r="O42" s="110" t="n">
        <v>2228794.26</v>
      </c>
      <c r="P42" s="110" t="n">
        <v>1970988.5</v>
      </c>
      <c r="Q42" s="110" t="n">
        <v>1635022.19</v>
      </c>
      <c r="R42" s="110" t="n">
        <v>335966.31</v>
      </c>
      <c r="S42" s="110" t="n">
        <v>257805.76</v>
      </c>
      <c r="T42" s="110" t="n">
        <v>121749.53</v>
      </c>
      <c r="U42" s="110" t="n">
        <v>136056.23</v>
      </c>
      <c r="V42" s="110" t="n">
        <v>2228794.26</v>
      </c>
      <c r="W42" s="110" t="n">
        <v>1970988.5</v>
      </c>
      <c r="X42" s="110" t="n">
        <v>1635022.19</v>
      </c>
      <c r="Y42" s="110" t="n">
        <v>335966.31</v>
      </c>
      <c r="Z42" s="110" t="n">
        <v>257805.76</v>
      </c>
      <c r="AA42" s="110" t="n">
        <v>121749.53</v>
      </c>
      <c r="AB42" s="110" t="n">
        <v>136056.23</v>
      </c>
      <c r="AC42" s="110" t="n">
        <v>602921.3199999999</v>
      </c>
      <c r="AD42" s="110" t="n">
        <v>547295.46</v>
      </c>
      <c r="AE42" s="110" t="n">
        <v>485659.31</v>
      </c>
      <c r="AF42" s="110" t="n">
        <v>61636.15</v>
      </c>
      <c r="AG42" s="110" t="n">
        <v>55625.86</v>
      </c>
      <c r="AH42" s="110" t="n">
        <v>29101.9</v>
      </c>
      <c r="AI42" s="110" t="n">
        <v>26523.96</v>
      </c>
      <c r="AJ42" s="110" t="n">
        <v>35105.04</v>
      </c>
      <c r="AK42" s="110" t="n">
        <v>32767.39</v>
      </c>
      <c r="AL42" s="110" t="n">
        <v>29559.93</v>
      </c>
      <c r="AM42" s="110" t="n">
        <v>3207.46</v>
      </c>
      <c r="AN42" s="110" t="n">
        <v>2337.65</v>
      </c>
      <c r="AO42" s="110" t="n">
        <v>1782.13</v>
      </c>
      <c r="AP42" s="110" t="n">
        <v>555.52</v>
      </c>
      <c r="AQ42" s="110" t="n">
        <v>382999</v>
      </c>
      <c r="AR42" s="110" t="n">
        <v>329554</v>
      </c>
      <c r="AS42" s="110" t="n">
        <v>298481</v>
      </c>
      <c r="AT42" s="110" t="n">
        <v>31073</v>
      </c>
      <c r="AU42" s="110" t="n">
        <v>53445</v>
      </c>
      <c r="AV42" s="110" t="n">
        <v>28385</v>
      </c>
      <c r="AW42" s="110" t="n">
        <v>25060</v>
      </c>
      <c r="AX42" s="110" t="n">
        <v>1207768.9</v>
      </c>
      <c r="AY42" s="110" t="n">
        <v>1061371.65</v>
      </c>
      <c r="AZ42" s="110" t="n">
        <v>821321.95</v>
      </c>
      <c r="BA42" s="110" t="n">
        <v>240049.7</v>
      </c>
      <c r="BB42" s="110" t="n">
        <v>146397.25</v>
      </c>
      <c r="BC42" s="110" t="n">
        <v>62480.5</v>
      </c>
      <c r="BD42" s="110" t="n">
        <v>83916.75</v>
      </c>
      <c r="BE42" s="110" t="n">
        <v>0</v>
      </c>
      <c r="BF42" s="110" t="n">
        <v>0</v>
      </c>
      <c r="BG42" s="110" t="n">
        <v>0</v>
      </c>
      <c r="BH42" s="110" t="n">
        <v>0</v>
      </c>
      <c r="BI42" s="110" t="n">
        <v>0</v>
      </c>
      <c r="BJ42" s="110" t="n">
        <v>0</v>
      </c>
      <c r="BK42" s="110" t="n">
        <v>0</v>
      </c>
      <c r="BL42" s="110" t="n">
        <v>0</v>
      </c>
      <c r="BM42" s="110" t="n">
        <v>0</v>
      </c>
      <c r="BN42" s="110" t="n">
        <v>0</v>
      </c>
      <c r="BO42" s="110" t="n">
        <v>0</v>
      </c>
      <c r="BP42" s="110" t="n">
        <v>0</v>
      </c>
      <c r="BQ42" s="110" t="n">
        <v>0</v>
      </c>
      <c r="BR42" s="110" t="n">
        <v>0</v>
      </c>
      <c r="BS42" s="110" t="n">
        <v>0</v>
      </c>
      <c r="BT42" s="110" t="n">
        <v>0</v>
      </c>
      <c r="BU42" s="110" t="n">
        <v>0</v>
      </c>
      <c r="BV42" s="110" t="n">
        <v>0</v>
      </c>
      <c r="BW42" s="110" t="n">
        <v>0</v>
      </c>
      <c r="BX42" s="110" t="n">
        <v>0</v>
      </c>
      <c r="BY42" s="110" t="n">
        <v>0</v>
      </c>
      <c r="BZ42" s="110" t="n">
        <v>0</v>
      </c>
      <c r="CA42" s="110" t="n">
        <v>0</v>
      </c>
      <c r="CB42" s="110" t="n">
        <v>0</v>
      </c>
      <c r="CC42" s="110" t="n">
        <v>0</v>
      </c>
      <c r="CD42" s="110" t="n">
        <v>0</v>
      </c>
      <c r="CE42" s="110" t="n">
        <v>0</v>
      </c>
      <c r="CF42" s="110" t="n">
        <v>0</v>
      </c>
      <c r="CG42" s="110" t="n">
        <v>0</v>
      </c>
      <c r="CH42" s="110" t="n">
        <v>0</v>
      </c>
      <c r="CI42" s="110" t="n">
        <v>0</v>
      </c>
      <c r="CJ42" s="110" t="n">
        <v>0</v>
      </c>
      <c r="CK42" s="110" t="n">
        <v>0</v>
      </c>
      <c r="CL42" s="110" t="n">
        <v>0</v>
      </c>
      <c r="CM42" s="110" t="n">
        <v>0</v>
      </c>
      <c r="CN42" s="110" t="n">
        <v>25</v>
      </c>
      <c r="CO42" s="110" t="n">
        <v>1202180.64</v>
      </c>
      <c r="CP42" s="110" t="n">
        <v>420744.27</v>
      </c>
      <c r="CQ42" s="110" t="n">
        <v>339077.66</v>
      </c>
      <c r="CR42" s="110" t="n">
        <v>266791.69</v>
      </c>
      <c r="CS42" s="110" t="n">
        <v>0</v>
      </c>
      <c r="CT42" s="110" t="n">
        <v>0</v>
      </c>
      <c r="CU42" s="110" t="n">
        <v>0</v>
      </c>
      <c r="CV42" s="111" t="n">
        <v>6709</v>
      </c>
      <c r="CW42" s="111" t="n">
        <v>5855</v>
      </c>
      <c r="CX42" s="111" t="n">
        <v>5073</v>
      </c>
      <c r="CY42" s="111" t="n">
        <v>782</v>
      </c>
      <c r="CZ42" s="111" t="n">
        <v>854</v>
      </c>
      <c r="DA42" s="111" t="n">
        <v>404</v>
      </c>
      <c r="DB42" s="111" t="n">
        <v>450</v>
      </c>
      <c r="DC42" s="111" t="n">
        <v>4975</v>
      </c>
      <c r="DD42" s="111" t="n">
        <v>0</v>
      </c>
      <c r="DE42" s="111" t="n">
        <v>4390</v>
      </c>
      <c r="DF42" s="111" t="n">
        <v>3789</v>
      </c>
      <c r="DG42" s="111" t="n">
        <v>601</v>
      </c>
      <c r="DH42" s="111" t="n">
        <v>585</v>
      </c>
      <c r="DI42" s="111" t="n">
        <v>263</v>
      </c>
      <c r="DJ42" s="111" t="n">
        <v>322</v>
      </c>
      <c r="DK42" s="111" t="n">
        <v>1212</v>
      </c>
      <c r="DL42" s="111" t="n">
        <v>1072</v>
      </c>
      <c r="DM42" s="111" t="n">
        <v>955</v>
      </c>
      <c r="DN42" s="111" t="n">
        <v>117</v>
      </c>
      <c r="DO42" s="111" t="n">
        <v>140</v>
      </c>
      <c r="DP42" s="111" t="n">
        <v>75</v>
      </c>
      <c r="DQ42" s="111" t="n">
        <v>65</v>
      </c>
      <c r="DR42" s="111" t="n">
        <v>522</v>
      </c>
      <c r="DS42" s="111" t="n">
        <v>0</v>
      </c>
      <c r="DT42" s="111" t="n">
        <v>393</v>
      </c>
      <c r="DU42" s="111" t="n">
        <v>329</v>
      </c>
      <c r="DV42" s="111" t="n">
        <v>64</v>
      </c>
      <c r="DW42" s="111" t="n">
        <v>129</v>
      </c>
      <c r="DX42" s="111" t="n">
        <v>66</v>
      </c>
      <c r="DY42" s="111" t="n">
        <v>63</v>
      </c>
      <c r="DZ42" s="111" t="n">
        <v>0</v>
      </c>
      <c r="EA42" s="111" t="n">
        <v>0</v>
      </c>
      <c r="EB42" s="111" t="n">
        <v>0</v>
      </c>
      <c r="EC42" s="111" t="n">
        <v>0</v>
      </c>
      <c r="ED42" s="111" t="n">
        <v>0</v>
      </c>
      <c r="EE42" s="111" t="n">
        <v>0</v>
      </c>
      <c r="EF42" s="111" t="n">
        <v>0</v>
      </c>
      <c r="EG42" s="111" t="n">
        <v>0</v>
      </c>
      <c r="EH42" s="111" t="n">
        <v>0</v>
      </c>
      <c r="EI42" s="111" t="n">
        <v>0</v>
      </c>
      <c r="EJ42" s="111" t="n">
        <v>0</v>
      </c>
      <c r="EK42" s="111" t="n">
        <v>0</v>
      </c>
      <c r="EL42" s="111" t="n">
        <v>0</v>
      </c>
      <c r="EM42" s="111" t="n">
        <v>0</v>
      </c>
      <c r="EN42" s="111" t="n">
        <v>0</v>
      </c>
      <c r="EO42" s="111" t="n">
        <v>0</v>
      </c>
      <c r="EP42" s="111" t="n">
        <v>0</v>
      </c>
      <c r="EQ42" s="111" t="n">
        <v>0</v>
      </c>
      <c r="ER42" s="111" t="n">
        <v>0</v>
      </c>
      <c r="ES42" s="111" t="n">
        <v>0</v>
      </c>
      <c r="ET42" s="111" t="n">
        <v>0</v>
      </c>
      <c r="EU42" s="111" t="n">
        <v>0</v>
      </c>
      <c r="EV42" s="111" t="n">
        <v>0</v>
      </c>
      <c r="EW42" s="111" t="n">
        <v>0</v>
      </c>
      <c r="EX42" s="111" t="n">
        <v>0</v>
      </c>
      <c r="EY42" s="111" t="n">
        <v>0</v>
      </c>
      <c r="EZ42" s="111" t="n">
        <v>0</v>
      </c>
      <c r="FA42" s="111" t="n">
        <v>0</v>
      </c>
      <c r="FB42" s="111" t="n">
        <v>0</v>
      </c>
    </row>
    <row r="43" ht="19.5" customHeight="1" s="247">
      <c r="A43" s="107" t="n">
        <v>40</v>
      </c>
      <c r="B43" s="107" t="inlineStr">
        <is>
          <t>成人非手术</t>
        </is>
      </c>
      <c r="C43" s="107" t="inlineStr">
        <is>
          <t>临床心理科</t>
        </is>
      </c>
      <c r="D43" s="110" t="n">
        <v>190219</v>
      </c>
      <c r="E43" s="110" t="n">
        <v>190219</v>
      </c>
      <c r="F43" s="110" t="n">
        <v>0</v>
      </c>
      <c r="G43" s="110" t="n">
        <v>581</v>
      </c>
      <c r="H43" s="110" t="n">
        <v>0</v>
      </c>
      <c r="I43" s="110" t="n">
        <v>53091</v>
      </c>
      <c r="J43" s="110" t="n">
        <v>0</v>
      </c>
      <c r="K43" s="110" t="n">
        <v>0</v>
      </c>
      <c r="L43" s="110" t="n">
        <v>0</v>
      </c>
      <c r="M43" s="110" t="n">
        <v>0</v>
      </c>
      <c r="N43" s="110" t="n">
        <v>0</v>
      </c>
      <c r="O43" s="110" t="n">
        <v>308532.68</v>
      </c>
      <c r="P43" s="110" t="n">
        <v>278676.24</v>
      </c>
      <c r="Q43" s="110" t="n">
        <v>262216.31</v>
      </c>
      <c r="R43" s="110" t="n">
        <v>16459.93</v>
      </c>
      <c r="S43" s="110" t="n">
        <v>29856.44</v>
      </c>
      <c r="T43" s="110" t="n">
        <v>14099.68</v>
      </c>
      <c r="U43" s="110" t="n">
        <v>15756.76</v>
      </c>
      <c r="V43" s="110" t="n">
        <v>308532.68</v>
      </c>
      <c r="W43" s="110" t="n">
        <v>278676.24</v>
      </c>
      <c r="X43" s="110" t="n">
        <v>262216.31</v>
      </c>
      <c r="Y43" s="110" t="n">
        <v>16459.93</v>
      </c>
      <c r="Z43" s="110" t="n">
        <v>29856.44</v>
      </c>
      <c r="AA43" s="110" t="n">
        <v>14099.68</v>
      </c>
      <c r="AB43" s="110" t="n">
        <v>15756.76</v>
      </c>
      <c r="AC43" s="110" t="n">
        <v>118313.68</v>
      </c>
      <c r="AD43" s="110" t="n">
        <v>109349.24</v>
      </c>
      <c r="AE43" s="110" t="n">
        <v>102337.31</v>
      </c>
      <c r="AF43" s="110" t="n">
        <v>7011.93</v>
      </c>
      <c r="AG43" s="110" t="n">
        <v>8964.440000000001</v>
      </c>
      <c r="AH43" s="110" t="n">
        <v>4838.68</v>
      </c>
      <c r="AI43" s="110" t="n">
        <v>4125.76</v>
      </c>
      <c r="AJ43" s="110" t="n">
        <v>0</v>
      </c>
      <c r="AK43" s="110" t="n">
        <v>0</v>
      </c>
      <c r="AL43" s="110" t="n">
        <v>0</v>
      </c>
      <c r="AM43" s="110" t="n">
        <v>0</v>
      </c>
      <c r="AN43" s="110" t="n">
        <v>0</v>
      </c>
      <c r="AO43" s="110" t="n">
        <v>0</v>
      </c>
      <c r="AP43" s="110" t="n">
        <v>0</v>
      </c>
      <c r="AQ43" s="110" t="n">
        <v>121538</v>
      </c>
      <c r="AR43" s="110" t="n">
        <v>108020</v>
      </c>
      <c r="AS43" s="110" t="n">
        <v>102172</v>
      </c>
      <c r="AT43" s="110" t="n">
        <v>5848</v>
      </c>
      <c r="AU43" s="110" t="n">
        <v>13518</v>
      </c>
      <c r="AV43" s="110" t="n">
        <v>5771</v>
      </c>
      <c r="AW43" s="110" t="n">
        <v>7747</v>
      </c>
      <c r="AX43" s="110" t="n">
        <v>68681</v>
      </c>
      <c r="AY43" s="110" t="n">
        <v>61307</v>
      </c>
      <c r="AZ43" s="110" t="n">
        <v>57707</v>
      </c>
      <c r="BA43" s="110" t="n">
        <v>3600</v>
      </c>
      <c r="BB43" s="110" t="n">
        <v>7374</v>
      </c>
      <c r="BC43" s="110" t="n">
        <v>3490</v>
      </c>
      <c r="BD43" s="110" t="n">
        <v>3884</v>
      </c>
      <c r="BE43" s="110" t="n">
        <v>0</v>
      </c>
      <c r="BF43" s="110" t="n">
        <v>0</v>
      </c>
      <c r="BG43" s="110" t="n">
        <v>0</v>
      </c>
      <c r="BH43" s="110" t="n">
        <v>0</v>
      </c>
      <c r="BI43" s="110" t="n">
        <v>0</v>
      </c>
      <c r="BJ43" s="110" t="n">
        <v>0</v>
      </c>
      <c r="BK43" s="110" t="n">
        <v>0</v>
      </c>
      <c r="BL43" s="110" t="n">
        <v>0</v>
      </c>
      <c r="BM43" s="110" t="n">
        <v>0</v>
      </c>
      <c r="BN43" s="110" t="n">
        <v>0</v>
      </c>
      <c r="BO43" s="110" t="n">
        <v>0</v>
      </c>
      <c r="BP43" s="110" t="n">
        <v>0</v>
      </c>
      <c r="BQ43" s="110" t="n">
        <v>0</v>
      </c>
      <c r="BR43" s="110" t="n">
        <v>0</v>
      </c>
      <c r="BS43" s="110" t="n">
        <v>0</v>
      </c>
      <c r="BT43" s="110" t="n">
        <v>0</v>
      </c>
      <c r="BU43" s="110" t="n">
        <v>0</v>
      </c>
      <c r="BV43" s="110" t="n">
        <v>0</v>
      </c>
      <c r="BW43" s="110" t="n">
        <v>0</v>
      </c>
      <c r="BX43" s="110" t="n">
        <v>0</v>
      </c>
      <c r="BY43" s="110" t="n">
        <v>0</v>
      </c>
      <c r="BZ43" s="110" t="n">
        <v>0</v>
      </c>
      <c r="CA43" s="110" t="n">
        <v>0</v>
      </c>
      <c r="CB43" s="110" t="n">
        <v>0</v>
      </c>
      <c r="CC43" s="110" t="n">
        <v>0</v>
      </c>
      <c r="CD43" s="110" t="n">
        <v>0</v>
      </c>
      <c r="CE43" s="110" t="n">
        <v>0</v>
      </c>
      <c r="CF43" s="110" t="n">
        <v>0</v>
      </c>
      <c r="CG43" s="110" t="n">
        <v>0</v>
      </c>
      <c r="CH43" s="110" t="n">
        <v>0</v>
      </c>
      <c r="CI43" s="110" t="n">
        <v>0</v>
      </c>
      <c r="CJ43" s="110" t="n">
        <v>0</v>
      </c>
      <c r="CK43" s="110" t="n">
        <v>0</v>
      </c>
      <c r="CL43" s="110" t="n">
        <v>0</v>
      </c>
      <c r="CM43" s="110" t="n">
        <v>0</v>
      </c>
      <c r="CN43" s="110" t="n">
        <v>0</v>
      </c>
      <c r="CO43" s="110" t="n">
        <v>149658.34</v>
      </c>
      <c r="CP43" s="110" t="n">
        <v>28873.53</v>
      </c>
      <c r="CQ43" s="110" t="n">
        <v>130000.81</v>
      </c>
      <c r="CR43" s="110" t="n">
        <v>0</v>
      </c>
      <c r="CS43" s="110" t="n">
        <v>0</v>
      </c>
      <c r="CT43" s="110" t="n">
        <v>0</v>
      </c>
      <c r="CU43" s="110" t="n">
        <v>0</v>
      </c>
      <c r="CV43" s="111" t="n">
        <v>581</v>
      </c>
      <c r="CW43" s="111" t="n">
        <v>526</v>
      </c>
      <c r="CX43" s="111" t="n">
        <v>486</v>
      </c>
      <c r="CY43" s="111" t="n">
        <v>40</v>
      </c>
      <c r="CZ43" s="111" t="n">
        <v>55</v>
      </c>
      <c r="DA43" s="111" t="n">
        <v>29</v>
      </c>
      <c r="DB43" s="111" t="n">
        <v>26</v>
      </c>
      <c r="DC43" s="111" t="n">
        <v>510</v>
      </c>
      <c r="DD43" s="111" t="n">
        <v>0</v>
      </c>
      <c r="DE43" s="111" t="n">
        <v>466</v>
      </c>
      <c r="DF43" s="111" t="n">
        <v>428</v>
      </c>
      <c r="DG43" s="111" t="n">
        <v>38</v>
      </c>
      <c r="DH43" s="111" t="n">
        <v>44</v>
      </c>
      <c r="DI43" s="111" t="n">
        <v>22</v>
      </c>
      <c r="DJ43" s="111" t="n">
        <v>22</v>
      </c>
      <c r="DK43" s="111" t="n">
        <v>71</v>
      </c>
      <c r="DL43" s="111" t="n">
        <v>60</v>
      </c>
      <c r="DM43" s="111" t="n">
        <v>58</v>
      </c>
      <c r="DN43" s="111" t="n">
        <v>2</v>
      </c>
      <c r="DO43" s="111" t="n">
        <v>11</v>
      </c>
      <c r="DP43" s="111" t="n">
        <v>7</v>
      </c>
      <c r="DQ43" s="111" t="n">
        <v>4</v>
      </c>
      <c r="DR43" s="111" t="n">
        <v>0</v>
      </c>
      <c r="DS43" s="111" t="n">
        <v>0</v>
      </c>
      <c r="DT43" s="111" t="n">
        <v>0</v>
      </c>
      <c r="DU43" s="111" t="n">
        <v>0</v>
      </c>
      <c r="DV43" s="111" t="n">
        <v>0</v>
      </c>
      <c r="DW43" s="111" t="n">
        <v>0</v>
      </c>
      <c r="DX43" s="111" t="n">
        <v>0</v>
      </c>
      <c r="DY43" s="111" t="n">
        <v>0</v>
      </c>
      <c r="DZ43" s="111" t="n">
        <v>0</v>
      </c>
      <c r="EA43" s="111" t="n">
        <v>0</v>
      </c>
      <c r="EB43" s="111" t="n">
        <v>0</v>
      </c>
      <c r="EC43" s="111" t="n">
        <v>0</v>
      </c>
      <c r="ED43" s="111" t="n">
        <v>0</v>
      </c>
      <c r="EE43" s="111" t="n">
        <v>0</v>
      </c>
      <c r="EF43" s="111" t="n">
        <v>0</v>
      </c>
      <c r="EG43" s="111" t="n">
        <v>0</v>
      </c>
      <c r="EH43" s="111" t="n">
        <v>0</v>
      </c>
      <c r="EI43" s="111" t="n">
        <v>0</v>
      </c>
      <c r="EJ43" s="111" t="n">
        <v>0</v>
      </c>
      <c r="EK43" s="111" t="n">
        <v>0</v>
      </c>
      <c r="EL43" s="111" t="n">
        <v>0</v>
      </c>
      <c r="EM43" s="111" t="n">
        <v>0</v>
      </c>
      <c r="EN43" s="111" t="n">
        <v>0</v>
      </c>
      <c r="EO43" s="111" t="n">
        <v>0</v>
      </c>
      <c r="EP43" s="111" t="n">
        <v>0</v>
      </c>
      <c r="EQ43" s="111" t="n">
        <v>0</v>
      </c>
      <c r="ER43" s="111" t="n">
        <v>0</v>
      </c>
      <c r="ES43" s="111" t="n">
        <v>0</v>
      </c>
      <c r="ET43" s="111" t="n">
        <v>0</v>
      </c>
      <c r="EU43" s="111" t="n">
        <v>0</v>
      </c>
      <c r="EV43" s="111" t="n">
        <v>0</v>
      </c>
      <c r="EW43" s="111" t="n">
        <v>0</v>
      </c>
      <c r="EX43" s="111" t="n">
        <v>0</v>
      </c>
      <c r="EY43" s="111" t="n">
        <v>0</v>
      </c>
      <c r="EZ43" s="111" t="n">
        <v>0</v>
      </c>
      <c r="FA43" s="111" t="n">
        <v>0</v>
      </c>
      <c r="FB43" s="111" t="n">
        <v>0</v>
      </c>
    </row>
    <row r="44" ht="19.5" customHeight="1" s="247">
      <c r="A44" s="107" t="n">
        <v>41</v>
      </c>
      <c r="B44" s="107" t="inlineStr">
        <is>
          <t>成人非手术</t>
        </is>
      </c>
      <c r="C44" s="107" t="inlineStr">
        <is>
          <t>肿瘤内科</t>
        </is>
      </c>
      <c r="D44" s="110" t="n">
        <v>231197</v>
      </c>
      <c r="E44" s="110" t="n">
        <v>231197</v>
      </c>
      <c r="F44" s="110" t="n">
        <v>0</v>
      </c>
      <c r="G44" s="110" t="n">
        <v>749</v>
      </c>
      <c r="H44" s="110" t="n">
        <v>0</v>
      </c>
      <c r="I44" s="110" t="n">
        <v>6245</v>
      </c>
      <c r="J44" s="110" t="n">
        <v>296</v>
      </c>
      <c r="K44" s="110" t="n">
        <v>0</v>
      </c>
      <c r="L44" s="110" t="n">
        <v>0</v>
      </c>
      <c r="M44" s="110" t="n">
        <v>0</v>
      </c>
      <c r="N44" s="110" t="n">
        <v>0</v>
      </c>
      <c r="O44" s="110" t="n">
        <v>959396.26</v>
      </c>
      <c r="P44" s="110" t="n">
        <v>695766.36</v>
      </c>
      <c r="Q44" s="110" t="n">
        <v>679702.26</v>
      </c>
      <c r="R44" s="110" t="n">
        <v>16064.1</v>
      </c>
      <c r="S44" s="110" t="n">
        <v>263629.9</v>
      </c>
      <c r="T44" s="110" t="n">
        <v>255333.9</v>
      </c>
      <c r="U44" s="110" t="n">
        <v>8296</v>
      </c>
      <c r="V44" s="110" t="n">
        <v>959396.26</v>
      </c>
      <c r="W44" s="110" t="n">
        <v>695766.36</v>
      </c>
      <c r="X44" s="110" t="n">
        <v>679702.26</v>
      </c>
      <c r="Y44" s="110" t="n">
        <v>16064.1</v>
      </c>
      <c r="Z44" s="110" t="n">
        <v>263629.9</v>
      </c>
      <c r="AA44" s="110" t="n">
        <v>255333.9</v>
      </c>
      <c r="AB44" s="110" t="n">
        <v>8296</v>
      </c>
      <c r="AC44" s="110" t="n">
        <v>688486.61</v>
      </c>
      <c r="AD44" s="110" t="n">
        <v>493866.31</v>
      </c>
      <c r="AE44" s="110" t="n">
        <v>485787.73</v>
      </c>
      <c r="AF44" s="110" t="n">
        <v>8078.58</v>
      </c>
      <c r="AG44" s="110" t="n">
        <v>194620.3</v>
      </c>
      <c r="AH44" s="110" t="n">
        <v>192687.3</v>
      </c>
      <c r="AI44" s="110" t="n">
        <v>1933</v>
      </c>
      <c r="AJ44" s="110" t="n">
        <v>39712.65</v>
      </c>
      <c r="AK44" s="110" t="n">
        <v>30903.05</v>
      </c>
      <c r="AL44" s="110" t="n">
        <v>30552.53</v>
      </c>
      <c r="AM44" s="110" t="n">
        <v>350.52</v>
      </c>
      <c r="AN44" s="110" t="n">
        <v>8809.6</v>
      </c>
      <c r="AO44" s="110" t="n">
        <v>8766.6</v>
      </c>
      <c r="AP44" s="110" t="n">
        <v>43</v>
      </c>
      <c r="AQ44" s="110" t="n">
        <v>194339</v>
      </c>
      <c r="AR44" s="110" t="n">
        <v>142786</v>
      </c>
      <c r="AS44" s="110" t="n">
        <v>137059</v>
      </c>
      <c r="AT44" s="110" t="n">
        <v>5727</v>
      </c>
      <c r="AU44" s="110" t="n">
        <v>51553</v>
      </c>
      <c r="AV44" s="110" t="n">
        <v>45633</v>
      </c>
      <c r="AW44" s="110" t="n">
        <v>5920</v>
      </c>
      <c r="AX44" s="110" t="n">
        <v>36858</v>
      </c>
      <c r="AY44" s="110" t="n">
        <v>28211</v>
      </c>
      <c r="AZ44" s="110" t="n">
        <v>26303</v>
      </c>
      <c r="BA44" s="110" t="n">
        <v>1908</v>
      </c>
      <c r="BB44" s="110" t="n">
        <v>8647</v>
      </c>
      <c r="BC44" s="110" t="n">
        <v>8247</v>
      </c>
      <c r="BD44" s="110" t="n">
        <v>400</v>
      </c>
      <c r="BE44" s="110" t="n">
        <v>0</v>
      </c>
      <c r="BF44" s="110" t="n">
        <v>0</v>
      </c>
      <c r="BG44" s="110" t="n">
        <v>0</v>
      </c>
      <c r="BH44" s="110" t="n">
        <v>0</v>
      </c>
      <c r="BI44" s="110" t="n">
        <v>0</v>
      </c>
      <c r="BJ44" s="110" t="n">
        <v>0</v>
      </c>
      <c r="BK44" s="110" t="n">
        <v>0</v>
      </c>
      <c r="BL44" s="110" t="n">
        <v>0</v>
      </c>
      <c r="BM44" s="110" t="n">
        <v>0</v>
      </c>
      <c r="BN44" s="110" t="n">
        <v>0</v>
      </c>
      <c r="BO44" s="110" t="n">
        <v>0</v>
      </c>
      <c r="BP44" s="110" t="n">
        <v>0</v>
      </c>
      <c r="BQ44" s="110" t="n">
        <v>0</v>
      </c>
      <c r="BR44" s="110" t="n">
        <v>0</v>
      </c>
      <c r="BS44" s="110" t="n">
        <v>0</v>
      </c>
      <c r="BT44" s="110" t="n">
        <v>0</v>
      </c>
      <c r="BU44" s="110" t="n">
        <v>0</v>
      </c>
      <c r="BV44" s="110" t="n">
        <v>0</v>
      </c>
      <c r="BW44" s="110" t="n">
        <v>0</v>
      </c>
      <c r="BX44" s="110" t="n">
        <v>0</v>
      </c>
      <c r="BY44" s="110" t="n">
        <v>0</v>
      </c>
      <c r="BZ44" s="110" t="n">
        <v>0</v>
      </c>
      <c r="CA44" s="110" t="n">
        <v>0</v>
      </c>
      <c r="CB44" s="110" t="n">
        <v>0</v>
      </c>
      <c r="CC44" s="110" t="n">
        <v>0</v>
      </c>
      <c r="CD44" s="110" t="n">
        <v>0</v>
      </c>
      <c r="CE44" s="110" t="n">
        <v>0</v>
      </c>
      <c r="CF44" s="110" t="n">
        <v>0</v>
      </c>
      <c r="CG44" s="110" t="n">
        <v>0</v>
      </c>
      <c r="CH44" s="110" t="n">
        <v>0</v>
      </c>
      <c r="CI44" s="110" t="n">
        <v>0</v>
      </c>
      <c r="CJ44" s="110" t="n">
        <v>0</v>
      </c>
      <c r="CK44" s="110" t="n">
        <v>0</v>
      </c>
      <c r="CL44" s="110" t="n">
        <v>0</v>
      </c>
      <c r="CM44" s="110" t="n">
        <v>0</v>
      </c>
      <c r="CN44" s="110" t="n">
        <v>-50</v>
      </c>
      <c r="CO44" s="110" t="n">
        <v>28123.9</v>
      </c>
      <c r="CP44" s="110" t="n">
        <v>905229.8199999999</v>
      </c>
      <c r="CQ44" s="110" t="n">
        <v>25010.54</v>
      </c>
      <c r="CR44" s="110" t="n">
        <v>0</v>
      </c>
      <c r="CS44" s="110" t="n">
        <v>1032</v>
      </c>
      <c r="CT44" s="110" t="n">
        <v>0</v>
      </c>
      <c r="CU44" s="110" t="n">
        <v>0</v>
      </c>
      <c r="CV44" s="111" t="n">
        <v>749</v>
      </c>
      <c r="CW44" s="111" t="n">
        <v>558</v>
      </c>
      <c r="CX44" s="111" t="n">
        <v>537</v>
      </c>
      <c r="CY44" s="111" t="n">
        <v>21</v>
      </c>
      <c r="CZ44" s="111" t="n">
        <v>191</v>
      </c>
      <c r="DA44" s="111" t="n">
        <v>183</v>
      </c>
      <c r="DB44" s="111" t="n">
        <v>8</v>
      </c>
      <c r="DC44" s="111" t="n">
        <v>334</v>
      </c>
      <c r="DD44" s="111" t="n">
        <v>0</v>
      </c>
      <c r="DE44" s="111" t="n">
        <v>242</v>
      </c>
      <c r="DF44" s="111" t="n">
        <v>239</v>
      </c>
      <c r="DG44" s="111" t="n">
        <v>3</v>
      </c>
      <c r="DH44" s="111" t="n">
        <v>92</v>
      </c>
      <c r="DI44" s="111" t="n">
        <v>92</v>
      </c>
      <c r="DJ44" s="111" t="n">
        <v>0</v>
      </c>
      <c r="DK44" s="111" t="n">
        <v>413</v>
      </c>
      <c r="DL44" s="111" t="n">
        <v>314</v>
      </c>
      <c r="DM44" s="111" t="n">
        <v>298</v>
      </c>
      <c r="DN44" s="111" t="n">
        <v>16</v>
      </c>
      <c r="DO44" s="111" t="n">
        <v>99</v>
      </c>
      <c r="DP44" s="111" t="n">
        <v>91</v>
      </c>
      <c r="DQ44" s="111" t="n">
        <v>8</v>
      </c>
      <c r="DR44" s="111" t="n">
        <v>2</v>
      </c>
      <c r="DS44" s="111" t="n">
        <v>0</v>
      </c>
      <c r="DT44" s="111" t="n">
        <v>2</v>
      </c>
      <c r="DU44" s="111" t="n">
        <v>0</v>
      </c>
      <c r="DV44" s="111" t="n">
        <v>2</v>
      </c>
      <c r="DW44" s="111" t="n">
        <v>0</v>
      </c>
      <c r="DX44" s="111" t="n">
        <v>0</v>
      </c>
      <c r="DY44" s="111" t="n">
        <v>0</v>
      </c>
      <c r="DZ44" s="111" t="n">
        <v>0</v>
      </c>
      <c r="EA44" s="111" t="n">
        <v>0</v>
      </c>
      <c r="EB44" s="111" t="n">
        <v>0</v>
      </c>
      <c r="EC44" s="111" t="n">
        <v>0</v>
      </c>
      <c r="ED44" s="111" t="n">
        <v>0</v>
      </c>
      <c r="EE44" s="111" t="n">
        <v>0</v>
      </c>
      <c r="EF44" s="111" t="n">
        <v>0</v>
      </c>
      <c r="EG44" s="111" t="n">
        <v>0</v>
      </c>
      <c r="EH44" s="111" t="n">
        <v>0</v>
      </c>
      <c r="EI44" s="111" t="n">
        <v>0</v>
      </c>
      <c r="EJ44" s="111" t="n">
        <v>0</v>
      </c>
      <c r="EK44" s="111" t="n">
        <v>0</v>
      </c>
      <c r="EL44" s="111" t="n">
        <v>0</v>
      </c>
      <c r="EM44" s="111" t="n">
        <v>0</v>
      </c>
      <c r="EN44" s="111" t="n">
        <v>0</v>
      </c>
      <c r="EO44" s="111" t="n">
        <v>0</v>
      </c>
      <c r="EP44" s="111" t="n">
        <v>0</v>
      </c>
      <c r="EQ44" s="111" t="n">
        <v>0</v>
      </c>
      <c r="ER44" s="111" t="n">
        <v>0</v>
      </c>
      <c r="ES44" s="111" t="n">
        <v>0</v>
      </c>
      <c r="ET44" s="111" t="n">
        <v>0</v>
      </c>
      <c r="EU44" s="111" t="n">
        <v>0</v>
      </c>
      <c r="EV44" s="111" t="n">
        <v>0</v>
      </c>
      <c r="EW44" s="111" t="n">
        <v>0</v>
      </c>
      <c r="EX44" s="111" t="n">
        <v>0</v>
      </c>
      <c r="EY44" s="111" t="n">
        <v>0</v>
      </c>
      <c r="EZ44" s="111" t="n">
        <v>0</v>
      </c>
      <c r="FA44" s="111" t="n">
        <v>0</v>
      </c>
      <c r="FB44" s="111" t="n">
        <v>0</v>
      </c>
    </row>
    <row r="45" ht="19.5" customHeight="1" s="247">
      <c r="A45" s="107" t="n">
        <v>42</v>
      </c>
      <c r="B45" s="107" t="inlineStr">
        <is>
          <t>成人非手术</t>
        </is>
      </c>
      <c r="C45" s="107" t="inlineStr">
        <is>
          <t>急诊医学科</t>
        </is>
      </c>
      <c r="D45" s="110" t="n">
        <v>3467617</v>
      </c>
      <c r="E45" s="110" t="n">
        <v>3105806</v>
      </c>
      <c r="F45" s="110" t="n">
        <v>361811</v>
      </c>
      <c r="G45" s="110" t="n">
        <v>7828</v>
      </c>
      <c r="H45" s="110" t="n">
        <v>19</v>
      </c>
      <c r="I45" s="110" t="n">
        <v>183553</v>
      </c>
      <c r="J45" s="110" t="n">
        <v>4416</v>
      </c>
      <c r="K45" s="110" t="n">
        <v>0</v>
      </c>
      <c r="L45" s="110" t="n">
        <v>34085</v>
      </c>
      <c r="M45" s="110" t="n">
        <v>11722.5</v>
      </c>
      <c r="N45" s="110" t="n">
        <v>1065.28</v>
      </c>
      <c r="O45" s="110" t="n">
        <v>5463799.37</v>
      </c>
      <c r="P45" s="110" t="n">
        <v>4680819.91</v>
      </c>
      <c r="Q45" s="110" t="n">
        <v>4308392.55</v>
      </c>
      <c r="R45" s="110" t="n">
        <v>372427.36</v>
      </c>
      <c r="S45" s="110" t="n">
        <v>782979.46</v>
      </c>
      <c r="T45" s="110" t="n">
        <v>614564.1800000001</v>
      </c>
      <c r="U45" s="110" t="n">
        <v>168415.28</v>
      </c>
      <c r="V45" s="110" t="n">
        <v>4807838.52</v>
      </c>
      <c r="W45" s="110" t="n">
        <v>4073366.13</v>
      </c>
      <c r="X45" s="110" t="n">
        <v>3847680.08</v>
      </c>
      <c r="Y45" s="110" t="n">
        <v>225686.05</v>
      </c>
      <c r="Z45" s="110" t="n">
        <v>734472.39</v>
      </c>
      <c r="AA45" s="110" t="n">
        <v>566057.11</v>
      </c>
      <c r="AB45" s="110" t="n">
        <v>168415.28</v>
      </c>
      <c r="AC45" s="110" t="n">
        <v>1491502.99</v>
      </c>
      <c r="AD45" s="110" t="n">
        <v>1278284.76</v>
      </c>
      <c r="AE45" s="110" t="n">
        <v>1223300.52</v>
      </c>
      <c r="AF45" s="110" t="n">
        <v>54984.24</v>
      </c>
      <c r="AG45" s="110" t="n">
        <v>213218.23</v>
      </c>
      <c r="AH45" s="110" t="n">
        <v>173184.78</v>
      </c>
      <c r="AI45" s="110" t="n">
        <v>40033.45</v>
      </c>
      <c r="AJ45" s="110" t="n">
        <v>210529.53</v>
      </c>
      <c r="AK45" s="110" t="n">
        <v>174948.87</v>
      </c>
      <c r="AL45" s="110" t="n">
        <v>162732.56</v>
      </c>
      <c r="AM45" s="110" t="n">
        <v>12216.31</v>
      </c>
      <c r="AN45" s="110" t="n">
        <v>35580.66</v>
      </c>
      <c r="AO45" s="110" t="n">
        <v>28444.83</v>
      </c>
      <c r="AP45" s="110" t="n">
        <v>7135.83</v>
      </c>
      <c r="AQ45" s="110" t="n">
        <v>2618675</v>
      </c>
      <c r="AR45" s="110" t="n">
        <v>2205418</v>
      </c>
      <c r="AS45" s="110" t="n">
        <v>2068908</v>
      </c>
      <c r="AT45" s="110" t="n">
        <v>136510</v>
      </c>
      <c r="AU45" s="110" t="n">
        <v>413257</v>
      </c>
      <c r="AV45" s="110" t="n">
        <v>308395</v>
      </c>
      <c r="AW45" s="110" t="n">
        <v>104862</v>
      </c>
      <c r="AX45" s="110" t="n">
        <v>487131</v>
      </c>
      <c r="AY45" s="110" t="n">
        <v>414714.5</v>
      </c>
      <c r="AZ45" s="110" t="n">
        <v>392739</v>
      </c>
      <c r="BA45" s="110" t="n">
        <v>21975.5</v>
      </c>
      <c r="BB45" s="110" t="n">
        <v>72416.5</v>
      </c>
      <c r="BC45" s="110" t="n">
        <v>56032.5</v>
      </c>
      <c r="BD45" s="110" t="n">
        <v>16384</v>
      </c>
      <c r="BE45" s="110" t="n">
        <v>655960.85</v>
      </c>
      <c r="BF45" s="110" t="n">
        <v>607453.78</v>
      </c>
      <c r="BG45" s="110" t="n">
        <v>460712.47</v>
      </c>
      <c r="BH45" s="110" t="n">
        <v>146741.31</v>
      </c>
      <c r="BI45" s="110" t="n">
        <v>48507.07</v>
      </c>
      <c r="BJ45" s="110" t="n">
        <v>48507.07</v>
      </c>
      <c r="BK45" s="110" t="n">
        <v>0</v>
      </c>
      <c r="BL45" s="110" t="n">
        <v>177824.64</v>
      </c>
      <c r="BM45" s="110" t="n">
        <v>167019.12</v>
      </c>
      <c r="BN45" s="110" t="n">
        <v>115373.51</v>
      </c>
      <c r="BO45" s="110" t="n">
        <v>51645.61</v>
      </c>
      <c r="BP45" s="110" t="n">
        <v>10805.52</v>
      </c>
      <c r="BQ45" s="110" t="n">
        <v>10805.52</v>
      </c>
      <c r="BR45" s="110" t="n">
        <v>0</v>
      </c>
      <c r="BS45" s="110" t="n">
        <v>116325.21</v>
      </c>
      <c r="BT45" s="110" t="n">
        <v>109232.66</v>
      </c>
      <c r="BU45" s="110" t="n">
        <v>82272.96000000001</v>
      </c>
      <c r="BV45" s="110" t="n">
        <v>26959.7</v>
      </c>
      <c r="BW45" s="110" t="n">
        <v>7092.55</v>
      </c>
      <c r="BX45" s="110" t="n">
        <v>7092.55</v>
      </c>
      <c r="BY45" s="110" t="n">
        <v>0</v>
      </c>
      <c r="BZ45" s="110" t="n">
        <v>220636.5</v>
      </c>
      <c r="CA45" s="110" t="n">
        <v>202415.5</v>
      </c>
      <c r="CB45" s="110" t="n">
        <v>163516.5</v>
      </c>
      <c r="CC45" s="110" t="n">
        <v>38899</v>
      </c>
      <c r="CD45" s="110" t="n">
        <v>18221</v>
      </c>
      <c r="CE45" s="110" t="n">
        <v>18221</v>
      </c>
      <c r="CF45" s="110" t="n">
        <v>0</v>
      </c>
      <c r="CG45" s="110" t="n">
        <v>141174.5</v>
      </c>
      <c r="CH45" s="110" t="n">
        <v>128786.5</v>
      </c>
      <c r="CI45" s="110" t="n">
        <v>99549.5</v>
      </c>
      <c r="CJ45" s="110" t="n">
        <v>29237</v>
      </c>
      <c r="CK45" s="110" t="n">
        <v>12388</v>
      </c>
      <c r="CL45" s="110" t="n">
        <v>12388</v>
      </c>
      <c r="CM45" s="110" t="n">
        <v>0</v>
      </c>
      <c r="CN45" s="110" t="n">
        <v>4807325.52</v>
      </c>
      <c r="CO45" s="110" t="n">
        <v>507</v>
      </c>
      <c r="CP45" s="110" t="n">
        <v>0</v>
      </c>
      <c r="CQ45" s="110" t="n">
        <v>0</v>
      </c>
      <c r="CR45" s="110" t="n">
        <v>6</v>
      </c>
      <c r="CS45" s="110" t="n">
        <v>0</v>
      </c>
      <c r="CT45" s="110" t="n">
        <v>8207.15</v>
      </c>
      <c r="CU45" s="110" t="n">
        <v>0</v>
      </c>
      <c r="CV45" s="111" t="n">
        <v>7828</v>
      </c>
      <c r="CW45" s="111" t="n">
        <v>6715</v>
      </c>
      <c r="CX45" s="111" t="n">
        <v>6352</v>
      </c>
      <c r="CY45" s="111" t="n">
        <v>363</v>
      </c>
      <c r="CZ45" s="111" t="n">
        <v>1113</v>
      </c>
      <c r="DA45" s="111" t="n">
        <v>793</v>
      </c>
      <c r="DB45" s="111" t="n">
        <v>320</v>
      </c>
      <c r="DC45" s="111" t="n">
        <v>1</v>
      </c>
      <c r="DD45" s="111" t="n">
        <v>0</v>
      </c>
      <c r="DE45" s="111" t="n">
        <v>1</v>
      </c>
      <c r="DF45" s="111" t="n">
        <v>1</v>
      </c>
      <c r="DG45" s="111" t="n">
        <v>0</v>
      </c>
      <c r="DH45" s="111" t="n">
        <v>0</v>
      </c>
      <c r="DI45" s="111" t="n">
        <v>0</v>
      </c>
      <c r="DJ45" s="111" t="n">
        <v>0</v>
      </c>
      <c r="DK45" s="111" t="n">
        <v>0</v>
      </c>
      <c r="DL45" s="111" t="n">
        <v>0</v>
      </c>
      <c r="DM45" s="111" t="n">
        <v>0</v>
      </c>
      <c r="DN45" s="111" t="n">
        <v>0</v>
      </c>
      <c r="DO45" s="111" t="n">
        <v>0</v>
      </c>
      <c r="DP45" s="111" t="n">
        <v>0</v>
      </c>
      <c r="DQ45" s="111" t="n">
        <v>0</v>
      </c>
      <c r="DR45" s="111" t="n">
        <v>0</v>
      </c>
      <c r="DS45" s="111" t="n">
        <v>0</v>
      </c>
      <c r="DT45" s="111" t="n">
        <v>0</v>
      </c>
      <c r="DU45" s="111" t="n">
        <v>0</v>
      </c>
      <c r="DV45" s="111" t="n">
        <v>0</v>
      </c>
      <c r="DW45" s="111" t="n">
        <v>0</v>
      </c>
      <c r="DX45" s="111" t="n">
        <v>0</v>
      </c>
      <c r="DY45" s="111" t="n">
        <v>0</v>
      </c>
      <c r="DZ45" s="111" t="n">
        <v>7827</v>
      </c>
      <c r="EA45" s="111" t="n">
        <v>6714</v>
      </c>
      <c r="EB45" s="111" t="n">
        <v>6351</v>
      </c>
      <c r="EC45" s="111" t="n">
        <v>363</v>
      </c>
      <c r="ED45" s="111" t="n">
        <v>1113</v>
      </c>
      <c r="EE45" s="111" t="n">
        <v>793</v>
      </c>
      <c r="EF45" s="111" t="n">
        <v>320</v>
      </c>
      <c r="EG45" s="111" t="n">
        <v>19</v>
      </c>
      <c r="EH45" s="111" t="n">
        <v>17</v>
      </c>
      <c r="EI45" s="111" t="n">
        <v>15</v>
      </c>
      <c r="EJ45" s="111" t="n">
        <v>2</v>
      </c>
      <c r="EK45" s="111" t="n">
        <v>2</v>
      </c>
      <c r="EL45" s="111" t="n">
        <v>2</v>
      </c>
      <c r="EM45" s="111" t="n">
        <v>0</v>
      </c>
      <c r="EN45" s="111" t="n">
        <v>16</v>
      </c>
      <c r="EO45" s="111" t="n">
        <v>1</v>
      </c>
      <c r="EP45" s="111" t="n">
        <v>0</v>
      </c>
      <c r="EQ45" s="111" t="n">
        <v>15</v>
      </c>
      <c r="ER45" s="111" t="n">
        <v>0</v>
      </c>
      <c r="ES45" s="111" t="n">
        <v>0</v>
      </c>
      <c r="ET45" s="111" t="n">
        <v>0</v>
      </c>
      <c r="EU45" s="111" t="n">
        <v>1</v>
      </c>
      <c r="EV45" s="111" t="n">
        <v>1</v>
      </c>
      <c r="EW45" s="111" t="n">
        <v>0</v>
      </c>
      <c r="EX45" s="111" t="n">
        <v>0</v>
      </c>
      <c r="EY45" s="111" t="n">
        <v>0</v>
      </c>
      <c r="EZ45" s="111" t="n">
        <v>0</v>
      </c>
      <c r="FA45" s="111" t="n">
        <v>0</v>
      </c>
      <c r="FB45" s="111" t="n">
        <v>0</v>
      </c>
    </row>
    <row r="46" ht="19.5" customHeight="1" s="247">
      <c r="A46" s="107" t="n">
        <v>43</v>
      </c>
      <c r="B46" s="107" t="inlineStr">
        <is>
          <t>成人非手术</t>
        </is>
      </c>
      <c r="C46" s="107" t="inlineStr">
        <is>
          <t>康复医学科</t>
        </is>
      </c>
      <c r="D46" s="110" t="n">
        <v>209095</v>
      </c>
      <c r="E46" s="110" t="n">
        <v>209095</v>
      </c>
      <c r="F46" s="110" t="n">
        <v>0</v>
      </c>
      <c r="G46" s="110" t="n">
        <v>307</v>
      </c>
      <c r="H46" s="110" t="n">
        <v>0</v>
      </c>
      <c r="I46" s="110" t="n">
        <v>177561</v>
      </c>
      <c r="J46" s="110" t="n">
        <v>0</v>
      </c>
      <c r="K46" s="110" t="n">
        <v>0</v>
      </c>
      <c r="L46" s="110" t="n">
        <v>0</v>
      </c>
      <c r="M46" s="110" t="n">
        <v>0</v>
      </c>
      <c r="N46" s="110" t="n">
        <v>0</v>
      </c>
      <c r="O46" s="110" t="n">
        <v>210490.99</v>
      </c>
      <c r="P46" s="110" t="n">
        <v>191800.47</v>
      </c>
      <c r="Q46" s="110" t="n">
        <v>181188.19</v>
      </c>
      <c r="R46" s="110" t="n">
        <v>10612.28</v>
      </c>
      <c r="S46" s="110" t="n">
        <v>18690.52</v>
      </c>
      <c r="T46" s="110" t="n">
        <v>9155.52</v>
      </c>
      <c r="U46" s="110" t="n">
        <v>9535</v>
      </c>
      <c r="V46" s="110" t="n">
        <v>210490.99</v>
      </c>
      <c r="W46" s="110" t="n">
        <v>191800.47</v>
      </c>
      <c r="X46" s="110" t="n">
        <v>181188.19</v>
      </c>
      <c r="Y46" s="110" t="n">
        <v>10612.28</v>
      </c>
      <c r="Z46" s="110" t="n">
        <v>18690.52</v>
      </c>
      <c r="AA46" s="110" t="n">
        <v>9155.52</v>
      </c>
      <c r="AB46" s="110" t="n">
        <v>9535</v>
      </c>
      <c r="AC46" s="110" t="n">
        <v>1395.99</v>
      </c>
      <c r="AD46" s="110" t="n">
        <v>1324.47</v>
      </c>
      <c r="AE46" s="110" t="n">
        <v>1217.19</v>
      </c>
      <c r="AF46" s="110" t="n">
        <v>107.28</v>
      </c>
      <c r="AG46" s="110" t="n">
        <v>71.52</v>
      </c>
      <c r="AH46" s="110" t="n">
        <v>71.52</v>
      </c>
      <c r="AI46" s="110" t="n">
        <v>0</v>
      </c>
      <c r="AJ46" s="110" t="n">
        <v>0</v>
      </c>
      <c r="AK46" s="110" t="n">
        <v>0</v>
      </c>
      <c r="AL46" s="110" t="n">
        <v>0</v>
      </c>
      <c r="AM46" s="110" t="n">
        <v>0</v>
      </c>
      <c r="AN46" s="110" t="n">
        <v>0</v>
      </c>
      <c r="AO46" s="110" t="n">
        <v>0</v>
      </c>
      <c r="AP46" s="110" t="n">
        <v>0</v>
      </c>
      <c r="AQ46" s="110" t="n">
        <v>23094</v>
      </c>
      <c r="AR46" s="110" t="n">
        <v>21581</v>
      </c>
      <c r="AS46" s="110" t="n">
        <v>20874</v>
      </c>
      <c r="AT46" s="110" t="n">
        <v>707</v>
      </c>
      <c r="AU46" s="110" t="n">
        <v>1513</v>
      </c>
      <c r="AV46" s="110" t="n">
        <v>1003</v>
      </c>
      <c r="AW46" s="110" t="n">
        <v>510</v>
      </c>
      <c r="AX46" s="110" t="n">
        <v>186001</v>
      </c>
      <c r="AY46" s="110" t="n">
        <v>168895</v>
      </c>
      <c r="AZ46" s="110" t="n">
        <v>159097</v>
      </c>
      <c r="BA46" s="110" t="n">
        <v>9798</v>
      </c>
      <c r="BB46" s="110" t="n">
        <v>17106</v>
      </c>
      <c r="BC46" s="110" t="n">
        <v>8081</v>
      </c>
      <c r="BD46" s="110" t="n">
        <v>9025</v>
      </c>
      <c r="BE46" s="110" t="n">
        <v>0</v>
      </c>
      <c r="BF46" s="110" t="n">
        <v>0</v>
      </c>
      <c r="BG46" s="110" t="n">
        <v>0</v>
      </c>
      <c r="BH46" s="110" t="n">
        <v>0</v>
      </c>
      <c r="BI46" s="110" t="n">
        <v>0</v>
      </c>
      <c r="BJ46" s="110" t="n">
        <v>0</v>
      </c>
      <c r="BK46" s="110" t="n">
        <v>0</v>
      </c>
      <c r="BL46" s="110" t="n">
        <v>0</v>
      </c>
      <c r="BM46" s="110" t="n">
        <v>0</v>
      </c>
      <c r="BN46" s="110" t="n">
        <v>0</v>
      </c>
      <c r="BO46" s="110" t="n">
        <v>0</v>
      </c>
      <c r="BP46" s="110" t="n">
        <v>0</v>
      </c>
      <c r="BQ46" s="110" t="n">
        <v>0</v>
      </c>
      <c r="BR46" s="110" t="n">
        <v>0</v>
      </c>
      <c r="BS46" s="110" t="n">
        <v>0</v>
      </c>
      <c r="BT46" s="110" t="n">
        <v>0</v>
      </c>
      <c r="BU46" s="110" t="n">
        <v>0</v>
      </c>
      <c r="BV46" s="110" t="n">
        <v>0</v>
      </c>
      <c r="BW46" s="110" t="n">
        <v>0</v>
      </c>
      <c r="BX46" s="110" t="n">
        <v>0</v>
      </c>
      <c r="BY46" s="110" t="n">
        <v>0</v>
      </c>
      <c r="BZ46" s="110" t="n">
        <v>0</v>
      </c>
      <c r="CA46" s="110" t="n">
        <v>0</v>
      </c>
      <c r="CB46" s="110" t="n">
        <v>0</v>
      </c>
      <c r="CC46" s="110" t="n">
        <v>0</v>
      </c>
      <c r="CD46" s="110" t="n">
        <v>0</v>
      </c>
      <c r="CE46" s="110" t="n">
        <v>0</v>
      </c>
      <c r="CF46" s="110" t="n">
        <v>0</v>
      </c>
      <c r="CG46" s="110" t="n">
        <v>0</v>
      </c>
      <c r="CH46" s="110" t="n">
        <v>0</v>
      </c>
      <c r="CI46" s="110" t="n">
        <v>0</v>
      </c>
      <c r="CJ46" s="110" t="n">
        <v>0</v>
      </c>
      <c r="CK46" s="110" t="n">
        <v>0</v>
      </c>
      <c r="CL46" s="110" t="n">
        <v>0</v>
      </c>
      <c r="CM46" s="110" t="n">
        <v>0</v>
      </c>
      <c r="CN46" s="110" t="n">
        <v>0</v>
      </c>
      <c r="CO46" s="110" t="n">
        <v>183873.43</v>
      </c>
      <c r="CP46" s="110" t="n">
        <v>26617.56</v>
      </c>
      <c r="CQ46" s="110" t="n">
        <v>0</v>
      </c>
      <c r="CR46" s="110" t="n">
        <v>0</v>
      </c>
      <c r="CS46" s="110" t="n">
        <v>0</v>
      </c>
      <c r="CT46" s="110" t="n">
        <v>0</v>
      </c>
      <c r="CU46" s="110" t="n">
        <v>0</v>
      </c>
      <c r="CV46" s="111" t="n">
        <v>307</v>
      </c>
      <c r="CW46" s="111" t="n">
        <v>277</v>
      </c>
      <c r="CX46" s="111" t="n">
        <v>256</v>
      </c>
      <c r="CY46" s="111" t="n">
        <v>21</v>
      </c>
      <c r="CZ46" s="111" t="n">
        <v>30</v>
      </c>
      <c r="DA46" s="111" t="n">
        <v>14</v>
      </c>
      <c r="DB46" s="111" t="n">
        <v>16</v>
      </c>
      <c r="DC46" s="111" t="n">
        <v>256</v>
      </c>
      <c r="DD46" s="111" t="n">
        <v>0</v>
      </c>
      <c r="DE46" s="111" t="n">
        <v>233</v>
      </c>
      <c r="DF46" s="111" t="n">
        <v>219</v>
      </c>
      <c r="DG46" s="111" t="n">
        <v>14</v>
      </c>
      <c r="DH46" s="111" t="n">
        <v>23</v>
      </c>
      <c r="DI46" s="111" t="n">
        <v>10</v>
      </c>
      <c r="DJ46" s="111" t="n">
        <v>13</v>
      </c>
      <c r="DK46" s="111" t="n">
        <v>51</v>
      </c>
      <c r="DL46" s="111" t="n">
        <v>44</v>
      </c>
      <c r="DM46" s="111" t="n">
        <v>37</v>
      </c>
      <c r="DN46" s="111" t="n">
        <v>7</v>
      </c>
      <c r="DO46" s="111" t="n">
        <v>7</v>
      </c>
      <c r="DP46" s="111" t="n">
        <v>4</v>
      </c>
      <c r="DQ46" s="111" t="n">
        <v>3</v>
      </c>
      <c r="DR46" s="111" t="n">
        <v>0</v>
      </c>
      <c r="DS46" s="111" t="n">
        <v>0</v>
      </c>
      <c r="DT46" s="111" t="n">
        <v>0</v>
      </c>
      <c r="DU46" s="111" t="n">
        <v>0</v>
      </c>
      <c r="DV46" s="111" t="n">
        <v>0</v>
      </c>
      <c r="DW46" s="111" t="n">
        <v>0</v>
      </c>
      <c r="DX46" s="111" t="n">
        <v>0</v>
      </c>
      <c r="DY46" s="111" t="n">
        <v>0</v>
      </c>
      <c r="DZ46" s="111" t="n">
        <v>0</v>
      </c>
      <c r="EA46" s="111" t="n">
        <v>0</v>
      </c>
      <c r="EB46" s="111" t="n">
        <v>0</v>
      </c>
      <c r="EC46" s="111" t="n">
        <v>0</v>
      </c>
      <c r="ED46" s="111" t="n">
        <v>0</v>
      </c>
      <c r="EE46" s="111" t="n">
        <v>0</v>
      </c>
      <c r="EF46" s="111" t="n">
        <v>0</v>
      </c>
      <c r="EG46" s="111" t="n">
        <v>0</v>
      </c>
      <c r="EH46" s="111" t="n">
        <v>0</v>
      </c>
      <c r="EI46" s="111" t="n">
        <v>0</v>
      </c>
      <c r="EJ46" s="111" t="n">
        <v>0</v>
      </c>
      <c r="EK46" s="111" t="n">
        <v>0</v>
      </c>
      <c r="EL46" s="111" t="n">
        <v>0</v>
      </c>
      <c r="EM46" s="111" t="n">
        <v>0</v>
      </c>
      <c r="EN46" s="111" t="n">
        <v>8</v>
      </c>
      <c r="EO46" s="111" t="n">
        <v>0</v>
      </c>
      <c r="EP46" s="111" t="n">
        <v>0</v>
      </c>
      <c r="EQ46" s="111" t="n">
        <v>8</v>
      </c>
      <c r="ER46" s="111" t="n">
        <v>0</v>
      </c>
      <c r="ES46" s="111" t="n">
        <v>0</v>
      </c>
      <c r="ET46" s="111" t="n">
        <v>0</v>
      </c>
      <c r="EU46" s="111" t="n">
        <v>0</v>
      </c>
      <c r="EV46" s="111" t="n">
        <v>0</v>
      </c>
      <c r="EW46" s="111" t="n">
        <v>0</v>
      </c>
      <c r="EX46" s="111" t="n">
        <v>0</v>
      </c>
      <c r="EY46" s="111" t="n">
        <v>0</v>
      </c>
      <c r="EZ46" s="111" t="n">
        <v>0</v>
      </c>
      <c r="FA46" s="111" t="n">
        <v>0</v>
      </c>
      <c r="FB46" s="111" t="n">
        <v>0</v>
      </c>
    </row>
    <row r="47" ht="19.5" customHeight="1" s="247">
      <c r="A47" s="107" t="n">
        <v>44</v>
      </c>
      <c r="B47" s="107" t="inlineStr">
        <is>
          <t>成人非手术</t>
        </is>
      </c>
      <c r="C47" s="107" t="inlineStr">
        <is>
          <t>中医科</t>
        </is>
      </c>
      <c r="D47" s="110" t="n">
        <v>573278</v>
      </c>
      <c r="E47" s="110" t="n">
        <v>573278</v>
      </c>
      <c r="F47" s="110" t="n">
        <v>0</v>
      </c>
      <c r="G47" s="110" t="n">
        <v>1639</v>
      </c>
      <c r="H47" s="110" t="n">
        <v>0</v>
      </c>
      <c r="I47" s="110" t="n">
        <v>406119</v>
      </c>
      <c r="J47" s="110" t="n">
        <v>0</v>
      </c>
      <c r="K47" s="110" t="n">
        <v>428015.46</v>
      </c>
      <c r="L47" s="110" t="n">
        <v>0</v>
      </c>
      <c r="M47" s="110" t="n">
        <v>0</v>
      </c>
      <c r="N47" s="110" t="n">
        <v>0</v>
      </c>
      <c r="O47" s="110" t="n">
        <v>1242118.96</v>
      </c>
      <c r="P47" s="110" t="n">
        <v>1140361.56</v>
      </c>
      <c r="Q47" s="110" t="n">
        <v>1109712.49</v>
      </c>
      <c r="R47" s="110" t="n">
        <v>30649.07</v>
      </c>
      <c r="S47" s="110" t="n">
        <v>101757.4</v>
      </c>
      <c r="T47" s="110" t="n">
        <v>72906.22</v>
      </c>
      <c r="U47" s="110" t="n">
        <v>28851.18</v>
      </c>
      <c r="V47" s="110" t="n">
        <v>1242118.96</v>
      </c>
      <c r="W47" s="110" t="n">
        <v>1140361.56</v>
      </c>
      <c r="X47" s="110" t="n">
        <v>1109712.49</v>
      </c>
      <c r="Y47" s="110" t="n">
        <v>30649.07</v>
      </c>
      <c r="Z47" s="110" t="n">
        <v>101757.4</v>
      </c>
      <c r="AA47" s="110" t="n">
        <v>72906.22</v>
      </c>
      <c r="AB47" s="110" t="n">
        <v>28851.18</v>
      </c>
      <c r="AC47" s="110" t="n">
        <v>653737.96</v>
      </c>
      <c r="AD47" s="110" t="n">
        <v>603957.0600000001</v>
      </c>
      <c r="AE47" s="110" t="n">
        <v>591300.99</v>
      </c>
      <c r="AF47" s="110" t="n">
        <v>12656.07</v>
      </c>
      <c r="AG47" s="110" t="n">
        <v>49780.9</v>
      </c>
      <c r="AH47" s="110" t="n">
        <v>37810.72</v>
      </c>
      <c r="AI47" s="110" t="n">
        <v>11970.18</v>
      </c>
      <c r="AJ47" s="110" t="n">
        <v>15103</v>
      </c>
      <c r="AK47" s="110" t="n">
        <v>14601</v>
      </c>
      <c r="AL47" s="110" t="n">
        <v>14099</v>
      </c>
      <c r="AM47" s="110" t="n">
        <v>502</v>
      </c>
      <c r="AN47" s="110" t="n">
        <v>502</v>
      </c>
      <c r="AO47" s="110" t="n">
        <v>502</v>
      </c>
      <c r="AP47" s="110" t="n">
        <v>0</v>
      </c>
      <c r="AQ47" s="110" t="n">
        <v>60891</v>
      </c>
      <c r="AR47" s="110" t="n">
        <v>50323</v>
      </c>
      <c r="AS47" s="110" t="n">
        <v>47176</v>
      </c>
      <c r="AT47" s="110" t="n">
        <v>3147</v>
      </c>
      <c r="AU47" s="110" t="n">
        <v>10568</v>
      </c>
      <c r="AV47" s="110" t="n">
        <v>4869</v>
      </c>
      <c r="AW47" s="110" t="n">
        <v>5699</v>
      </c>
      <c r="AX47" s="110" t="n">
        <v>512387</v>
      </c>
      <c r="AY47" s="110" t="n">
        <v>471480.5</v>
      </c>
      <c r="AZ47" s="110" t="n">
        <v>457136.5</v>
      </c>
      <c r="BA47" s="110" t="n">
        <v>14344</v>
      </c>
      <c r="BB47" s="110" t="n">
        <v>40906.5</v>
      </c>
      <c r="BC47" s="110" t="n">
        <v>29724.5</v>
      </c>
      <c r="BD47" s="110" t="n">
        <v>11182</v>
      </c>
      <c r="BE47" s="110" t="n">
        <v>0</v>
      </c>
      <c r="BF47" s="110" t="n">
        <v>0</v>
      </c>
      <c r="BG47" s="110" t="n">
        <v>0</v>
      </c>
      <c r="BH47" s="110" t="n">
        <v>0</v>
      </c>
      <c r="BI47" s="110" t="n">
        <v>0</v>
      </c>
      <c r="BJ47" s="110" t="n">
        <v>0</v>
      </c>
      <c r="BK47" s="110" t="n">
        <v>0</v>
      </c>
      <c r="BL47" s="110" t="n">
        <v>0</v>
      </c>
      <c r="BM47" s="110" t="n">
        <v>0</v>
      </c>
      <c r="BN47" s="110" t="n">
        <v>0</v>
      </c>
      <c r="BO47" s="110" t="n">
        <v>0</v>
      </c>
      <c r="BP47" s="110" t="n">
        <v>0</v>
      </c>
      <c r="BQ47" s="110" t="n">
        <v>0</v>
      </c>
      <c r="BR47" s="110" t="n">
        <v>0</v>
      </c>
      <c r="BS47" s="110" t="n">
        <v>0</v>
      </c>
      <c r="BT47" s="110" t="n">
        <v>0</v>
      </c>
      <c r="BU47" s="110" t="n">
        <v>0</v>
      </c>
      <c r="BV47" s="110" t="n">
        <v>0</v>
      </c>
      <c r="BW47" s="110" t="n">
        <v>0</v>
      </c>
      <c r="BX47" s="110" t="n">
        <v>0</v>
      </c>
      <c r="BY47" s="110" t="n">
        <v>0</v>
      </c>
      <c r="BZ47" s="110" t="n">
        <v>0</v>
      </c>
      <c r="CA47" s="110" t="n">
        <v>0</v>
      </c>
      <c r="CB47" s="110" t="n">
        <v>0</v>
      </c>
      <c r="CC47" s="110" t="n">
        <v>0</v>
      </c>
      <c r="CD47" s="110" t="n">
        <v>0</v>
      </c>
      <c r="CE47" s="110" t="n">
        <v>0</v>
      </c>
      <c r="CF47" s="110" t="n">
        <v>0</v>
      </c>
      <c r="CG47" s="110" t="n">
        <v>0</v>
      </c>
      <c r="CH47" s="110" t="n">
        <v>0</v>
      </c>
      <c r="CI47" s="110" t="n">
        <v>0</v>
      </c>
      <c r="CJ47" s="110" t="n">
        <v>0</v>
      </c>
      <c r="CK47" s="110" t="n">
        <v>0</v>
      </c>
      <c r="CL47" s="110" t="n">
        <v>0</v>
      </c>
      <c r="CM47" s="110" t="n">
        <v>0</v>
      </c>
      <c r="CN47" s="110" t="n">
        <v>0</v>
      </c>
      <c r="CO47" s="110" t="n">
        <v>421236.93</v>
      </c>
      <c r="CP47" s="110" t="n">
        <v>488692.4</v>
      </c>
      <c r="CQ47" s="110" t="n">
        <v>133122.62</v>
      </c>
      <c r="CR47" s="110" t="n">
        <v>199067.01</v>
      </c>
      <c r="CS47" s="110" t="n">
        <v>0</v>
      </c>
      <c r="CT47" s="110" t="n">
        <v>0</v>
      </c>
      <c r="CU47" s="110" t="n">
        <v>0</v>
      </c>
      <c r="CV47" s="111" t="n">
        <v>1639</v>
      </c>
      <c r="CW47" s="111" t="n">
        <v>1488</v>
      </c>
      <c r="CX47" s="111" t="n">
        <v>1424</v>
      </c>
      <c r="CY47" s="111" t="n">
        <v>64</v>
      </c>
      <c r="CZ47" s="111" t="n">
        <v>151</v>
      </c>
      <c r="DA47" s="111" t="n">
        <v>98</v>
      </c>
      <c r="DB47" s="111" t="n">
        <v>53</v>
      </c>
      <c r="DC47" s="111" t="n">
        <v>939</v>
      </c>
      <c r="DD47" s="111" t="n">
        <v>0</v>
      </c>
      <c r="DE47" s="111" t="n">
        <v>846</v>
      </c>
      <c r="DF47" s="111" t="n">
        <v>810</v>
      </c>
      <c r="DG47" s="111" t="n">
        <v>36</v>
      </c>
      <c r="DH47" s="111" t="n">
        <v>93</v>
      </c>
      <c r="DI47" s="111" t="n">
        <v>60</v>
      </c>
      <c r="DJ47" s="111" t="n">
        <v>33</v>
      </c>
      <c r="DK47" s="111" t="n">
        <v>573</v>
      </c>
      <c r="DL47" s="111" t="n">
        <v>532</v>
      </c>
      <c r="DM47" s="111" t="n">
        <v>511</v>
      </c>
      <c r="DN47" s="111" t="n">
        <v>21</v>
      </c>
      <c r="DO47" s="111" t="n">
        <v>41</v>
      </c>
      <c r="DP47" s="111" t="n">
        <v>26</v>
      </c>
      <c r="DQ47" s="111" t="n">
        <v>15</v>
      </c>
      <c r="DR47" s="111" t="n">
        <v>127</v>
      </c>
      <c r="DS47" s="111" t="n">
        <v>0</v>
      </c>
      <c r="DT47" s="111" t="n">
        <v>110</v>
      </c>
      <c r="DU47" s="111" t="n">
        <v>103</v>
      </c>
      <c r="DV47" s="111" t="n">
        <v>7</v>
      </c>
      <c r="DW47" s="111" t="n">
        <v>17</v>
      </c>
      <c r="DX47" s="111" t="n">
        <v>12</v>
      </c>
      <c r="DY47" s="111" t="n">
        <v>5</v>
      </c>
      <c r="DZ47" s="111" t="n">
        <v>0</v>
      </c>
      <c r="EA47" s="111" t="n">
        <v>0</v>
      </c>
      <c r="EB47" s="111" t="n">
        <v>0</v>
      </c>
      <c r="EC47" s="111" t="n">
        <v>0</v>
      </c>
      <c r="ED47" s="111" t="n">
        <v>0</v>
      </c>
      <c r="EE47" s="111" t="n">
        <v>0</v>
      </c>
      <c r="EF47" s="111" t="n">
        <v>0</v>
      </c>
      <c r="EG47" s="111" t="n">
        <v>0</v>
      </c>
      <c r="EH47" s="111" t="n">
        <v>0</v>
      </c>
      <c r="EI47" s="111" t="n">
        <v>0</v>
      </c>
      <c r="EJ47" s="111" t="n">
        <v>0</v>
      </c>
      <c r="EK47" s="111" t="n">
        <v>0</v>
      </c>
      <c r="EL47" s="111" t="n">
        <v>0</v>
      </c>
      <c r="EM47" s="111" t="n">
        <v>0</v>
      </c>
      <c r="EN47" s="111" t="n">
        <v>0</v>
      </c>
      <c r="EO47" s="111" t="n">
        <v>0</v>
      </c>
      <c r="EP47" s="111" t="n">
        <v>0</v>
      </c>
      <c r="EQ47" s="111" t="n">
        <v>0</v>
      </c>
      <c r="ER47" s="111" t="n">
        <v>0</v>
      </c>
      <c r="ES47" s="111" t="n">
        <v>0</v>
      </c>
      <c r="ET47" s="111" t="n">
        <v>0</v>
      </c>
      <c r="EU47" s="111" t="n">
        <v>0</v>
      </c>
      <c r="EV47" s="111" t="n">
        <v>0</v>
      </c>
      <c r="EW47" s="111" t="n">
        <v>0</v>
      </c>
      <c r="EX47" s="111" t="n">
        <v>0</v>
      </c>
      <c r="EY47" s="111" t="n">
        <v>0</v>
      </c>
      <c r="EZ47" s="111" t="n">
        <v>0</v>
      </c>
      <c r="FA47" s="111" t="n">
        <v>0</v>
      </c>
      <c r="FB47" s="111" t="n">
        <v>0</v>
      </c>
    </row>
    <row r="48" ht="19.5" customHeight="1" s="247">
      <c r="A48" s="107" t="n">
        <v>45</v>
      </c>
      <c r="B48" s="107" t="inlineStr">
        <is>
          <t>医技平台</t>
        </is>
      </c>
      <c r="C48" s="107" t="inlineStr">
        <is>
          <t>临床营养科</t>
        </is>
      </c>
      <c r="D48" s="110" t="n">
        <v>13429</v>
      </c>
      <c r="E48" s="110" t="n">
        <v>13429</v>
      </c>
      <c r="F48" s="110" t="n">
        <v>0</v>
      </c>
      <c r="G48" s="110" t="n">
        <v>72</v>
      </c>
      <c r="H48" s="110" t="n">
        <v>0</v>
      </c>
      <c r="I48" s="110" t="n">
        <v>6</v>
      </c>
      <c r="J48" s="110" t="n">
        <v>0</v>
      </c>
      <c r="K48" s="110" t="n">
        <v>0</v>
      </c>
      <c r="L48" s="110" t="n">
        <v>0</v>
      </c>
      <c r="M48" s="110" t="n">
        <v>0</v>
      </c>
      <c r="N48" s="110" t="n">
        <v>0</v>
      </c>
      <c r="O48" s="110" t="n">
        <v>23402.76</v>
      </c>
      <c r="P48" s="110" t="n">
        <v>20759.6</v>
      </c>
      <c r="Q48" s="110" t="n">
        <v>20634.6</v>
      </c>
      <c r="R48" s="110" t="n">
        <v>125</v>
      </c>
      <c r="S48" s="110" t="n">
        <v>2643.16</v>
      </c>
      <c r="T48" s="110" t="n">
        <v>1401.2</v>
      </c>
      <c r="U48" s="110" t="n">
        <v>1241.96</v>
      </c>
      <c r="V48" s="110" t="n">
        <v>23402.76</v>
      </c>
      <c r="W48" s="110" t="n">
        <v>20759.6</v>
      </c>
      <c r="X48" s="110" t="n">
        <v>20634.6</v>
      </c>
      <c r="Y48" s="110" t="n">
        <v>125</v>
      </c>
      <c r="Z48" s="110" t="n">
        <v>2643.16</v>
      </c>
      <c r="AA48" s="110" t="n">
        <v>1401.2</v>
      </c>
      <c r="AB48" s="110" t="n">
        <v>1241.96</v>
      </c>
      <c r="AC48" s="110" t="n">
        <v>9973.76</v>
      </c>
      <c r="AD48" s="110" t="n">
        <v>8712.6</v>
      </c>
      <c r="AE48" s="110" t="n">
        <v>8712.6</v>
      </c>
      <c r="AF48" s="110" t="n">
        <v>0</v>
      </c>
      <c r="AG48" s="110" t="n">
        <v>1261.16</v>
      </c>
      <c r="AH48" s="110" t="n">
        <v>1201.2</v>
      </c>
      <c r="AI48" s="110" t="n">
        <v>59.96</v>
      </c>
      <c r="AJ48" s="110" t="n">
        <v>0</v>
      </c>
      <c r="AK48" s="110" t="n">
        <v>0</v>
      </c>
      <c r="AL48" s="110" t="n">
        <v>0</v>
      </c>
      <c r="AM48" s="110" t="n">
        <v>0</v>
      </c>
      <c r="AN48" s="110" t="n">
        <v>0</v>
      </c>
      <c r="AO48" s="110" t="n">
        <v>0</v>
      </c>
      <c r="AP48" s="110" t="n">
        <v>0</v>
      </c>
      <c r="AQ48" s="110" t="n">
        <v>11348</v>
      </c>
      <c r="AR48" s="110" t="n">
        <v>10241</v>
      </c>
      <c r="AS48" s="110" t="n">
        <v>10141</v>
      </c>
      <c r="AT48" s="110" t="n">
        <v>100</v>
      </c>
      <c r="AU48" s="110" t="n">
        <v>1107</v>
      </c>
      <c r="AV48" s="110" t="n">
        <v>0</v>
      </c>
      <c r="AW48" s="110" t="n">
        <v>1107</v>
      </c>
      <c r="AX48" s="110" t="n">
        <v>2081</v>
      </c>
      <c r="AY48" s="110" t="n">
        <v>1806</v>
      </c>
      <c r="AZ48" s="110" t="n">
        <v>1781</v>
      </c>
      <c r="BA48" s="110" t="n">
        <v>25</v>
      </c>
      <c r="BB48" s="110" t="n">
        <v>275</v>
      </c>
      <c r="BC48" s="110" t="n">
        <v>200</v>
      </c>
      <c r="BD48" s="110" t="n">
        <v>75</v>
      </c>
      <c r="BE48" s="110" t="n">
        <v>0</v>
      </c>
      <c r="BF48" s="110" t="n">
        <v>0</v>
      </c>
      <c r="BG48" s="110" t="n">
        <v>0</v>
      </c>
      <c r="BH48" s="110" t="n">
        <v>0</v>
      </c>
      <c r="BI48" s="110" t="n">
        <v>0</v>
      </c>
      <c r="BJ48" s="110" t="n">
        <v>0</v>
      </c>
      <c r="BK48" s="110" t="n">
        <v>0</v>
      </c>
      <c r="BL48" s="110" t="n">
        <v>0</v>
      </c>
      <c r="BM48" s="110" t="n">
        <v>0</v>
      </c>
      <c r="BN48" s="110" t="n">
        <v>0</v>
      </c>
      <c r="BO48" s="110" t="n">
        <v>0</v>
      </c>
      <c r="BP48" s="110" t="n">
        <v>0</v>
      </c>
      <c r="BQ48" s="110" t="n">
        <v>0</v>
      </c>
      <c r="BR48" s="110" t="n">
        <v>0</v>
      </c>
      <c r="BS48" s="110" t="n">
        <v>0</v>
      </c>
      <c r="BT48" s="110" t="n">
        <v>0</v>
      </c>
      <c r="BU48" s="110" t="n">
        <v>0</v>
      </c>
      <c r="BV48" s="110" t="n">
        <v>0</v>
      </c>
      <c r="BW48" s="110" t="n">
        <v>0</v>
      </c>
      <c r="BX48" s="110" t="n">
        <v>0</v>
      </c>
      <c r="BY48" s="110" t="n">
        <v>0</v>
      </c>
      <c r="BZ48" s="110" t="n">
        <v>0</v>
      </c>
      <c r="CA48" s="110" t="n">
        <v>0</v>
      </c>
      <c r="CB48" s="110" t="n">
        <v>0</v>
      </c>
      <c r="CC48" s="110" t="n">
        <v>0</v>
      </c>
      <c r="CD48" s="110" t="n">
        <v>0</v>
      </c>
      <c r="CE48" s="110" t="n">
        <v>0</v>
      </c>
      <c r="CF48" s="110" t="n">
        <v>0</v>
      </c>
      <c r="CG48" s="110" t="n">
        <v>0</v>
      </c>
      <c r="CH48" s="110" t="n">
        <v>0</v>
      </c>
      <c r="CI48" s="110" t="n">
        <v>0</v>
      </c>
      <c r="CJ48" s="110" t="n">
        <v>0</v>
      </c>
      <c r="CK48" s="110" t="n">
        <v>0</v>
      </c>
      <c r="CL48" s="110" t="n">
        <v>0</v>
      </c>
      <c r="CM48" s="110" t="n">
        <v>0</v>
      </c>
      <c r="CN48" s="110" t="n">
        <v>0</v>
      </c>
      <c r="CO48" s="110" t="n">
        <v>11821.08</v>
      </c>
      <c r="CP48" s="110" t="n">
        <v>4006.04</v>
      </c>
      <c r="CQ48" s="110" t="n">
        <v>7575.64</v>
      </c>
      <c r="CR48" s="110" t="n">
        <v>0</v>
      </c>
      <c r="CS48" s="110" t="n">
        <v>0</v>
      </c>
      <c r="CT48" s="110" t="n">
        <v>0</v>
      </c>
      <c r="CU48" s="110" t="n">
        <v>0</v>
      </c>
      <c r="CV48" s="111" t="n">
        <v>72</v>
      </c>
      <c r="CW48" s="111" t="n">
        <v>63</v>
      </c>
      <c r="CX48" s="111" t="n">
        <v>62</v>
      </c>
      <c r="CY48" s="111" t="n">
        <v>1</v>
      </c>
      <c r="CZ48" s="111" t="n">
        <v>9</v>
      </c>
      <c r="DA48" s="111" t="n">
        <v>7</v>
      </c>
      <c r="DB48" s="111" t="n">
        <v>2</v>
      </c>
      <c r="DC48" s="111" t="n">
        <v>61</v>
      </c>
      <c r="DD48" s="111" t="n">
        <v>0</v>
      </c>
      <c r="DE48" s="111" t="n">
        <v>54</v>
      </c>
      <c r="DF48" s="111" t="n">
        <v>53</v>
      </c>
      <c r="DG48" s="111" t="n">
        <v>1</v>
      </c>
      <c r="DH48" s="111" t="n">
        <v>7</v>
      </c>
      <c r="DI48" s="111" t="n">
        <v>6</v>
      </c>
      <c r="DJ48" s="111" t="n">
        <v>1</v>
      </c>
      <c r="DK48" s="111" t="n">
        <v>11</v>
      </c>
      <c r="DL48" s="111" t="n">
        <v>9</v>
      </c>
      <c r="DM48" s="111" t="n">
        <v>9</v>
      </c>
      <c r="DN48" s="111" t="n">
        <v>0</v>
      </c>
      <c r="DO48" s="111" t="n">
        <v>2</v>
      </c>
      <c r="DP48" s="111" t="n">
        <v>1</v>
      </c>
      <c r="DQ48" s="111" t="n">
        <v>1</v>
      </c>
      <c r="DR48" s="111" t="n">
        <v>0</v>
      </c>
      <c r="DS48" s="111" t="n">
        <v>0</v>
      </c>
      <c r="DT48" s="111" t="n">
        <v>0</v>
      </c>
      <c r="DU48" s="111" t="n">
        <v>0</v>
      </c>
      <c r="DV48" s="111" t="n">
        <v>0</v>
      </c>
      <c r="DW48" s="111" t="n">
        <v>0</v>
      </c>
      <c r="DX48" s="111" t="n">
        <v>0</v>
      </c>
      <c r="DY48" s="111" t="n">
        <v>0</v>
      </c>
      <c r="DZ48" s="111" t="n">
        <v>0</v>
      </c>
      <c r="EA48" s="111" t="n">
        <v>0</v>
      </c>
      <c r="EB48" s="111" t="n">
        <v>0</v>
      </c>
      <c r="EC48" s="111" t="n">
        <v>0</v>
      </c>
      <c r="ED48" s="111" t="n">
        <v>0</v>
      </c>
      <c r="EE48" s="111" t="n">
        <v>0</v>
      </c>
      <c r="EF48" s="111" t="n">
        <v>0</v>
      </c>
      <c r="EG48" s="111" t="n">
        <v>0</v>
      </c>
      <c r="EH48" s="111" t="n">
        <v>0</v>
      </c>
      <c r="EI48" s="111" t="n">
        <v>0</v>
      </c>
      <c r="EJ48" s="111" t="n">
        <v>0</v>
      </c>
      <c r="EK48" s="111" t="n">
        <v>0</v>
      </c>
      <c r="EL48" s="111" t="n">
        <v>0</v>
      </c>
      <c r="EM48" s="111" t="n">
        <v>0</v>
      </c>
      <c r="EN48" s="111" t="n">
        <v>0</v>
      </c>
      <c r="EO48" s="111" t="n">
        <v>0</v>
      </c>
      <c r="EP48" s="111" t="n">
        <v>0</v>
      </c>
      <c r="EQ48" s="111" t="n">
        <v>0</v>
      </c>
      <c r="ER48" s="111" t="n">
        <v>0</v>
      </c>
      <c r="ES48" s="111" t="n">
        <v>0</v>
      </c>
      <c r="ET48" s="111" t="n">
        <v>0</v>
      </c>
      <c r="EU48" s="111" t="n">
        <v>0</v>
      </c>
      <c r="EV48" s="111" t="n">
        <v>0</v>
      </c>
      <c r="EW48" s="111" t="n">
        <v>0</v>
      </c>
      <c r="EX48" s="111" t="n">
        <v>0</v>
      </c>
      <c r="EY48" s="111" t="n">
        <v>0</v>
      </c>
      <c r="EZ48" s="111" t="n">
        <v>0</v>
      </c>
      <c r="FA48" s="111" t="n">
        <v>0</v>
      </c>
      <c r="FB48" s="111" t="n">
        <v>0</v>
      </c>
    </row>
    <row r="49" ht="19.5" customHeight="1" s="247">
      <c r="A49" s="107" t="n">
        <v>46</v>
      </c>
      <c r="B49" s="107" t="inlineStr">
        <is>
          <t>医技平台</t>
        </is>
      </c>
      <c r="C49" s="107" t="inlineStr">
        <is>
          <t>重症医学科(筹)</t>
        </is>
      </c>
      <c r="D49" s="110" t="n">
        <v>1923700.5</v>
      </c>
      <c r="E49" s="110" t="n">
        <v>0</v>
      </c>
      <c r="F49" s="110" t="n">
        <v>1923700.5</v>
      </c>
      <c r="G49" s="110" t="n">
        <v>0</v>
      </c>
      <c r="H49" s="110" t="n">
        <v>3</v>
      </c>
      <c r="I49" s="110" t="n">
        <v>0</v>
      </c>
      <c r="J49" s="110" t="n">
        <v>0</v>
      </c>
      <c r="K49" s="110" t="n">
        <v>0</v>
      </c>
      <c r="L49" s="110" t="n">
        <v>210559</v>
      </c>
      <c r="M49" s="110" t="n">
        <v>547378.5</v>
      </c>
      <c r="N49" s="110" t="n">
        <v>277.4</v>
      </c>
      <c r="O49" s="110" t="n">
        <v>3556934.89</v>
      </c>
      <c r="P49" s="110" t="n">
        <v>2099009.98</v>
      </c>
      <c r="Q49" s="110" t="n">
        <v>2005987.37</v>
      </c>
      <c r="R49" s="110" t="n">
        <v>93022.61</v>
      </c>
      <c r="S49" s="110" t="n">
        <v>1457924.91</v>
      </c>
      <c r="T49" s="110" t="n">
        <v>1457924.91</v>
      </c>
      <c r="U49" s="110" t="n">
        <v>0</v>
      </c>
      <c r="V49" s="110" t="n">
        <v>0</v>
      </c>
      <c r="W49" s="110" t="n">
        <v>0</v>
      </c>
      <c r="X49" s="110" t="n">
        <v>0</v>
      </c>
      <c r="Y49" s="110" t="n">
        <v>0</v>
      </c>
      <c r="Z49" s="110" t="n">
        <v>0</v>
      </c>
      <c r="AA49" s="110" t="n">
        <v>0</v>
      </c>
      <c r="AB49" s="110" t="n">
        <v>0</v>
      </c>
      <c r="AC49" s="110" t="n">
        <v>0</v>
      </c>
      <c r="AD49" s="110" t="n">
        <v>0</v>
      </c>
      <c r="AE49" s="110" t="n">
        <v>0</v>
      </c>
      <c r="AF49" s="110" t="n">
        <v>0</v>
      </c>
      <c r="AG49" s="110" t="n">
        <v>0</v>
      </c>
      <c r="AH49" s="110" t="n">
        <v>0</v>
      </c>
      <c r="AI49" s="110" t="n">
        <v>0</v>
      </c>
      <c r="AJ49" s="110" t="n">
        <v>0</v>
      </c>
      <c r="AK49" s="110" t="n">
        <v>0</v>
      </c>
      <c r="AL49" s="110" t="n">
        <v>0</v>
      </c>
      <c r="AM49" s="110" t="n">
        <v>0</v>
      </c>
      <c r="AN49" s="110" t="n">
        <v>0</v>
      </c>
      <c r="AO49" s="110" t="n">
        <v>0</v>
      </c>
      <c r="AP49" s="110" t="n">
        <v>0</v>
      </c>
      <c r="AQ49" s="110" t="n">
        <v>0</v>
      </c>
      <c r="AR49" s="110" t="n">
        <v>0</v>
      </c>
      <c r="AS49" s="110" t="n">
        <v>0</v>
      </c>
      <c r="AT49" s="110" t="n">
        <v>0</v>
      </c>
      <c r="AU49" s="110" t="n">
        <v>0</v>
      </c>
      <c r="AV49" s="110" t="n">
        <v>0</v>
      </c>
      <c r="AW49" s="110" t="n">
        <v>0</v>
      </c>
      <c r="AX49" s="110" t="n">
        <v>0</v>
      </c>
      <c r="AY49" s="110" t="n">
        <v>0</v>
      </c>
      <c r="AZ49" s="110" t="n">
        <v>0</v>
      </c>
      <c r="BA49" s="110" t="n">
        <v>0</v>
      </c>
      <c r="BB49" s="110" t="n">
        <v>0</v>
      </c>
      <c r="BC49" s="110" t="n">
        <v>0</v>
      </c>
      <c r="BD49" s="110" t="n">
        <v>0</v>
      </c>
      <c r="BE49" s="110" t="n">
        <v>3556934.89</v>
      </c>
      <c r="BF49" s="110" t="n">
        <v>2099009.98</v>
      </c>
      <c r="BG49" s="110" t="n">
        <v>2005987.37</v>
      </c>
      <c r="BH49" s="110" t="n">
        <v>93022.61</v>
      </c>
      <c r="BI49" s="110" t="n">
        <v>1457924.91</v>
      </c>
      <c r="BJ49" s="110" t="n">
        <v>1457924.91</v>
      </c>
      <c r="BK49" s="110" t="n">
        <v>0</v>
      </c>
      <c r="BL49" s="110" t="n">
        <v>639895.75</v>
      </c>
      <c r="BM49" s="110" t="n">
        <v>296253.66</v>
      </c>
      <c r="BN49" s="110" t="n">
        <v>288150.44</v>
      </c>
      <c r="BO49" s="110" t="n">
        <v>8103.22</v>
      </c>
      <c r="BP49" s="110" t="n">
        <v>343642.09</v>
      </c>
      <c r="BQ49" s="110" t="n">
        <v>343642.09</v>
      </c>
      <c r="BR49" s="110" t="n">
        <v>0</v>
      </c>
      <c r="BS49" s="110" t="n">
        <v>993338.64</v>
      </c>
      <c r="BT49" s="110" t="n">
        <v>615832.0699999999</v>
      </c>
      <c r="BU49" s="110" t="n">
        <v>579924.9300000001</v>
      </c>
      <c r="BV49" s="110" t="n">
        <v>35907.14</v>
      </c>
      <c r="BW49" s="110" t="n">
        <v>377506.57</v>
      </c>
      <c r="BX49" s="110" t="n">
        <v>377506.57</v>
      </c>
      <c r="BY49" s="110" t="n">
        <v>0</v>
      </c>
      <c r="BZ49" s="110" t="n">
        <v>853806.5</v>
      </c>
      <c r="CA49" s="110" t="n">
        <v>524405.5</v>
      </c>
      <c r="CB49" s="110" t="n">
        <v>504825</v>
      </c>
      <c r="CC49" s="110" t="n">
        <v>19580.5</v>
      </c>
      <c r="CD49" s="110" t="n">
        <v>329401</v>
      </c>
      <c r="CE49" s="110" t="n">
        <v>329401</v>
      </c>
      <c r="CF49" s="110" t="n">
        <v>0</v>
      </c>
      <c r="CG49" s="110" t="n">
        <v>1069894</v>
      </c>
      <c r="CH49" s="110" t="n">
        <v>662518.75</v>
      </c>
      <c r="CI49" s="110" t="n">
        <v>633087</v>
      </c>
      <c r="CJ49" s="110" t="n">
        <v>29431.75</v>
      </c>
      <c r="CK49" s="110" t="n">
        <v>407375.25</v>
      </c>
      <c r="CL49" s="110" t="n">
        <v>407375.25</v>
      </c>
      <c r="CM49" s="110" t="n">
        <v>0</v>
      </c>
      <c r="CN49" s="110" t="n">
        <v>0</v>
      </c>
      <c r="CO49" s="110" t="n">
        <v>0</v>
      </c>
      <c r="CP49" s="110" t="n">
        <v>0</v>
      </c>
      <c r="CQ49" s="110" t="n">
        <v>0</v>
      </c>
      <c r="CR49" s="110" t="n">
        <v>0</v>
      </c>
      <c r="CS49" s="110" t="n">
        <v>0</v>
      </c>
      <c r="CT49" s="110" t="n">
        <v>0</v>
      </c>
      <c r="CU49" s="110" t="n">
        <v>0</v>
      </c>
      <c r="CV49" s="111" t="n">
        <v>0</v>
      </c>
      <c r="CW49" s="111" t="n">
        <v>0</v>
      </c>
      <c r="CX49" s="111" t="n">
        <v>0</v>
      </c>
      <c r="CY49" s="111" t="n">
        <v>0</v>
      </c>
      <c r="CZ49" s="111" t="n">
        <v>0</v>
      </c>
      <c r="DA49" s="111" t="n">
        <v>0</v>
      </c>
      <c r="DB49" s="111" t="n">
        <v>0</v>
      </c>
      <c r="DC49" s="111" t="n">
        <v>0</v>
      </c>
      <c r="DD49" s="111" t="n">
        <v>0</v>
      </c>
      <c r="DE49" s="111" t="n">
        <v>0</v>
      </c>
      <c r="DF49" s="111" t="n">
        <v>0</v>
      </c>
      <c r="DG49" s="111" t="n">
        <v>0</v>
      </c>
      <c r="DH49" s="111" t="n">
        <v>0</v>
      </c>
      <c r="DI49" s="111" t="n">
        <v>0</v>
      </c>
      <c r="DJ49" s="111" t="n">
        <v>0</v>
      </c>
      <c r="DK49" s="111" t="n">
        <v>0</v>
      </c>
      <c r="DL49" s="111" t="n">
        <v>0</v>
      </c>
      <c r="DM49" s="111" t="n">
        <v>0</v>
      </c>
      <c r="DN49" s="111" t="n">
        <v>0</v>
      </c>
      <c r="DO49" s="111" t="n">
        <v>0</v>
      </c>
      <c r="DP49" s="111" t="n">
        <v>0</v>
      </c>
      <c r="DQ49" s="111" t="n">
        <v>0</v>
      </c>
      <c r="DR49" s="111" t="n">
        <v>0</v>
      </c>
      <c r="DS49" s="111" t="n">
        <v>0</v>
      </c>
      <c r="DT49" s="111" t="n">
        <v>0</v>
      </c>
      <c r="DU49" s="111" t="n">
        <v>0</v>
      </c>
      <c r="DV49" s="111" t="n">
        <v>0</v>
      </c>
      <c r="DW49" s="111" t="n">
        <v>0</v>
      </c>
      <c r="DX49" s="111" t="n">
        <v>0</v>
      </c>
      <c r="DY49" s="111" t="n">
        <v>0</v>
      </c>
      <c r="DZ49" s="111" t="n">
        <v>0</v>
      </c>
      <c r="EA49" s="111" t="n">
        <v>0</v>
      </c>
      <c r="EB49" s="111" t="n">
        <v>0</v>
      </c>
      <c r="EC49" s="111" t="n">
        <v>0</v>
      </c>
      <c r="ED49" s="111" t="n">
        <v>0</v>
      </c>
      <c r="EE49" s="111" t="n">
        <v>0</v>
      </c>
      <c r="EF49" s="111" t="n">
        <v>0</v>
      </c>
      <c r="EG49" s="111" t="n">
        <v>3</v>
      </c>
      <c r="EH49" s="111" t="n">
        <v>2</v>
      </c>
      <c r="EI49" s="111" t="n">
        <v>2</v>
      </c>
      <c r="EJ49" s="111" t="n">
        <v>0</v>
      </c>
      <c r="EK49" s="111" t="n">
        <v>1</v>
      </c>
      <c r="EL49" s="111" t="n">
        <v>1</v>
      </c>
      <c r="EM49" s="111" t="n">
        <v>0</v>
      </c>
      <c r="EN49" s="111" t="n">
        <v>1</v>
      </c>
      <c r="EO49" s="111" t="n">
        <v>0</v>
      </c>
      <c r="EP49" s="111" t="n">
        <v>0</v>
      </c>
      <c r="EQ49" s="111" t="n">
        <v>1</v>
      </c>
      <c r="ER49" s="111" t="n">
        <v>0</v>
      </c>
      <c r="ES49" s="111" t="n">
        <v>0</v>
      </c>
      <c r="ET49" s="111" t="n">
        <v>0</v>
      </c>
      <c r="EU49" s="111" t="n">
        <v>0</v>
      </c>
      <c r="EV49" s="111" t="n">
        <v>0</v>
      </c>
      <c r="EW49" s="111" t="n">
        <v>0</v>
      </c>
      <c r="EX49" s="111" t="n">
        <v>0</v>
      </c>
      <c r="EY49" s="111" t="n">
        <v>0</v>
      </c>
      <c r="EZ49" s="111" t="n">
        <v>0</v>
      </c>
      <c r="FA49" s="111" t="n">
        <v>0</v>
      </c>
      <c r="FB49" s="111" t="n">
        <v>0</v>
      </c>
    </row>
    <row r="50" ht="19.5" customHeight="1" s="247">
      <c r="A50" s="107" t="n">
        <v>47</v>
      </c>
      <c r="B50" s="107" t="inlineStr">
        <is>
          <t>成人手术</t>
        </is>
      </c>
      <c r="C50" s="107" t="inlineStr">
        <is>
          <t>疼痛科</t>
        </is>
      </c>
      <c r="D50" s="110" t="n">
        <v>426203.5</v>
      </c>
      <c r="E50" s="110" t="n">
        <v>129648</v>
      </c>
      <c r="F50" s="110" t="n">
        <v>296555.5</v>
      </c>
      <c r="G50" s="110" t="n">
        <v>675</v>
      </c>
      <c r="H50" s="110" t="n">
        <v>70</v>
      </c>
      <c r="I50" s="110" t="n">
        <v>13534</v>
      </c>
      <c r="J50" s="110" t="n">
        <v>0</v>
      </c>
      <c r="K50" s="110" t="n">
        <v>0</v>
      </c>
      <c r="L50" s="110" t="n">
        <v>17258</v>
      </c>
      <c r="M50" s="110" t="n">
        <v>186310</v>
      </c>
      <c r="N50" s="110" t="n">
        <v>0</v>
      </c>
      <c r="O50" s="110" t="n">
        <v>1025357.93</v>
      </c>
      <c r="P50" s="110" t="n">
        <v>787664.64</v>
      </c>
      <c r="Q50" s="110" t="n">
        <v>775452.62</v>
      </c>
      <c r="R50" s="110" t="n">
        <v>12212.02</v>
      </c>
      <c r="S50" s="110" t="n">
        <v>237693.29</v>
      </c>
      <c r="T50" s="110" t="n">
        <v>229668.3</v>
      </c>
      <c r="U50" s="110" t="n">
        <v>8024.99</v>
      </c>
      <c r="V50" s="110" t="n">
        <v>198011.24</v>
      </c>
      <c r="W50" s="110" t="n">
        <v>164287.51</v>
      </c>
      <c r="X50" s="110" t="n">
        <v>155852.78</v>
      </c>
      <c r="Y50" s="110" t="n">
        <v>8434.73</v>
      </c>
      <c r="Z50" s="110" t="n">
        <v>33723.73</v>
      </c>
      <c r="AA50" s="110" t="n">
        <v>25698.74</v>
      </c>
      <c r="AB50" s="110" t="n">
        <v>8024.99</v>
      </c>
      <c r="AC50" s="110" t="n">
        <v>54937.24</v>
      </c>
      <c r="AD50" s="110" t="n">
        <v>45503.51</v>
      </c>
      <c r="AE50" s="110" t="n">
        <v>43994.78</v>
      </c>
      <c r="AF50" s="110" t="n">
        <v>1508.73</v>
      </c>
      <c r="AG50" s="110" t="n">
        <v>9433.73</v>
      </c>
      <c r="AH50" s="110" t="n">
        <v>7201.74</v>
      </c>
      <c r="AI50" s="110" t="n">
        <v>2231.99</v>
      </c>
      <c r="AJ50" s="110" t="n">
        <v>13426</v>
      </c>
      <c r="AK50" s="110" t="n">
        <v>9366</v>
      </c>
      <c r="AL50" s="110" t="n">
        <v>9366</v>
      </c>
      <c r="AM50" s="110" t="n">
        <v>0</v>
      </c>
      <c r="AN50" s="110" t="n">
        <v>4060</v>
      </c>
      <c r="AO50" s="110" t="n">
        <v>3480</v>
      </c>
      <c r="AP50" s="110" t="n">
        <v>580</v>
      </c>
      <c r="AQ50" s="110" t="n">
        <v>94258</v>
      </c>
      <c r="AR50" s="110" t="n">
        <v>81429</v>
      </c>
      <c r="AS50" s="110" t="n">
        <v>76528</v>
      </c>
      <c r="AT50" s="110" t="n">
        <v>4901</v>
      </c>
      <c r="AU50" s="110" t="n">
        <v>12829</v>
      </c>
      <c r="AV50" s="110" t="n">
        <v>9731</v>
      </c>
      <c r="AW50" s="110" t="n">
        <v>3098</v>
      </c>
      <c r="AX50" s="110" t="n">
        <v>35390</v>
      </c>
      <c r="AY50" s="110" t="n">
        <v>27989</v>
      </c>
      <c r="AZ50" s="110" t="n">
        <v>25964</v>
      </c>
      <c r="BA50" s="110" t="n">
        <v>2025</v>
      </c>
      <c r="BB50" s="110" t="n">
        <v>7401</v>
      </c>
      <c r="BC50" s="110" t="n">
        <v>5286</v>
      </c>
      <c r="BD50" s="110" t="n">
        <v>2115</v>
      </c>
      <c r="BE50" s="110" t="n">
        <v>827346.6899999999</v>
      </c>
      <c r="BF50" s="110" t="n">
        <v>623377.13</v>
      </c>
      <c r="BG50" s="110" t="n">
        <v>619599.84</v>
      </c>
      <c r="BH50" s="110" t="n">
        <v>3777.29</v>
      </c>
      <c r="BI50" s="110" t="n">
        <v>203969.56</v>
      </c>
      <c r="BJ50" s="110" t="n">
        <v>203969.56</v>
      </c>
      <c r="BK50" s="110" t="n">
        <v>0</v>
      </c>
      <c r="BL50" s="110" t="n">
        <v>40411.42</v>
      </c>
      <c r="BM50" s="110" t="n">
        <v>30280</v>
      </c>
      <c r="BN50" s="110" t="n">
        <v>29937.38</v>
      </c>
      <c r="BO50" s="110" t="n">
        <v>342.62</v>
      </c>
      <c r="BP50" s="110" t="n">
        <v>10131.42</v>
      </c>
      <c r="BQ50" s="110" t="n">
        <v>10131.42</v>
      </c>
      <c r="BR50" s="110" t="n">
        <v>0</v>
      </c>
      <c r="BS50" s="110" t="n">
        <v>490379.77</v>
      </c>
      <c r="BT50" s="110" t="n">
        <v>367880.13</v>
      </c>
      <c r="BU50" s="110" t="n">
        <v>367762.46</v>
      </c>
      <c r="BV50" s="110" t="n">
        <v>117.67</v>
      </c>
      <c r="BW50" s="110" t="n">
        <v>122499.64</v>
      </c>
      <c r="BX50" s="110" t="n">
        <v>122499.64</v>
      </c>
      <c r="BY50" s="110" t="n">
        <v>0</v>
      </c>
      <c r="BZ50" s="110" t="n">
        <v>68072</v>
      </c>
      <c r="CA50" s="110" t="n">
        <v>47091</v>
      </c>
      <c r="CB50" s="110" t="n">
        <v>44730</v>
      </c>
      <c r="CC50" s="110" t="n">
        <v>2361</v>
      </c>
      <c r="CD50" s="110" t="n">
        <v>20981</v>
      </c>
      <c r="CE50" s="110" t="n">
        <v>20981</v>
      </c>
      <c r="CF50" s="110" t="n">
        <v>0</v>
      </c>
      <c r="CG50" s="110" t="n">
        <v>228483.5</v>
      </c>
      <c r="CH50" s="110" t="n">
        <v>178126</v>
      </c>
      <c r="CI50" s="110" t="n">
        <v>177170</v>
      </c>
      <c r="CJ50" s="110" t="n">
        <v>956</v>
      </c>
      <c r="CK50" s="110" t="n">
        <v>50357.5</v>
      </c>
      <c r="CL50" s="110" t="n">
        <v>50357.5</v>
      </c>
      <c r="CM50" s="110" t="n">
        <v>0</v>
      </c>
      <c r="CN50" s="110" t="n">
        <v>0</v>
      </c>
      <c r="CO50" s="110" t="n">
        <v>118116.04</v>
      </c>
      <c r="CP50" s="110" t="n">
        <v>78678.24000000001</v>
      </c>
      <c r="CQ50" s="110" t="n">
        <v>0</v>
      </c>
      <c r="CR50" s="110" t="n">
        <v>1216.96</v>
      </c>
      <c r="CS50" s="110" t="n">
        <v>0</v>
      </c>
      <c r="CT50" s="110" t="n">
        <v>0</v>
      </c>
      <c r="CU50" s="110" t="n">
        <v>0</v>
      </c>
      <c r="CV50" s="111" t="n">
        <v>675</v>
      </c>
      <c r="CW50" s="111" t="n">
        <v>565</v>
      </c>
      <c r="CX50" s="111" t="n">
        <v>528</v>
      </c>
      <c r="CY50" s="111" t="n">
        <v>37</v>
      </c>
      <c r="CZ50" s="111" t="n">
        <v>110</v>
      </c>
      <c r="DA50" s="111" t="n">
        <v>77</v>
      </c>
      <c r="DB50" s="111" t="n">
        <v>33</v>
      </c>
      <c r="DC50" s="111" t="n">
        <v>440</v>
      </c>
      <c r="DD50" s="111" t="n">
        <v>0</v>
      </c>
      <c r="DE50" s="111" t="n">
        <v>381</v>
      </c>
      <c r="DF50" s="111" t="n">
        <v>356</v>
      </c>
      <c r="DG50" s="111" t="n">
        <v>25</v>
      </c>
      <c r="DH50" s="111" t="n">
        <v>59</v>
      </c>
      <c r="DI50" s="111" t="n">
        <v>38</v>
      </c>
      <c r="DJ50" s="111" t="n">
        <v>21</v>
      </c>
      <c r="DK50" s="111" t="n">
        <v>234</v>
      </c>
      <c r="DL50" s="111" t="n">
        <v>183</v>
      </c>
      <c r="DM50" s="111" t="n">
        <v>171</v>
      </c>
      <c r="DN50" s="111" t="n">
        <v>12</v>
      </c>
      <c r="DO50" s="111" t="n">
        <v>51</v>
      </c>
      <c r="DP50" s="111" t="n">
        <v>39</v>
      </c>
      <c r="DQ50" s="111" t="n">
        <v>12</v>
      </c>
      <c r="DR50" s="111" t="n">
        <v>1</v>
      </c>
      <c r="DS50" s="111" t="n">
        <v>0</v>
      </c>
      <c r="DT50" s="111" t="n">
        <v>1</v>
      </c>
      <c r="DU50" s="111" t="n">
        <v>1</v>
      </c>
      <c r="DV50" s="111" t="n">
        <v>0</v>
      </c>
      <c r="DW50" s="111" t="n">
        <v>0</v>
      </c>
      <c r="DX50" s="111" t="n">
        <v>0</v>
      </c>
      <c r="DY50" s="111" t="n">
        <v>0</v>
      </c>
      <c r="DZ50" s="111" t="n">
        <v>0</v>
      </c>
      <c r="EA50" s="111" t="n">
        <v>0</v>
      </c>
      <c r="EB50" s="111" t="n">
        <v>0</v>
      </c>
      <c r="EC50" s="111" t="n">
        <v>0</v>
      </c>
      <c r="ED50" s="111" t="n">
        <v>0</v>
      </c>
      <c r="EE50" s="111" t="n">
        <v>0</v>
      </c>
      <c r="EF50" s="111" t="n">
        <v>0</v>
      </c>
      <c r="EG50" s="111" t="n">
        <v>70</v>
      </c>
      <c r="EH50" s="111" t="n">
        <v>55</v>
      </c>
      <c r="EI50" s="111" t="n">
        <v>54</v>
      </c>
      <c r="EJ50" s="111" t="n">
        <v>1</v>
      </c>
      <c r="EK50" s="111" t="n">
        <v>15</v>
      </c>
      <c r="EL50" s="111" t="n">
        <v>15</v>
      </c>
      <c r="EM50" s="111" t="n">
        <v>0</v>
      </c>
      <c r="EN50" s="111" t="n">
        <v>67</v>
      </c>
      <c r="EO50" s="111" t="n">
        <v>67</v>
      </c>
      <c r="EP50" s="111" t="n">
        <v>0</v>
      </c>
      <c r="EQ50" s="111" t="n">
        <v>0</v>
      </c>
      <c r="ER50" s="111" t="n">
        <v>1</v>
      </c>
      <c r="ES50" s="111" t="n">
        <v>0</v>
      </c>
      <c r="ET50" s="111" t="n">
        <v>0</v>
      </c>
      <c r="EU50" s="111" t="n">
        <v>0</v>
      </c>
      <c r="EV50" s="111" t="n">
        <v>0</v>
      </c>
      <c r="EW50" s="111" t="n">
        <v>0</v>
      </c>
      <c r="EX50" s="111" t="n">
        <v>0</v>
      </c>
      <c r="EY50" s="111" t="n">
        <v>0</v>
      </c>
      <c r="EZ50" s="111" t="n">
        <v>0</v>
      </c>
      <c r="FA50" s="111" t="n">
        <v>0</v>
      </c>
      <c r="FB50" s="111" t="n">
        <v>0</v>
      </c>
    </row>
    <row r="51" ht="19.5" customHeight="1" s="247">
      <c r="A51" s="107" t="n">
        <v>48</v>
      </c>
      <c r="B51" s="107" t="inlineStr">
        <is>
          <t>成人非手术</t>
        </is>
      </c>
      <c r="C51" s="107" t="inlineStr">
        <is>
          <t>生殖医学中心</t>
        </is>
      </c>
      <c r="D51" s="110" t="n">
        <v>51680</v>
      </c>
      <c r="E51" s="110" t="n">
        <v>51680</v>
      </c>
      <c r="F51" s="110" t="n">
        <v>0</v>
      </c>
      <c r="G51" s="110" t="n">
        <v>105</v>
      </c>
      <c r="H51" s="110" t="n">
        <v>0</v>
      </c>
      <c r="I51" s="110" t="n">
        <v>156</v>
      </c>
      <c r="J51" s="110" t="n">
        <v>0</v>
      </c>
      <c r="K51" s="110" t="n">
        <v>0</v>
      </c>
      <c r="L51" s="110" t="n">
        <v>0</v>
      </c>
      <c r="M51" s="110" t="n">
        <v>0</v>
      </c>
      <c r="N51" s="110" t="n">
        <v>0</v>
      </c>
      <c r="O51" s="110" t="n">
        <v>56868.82</v>
      </c>
      <c r="P51" s="110" t="n">
        <v>49205.05</v>
      </c>
      <c r="Q51" s="110" t="n">
        <v>43094.26</v>
      </c>
      <c r="R51" s="110" t="n">
        <v>6110.79</v>
      </c>
      <c r="S51" s="110" t="n">
        <v>7663.77</v>
      </c>
      <c r="T51" s="110" t="n">
        <v>3375.32</v>
      </c>
      <c r="U51" s="110" t="n">
        <v>4288.45</v>
      </c>
      <c r="V51" s="110" t="n">
        <v>56868.82</v>
      </c>
      <c r="W51" s="110" t="n">
        <v>49205.05</v>
      </c>
      <c r="X51" s="110" t="n">
        <v>43094.26</v>
      </c>
      <c r="Y51" s="110" t="n">
        <v>6110.79</v>
      </c>
      <c r="Z51" s="110" t="n">
        <v>7663.77</v>
      </c>
      <c r="AA51" s="110" t="n">
        <v>3375.32</v>
      </c>
      <c r="AB51" s="110" t="n">
        <v>4288.45</v>
      </c>
      <c r="AC51" s="110" t="n">
        <v>5188.82</v>
      </c>
      <c r="AD51" s="110" t="n">
        <v>3671.05</v>
      </c>
      <c r="AE51" s="110" t="n">
        <v>3577.26</v>
      </c>
      <c r="AF51" s="110" t="n">
        <v>93.79000000000001</v>
      </c>
      <c r="AG51" s="110" t="n">
        <v>1517.77</v>
      </c>
      <c r="AH51" s="110" t="n">
        <v>455.32</v>
      </c>
      <c r="AI51" s="110" t="n">
        <v>1062.45</v>
      </c>
      <c r="AJ51" s="110" t="n">
        <v>0</v>
      </c>
      <c r="AK51" s="110" t="n">
        <v>0</v>
      </c>
      <c r="AL51" s="110" t="n">
        <v>0</v>
      </c>
      <c r="AM51" s="110" t="n">
        <v>0</v>
      </c>
      <c r="AN51" s="110" t="n">
        <v>0</v>
      </c>
      <c r="AO51" s="110" t="n">
        <v>0</v>
      </c>
      <c r="AP51" s="110" t="n">
        <v>0</v>
      </c>
      <c r="AQ51" s="110" t="n">
        <v>47324</v>
      </c>
      <c r="AR51" s="110" t="n">
        <v>42148</v>
      </c>
      <c r="AS51" s="110" t="n">
        <v>36875</v>
      </c>
      <c r="AT51" s="110" t="n">
        <v>5273</v>
      </c>
      <c r="AU51" s="110" t="n">
        <v>5176</v>
      </c>
      <c r="AV51" s="110" t="n">
        <v>2594</v>
      </c>
      <c r="AW51" s="110" t="n">
        <v>2582</v>
      </c>
      <c r="AX51" s="110" t="n">
        <v>4356</v>
      </c>
      <c r="AY51" s="110" t="n">
        <v>3386</v>
      </c>
      <c r="AZ51" s="110" t="n">
        <v>2642</v>
      </c>
      <c r="BA51" s="110" t="n">
        <v>744</v>
      </c>
      <c r="BB51" s="110" t="n">
        <v>970</v>
      </c>
      <c r="BC51" s="110" t="n">
        <v>326</v>
      </c>
      <c r="BD51" s="110" t="n">
        <v>644</v>
      </c>
      <c r="BE51" s="110" t="n">
        <v>0</v>
      </c>
      <c r="BF51" s="110" t="n">
        <v>0</v>
      </c>
      <c r="BG51" s="110" t="n">
        <v>0</v>
      </c>
      <c r="BH51" s="110" t="n">
        <v>0</v>
      </c>
      <c r="BI51" s="110" t="n">
        <v>0</v>
      </c>
      <c r="BJ51" s="110" t="n">
        <v>0</v>
      </c>
      <c r="BK51" s="110" t="n">
        <v>0</v>
      </c>
      <c r="BL51" s="110" t="n">
        <v>0</v>
      </c>
      <c r="BM51" s="110" t="n">
        <v>0</v>
      </c>
      <c r="BN51" s="110" t="n">
        <v>0</v>
      </c>
      <c r="BO51" s="110" t="n">
        <v>0</v>
      </c>
      <c r="BP51" s="110" t="n">
        <v>0</v>
      </c>
      <c r="BQ51" s="110" t="n">
        <v>0</v>
      </c>
      <c r="BR51" s="110" t="n">
        <v>0</v>
      </c>
      <c r="BS51" s="110" t="n">
        <v>0</v>
      </c>
      <c r="BT51" s="110" t="n">
        <v>0</v>
      </c>
      <c r="BU51" s="110" t="n">
        <v>0</v>
      </c>
      <c r="BV51" s="110" t="n">
        <v>0</v>
      </c>
      <c r="BW51" s="110" t="n">
        <v>0</v>
      </c>
      <c r="BX51" s="110" t="n">
        <v>0</v>
      </c>
      <c r="BY51" s="110" t="n">
        <v>0</v>
      </c>
      <c r="BZ51" s="110" t="n">
        <v>0</v>
      </c>
      <c r="CA51" s="110" t="n">
        <v>0</v>
      </c>
      <c r="CB51" s="110" t="n">
        <v>0</v>
      </c>
      <c r="CC51" s="110" t="n">
        <v>0</v>
      </c>
      <c r="CD51" s="110" t="n">
        <v>0</v>
      </c>
      <c r="CE51" s="110" t="n">
        <v>0</v>
      </c>
      <c r="CF51" s="110" t="n">
        <v>0</v>
      </c>
      <c r="CG51" s="110" t="n">
        <v>0</v>
      </c>
      <c r="CH51" s="110" t="n">
        <v>0</v>
      </c>
      <c r="CI51" s="110" t="n">
        <v>0</v>
      </c>
      <c r="CJ51" s="110" t="n">
        <v>0</v>
      </c>
      <c r="CK51" s="110" t="n">
        <v>0</v>
      </c>
      <c r="CL51" s="110" t="n">
        <v>0</v>
      </c>
      <c r="CM51" s="110" t="n">
        <v>0</v>
      </c>
      <c r="CN51" s="110" t="n">
        <v>0</v>
      </c>
      <c r="CO51" s="110" t="n">
        <v>0</v>
      </c>
      <c r="CP51" s="110" t="n">
        <v>56868.82</v>
      </c>
      <c r="CQ51" s="110" t="n">
        <v>0</v>
      </c>
      <c r="CR51" s="110" t="n">
        <v>0</v>
      </c>
      <c r="CS51" s="110" t="n">
        <v>0</v>
      </c>
      <c r="CT51" s="110" t="n">
        <v>0</v>
      </c>
      <c r="CU51" s="110" t="n">
        <v>0</v>
      </c>
      <c r="CV51" s="111" t="n">
        <v>105</v>
      </c>
      <c r="CW51" s="111" t="n">
        <v>83</v>
      </c>
      <c r="CX51" s="111" t="n">
        <v>65</v>
      </c>
      <c r="CY51" s="111" t="n">
        <v>18</v>
      </c>
      <c r="CZ51" s="111" t="n">
        <v>22</v>
      </c>
      <c r="DA51" s="111" t="n">
        <v>8</v>
      </c>
      <c r="DB51" s="111" t="n">
        <v>14</v>
      </c>
      <c r="DC51" s="111" t="n">
        <v>0</v>
      </c>
      <c r="DD51" s="111" t="n">
        <v>0</v>
      </c>
      <c r="DE51" s="111" t="n">
        <v>0</v>
      </c>
      <c r="DF51" s="111" t="n">
        <v>0</v>
      </c>
      <c r="DG51" s="111" t="n">
        <v>0</v>
      </c>
      <c r="DH51" s="111" t="n">
        <v>0</v>
      </c>
      <c r="DI51" s="111" t="n">
        <v>0</v>
      </c>
      <c r="DJ51" s="111" t="n">
        <v>0</v>
      </c>
      <c r="DK51" s="111" t="n">
        <v>105</v>
      </c>
      <c r="DL51" s="111" t="n">
        <v>83</v>
      </c>
      <c r="DM51" s="111" t="n">
        <v>65</v>
      </c>
      <c r="DN51" s="111" t="n">
        <v>18</v>
      </c>
      <c r="DO51" s="111" t="n">
        <v>22</v>
      </c>
      <c r="DP51" s="111" t="n">
        <v>8</v>
      </c>
      <c r="DQ51" s="111" t="n">
        <v>14</v>
      </c>
      <c r="DR51" s="111" t="n">
        <v>0</v>
      </c>
      <c r="DS51" s="111" t="n">
        <v>0</v>
      </c>
      <c r="DT51" s="111" t="n">
        <v>0</v>
      </c>
      <c r="DU51" s="111" t="n">
        <v>0</v>
      </c>
      <c r="DV51" s="111" t="n">
        <v>0</v>
      </c>
      <c r="DW51" s="111" t="n">
        <v>0</v>
      </c>
      <c r="DX51" s="111" t="n">
        <v>0</v>
      </c>
      <c r="DY51" s="111" t="n">
        <v>0</v>
      </c>
      <c r="DZ51" s="111" t="n">
        <v>0</v>
      </c>
      <c r="EA51" s="111" t="n">
        <v>0</v>
      </c>
      <c r="EB51" s="111" t="n">
        <v>0</v>
      </c>
      <c r="EC51" s="111" t="n">
        <v>0</v>
      </c>
      <c r="ED51" s="111" t="n">
        <v>0</v>
      </c>
      <c r="EE51" s="111" t="n">
        <v>0</v>
      </c>
      <c r="EF51" s="111" t="n">
        <v>0</v>
      </c>
      <c r="EG51" s="111" t="n">
        <v>0</v>
      </c>
      <c r="EH51" s="111" t="n">
        <v>0</v>
      </c>
      <c r="EI51" s="111" t="n">
        <v>0</v>
      </c>
      <c r="EJ51" s="111" t="n">
        <v>0</v>
      </c>
      <c r="EK51" s="111" t="n">
        <v>0</v>
      </c>
      <c r="EL51" s="111" t="n">
        <v>0</v>
      </c>
      <c r="EM51" s="111" t="n">
        <v>0</v>
      </c>
      <c r="EN51" s="111" t="n">
        <v>0</v>
      </c>
      <c r="EO51" s="111" t="n">
        <v>0</v>
      </c>
      <c r="EP51" s="111" t="n">
        <v>0</v>
      </c>
      <c r="EQ51" s="111" t="n">
        <v>0</v>
      </c>
      <c r="ER51" s="111" t="n">
        <v>0</v>
      </c>
      <c r="ES51" s="111" t="n">
        <v>0</v>
      </c>
      <c r="ET51" s="111" t="n">
        <v>0</v>
      </c>
      <c r="EU51" s="111" t="n">
        <v>0</v>
      </c>
      <c r="EV51" s="111" t="n">
        <v>0</v>
      </c>
      <c r="EW51" s="111" t="n">
        <v>0</v>
      </c>
      <c r="EX51" s="111" t="n">
        <v>0</v>
      </c>
      <c r="EY51" s="111" t="n">
        <v>0</v>
      </c>
      <c r="EZ51" s="111" t="n">
        <v>0</v>
      </c>
      <c r="FA51" s="111" t="n">
        <v>0</v>
      </c>
      <c r="FB51" s="111" t="n">
        <v>0</v>
      </c>
    </row>
    <row r="52" ht="19.5" customHeight="1" s="247">
      <c r="A52" s="107" t="n">
        <v>49</v>
      </c>
      <c r="B52" s="107" t="inlineStr">
        <is>
          <t>医技平台</t>
        </is>
      </c>
      <c r="C52" s="107" t="inlineStr">
        <is>
          <t>健康管理中心</t>
        </is>
      </c>
      <c r="D52" s="110" t="n">
        <v>260275</v>
      </c>
      <c r="E52" s="110" t="n">
        <v>260275</v>
      </c>
      <c r="F52" s="110" t="n">
        <v>0</v>
      </c>
      <c r="G52" s="110" t="n">
        <v>0</v>
      </c>
      <c r="H52" s="110" t="n">
        <v>0</v>
      </c>
      <c r="I52" s="110" t="n">
        <v>0</v>
      </c>
      <c r="J52" s="110" t="n">
        <v>0</v>
      </c>
      <c r="K52" s="110" t="n">
        <v>0</v>
      </c>
      <c r="L52" s="110" t="n">
        <v>0</v>
      </c>
      <c r="M52" s="110" t="n">
        <v>0</v>
      </c>
      <c r="N52" s="110" t="n">
        <v>0</v>
      </c>
      <c r="O52" s="110" t="n">
        <v>260275</v>
      </c>
      <c r="P52" s="110" t="n">
        <v>60075</v>
      </c>
      <c r="Q52" s="110" t="n">
        <v>0</v>
      </c>
      <c r="R52" s="110" t="n">
        <v>60075</v>
      </c>
      <c r="S52" s="110" t="n">
        <v>200200</v>
      </c>
      <c r="T52" s="110" t="n">
        <v>0</v>
      </c>
      <c r="U52" s="110" t="n">
        <v>200200</v>
      </c>
      <c r="V52" s="110" t="n">
        <v>260275</v>
      </c>
      <c r="W52" s="110" t="n">
        <v>60075</v>
      </c>
      <c r="X52" s="110" t="n">
        <v>0</v>
      </c>
      <c r="Y52" s="110" t="n">
        <v>60075</v>
      </c>
      <c r="Z52" s="110" t="n">
        <v>200200</v>
      </c>
      <c r="AA52" s="110" t="n">
        <v>0</v>
      </c>
      <c r="AB52" s="110" t="n">
        <v>200200</v>
      </c>
      <c r="AC52" s="110" t="n">
        <v>0</v>
      </c>
      <c r="AD52" s="110" t="n">
        <v>0</v>
      </c>
      <c r="AE52" s="110" t="n">
        <v>0</v>
      </c>
      <c r="AF52" s="110" t="n">
        <v>0</v>
      </c>
      <c r="AG52" s="110" t="n">
        <v>0</v>
      </c>
      <c r="AH52" s="110" t="n">
        <v>0</v>
      </c>
      <c r="AI52" s="110" t="n">
        <v>0</v>
      </c>
      <c r="AJ52" s="110" t="n">
        <v>0</v>
      </c>
      <c r="AK52" s="110" t="n">
        <v>0</v>
      </c>
      <c r="AL52" s="110" t="n">
        <v>0</v>
      </c>
      <c r="AM52" s="110" t="n">
        <v>0</v>
      </c>
      <c r="AN52" s="110" t="n">
        <v>0</v>
      </c>
      <c r="AO52" s="110" t="n">
        <v>0</v>
      </c>
      <c r="AP52" s="110" t="n">
        <v>0</v>
      </c>
      <c r="AQ52" s="110" t="n">
        <v>0</v>
      </c>
      <c r="AR52" s="110" t="n">
        <v>0</v>
      </c>
      <c r="AS52" s="110" t="n">
        <v>0</v>
      </c>
      <c r="AT52" s="110" t="n">
        <v>0</v>
      </c>
      <c r="AU52" s="110" t="n">
        <v>0</v>
      </c>
      <c r="AV52" s="110" t="n">
        <v>0</v>
      </c>
      <c r="AW52" s="110" t="n">
        <v>0</v>
      </c>
      <c r="AX52" s="110" t="n">
        <v>260275</v>
      </c>
      <c r="AY52" s="110" t="n">
        <v>60075</v>
      </c>
      <c r="AZ52" s="110" t="n">
        <v>0</v>
      </c>
      <c r="BA52" s="110" t="n">
        <v>60075</v>
      </c>
      <c r="BB52" s="110" t="n">
        <v>200200</v>
      </c>
      <c r="BC52" s="110" t="n">
        <v>0</v>
      </c>
      <c r="BD52" s="110" t="n">
        <v>200200</v>
      </c>
      <c r="BE52" s="110" t="n">
        <v>0</v>
      </c>
      <c r="BF52" s="110" t="n">
        <v>0</v>
      </c>
      <c r="BG52" s="110" t="n">
        <v>0</v>
      </c>
      <c r="BH52" s="110" t="n">
        <v>0</v>
      </c>
      <c r="BI52" s="110" t="n">
        <v>0</v>
      </c>
      <c r="BJ52" s="110" t="n">
        <v>0</v>
      </c>
      <c r="BK52" s="110" t="n">
        <v>0</v>
      </c>
      <c r="BL52" s="110" t="n">
        <v>0</v>
      </c>
      <c r="BM52" s="110" t="n">
        <v>0</v>
      </c>
      <c r="BN52" s="110" t="n">
        <v>0</v>
      </c>
      <c r="BO52" s="110" t="n">
        <v>0</v>
      </c>
      <c r="BP52" s="110" t="n">
        <v>0</v>
      </c>
      <c r="BQ52" s="110" t="n">
        <v>0</v>
      </c>
      <c r="BR52" s="110" t="n">
        <v>0</v>
      </c>
      <c r="BS52" s="110" t="n">
        <v>0</v>
      </c>
      <c r="BT52" s="110" t="n">
        <v>0</v>
      </c>
      <c r="BU52" s="110" t="n">
        <v>0</v>
      </c>
      <c r="BV52" s="110" t="n">
        <v>0</v>
      </c>
      <c r="BW52" s="110" t="n">
        <v>0</v>
      </c>
      <c r="BX52" s="110" t="n">
        <v>0</v>
      </c>
      <c r="BY52" s="110" t="n">
        <v>0</v>
      </c>
      <c r="BZ52" s="110" t="n">
        <v>0</v>
      </c>
      <c r="CA52" s="110" t="n">
        <v>0</v>
      </c>
      <c r="CB52" s="110" t="n">
        <v>0</v>
      </c>
      <c r="CC52" s="110" t="n">
        <v>0</v>
      </c>
      <c r="CD52" s="110" t="n">
        <v>0</v>
      </c>
      <c r="CE52" s="110" t="n">
        <v>0</v>
      </c>
      <c r="CF52" s="110" t="n">
        <v>0</v>
      </c>
      <c r="CG52" s="110" t="n">
        <v>0</v>
      </c>
      <c r="CH52" s="110" t="n">
        <v>0</v>
      </c>
      <c r="CI52" s="110" t="n">
        <v>0</v>
      </c>
      <c r="CJ52" s="110" t="n">
        <v>0</v>
      </c>
      <c r="CK52" s="110" t="n">
        <v>0</v>
      </c>
      <c r="CL52" s="110" t="n">
        <v>0</v>
      </c>
      <c r="CM52" s="110" t="n">
        <v>0</v>
      </c>
      <c r="CN52" s="110" t="n">
        <v>0</v>
      </c>
      <c r="CO52" s="110" t="n">
        <v>260275</v>
      </c>
      <c r="CP52" s="110" t="n">
        <v>0</v>
      </c>
      <c r="CQ52" s="110" t="n">
        <v>0</v>
      </c>
      <c r="CR52" s="110" t="n">
        <v>0</v>
      </c>
      <c r="CS52" s="110" t="n">
        <v>0</v>
      </c>
      <c r="CT52" s="110" t="n">
        <v>0</v>
      </c>
      <c r="CU52" s="110" t="n">
        <v>0</v>
      </c>
      <c r="CV52" s="111" t="n">
        <v>0</v>
      </c>
      <c r="CW52" s="111" t="n">
        <v>0</v>
      </c>
      <c r="CX52" s="111" t="n">
        <v>0</v>
      </c>
      <c r="CY52" s="111" t="n">
        <v>0</v>
      </c>
      <c r="CZ52" s="111" t="n">
        <v>0</v>
      </c>
      <c r="DA52" s="111" t="n">
        <v>0</v>
      </c>
      <c r="DB52" s="111" t="n">
        <v>0</v>
      </c>
      <c r="DC52" s="111" t="n">
        <v>0</v>
      </c>
      <c r="DD52" s="111" t="n">
        <v>0</v>
      </c>
      <c r="DE52" s="111" t="n">
        <v>0</v>
      </c>
      <c r="DF52" s="111" t="n">
        <v>0</v>
      </c>
      <c r="DG52" s="111" t="n">
        <v>0</v>
      </c>
      <c r="DH52" s="111" t="n">
        <v>0</v>
      </c>
      <c r="DI52" s="111" t="n">
        <v>0</v>
      </c>
      <c r="DJ52" s="111" t="n">
        <v>0</v>
      </c>
      <c r="DK52" s="111" t="n">
        <v>0</v>
      </c>
      <c r="DL52" s="111" t="n">
        <v>0</v>
      </c>
      <c r="DM52" s="111" t="n">
        <v>0</v>
      </c>
      <c r="DN52" s="111" t="n">
        <v>0</v>
      </c>
      <c r="DO52" s="111" t="n">
        <v>0</v>
      </c>
      <c r="DP52" s="111" t="n">
        <v>0</v>
      </c>
      <c r="DQ52" s="111" t="n">
        <v>0</v>
      </c>
      <c r="DR52" s="111" t="n">
        <v>0</v>
      </c>
      <c r="DS52" s="111" t="n">
        <v>0</v>
      </c>
      <c r="DT52" s="111" t="n">
        <v>0</v>
      </c>
      <c r="DU52" s="111" t="n">
        <v>0</v>
      </c>
      <c r="DV52" s="111" t="n">
        <v>0</v>
      </c>
      <c r="DW52" s="111" t="n">
        <v>0</v>
      </c>
      <c r="DX52" s="111" t="n">
        <v>0</v>
      </c>
      <c r="DY52" s="111" t="n">
        <v>0</v>
      </c>
      <c r="DZ52" s="111" t="n">
        <v>0</v>
      </c>
      <c r="EA52" s="111" t="n">
        <v>0</v>
      </c>
      <c r="EB52" s="111" t="n">
        <v>0</v>
      </c>
      <c r="EC52" s="111" t="n">
        <v>0</v>
      </c>
      <c r="ED52" s="111" t="n">
        <v>0</v>
      </c>
      <c r="EE52" s="111" t="n">
        <v>0</v>
      </c>
      <c r="EF52" s="111" t="n">
        <v>0</v>
      </c>
      <c r="EG52" s="111" t="n">
        <v>0</v>
      </c>
      <c r="EH52" s="111" t="n">
        <v>0</v>
      </c>
      <c r="EI52" s="111" t="n">
        <v>0</v>
      </c>
      <c r="EJ52" s="111" t="n">
        <v>0</v>
      </c>
      <c r="EK52" s="111" t="n">
        <v>0</v>
      </c>
      <c r="EL52" s="111" t="n">
        <v>0</v>
      </c>
      <c r="EM52" s="111" t="n">
        <v>0</v>
      </c>
      <c r="EN52" s="111" t="n">
        <v>0</v>
      </c>
      <c r="EO52" s="111" t="n">
        <v>0</v>
      </c>
      <c r="EP52" s="111" t="n">
        <v>0</v>
      </c>
      <c r="EQ52" s="111" t="n">
        <v>0</v>
      </c>
      <c r="ER52" s="111" t="n">
        <v>0</v>
      </c>
      <c r="ES52" s="111" t="n">
        <v>0</v>
      </c>
      <c r="ET52" s="111" t="n">
        <v>0</v>
      </c>
      <c r="EU52" s="111" t="n">
        <v>0</v>
      </c>
      <c r="EV52" s="111" t="n">
        <v>0</v>
      </c>
      <c r="EW52" s="111" t="n">
        <v>0</v>
      </c>
      <c r="EX52" s="111" t="n">
        <v>0</v>
      </c>
      <c r="EY52" s="111" t="n">
        <v>0</v>
      </c>
      <c r="EZ52" s="111" t="n">
        <v>0</v>
      </c>
      <c r="FA52" s="111" t="n">
        <v>0</v>
      </c>
      <c r="FB52" s="111" t="n">
        <v>0</v>
      </c>
    </row>
    <row r="53" ht="28.5" customHeight="1" s="247">
      <c r="A53" s="107" t="n">
        <v>50</v>
      </c>
      <c r="B53" s="107" t="inlineStr">
        <is>
          <t>成人手术</t>
        </is>
      </c>
      <c r="C53" s="107" t="inlineStr">
        <is>
          <t>胎儿医学与宫内儿科学诊治中心</t>
        </is>
      </c>
      <c r="D53" s="110" t="n">
        <v>104341</v>
      </c>
      <c r="E53" s="110" t="n">
        <v>104341</v>
      </c>
      <c r="F53" s="110" t="n">
        <v>0</v>
      </c>
      <c r="G53" s="110" t="n">
        <v>330</v>
      </c>
      <c r="H53" s="110" t="n">
        <v>0</v>
      </c>
      <c r="I53" s="110" t="n">
        <v>351</v>
      </c>
      <c r="J53" s="110" t="n">
        <v>0</v>
      </c>
      <c r="K53" s="110" t="n">
        <v>0</v>
      </c>
      <c r="L53" s="110" t="n">
        <v>0</v>
      </c>
      <c r="M53" s="110" t="n">
        <v>0</v>
      </c>
      <c r="N53" s="110" t="n">
        <v>0</v>
      </c>
      <c r="O53" s="110" t="n">
        <v>120448.72</v>
      </c>
      <c r="P53" s="110" t="n">
        <v>105809.64</v>
      </c>
      <c r="Q53" s="110" t="n">
        <v>95915</v>
      </c>
      <c r="R53" s="110" t="n">
        <v>9894.639999999999</v>
      </c>
      <c r="S53" s="110" t="n">
        <v>14639.08</v>
      </c>
      <c r="T53" s="110" t="n">
        <v>6837.56</v>
      </c>
      <c r="U53" s="110" t="n">
        <v>7801.52</v>
      </c>
      <c r="V53" s="110" t="n">
        <v>120448.72</v>
      </c>
      <c r="W53" s="110" t="n">
        <v>105809.64</v>
      </c>
      <c r="X53" s="110" t="n">
        <v>95915</v>
      </c>
      <c r="Y53" s="110" t="n">
        <v>9894.639999999999</v>
      </c>
      <c r="Z53" s="110" t="n">
        <v>14639.08</v>
      </c>
      <c r="AA53" s="110" t="n">
        <v>6837.56</v>
      </c>
      <c r="AB53" s="110" t="n">
        <v>7801.52</v>
      </c>
      <c r="AC53" s="110" t="n">
        <v>15762.03</v>
      </c>
      <c r="AD53" s="110" t="n">
        <v>14605.95</v>
      </c>
      <c r="AE53" s="110" t="n">
        <v>13588.39</v>
      </c>
      <c r="AF53" s="110" t="n">
        <v>1017.56</v>
      </c>
      <c r="AG53" s="110" t="n">
        <v>1156.08</v>
      </c>
      <c r="AH53" s="110" t="n">
        <v>438.56</v>
      </c>
      <c r="AI53" s="110" t="n">
        <v>717.52</v>
      </c>
      <c r="AJ53" s="110" t="n">
        <v>345.69</v>
      </c>
      <c r="AK53" s="110" t="n">
        <v>345.69</v>
      </c>
      <c r="AL53" s="110" t="n">
        <v>285.61</v>
      </c>
      <c r="AM53" s="110" t="n">
        <v>60.08</v>
      </c>
      <c r="AN53" s="110" t="n">
        <v>0</v>
      </c>
      <c r="AO53" s="110" t="n">
        <v>0</v>
      </c>
      <c r="AP53" s="110" t="n">
        <v>0</v>
      </c>
      <c r="AQ53" s="110" t="n">
        <v>95595</v>
      </c>
      <c r="AR53" s="110" t="n">
        <v>83262</v>
      </c>
      <c r="AS53" s="110" t="n">
        <v>75156</v>
      </c>
      <c r="AT53" s="110" t="n">
        <v>8106</v>
      </c>
      <c r="AU53" s="110" t="n">
        <v>12333</v>
      </c>
      <c r="AV53" s="110" t="n">
        <v>5974</v>
      </c>
      <c r="AW53" s="110" t="n">
        <v>6359</v>
      </c>
      <c r="AX53" s="110" t="n">
        <v>8746</v>
      </c>
      <c r="AY53" s="110" t="n">
        <v>7596</v>
      </c>
      <c r="AZ53" s="110" t="n">
        <v>6885</v>
      </c>
      <c r="BA53" s="110" t="n">
        <v>711</v>
      </c>
      <c r="BB53" s="110" t="n">
        <v>1150</v>
      </c>
      <c r="BC53" s="110" t="n">
        <v>425</v>
      </c>
      <c r="BD53" s="110" t="n">
        <v>725</v>
      </c>
      <c r="BE53" s="110" t="n">
        <v>0</v>
      </c>
      <c r="BF53" s="110" t="n">
        <v>0</v>
      </c>
      <c r="BG53" s="110" t="n">
        <v>0</v>
      </c>
      <c r="BH53" s="110" t="n">
        <v>0</v>
      </c>
      <c r="BI53" s="110" t="n">
        <v>0</v>
      </c>
      <c r="BJ53" s="110" t="n">
        <v>0</v>
      </c>
      <c r="BK53" s="110" t="n">
        <v>0</v>
      </c>
      <c r="BL53" s="110" t="n">
        <v>0</v>
      </c>
      <c r="BM53" s="110" t="n">
        <v>0</v>
      </c>
      <c r="BN53" s="110" t="n">
        <v>0</v>
      </c>
      <c r="BO53" s="110" t="n">
        <v>0</v>
      </c>
      <c r="BP53" s="110" t="n">
        <v>0</v>
      </c>
      <c r="BQ53" s="110" t="n">
        <v>0</v>
      </c>
      <c r="BR53" s="110" t="n">
        <v>0</v>
      </c>
      <c r="BS53" s="110" t="n">
        <v>0</v>
      </c>
      <c r="BT53" s="110" t="n">
        <v>0</v>
      </c>
      <c r="BU53" s="110" t="n">
        <v>0</v>
      </c>
      <c r="BV53" s="110" t="n">
        <v>0</v>
      </c>
      <c r="BW53" s="110" t="n">
        <v>0</v>
      </c>
      <c r="BX53" s="110" t="n">
        <v>0</v>
      </c>
      <c r="BY53" s="110" t="n">
        <v>0</v>
      </c>
      <c r="BZ53" s="110" t="n">
        <v>0</v>
      </c>
      <c r="CA53" s="110" t="n">
        <v>0</v>
      </c>
      <c r="CB53" s="110" t="n">
        <v>0</v>
      </c>
      <c r="CC53" s="110" t="n">
        <v>0</v>
      </c>
      <c r="CD53" s="110" t="n">
        <v>0</v>
      </c>
      <c r="CE53" s="110" t="n">
        <v>0</v>
      </c>
      <c r="CF53" s="110" t="n">
        <v>0</v>
      </c>
      <c r="CG53" s="110" t="n">
        <v>0</v>
      </c>
      <c r="CH53" s="110" t="n">
        <v>0</v>
      </c>
      <c r="CI53" s="110" t="n">
        <v>0</v>
      </c>
      <c r="CJ53" s="110" t="n">
        <v>0</v>
      </c>
      <c r="CK53" s="110" t="n">
        <v>0</v>
      </c>
      <c r="CL53" s="110" t="n">
        <v>0</v>
      </c>
      <c r="CM53" s="110" t="n">
        <v>0</v>
      </c>
      <c r="CN53" s="110" t="n">
        <v>8784.93</v>
      </c>
      <c r="CO53" s="110" t="n">
        <v>109099.77</v>
      </c>
      <c r="CP53" s="110" t="n">
        <v>2564.02</v>
      </c>
      <c r="CQ53" s="110" t="n">
        <v>0</v>
      </c>
      <c r="CR53" s="110" t="n">
        <v>0</v>
      </c>
      <c r="CS53" s="110" t="n">
        <v>0</v>
      </c>
      <c r="CT53" s="110" t="n">
        <v>0</v>
      </c>
      <c r="CU53" s="110" t="n">
        <v>0</v>
      </c>
      <c r="CV53" s="111" t="n">
        <v>330</v>
      </c>
      <c r="CW53" s="111" t="n">
        <v>284</v>
      </c>
      <c r="CX53" s="111" t="n">
        <v>260</v>
      </c>
      <c r="CY53" s="111" t="n">
        <v>24</v>
      </c>
      <c r="CZ53" s="111" t="n">
        <v>46</v>
      </c>
      <c r="DA53" s="111" t="n">
        <v>17</v>
      </c>
      <c r="DB53" s="111" t="n">
        <v>29</v>
      </c>
      <c r="DC53" s="111" t="n">
        <v>313</v>
      </c>
      <c r="DD53" s="111" t="n">
        <v>0</v>
      </c>
      <c r="DE53" s="111" t="n">
        <v>267</v>
      </c>
      <c r="DF53" s="111" t="n">
        <v>245</v>
      </c>
      <c r="DG53" s="111" t="n">
        <v>22</v>
      </c>
      <c r="DH53" s="111" t="n">
        <v>46</v>
      </c>
      <c r="DI53" s="111" t="n">
        <v>17</v>
      </c>
      <c r="DJ53" s="111" t="n">
        <v>29</v>
      </c>
      <c r="DK53" s="111" t="n">
        <v>4</v>
      </c>
      <c r="DL53" s="111" t="n">
        <v>4</v>
      </c>
      <c r="DM53" s="111" t="n">
        <v>4</v>
      </c>
      <c r="DN53" s="111" t="n">
        <v>0</v>
      </c>
      <c r="DO53" s="111" t="n">
        <v>0</v>
      </c>
      <c r="DP53" s="111" t="n">
        <v>0</v>
      </c>
      <c r="DQ53" s="111" t="n">
        <v>0</v>
      </c>
      <c r="DR53" s="111" t="n">
        <v>0</v>
      </c>
      <c r="DS53" s="111" t="n">
        <v>0</v>
      </c>
      <c r="DT53" s="111" t="n">
        <v>0</v>
      </c>
      <c r="DU53" s="111" t="n">
        <v>0</v>
      </c>
      <c r="DV53" s="111" t="n">
        <v>0</v>
      </c>
      <c r="DW53" s="111" t="n">
        <v>0</v>
      </c>
      <c r="DX53" s="111" t="n">
        <v>0</v>
      </c>
      <c r="DY53" s="111" t="n">
        <v>0</v>
      </c>
      <c r="DZ53" s="111" t="n">
        <v>13</v>
      </c>
      <c r="EA53" s="111" t="n">
        <v>13</v>
      </c>
      <c r="EB53" s="111" t="n">
        <v>11</v>
      </c>
      <c r="EC53" s="111" t="n">
        <v>2</v>
      </c>
      <c r="ED53" s="111" t="n">
        <v>0</v>
      </c>
      <c r="EE53" s="111" t="n">
        <v>0</v>
      </c>
      <c r="EF53" s="111" t="n">
        <v>0</v>
      </c>
      <c r="EG53" s="111" t="n">
        <v>0</v>
      </c>
      <c r="EH53" s="111" t="n">
        <v>0</v>
      </c>
      <c r="EI53" s="111" t="n">
        <v>0</v>
      </c>
      <c r="EJ53" s="111" t="n">
        <v>0</v>
      </c>
      <c r="EK53" s="111" t="n">
        <v>0</v>
      </c>
      <c r="EL53" s="111" t="n">
        <v>0</v>
      </c>
      <c r="EM53" s="111" t="n">
        <v>0</v>
      </c>
      <c r="EN53" s="111" t="n">
        <v>0</v>
      </c>
      <c r="EO53" s="111" t="n">
        <v>0</v>
      </c>
      <c r="EP53" s="111" t="n">
        <v>0</v>
      </c>
      <c r="EQ53" s="111" t="n">
        <v>0</v>
      </c>
      <c r="ER53" s="111" t="n">
        <v>0</v>
      </c>
      <c r="ES53" s="111" t="n">
        <v>0</v>
      </c>
      <c r="ET53" s="111" t="n">
        <v>0</v>
      </c>
      <c r="EU53" s="111" t="n">
        <v>0</v>
      </c>
      <c r="EV53" s="111" t="n">
        <v>0</v>
      </c>
      <c r="EW53" s="111" t="n">
        <v>0</v>
      </c>
      <c r="EX53" s="111" t="n">
        <v>0</v>
      </c>
      <c r="EY53" s="111" t="n">
        <v>0</v>
      </c>
      <c r="EZ53" s="111" t="n">
        <v>0</v>
      </c>
      <c r="FA53" s="111" t="n">
        <v>0</v>
      </c>
      <c r="FB53" s="111" t="n">
        <v>0</v>
      </c>
    </row>
    <row r="54" ht="19.5" customHeight="1" s="247">
      <c r="A54" s="107" t="n">
        <v>51</v>
      </c>
      <c r="B54" s="107" t="inlineStr">
        <is>
          <t>医技平台</t>
        </is>
      </c>
      <c r="C54" s="107" t="inlineStr">
        <is>
          <t>麻醉科</t>
        </is>
      </c>
      <c r="D54" s="110" t="n">
        <v>607274</v>
      </c>
      <c r="E54" s="110" t="n">
        <v>607274</v>
      </c>
      <c r="F54" s="110" t="n">
        <v>0</v>
      </c>
      <c r="G54" s="110" t="n">
        <v>990</v>
      </c>
      <c r="H54" s="110" t="n">
        <v>0</v>
      </c>
      <c r="I54" s="110" t="n">
        <v>-32</v>
      </c>
      <c r="J54" s="110" t="n">
        <v>583680</v>
      </c>
      <c r="K54" s="110" t="n">
        <v>0</v>
      </c>
      <c r="L54" s="110" t="n">
        <v>0</v>
      </c>
      <c r="M54" s="110" t="n">
        <v>0</v>
      </c>
      <c r="N54" s="110" t="n">
        <v>0</v>
      </c>
      <c r="O54" s="110" t="n">
        <v>909724.7</v>
      </c>
      <c r="P54" s="110" t="n">
        <v>809665.7</v>
      </c>
      <c r="Q54" s="110" t="n">
        <v>771728.1800000001</v>
      </c>
      <c r="R54" s="110" t="n">
        <v>37937.52</v>
      </c>
      <c r="S54" s="110" t="n">
        <v>100059</v>
      </c>
      <c r="T54" s="110" t="n">
        <v>65102.1</v>
      </c>
      <c r="U54" s="110" t="n">
        <v>34956.9</v>
      </c>
      <c r="V54" s="110" t="n">
        <v>909724.7</v>
      </c>
      <c r="W54" s="110" t="n">
        <v>809665.7</v>
      </c>
      <c r="X54" s="110" t="n">
        <v>771728.1800000001</v>
      </c>
      <c r="Y54" s="110" t="n">
        <v>37937.52</v>
      </c>
      <c r="Z54" s="110" t="n">
        <v>100059</v>
      </c>
      <c r="AA54" s="110" t="n">
        <v>65102.1</v>
      </c>
      <c r="AB54" s="110" t="n">
        <v>34956.9</v>
      </c>
      <c r="AC54" s="110" t="n">
        <v>84228.62</v>
      </c>
      <c r="AD54" s="110" t="n">
        <v>74976.62</v>
      </c>
      <c r="AE54" s="110" t="n">
        <v>71497.25999999999</v>
      </c>
      <c r="AF54" s="110" t="n">
        <v>3479.36</v>
      </c>
      <c r="AG54" s="110" t="n">
        <v>9252</v>
      </c>
      <c r="AH54" s="110" t="n">
        <v>6013.8</v>
      </c>
      <c r="AI54" s="110" t="n">
        <v>3238.2</v>
      </c>
      <c r="AJ54" s="110" t="n">
        <v>218222.08</v>
      </c>
      <c r="AK54" s="110" t="n">
        <v>194240.08</v>
      </c>
      <c r="AL54" s="110" t="n">
        <v>185126.92</v>
      </c>
      <c r="AM54" s="110" t="n">
        <v>9113.16</v>
      </c>
      <c r="AN54" s="110" t="n">
        <v>23982</v>
      </c>
      <c r="AO54" s="110" t="n">
        <v>15588.3</v>
      </c>
      <c r="AP54" s="110" t="n">
        <v>8393.700000000001</v>
      </c>
      <c r="AQ54" s="110" t="n">
        <v>0</v>
      </c>
      <c r="AR54" s="110" t="n">
        <v>0</v>
      </c>
      <c r="AS54" s="110" t="n">
        <v>0</v>
      </c>
      <c r="AT54" s="110" t="n">
        <v>0</v>
      </c>
      <c r="AU54" s="110" t="n">
        <v>0</v>
      </c>
      <c r="AV54" s="110" t="n">
        <v>0</v>
      </c>
      <c r="AW54" s="110" t="n">
        <v>0</v>
      </c>
      <c r="AX54" s="110" t="n">
        <v>607274</v>
      </c>
      <c r="AY54" s="110" t="n">
        <v>540449</v>
      </c>
      <c r="AZ54" s="110" t="n">
        <v>515104</v>
      </c>
      <c r="BA54" s="110" t="n">
        <v>25345</v>
      </c>
      <c r="BB54" s="110" t="n">
        <v>66825</v>
      </c>
      <c r="BC54" s="110" t="n">
        <v>43500</v>
      </c>
      <c r="BD54" s="110" t="n">
        <v>23325</v>
      </c>
      <c r="BE54" s="110" t="n">
        <v>0</v>
      </c>
      <c r="BF54" s="110" t="n">
        <v>0</v>
      </c>
      <c r="BG54" s="110" t="n">
        <v>0</v>
      </c>
      <c r="BH54" s="110" t="n">
        <v>0</v>
      </c>
      <c r="BI54" s="110" t="n">
        <v>0</v>
      </c>
      <c r="BJ54" s="110" t="n">
        <v>0</v>
      </c>
      <c r="BK54" s="110" t="n">
        <v>0</v>
      </c>
      <c r="BL54" s="110" t="n">
        <v>0</v>
      </c>
      <c r="BM54" s="110" t="n">
        <v>0</v>
      </c>
      <c r="BN54" s="110" t="n">
        <v>0</v>
      </c>
      <c r="BO54" s="110" t="n">
        <v>0</v>
      </c>
      <c r="BP54" s="110" t="n">
        <v>0</v>
      </c>
      <c r="BQ54" s="110" t="n">
        <v>0</v>
      </c>
      <c r="BR54" s="110" t="n">
        <v>0</v>
      </c>
      <c r="BS54" s="110" t="n">
        <v>0</v>
      </c>
      <c r="BT54" s="110" t="n">
        <v>0</v>
      </c>
      <c r="BU54" s="110" t="n">
        <v>0</v>
      </c>
      <c r="BV54" s="110" t="n">
        <v>0</v>
      </c>
      <c r="BW54" s="110" t="n">
        <v>0</v>
      </c>
      <c r="BX54" s="110" t="n">
        <v>0</v>
      </c>
      <c r="BY54" s="110" t="n">
        <v>0</v>
      </c>
      <c r="BZ54" s="110" t="n">
        <v>0</v>
      </c>
      <c r="CA54" s="110" t="n">
        <v>0</v>
      </c>
      <c r="CB54" s="110" t="n">
        <v>0</v>
      </c>
      <c r="CC54" s="110" t="n">
        <v>0</v>
      </c>
      <c r="CD54" s="110" t="n">
        <v>0</v>
      </c>
      <c r="CE54" s="110" t="n">
        <v>0</v>
      </c>
      <c r="CF54" s="110" t="n">
        <v>0</v>
      </c>
      <c r="CG54" s="110" t="n">
        <v>0</v>
      </c>
      <c r="CH54" s="110" t="n">
        <v>0</v>
      </c>
      <c r="CI54" s="110" t="n">
        <v>0</v>
      </c>
      <c r="CJ54" s="110" t="n">
        <v>0</v>
      </c>
      <c r="CK54" s="110" t="n">
        <v>0</v>
      </c>
      <c r="CL54" s="110" t="n">
        <v>0</v>
      </c>
      <c r="CM54" s="110" t="n">
        <v>0</v>
      </c>
      <c r="CN54" s="110" t="n">
        <v>0</v>
      </c>
      <c r="CO54" s="110" t="n">
        <v>0</v>
      </c>
      <c r="CP54" s="110" t="n">
        <v>0</v>
      </c>
      <c r="CQ54" s="110" t="n">
        <v>909724.7</v>
      </c>
      <c r="CR54" s="110" t="n">
        <v>0</v>
      </c>
      <c r="CS54" s="110" t="n">
        <v>0</v>
      </c>
      <c r="CT54" s="110" t="n">
        <v>0</v>
      </c>
      <c r="CU54" s="110" t="n">
        <v>0</v>
      </c>
      <c r="CV54" s="111" t="n">
        <v>990</v>
      </c>
      <c r="CW54" s="111" t="n">
        <v>877</v>
      </c>
      <c r="CX54" s="111" t="n">
        <v>836</v>
      </c>
      <c r="CY54" s="111" t="n">
        <v>41</v>
      </c>
      <c r="CZ54" s="111" t="n">
        <v>113</v>
      </c>
      <c r="DA54" s="111" t="n">
        <v>76</v>
      </c>
      <c r="DB54" s="111" t="n">
        <v>37</v>
      </c>
      <c r="DC54" s="111" t="n">
        <v>990</v>
      </c>
      <c r="DD54" s="111" t="n">
        <v>0</v>
      </c>
      <c r="DE54" s="111" t="n">
        <v>877</v>
      </c>
      <c r="DF54" s="111" t="n">
        <v>836</v>
      </c>
      <c r="DG54" s="111" t="n">
        <v>41</v>
      </c>
      <c r="DH54" s="111" t="n">
        <v>113</v>
      </c>
      <c r="DI54" s="111" t="n">
        <v>76</v>
      </c>
      <c r="DJ54" s="111" t="n">
        <v>37</v>
      </c>
      <c r="DK54" s="111" t="n">
        <v>0</v>
      </c>
      <c r="DL54" s="111" t="n">
        <v>0</v>
      </c>
      <c r="DM54" s="111" t="n">
        <v>0</v>
      </c>
      <c r="DN54" s="111" t="n">
        <v>0</v>
      </c>
      <c r="DO54" s="111" t="n">
        <v>0</v>
      </c>
      <c r="DP54" s="111" t="n">
        <v>0</v>
      </c>
      <c r="DQ54" s="111" t="n">
        <v>0</v>
      </c>
      <c r="DR54" s="111" t="n">
        <v>0</v>
      </c>
      <c r="DS54" s="111" t="n">
        <v>0</v>
      </c>
      <c r="DT54" s="111" t="n">
        <v>0</v>
      </c>
      <c r="DU54" s="111" t="n">
        <v>0</v>
      </c>
      <c r="DV54" s="111" t="n">
        <v>0</v>
      </c>
      <c r="DW54" s="111" t="n">
        <v>0</v>
      </c>
      <c r="DX54" s="111" t="n">
        <v>0</v>
      </c>
      <c r="DY54" s="111" t="n">
        <v>0</v>
      </c>
      <c r="DZ54" s="111" t="n">
        <v>0</v>
      </c>
      <c r="EA54" s="111" t="n">
        <v>0</v>
      </c>
      <c r="EB54" s="111" t="n">
        <v>0</v>
      </c>
      <c r="EC54" s="111" t="n">
        <v>0</v>
      </c>
      <c r="ED54" s="111" t="n">
        <v>0</v>
      </c>
      <c r="EE54" s="111" t="n">
        <v>0</v>
      </c>
      <c r="EF54" s="111" t="n">
        <v>0</v>
      </c>
      <c r="EG54" s="111" t="n">
        <v>0</v>
      </c>
      <c r="EH54" s="111" t="n">
        <v>0</v>
      </c>
      <c r="EI54" s="111" t="n">
        <v>0</v>
      </c>
      <c r="EJ54" s="111" t="n">
        <v>0</v>
      </c>
      <c r="EK54" s="111" t="n">
        <v>0</v>
      </c>
      <c r="EL54" s="111" t="n">
        <v>0</v>
      </c>
      <c r="EM54" s="111" t="n">
        <v>0</v>
      </c>
      <c r="EN54" s="111" t="n">
        <v>1</v>
      </c>
      <c r="EO54" s="111" t="n">
        <v>0</v>
      </c>
      <c r="EP54" s="111" t="n">
        <v>0</v>
      </c>
      <c r="EQ54" s="111" t="n">
        <v>1</v>
      </c>
      <c r="ER54" s="111" t="n">
        <v>0</v>
      </c>
      <c r="ES54" s="111" t="n">
        <v>0</v>
      </c>
      <c r="ET54" s="111" t="n">
        <v>0</v>
      </c>
      <c r="EU54" s="111" t="n">
        <v>0</v>
      </c>
      <c r="EV54" s="111" t="n">
        <v>0</v>
      </c>
      <c r="EW54" s="111" t="n">
        <v>0</v>
      </c>
      <c r="EX54" s="111" t="n">
        <v>0</v>
      </c>
      <c r="EY54" s="111" t="n">
        <v>0</v>
      </c>
      <c r="EZ54" s="111" t="n">
        <v>0</v>
      </c>
      <c r="FA54" s="111" t="n">
        <v>0</v>
      </c>
      <c r="FB54" s="111" t="n">
        <v>0</v>
      </c>
    </row>
    <row r="55" ht="19.5" customHeight="1" s="247">
      <c r="A55" s="107" t="n">
        <v>52</v>
      </c>
      <c r="B55" s="107" t="inlineStr">
        <is>
          <t>成人非手术</t>
        </is>
      </c>
      <c r="C55" s="107" t="inlineStr">
        <is>
          <t>放疗科</t>
        </is>
      </c>
      <c r="D55" s="110" t="n">
        <v>583759</v>
      </c>
      <c r="E55" s="110" t="n">
        <v>583759</v>
      </c>
      <c r="F55" s="110" t="n">
        <v>0</v>
      </c>
      <c r="G55" s="110" t="n">
        <v>178</v>
      </c>
      <c r="H55" s="110" t="n">
        <v>0</v>
      </c>
      <c r="I55" s="110" t="n">
        <v>554198</v>
      </c>
      <c r="J55" s="110" t="n">
        <v>22</v>
      </c>
      <c r="K55" s="110" t="n">
        <v>0</v>
      </c>
      <c r="L55" s="110" t="n">
        <v>0</v>
      </c>
      <c r="M55" s="110" t="n">
        <v>0</v>
      </c>
      <c r="N55" s="110" t="n">
        <v>0</v>
      </c>
      <c r="O55" s="110" t="n">
        <v>691610.47</v>
      </c>
      <c r="P55" s="110" t="n">
        <v>523157.89</v>
      </c>
      <c r="Q55" s="110" t="n">
        <v>523067.89</v>
      </c>
      <c r="R55" s="110" t="n">
        <v>90</v>
      </c>
      <c r="S55" s="110" t="n">
        <v>168452.58</v>
      </c>
      <c r="T55" s="110" t="n">
        <v>167569.05</v>
      </c>
      <c r="U55" s="110" t="n">
        <v>883.53</v>
      </c>
      <c r="V55" s="110" t="n">
        <v>691610.47</v>
      </c>
      <c r="W55" s="110" t="n">
        <v>523157.89</v>
      </c>
      <c r="X55" s="110" t="n">
        <v>523067.89</v>
      </c>
      <c r="Y55" s="110" t="n">
        <v>90</v>
      </c>
      <c r="Z55" s="110" t="n">
        <v>168452.58</v>
      </c>
      <c r="AA55" s="110" t="n">
        <v>167569.05</v>
      </c>
      <c r="AB55" s="110" t="n">
        <v>883.53</v>
      </c>
      <c r="AC55" s="110" t="n">
        <v>106302.43</v>
      </c>
      <c r="AD55" s="110" t="n">
        <v>84552.39999999999</v>
      </c>
      <c r="AE55" s="110" t="n">
        <v>84552.39999999999</v>
      </c>
      <c r="AF55" s="110" t="n">
        <v>0</v>
      </c>
      <c r="AG55" s="110" t="n">
        <v>21750.03</v>
      </c>
      <c r="AH55" s="110" t="n">
        <v>21596.5</v>
      </c>
      <c r="AI55" s="110" t="n">
        <v>153.53</v>
      </c>
      <c r="AJ55" s="110" t="n">
        <v>1549.04</v>
      </c>
      <c r="AK55" s="110" t="n">
        <v>1108.49</v>
      </c>
      <c r="AL55" s="110" t="n">
        <v>1108.49</v>
      </c>
      <c r="AM55" s="110" t="n">
        <v>0</v>
      </c>
      <c r="AN55" s="110" t="n">
        <v>440.55</v>
      </c>
      <c r="AO55" s="110" t="n">
        <v>440.55</v>
      </c>
      <c r="AP55" s="110" t="n">
        <v>0</v>
      </c>
      <c r="AQ55" s="110" t="n">
        <v>22474</v>
      </c>
      <c r="AR55" s="110" t="n">
        <v>16346</v>
      </c>
      <c r="AS55" s="110" t="n">
        <v>16346</v>
      </c>
      <c r="AT55" s="110" t="n">
        <v>0</v>
      </c>
      <c r="AU55" s="110" t="n">
        <v>6128</v>
      </c>
      <c r="AV55" s="110" t="n">
        <v>6128</v>
      </c>
      <c r="AW55" s="110" t="n">
        <v>0</v>
      </c>
      <c r="AX55" s="110" t="n">
        <v>561285</v>
      </c>
      <c r="AY55" s="110" t="n">
        <v>421151</v>
      </c>
      <c r="AZ55" s="110" t="n">
        <v>421061</v>
      </c>
      <c r="BA55" s="110" t="n">
        <v>90</v>
      </c>
      <c r="BB55" s="110" t="n">
        <v>140134</v>
      </c>
      <c r="BC55" s="110" t="n">
        <v>139404</v>
      </c>
      <c r="BD55" s="110" t="n">
        <v>730</v>
      </c>
      <c r="BE55" s="110" t="n">
        <v>0</v>
      </c>
      <c r="BF55" s="110" t="n">
        <v>0</v>
      </c>
      <c r="BG55" s="110" t="n">
        <v>0</v>
      </c>
      <c r="BH55" s="110" t="n">
        <v>0</v>
      </c>
      <c r="BI55" s="110" t="n">
        <v>0</v>
      </c>
      <c r="BJ55" s="110" t="n">
        <v>0</v>
      </c>
      <c r="BK55" s="110" t="n">
        <v>0</v>
      </c>
      <c r="BL55" s="110" t="n">
        <v>0</v>
      </c>
      <c r="BM55" s="110" t="n">
        <v>0</v>
      </c>
      <c r="BN55" s="110" t="n">
        <v>0</v>
      </c>
      <c r="BO55" s="110" t="n">
        <v>0</v>
      </c>
      <c r="BP55" s="110" t="n">
        <v>0</v>
      </c>
      <c r="BQ55" s="110" t="n">
        <v>0</v>
      </c>
      <c r="BR55" s="110" t="n">
        <v>0</v>
      </c>
      <c r="BS55" s="110" t="n">
        <v>0</v>
      </c>
      <c r="BT55" s="110" t="n">
        <v>0</v>
      </c>
      <c r="BU55" s="110" t="n">
        <v>0</v>
      </c>
      <c r="BV55" s="110" t="n">
        <v>0</v>
      </c>
      <c r="BW55" s="110" t="n">
        <v>0</v>
      </c>
      <c r="BX55" s="110" t="n">
        <v>0</v>
      </c>
      <c r="BY55" s="110" t="n">
        <v>0</v>
      </c>
      <c r="BZ55" s="110" t="n">
        <v>0</v>
      </c>
      <c r="CA55" s="110" t="n">
        <v>0</v>
      </c>
      <c r="CB55" s="110" t="n">
        <v>0</v>
      </c>
      <c r="CC55" s="110" t="n">
        <v>0</v>
      </c>
      <c r="CD55" s="110" t="n">
        <v>0</v>
      </c>
      <c r="CE55" s="110" t="n">
        <v>0</v>
      </c>
      <c r="CF55" s="110" t="n">
        <v>0</v>
      </c>
      <c r="CG55" s="110" t="n">
        <v>0</v>
      </c>
      <c r="CH55" s="110" t="n">
        <v>0</v>
      </c>
      <c r="CI55" s="110" t="n">
        <v>0</v>
      </c>
      <c r="CJ55" s="110" t="n">
        <v>0</v>
      </c>
      <c r="CK55" s="110" t="n">
        <v>0</v>
      </c>
      <c r="CL55" s="110" t="n">
        <v>0</v>
      </c>
      <c r="CM55" s="110" t="n">
        <v>0</v>
      </c>
      <c r="CN55" s="110" t="n">
        <v>0</v>
      </c>
      <c r="CO55" s="110" t="n">
        <v>227145.21</v>
      </c>
      <c r="CP55" s="110" t="n">
        <v>464465.26</v>
      </c>
      <c r="CQ55" s="110" t="n">
        <v>0</v>
      </c>
      <c r="CR55" s="110" t="n">
        <v>0</v>
      </c>
      <c r="CS55" s="110" t="n">
        <v>0</v>
      </c>
      <c r="CT55" s="110" t="n">
        <v>0</v>
      </c>
      <c r="CU55" s="110" t="n">
        <v>0</v>
      </c>
      <c r="CV55" s="111" t="n">
        <v>178</v>
      </c>
      <c r="CW55" s="111" t="n">
        <v>112</v>
      </c>
      <c r="CX55" s="111" t="n">
        <v>110</v>
      </c>
      <c r="CY55" s="111" t="n">
        <v>2</v>
      </c>
      <c r="CZ55" s="111" t="n">
        <v>66</v>
      </c>
      <c r="DA55" s="111" t="n">
        <v>51</v>
      </c>
      <c r="DB55" s="111" t="n">
        <v>15</v>
      </c>
      <c r="DC55" s="111" t="n">
        <v>39</v>
      </c>
      <c r="DD55" s="111" t="n">
        <v>0</v>
      </c>
      <c r="DE55" s="111" t="n">
        <v>23</v>
      </c>
      <c r="DF55" s="111" t="n">
        <v>23</v>
      </c>
      <c r="DG55" s="111" t="n">
        <v>0</v>
      </c>
      <c r="DH55" s="111" t="n">
        <v>16</v>
      </c>
      <c r="DI55" s="111" t="n">
        <v>16</v>
      </c>
      <c r="DJ55" s="111" t="n">
        <v>0</v>
      </c>
      <c r="DK55" s="111" t="n">
        <v>139</v>
      </c>
      <c r="DL55" s="111" t="n">
        <v>89</v>
      </c>
      <c r="DM55" s="111" t="n">
        <v>87</v>
      </c>
      <c r="DN55" s="111" t="n">
        <v>2</v>
      </c>
      <c r="DO55" s="111" t="n">
        <v>50</v>
      </c>
      <c r="DP55" s="111" t="n">
        <v>35</v>
      </c>
      <c r="DQ55" s="111" t="n">
        <v>15</v>
      </c>
      <c r="DR55" s="111" t="n">
        <v>0</v>
      </c>
      <c r="DS55" s="111" t="n">
        <v>0</v>
      </c>
      <c r="DT55" s="111" t="n">
        <v>0</v>
      </c>
      <c r="DU55" s="111" t="n">
        <v>0</v>
      </c>
      <c r="DV55" s="111" t="n">
        <v>0</v>
      </c>
      <c r="DW55" s="111" t="n">
        <v>0</v>
      </c>
      <c r="DX55" s="111" t="n">
        <v>0</v>
      </c>
      <c r="DY55" s="111" t="n">
        <v>0</v>
      </c>
      <c r="DZ55" s="111" t="n">
        <v>0</v>
      </c>
      <c r="EA55" s="111" t="n">
        <v>0</v>
      </c>
      <c r="EB55" s="111" t="n">
        <v>0</v>
      </c>
      <c r="EC55" s="111" t="n">
        <v>0</v>
      </c>
      <c r="ED55" s="111" t="n">
        <v>0</v>
      </c>
      <c r="EE55" s="111" t="n">
        <v>0</v>
      </c>
      <c r="EF55" s="111" t="n">
        <v>0</v>
      </c>
      <c r="EG55" s="111" t="n">
        <v>0</v>
      </c>
      <c r="EH55" s="111" t="n">
        <v>0</v>
      </c>
      <c r="EI55" s="111" t="n">
        <v>0</v>
      </c>
      <c r="EJ55" s="111" t="n">
        <v>0</v>
      </c>
      <c r="EK55" s="111" t="n">
        <v>0</v>
      </c>
      <c r="EL55" s="111" t="n">
        <v>0</v>
      </c>
      <c r="EM55" s="111" t="n">
        <v>0</v>
      </c>
      <c r="EN55" s="111" t="n">
        <v>0</v>
      </c>
      <c r="EO55" s="111" t="n">
        <v>0</v>
      </c>
      <c r="EP55" s="111" t="n">
        <v>0</v>
      </c>
      <c r="EQ55" s="111" t="n">
        <v>0</v>
      </c>
      <c r="ER55" s="111" t="n">
        <v>0</v>
      </c>
      <c r="ES55" s="111" t="n">
        <v>0</v>
      </c>
      <c r="ET55" s="111" t="n">
        <v>0</v>
      </c>
      <c r="EU55" s="111" t="n">
        <v>0</v>
      </c>
      <c r="EV55" s="111" t="n">
        <v>0</v>
      </c>
      <c r="EW55" s="111" t="n">
        <v>0</v>
      </c>
      <c r="EX55" s="111" t="n">
        <v>0</v>
      </c>
      <c r="EY55" s="111" t="n">
        <v>0</v>
      </c>
      <c r="EZ55" s="111" t="n">
        <v>0</v>
      </c>
      <c r="FA55" s="111" t="n">
        <v>0</v>
      </c>
      <c r="FB55" s="111" t="n">
        <v>0</v>
      </c>
    </row>
    <row r="56" ht="19.5" customHeight="1" s="247">
      <c r="A56" s="107" t="n">
        <v>53</v>
      </c>
      <c r="B56" s="107" t="inlineStr">
        <is>
          <t>医技平台</t>
        </is>
      </c>
      <c r="C56" s="107" t="inlineStr">
        <is>
          <t>病理科</t>
        </is>
      </c>
      <c r="D56" s="110" t="n">
        <v>112167</v>
      </c>
      <c r="E56" s="110" t="n">
        <v>112167</v>
      </c>
      <c r="F56" s="110" t="n">
        <v>0</v>
      </c>
      <c r="G56" s="110" t="n">
        <v>79</v>
      </c>
      <c r="H56" s="110" t="n">
        <v>0</v>
      </c>
      <c r="I56" s="110" t="n">
        <v>0</v>
      </c>
      <c r="J56" s="110" t="n">
        <v>0</v>
      </c>
      <c r="K56" s="110" t="n">
        <v>0</v>
      </c>
      <c r="L56" s="110" t="n">
        <v>0</v>
      </c>
      <c r="M56" s="110" t="n">
        <v>0</v>
      </c>
      <c r="N56" s="110" t="n">
        <v>0</v>
      </c>
      <c r="O56" s="110" t="n">
        <v>112167</v>
      </c>
      <c r="P56" s="110" t="n">
        <v>100595</v>
      </c>
      <c r="Q56" s="110" t="n">
        <v>86915</v>
      </c>
      <c r="R56" s="110" t="n">
        <v>13680</v>
      </c>
      <c r="S56" s="110" t="n">
        <v>11572</v>
      </c>
      <c r="T56" s="110" t="n">
        <v>11316</v>
      </c>
      <c r="U56" s="110" t="n">
        <v>256</v>
      </c>
      <c r="V56" s="110" t="n">
        <v>112167</v>
      </c>
      <c r="W56" s="110" t="n">
        <v>100595</v>
      </c>
      <c r="X56" s="110" t="n">
        <v>86915</v>
      </c>
      <c r="Y56" s="110" t="n">
        <v>13680</v>
      </c>
      <c r="Z56" s="110" t="n">
        <v>11572</v>
      </c>
      <c r="AA56" s="110" t="n">
        <v>11316</v>
      </c>
      <c r="AB56" s="110" t="n">
        <v>256</v>
      </c>
      <c r="AC56" s="110" t="n">
        <v>0</v>
      </c>
      <c r="AD56" s="110" t="n">
        <v>0</v>
      </c>
      <c r="AE56" s="110" t="n">
        <v>0</v>
      </c>
      <c r="AF56" s="110" t="n">
        <v>0</v>
      </c>
      <c r="AG56" s="110" t="n">
        <v>0</v>
      </c>
      <c r="AH56" s="110" t="n">
        <v>0</v>
      </c>
      <c r="AI56" s="110" t="n">
        <v>0</v>
      </c>
      <c r="AJ56" s="110" t="n">
        <v>0</v>
      </c>
      <c r="AK56" s="110" t="n">
        <v>0</v>
      </c>
      <c r="AL56" s="110" t="n">
        <v>0</v>
      </c>
      <c r="AM56" s="110" t="n">
        <v>0</v>
      </c>
      <c r="AN56" s="110" t="n">
        <v>0</v>
      </c>
      <c r="AO56" s="110" t="n">
        <v>0</v>
      </c>
      <c r="AP56" s="110" t="n">
        <v>0</v>
      </c>
      <c r="AQ56" s="110" t="n">
        <v>111655</v>
      </c>
      <c r="AR56" s="110" t="n">
        <v>100595</v>
      </c>
      <c r="AS56" s="110" t="n">
        <v>86915</v>
      </c>
      <c r="AT56" s="110" t="n">
        <v>13680</v>
      </c>
      <c r="AU56" s="110" t="n">
        <v>11060</v>
      </c>
      <c r="AV56" s="110" t="n">
        <v>11060</v>
      </c>
      <c r="AW56" s="110" t="n">
        <v>0</v>
      </c>
      <c r="AX56" s="110" t="n">
        <v>512</v>
      </c>
      <c r="AY56" s="110" t="n">
        <v>0</v>
      </c>
      <c r="AZ56" s="110" t="n">
        <v>0</v>
      </c>
      <c r="BA56" s="110" t="n">
        <v>0</v>
      </c>
      <c r="BB56" s="110" t="n">
        <v>512</v>
      </c>
      <c r="BC56" s="110" t="n">
        <v>256</v>
      </c>
      <c r="BD56" s="110" t="n">
        <v>256</v>
      </c>
      <c r="BE56" s="110" t="n">
        <v>0</v>
      </c>
      <c r="BF56" s="110" t="n">
        <v>0</v>
      </c>
      <c r="BG56" s="110" t="n">
        <v>0</v>
      </c>
      <c r="BH56" s="110" t="n">
        <v>0</v>
      </c>
      <c r="BI56" s="110" t="n">
        <v>0</v>
      </c>
      <c r="BJ56" s="110" t="n">
        <v>0</v>
      </c>
      <c r="BK56" s="110" t="n">
        <v>0</v>
      </c>
      <c r="BL56" s="110" t="n">
        <v>0</v>
      </c>
      <c r="BM56" s="110" t="n">
        <v>0</v>
      </c>
      <c r="BN56" s="110" t="n">
        <v>0</v>
      </c>
      <c r="BO56" s="110" t="n">
        <v>0</v>
      </c>
      <c r="BP56" s="110" t="n">
        <v>0</v>
      </c>
      <c r="BQ56" s="110" t="n">
        <v>0</v>
      </c>
      <c r="BR56" s="110" t="n">
        <v>0</v>
      </c>
      <c r="BS56" s="110" t="n">
        <v>0</v>
      </c>
      <c r="BT56" s="110" t="n">
        <v>0</v>
      </c>
      <c r="BU56" s="110" t="n">
        <v>0</v>
      </c>
      <c r="BV56" s="110" t="n">
        <v>0</v>
      </c>
      <c r="BW56" s="110" t="n">
        <v>0</v>
      </c>
      <c r="BX56" s="110" t="n">
        <v>0</v>
      </c>
      <c r="BY56" s="110" t="n">
        <v>0</v>
      </c>
      <c r="BZ56" s="110" t="n">
        <v>0</v>
      </c>
      <c r="CA56" s="110" t="n">
        <v>0</v>
      </c>
      <c r="CB56" s="110" t="n">
        <v>0</v>
      </c>
      <c r="CC56" s="110" t="n">
        <v>0</v>
      </c>
      <c r="CD56" s="110" t="n">
        <v>0</v>
      </c>
      <c r="CE56" s="110" t="n">
        <v>0</v>
      </c>
      <c r="CF56" s="110" t="n">
        <v>0</v>
      </c>
      <c r="CG56" s="110" t="n">
        <v>0</v>
      </c>
      <c r="CH56" s="110" t="n">
        <v>0</v>
      </c>
      <c r="CI56" s="110" t="n">
        <v>0</v>
      </c>
      <c r="CJ56" s="110" t="n">
        <v>0</v>
      </c>
      <c r="CK56" s="110" t="n">
        <v>0</v>
      </c>
      <c r="CL56" s="110" t="n">
        <v>0</v>
      </c>
      <c r="CM56" s="110" t="n">
        <v>0</v>
      </c>
      <c r="CN56" s="110" t="n">
        <v>0</v>
      </c>
      <c r="CO56" s="110" t="n">
        <v>0</v>
      </c>
      <c r="CP56" s="110" t="n">
        <v>0</v>
      </c>
      <c r="CQ56" s="110" t="n">
        <v>110455</v>
      </c>
      <c r="CR56" s="110" t="n">
        <v>1712</v>
      </c>
      <c r="CS56" s="110" t="n">
        <v>0</v>
      </c>
      <c r="CT56" s="110" t="n">
        <v>0</v>
      </c>
      <c r="CU56" s="110" t="n">
        <v>0</v>
      </c>
      <c r="CV56" s="111" t="n">
        <v>79</v>
      </c>
      <c r="CW56" s="111" t="n">
        <v>61</v>
      </c>
      <c r="CX56" s="111" t="n">
        <v>52</v>
      </c>
      <c r="CY56" s="111" t="n">
        <v>9</v>
      </c>
      <c r="CZ56" s="111" t="n">
        <v>18</v>
      </c>
      <c r="DA56" s="111" t="n">
        <v>15</v>
      </c>
      <c r="DB56" s="111" t="n">
        <v>3</v>
      </c>
      <c r="DC56" s="111" t="n">
        <v>77</v>
      </c>
      <c r="DD56" s="111" t="n">
        <v>0</v>
      </c>
      <c r="DE56" s="111" t="n">
        <v>61</v>
      </c>
      <c r="DF56" s="111" t="n">
        <v>52</v>
      </c>
      <c r="DG56" s="111" t="n">
        <v>9</v>
      </c>
      <c r="DH56" s="111" t="n">
        <v>16</v>
      </c>
      <c r="DI56" s="111" t="n">
        <v>14</v>
      </c>
      <c r="DJ56" s="111" t="n">
        <v>2</v>
      </c>
      <c r="DK56" s="111" t="n">
        <v>0</v>
      </c>
      <c r="DL56" s="111" t="n">
        <v>0</v>
      </c>
      <c r="DM56" s="111" t="n">
        <v>0</v>
      </c>
      <c r="DN56" s="111" t="n">
        <v>0</v>
      </c>
      <c r="DO56" s="111" t="n">
        <v>0</v>
      </c>
      <c r="DP56" s="111" t="n">
        <v>0</v>
      </c>
      <c r="DQ56" s="111" t="n">
        <v>0</v>
      </c>
      <c r="DR56" s="111" t="n">
        <v>2</v>
      </c>
      <c r="DS56" s="111" t="n">
        <v>0</v>
      </c>
      <c r="DT56" s="111" t="n">
        <v>0</v>
      </c>
      <c r="DU56" s="111" t="n">
        <v>0</v>
      </c>
      <c r="DV56" s="111" t="n">
        <v>0</v>
      </c>
      <c r="DW56" s="111" t="n">
        <v>2</v>
      </c>
      <c r="DX56" s="111" t="n">
        <v>1</v>
      </c>
      <c r="DY56" s="111" t="n">
        <v>1</v>
      </c>
      <c r="DZ56" s="111" t="n">
        <v>0</v>
      </c>
      <c r="EA56" s="111" t="n">
        <v>0</v>
      </c>
      <c r="EB56" s="111" t="n">
        <v>0</v>
      </c>
      <c r="EC56" s="111" t="n">
        <v>0</v>
      </c>
      <c r="ED56" s="111" t="n">
        <v>0</v>
      </c>
      <c r="EE56" s="111" t="n">
        <v>0</v>
      </c>
      <c r="EF56" s="111" t="n">
        <v>0</v>
      </c>
      <c r="EG56" s="111" t="n">
        <v>0</v>
      </c>
      <c r="EH56" s="111" t="n">
        <v>0</v>
      </c>
      <c r="EI56" s="111" t="n">
        <v>0</v>
      </c>
      <c r="EJ56" s="111" t="n">
        <v>0</v>
      </c>
      <c r="EK56" s="111" t="n">
        <v>0</v>
      </c>
      <c r="EL56" s="111" t="n">
        <v>0</v>
      </c>
      <c r="EM56" s="111" t="n">
        <v>0</v>
      </c>
      <c r="EN56" s="111" t="n">
        <v>0</v>
      </c>
      <c r="EO56" s="111" t="n">
        <v>0</v>
      </c>
      <c r="EP56" s="111" t="n">
        <v>0</v>
      </c>
      <c r="EQ56" s="111" t="n">
        <v>0</v>
      </c>
      <c r="ER56" s="111" t="n">
        <v>0</v>
      </c>
      <c r="ES56" s="111" t="n">
        <v>0</v>
      </c>
      <c r="ET56" s="111" t="n">
        <v>0</v>
      </c>
      <c r="EU56" s="111" t="n">
        <v>0</v>
      </c>
      <c r="EV56" s="111" t="n">
        <v>0</v>
      </c>
      <c r="EW56" s="111" t="n">
        <v>0</v>
      </c>
      <c r="EX56" s="111" t="n">
        <v>0</v>
      </c>
      <c r="EY56" s="111" t="n">
        <v>0</v>
      </c>
      <c r="EZ56" s="111" t="n">
        <v>0</v>
      </c>
      <c r="FA56" s="111" t="n">
        <v>0</v>
      </c>
      <c r="FB56" s="111" t="n">
        <v>0</v>
      </c>
    </row>
    <row r="57" ht="19.5" customHeight="1" s="247">
      <c r="A57" s="107" t="n">
        <v>54</v>
      </c>
      <c r="B57" s="107" t="inlineStr">
        <is>
          <t>医技平台</t>
        </is>
      </c>
      <c r="C57" s="107" t="inlineStr">
        <is>
          <t>放射科</t>
        </is>
      </c>
      <c r="D57" s="110" t="n">
        <v>65320</v>
      </c>
      <c r="E57" s="110" t="n">
        <v>65320</v>
      </c>
      <c r="F57" s="110" t="n">
        <v>0</v>
      </c>
      <c r="G57" s="110" t="n">
        <v>1257</v>
      </c>
      <c r="H57" s="110" t="n">
        <v>0</v>
      </c>
      <c r="I57" s="110" t="n">
        <v>0</v>
      </c>
      <c r="J57" s="110" t="n">
        <v>0</v>
      </c>
      <c r="K57" s="110" t="n">
        <v>0</v>
      </c>
      <c r="L57" s="110" t="n">
        <v>0</v>
      </c>
      <c r="M57" s="110" t="n">
        <v>0</v>
      </c>
      <c r="N57" s="110" t="n">
        <v>0</v>
      </c>
      <c r="O57" s="110" t="n">
        <v>65320</v>
      </c>
      <c r="P57" s="110" t="n">
        <v>53980</v>
      </c>
      <c r="Q57" s="110" t="n">
        <v>36300</v>
      </c>
      <c r="R57" s="110" t="n">
        <v>17680</v>
      </c>
      <c r="S57" s="110" t="n">
        <v>11340</v>
      </c>
      <c r="T57" s="110" t="n">
        <v>6540</v>
      </c>
      <c r="U57" s="110" t="n">
        <v>4800</v>
      </c>
      <c r="V57" s="110" t="n">
        <v>65320</v>
      </c>
      <c r="W57" s="110" t="n">
        <v>53980</v>
      </c>
      <c r="X57" s="110" t="n">
        <v>36300</v>
      </c>
      <c r="Y57" s="110" t="n">
        <v>17680</v>
      </c>
      <c r="Z57" s="110" t="n">
        <v>11340</v>
      </c>
      <c r="AA57" s="110" t="n">
        <v>6540</v>
      </c>
      <c r="AB57" s="110" t="n">
        <v>4800</v>
      </c>
      <c r="AC57" s="110" t="n">
        <v>0</v>
      </c>
      <c r="AD57" s="110" t="n">
        <v>0</v>
      </c>
      <c r="AE57" s="110" t="n">
        <v>0</v>
      </c>
      <c r="AF57" s="110" t="n">
        <v>0</v>
      </c>
      <c r="AG57" s="110" t="n">
        <v>0</v>
      </c>
      <c r="AH57" s="110" t="n">
        <v>0</v>
      </c>
      <c r="AI57" s="110" t="n">
        <v>0</v>
      </c>
      <c r="AJ57" s="110" t="n">
        <v>0</v>
      </c>
      <c r="AK57" s="110" t="n">
        <v>0</v>
      </c>
      <c r="AL57" s="110" t="n">
        <v>0</v>
      </c>
      <c r="AM57" s="110" t="n">
        <v>0</v>
      </c>
      <c r="AN57" s="110" t="n">
        <v>0</v>
      </c>
      <c r="AO57" s="110" t="n">
        <v>0</v>
      </c>
      <c r="AP57" s="110" t="n">
        <v>0</v>
      </c>
      <c r="AQ57" s="110" t="n">
        <v>65320</v>
      </c>
      <c r="AR57" s="110" t="n">
        <v>53980</v>
      </c>
      <c r="AS57" s="110" t="n">
        <v>36300</v>
      </c>
      <c r="AT57" s="110" t="n">
        <v>17680</v>
      </c>
      <c r="AU57" s="110" t="n">
        <v>11340</v>
      </c>
      <c r="AV57" s="110" t="n">
        <v>6540</v>
      </c>
      <c r="AW57" s="110" t="n">
        <v>4800</v>
      </c>
      <c r="AX57" s="110" t="n">
        <v>0</v>
      </c>
      <c r="AY57" s="110" t="n">
        <v>0</v>
      </c>
      <c r="AZ57" s="110" t="n">
        <v>0</v>
      </c>
      <c r="BA57" s="110" t="n">
        <v>0</v>
      </c>
      <c r="BB57" s="110" t="n">
        <v>0</v>
      </c>
      <c r="BC57" s="110" t="n">
        <v>0</v>
      </c>
      <c r="BD57" s="110" t="n">
        <v>0</v>
      </c>
      <c r="BE57" s="110" t="n">
        <v>0</v>
      </c>
      <c r="BF57" s="110" t="n">
        <v>0</v>
      </c>
      <c r="BG57" s="110" t="n">
        <v>0</v>
      </c>
      <c r="BH57" s="110" t="n">
        <v>0</v>
      </c>
      <c r="BI57" s="110" t="n">
        <v>0</v>
      </c>
      <c r="BJ57" s="110" t="n">
        <v>0</v>
      </c>
      <c r="BK57" s="110" t="n">
        <v>0</v>
      </c>
      <c r="BL57" s="110" t="n">
        <v>0</v>
      </c>
      <c r="BM57" s="110" t="n">
        <v>0</v>
      </c>
      <c r="BN57" s="110" t="n">
        <v>0</v>
      </c>
      <c r="BO57" s="110" t="n">
        <v>0</v>
      </c>
      <c r="BP57" s="110" t="n">
        <v>0</v>
      </c>
      <c r="BQ57" s="110" t="n">
        <v>0</v>
      </c>
      <c r="BR57" s="110" t="n">
        <v>0</v>
      </c>
      <c r="BS57" s="110" t="n">
        <v>0</v>
      </c>
      <c r="BT57" s="110" t="n">
        <v>0</v>
      </c>
      <c r="BU57" s="110" t="n">
        <v>0</v>
      </c>
      <c r="BV57" s="110" t="n">
        <v>0</v>
      </c>
      <c r="BW57" s="110" t="n">
        <v>0</v>
      </c>
      <c r="BX57" s="110" t="n">
        <v>0</v>
      </c>
      <c r="BY57" s="110" t="n">
        <v>0</v>
      </c>
      <c r="BZ57" s="110" t="n">
        <v>0</v>
      </c>
      <c r="CA57" s="110" t="n">
        <v>0</v>
      </c>
      <c r="CB57" s="110" t="n">
        <v>0</v>
      </c>
      <c r="CC57" s="110" t="n">
        <v>0</v>
      </c>
      <c r="CD57" s="110" t="n">
        <v>0</v>
      </c>
      <c r="CE57" s="110" t="n">
        <v>0</v>
      </c>
      <c r="CF57" s="110" t="n">
        <v>0</v>
      </c>
      <c r="CG57" s="110" t="n">
        <v>0</v>
      </c>
      <c r="CH57" s="110" t="n">
        <v>0</v>
      </c>
      <c r="CI57" s="110" t="n">
        <v>0</v>
      </c>
      <c r="CJ57" s="110" t="n">
        <v>0</v>
      </c>
      <c r="CK57" s="110" t="n">
        <v>0</v>
      </c>
      <c r="CL57" s="110" t="n">
        <v>0</v>
      </c>
      <c r="CM57" s="110" t="n">
        <v>0</v>
      </c>
      <c r="CN57" s="110" t="n">
        <v>0</v>
      </c>
      <c r="CO57" s="110" t="n">
        <v>0</v>
      </c>
      <c r="CP57" s="110" t="n">
        <v>0</v>
      </c>
      <c r="CQ57" s="110" t="n">
        <v>65320</v>
      </c>
      <c r="CR57" s="110" t="n">
        <v>0</v>
      </c>
      <c r="CS57" s="110" t="n">
        <v>0</v>
      </c>
      <c r="CT57" s="110" t="n">
        <v>0</v>
      </c>
      <c r="CU57" s="110" t="n">
        <v>0</v>
      </c>
      <c r="CV57" s="111" t="n">
        <v>1257</v>
      </c>
      <c r="CW57" s="111" t="n">
        <v>1026</v>
      </c>
      <c r="CX57" s="111" t="n">
        <v>779</v>
      </c>
      <c r="CY57" s="111" t="n">
        <v>247</v>
      </c>
      <c r="CZ57" s="111" t="n">
        <v>231</v>
      </c>
      <c r="DA57" s="111" t="n">
        <v>129</v>
      </c>
      <c r="DB57" s="111" t="n">
        <v>102</v>
      </c>
      <c r="DC57" s="111" t="n">
        <v>1257</v>
      </c>
      <c r="DD57" s="111" t="n">
        <v>0</v>
      </c>
      <c r="DE57" s="111" t="n">
        <v>1026</v>
      </c>
      <c r="DF57" s="111" t="n">
        <v>779</v>
      </c>
      <c r="DG57" s="111" t="n">
        <v>247</v>
      </c>
      <c r="DH57" s="111" t="n">
        <v>231</v>
      </c>
      <c r="DI57" s="111" t="n">
        <v>129</v>
      </c>
      <c r="DJ57" s="111" t="n">
        <v>102</v>
      </c>
      <c r="DK57" s="111" t="n">
        <v>0</v>
      </c>
      <c r="DL57" s="111" t="n">
        <v>0</v>
      </c>
      <c r="DM57" s="111" t="n">
        <v>0</v>
      </c>
      <c r="DN57" s="111" t="n">
        <v>0</v>
      </c>
      <c r="DO57" s="111" t="n">
        <v>0</v>
      </c>
      <c r="DP57" s="111" t="n">
        <v>0</v>
      </c>
      <c r="DQ57" s="111" t="n">
        <v>0</v>
      </c>
      <c r="DR57" s="111" t="n">
        <v>0</v>
      </c>
      <c r="DS57" s="111" t="n">
        <v>0</v>
      </c>
      <c r="DT57" s="111" t="n">
        <v>0</v>
      </c>
      <c r="DU57" s="111" t="n">
        <v>0</v>
      </c>
      <c r="DV57" s="111" t="n">
        <v>0</v>
      </c>
      <c r="DW57" s="111" t="n">
        <v>0</v>
      </c>
      <c r="DX57" s="111" t="n">
        <v>0</v>
      </c>
      <c r="DY57" s="111" t="n">
        <v>0</v>
      </c>
      <c r="DZ57" s="111" t="n">
        <v>0</v>
      </c>
      <c r="EA57" s="111" t="n">
        <v>0</v>
      </c>
      <c r="EB57" s="111" t="n">
        <v>0</v>
      </c>
      <c r="EC57" s="111" t="n">
        <v>0</v>
      </c>
      <c r="ED57" s="111" t="n">
        <v>0</v>
      </c>
      <c r="EE57" s="111" t="n">
        <v>0</v>
      </c>
      <c r="EF57" s="111" t="n">
        <v>0</v>
      </c>
      <c r="EG57" s="111" t="n">
        <v>0</v>
      </c>
      <c r="EH57" s="111" t="n">
        <v>0</v>
      </c>
      <c r="EI57" s="111" t="n">
        <v>0</v>
      </c>
      <c r="EJ57" s="111" t="n">
        <v>0</v>
      </c>
      <c r="EK57" s="111" t="n">
        <v>0</v>
      </c>
      <c r="EL57" s="111" t="n">
        <v>0</v>
      </c>
      <c r="EM57" s="111" t="n">
        <v>0</v>
      </c>
      <c r="EN57" s="111" t="n">
        <v>1</v>
      </c>
      <c r="EO57" s="111" t="n">
        <v>0</v>
      </c>
      <c r="EP57" s="111" t="n">
        <v>0</v>
      </c>
      <c r="EQ57" s="111" t="n">
        <v>1</v>
      </c>
      <c r="ER57" s="111" t="n">
        <v>0</v>
      </c>
      <c r="ES57" s="111" t="n">
        <v>0</v>
      </c>
      <c r="ET57" s="111" t="n">
        <v>0</v>
      </c>
      <c r="EU57" s="111" t="n">
        <v>0</v>
      </c>
      <c r="EV57" s="111" t="n">
        <v>0</v>
      </c>
      <c r="EW57" s="111" t="n">
        <v>0</v>
      </c>
      <c r="EX57" s="111" t="n">
        <v>0</v>
      </c>
      <c r="EY57" s="111" t="n">
        <v>0</v>
      </c>
      <c r="EZ57" s="111" t="n">
        <v>0</v>
      </c>
      <c r="FA57" s="111" t="n">
        <v>0</v>
      </c>
      <c r="FB57" s="111" t="n">
        <v>0</v>
      </c>
    </row>
    <row r="58" ht="19.5" customHeight="1" s="247">
      <c r="A58" s="107" t="n">
        <v>55</v>
      </c>
      <c r="B58" s="107" t="inlineStr">
        <is>
          <t>医技平台</t>
        </is>
      </c>
      <c r="C58" s="107" t="inlineStr">
        <is>
          <t>超声诊断科</t>
        </is>
      </c>
      <c r="D58" s="110" t="n">
        <v>17034</v>
      </c>
      <c r="E58" s="110" t="n">
        <v>17034</v>
      </c>
      <c r="F58" s="110" t="n">
        <v>0</v>
      </c>
      <c r="G58" s="110" t="n">
        <v>36</v>
      </c>
      <c r="H58" s="110" t="n">
        <v>0</v>
      </c>
      <c r="I58" s="110" t="n">
        <v>0</v>
      </c>
      <c r="J58" s="110" t="n">
        <v>3018</v>
      </c>
      <c r="K58" s="110" t="n">
        <v>0</v>
      </c>
      <c r="L58" s="110" t="n">
        <v>0</v>
      </c>
      <c r="M58" s="110" t="n">
        <v>0</v>
      </c>
      <c r="N58" s="110" t="n">
        <v>0</v>
      </c>
      <c r="O58" s="110" t="n">
        <v>21659.18</v>
      </c>
      <c r="P58" s="110" t="n">
        <v>19215.18</v>
      </c>
      <c r="Q58" s="110" t="n">
        <v>18317.65</v>
      </c>
      <c r="R58" s="110" t="n">
        <v>897.53</v>
      </c>
      <c r="S58" s="110" t="n">
        <v>2444</v>
      </c>
      <c r="T58" s="110" t="n">
        <v>2444</v>
      </c>
      <c r="U58" s="110" t="n">
        <v>0</v>
      </c>
      <c r="V58" s="110" t="n">
        <v>21659.18</v>
      </c>
      <c r="W58" s="110" t="n">
        <v>19215.18</v>
      </c>
      <c r="X58" s="110" t="n">
        <v>18317.65</v>
      </c>
      <c r="Y58" s="110" t="n">
        <v>897.53</v>
      </c>
      <c r="Z58" s="110" t="n">
        <v>2444</v>
      </c>
      <c r="AA58" s="110" t="n">
        <v>2444</v>
      </c>
      <c r="AB58" s="110" t="n">
        <v>0</v>
      </c>
      <c r="AC58" s="110" t="n">
        <v>3075.18</v>
      </c>
      <c r="AD58" s="110" t="n">
        <v>3075.18</v>
      </c>
      <c r="AE58" s="110" t="n">
        <v>2562.65</v>
      </c>
      <c r="AF58" s="110" t="n">
        <v>512.53</v>
      </c>
      <c r="AG58" s="110" t="n">
        <v>0</v>
      </c>
      <c r="AH58" s="110" t="n">
        <v>0</v>
      </c>
      <c r="AI58" s="110" t="n">
        <v>0</v>
      </c>
      <c r="AJ58" s="110" t="n">
        <v>1550</v>
      </c>
      <c r="AK58" s="110" t="n">
        <v>1360</v>
      </c>
      <c r="AL58" s="110" t="n">
        <v>1360</v>
      </c>
      <c r="AM58" s="110" t="n">
        <v>0</v>
      </c>
      <c r="AN58" s="110" t="n">
        <v>190</v>
      </c>
      <c r="AO58" s="110" t="n">
        <v>190</v>
      </c>
      <c r="AP58" s="110" t="n">
        <v>0</v>
      </c>
      <c r="AQ58" s="110" t="n">
        <v>12636</v>
      </c>
      <c r="AR58" s="110" t="n">
        <v>11141</v>
      </c>
      <c r="AS58" s="110" t="n">
        <v>10821</v>
      </c>
      <c r="AT58" s="110" t="n">
        <v>320</v>
      </c>
      <c r="AU58" s="110" t="n">
        <v>1495</v>
      </c>
      <c r="AV58" s="110" t="n">
        <v>1495</v>
      </c>
      <c r="AW58" s="110" t="n">
        <v>0</v>
      </c>
      <c r="AX58" s="110" t="n">
        <v>4398</v>
      </c>
      <c r="AY58" s="110" t="n">
        <v>3639</v>
      </c>
      <c r="AZ58" s="110" t="n">
        <v>3574</v>
      </c>
      <c r="BA58" s="110" t="n">
        <v>65</v>
      </c>
      <c r="BB58" s="110" t="n">
        <v>759</v>
      </c>
      <c r="BC58" s="110" t="n">
        <v>759</v>
      </c>
      <c r="BD58" s="110" t="n">
        <v>0</v>
      </c>
      <c r="BE58" s="110" t="n">
        <v>0</v>
      </c>
      <c r="BF58" s="110" t="n">
        <v>0</v>
      </c>
      <c r="BG58" s="110" t="n">
        <v>0</v>
      </c>
      <c r="BH58" s="110" t="n">
        <v>0</v>
      </c>
      <c r="BI58" s="110" t="n">
        <v>0</v>
      </c>
      <c r="BJ58" s="110" t="n">
        <v>0</v>
      </c>
      <c r="BK58" s="110" t="n">
        <v>0</v>
      </c>
      <c r="BL58" s="110" t="n">
        <v>0</v>
      </c>
      <c r="BM58" s="110" t="n">
        <v>0</v>
      </c>
      <c r="BN58" s="110" t="n">
        <v>0</v>
      </c>
      <c r="BO58" s="110" t="n">
        <v>0</v>
      </c>
      <c r="BP58" s="110" t="n">
        <v>0</v>
      </c>
      <c r="BQ58" s="110" t="n">
        <v>0</v>
      </c>
      <c r="BR58" s="110" t="n">
        <v>0</v>
      </c>
      <c r="BS58" s="110" t="n">
        <v>0</v>
      </c>
      <c r="BT58" s="110" t="n">
        <v>0</v>
      </c>
      <c r="BU58" s="110" t="n">
        <v>0</v>
      </c>
      <c r="BV58" s="110" t="n">
        <v>0</v>
      </c>
      <c r="BW58" s="110" t="n">
        <v>0</v>
      </c>
      <c r="BX58" s="110" t="n">
        <v>0</v>
      </c>
      <c r="BY58" s="110" t="n">
        <v>0</v>
      </c>
      <c r="BZ58" s="110" t="n">
        <v>0</v>
      </c>
      <c r="CA58" s="110" t="n">
        <v>0</v>
      </c>
      <c r="CB58" s="110" t="n">
        <v>0</v>
      </c>
      <c r="CC58" s="110" t="n">
        <v>0</v>
      </c>
      <c r="CD58" s="110" t="n">
        <v>0</v>
      </c>
      <c r="CE58" s="110" t="n">
        <v>0</v>
      </c>
      <c r="CF58" s="110" t="n">
        <v>0</v>
      </c>
      <c r="CG58" s="110" t="n">
        <v>0</v>
      </c>
      <c r="CH58" s="110" t="n">
        <v>0</v>
      </c>
      <c r="CI58" s="110" t="n">
        <v>0</v>
      </c>
      <c r="CJ58" s="110" t="n">
        <v>0</v>
      </c>
      <c r="CK58" s="110" t="n">
        <v>0</v>
      </c>
      <c r="CL58" s="110" t="n">
        <v>0</v>
      </c>
      <c r="CM58" s="110" t="n">
        <v>0</v>
      </c>
      <c r="CN58" s="110" t="n">
        <v>0</v>
      </c>
      <c r="CO58" s="110" t="n">
        <v>2713</v>
      </c>
      <c r="CP58" s="110" t="n">
        <v>12024.12</v>
      </c>
      <c r="CQ58" s="110" t="n">
        <v>6922.06</v>
      </c>
      <c r="CR58" s="110" t="n">
        <v>0</v>
      </c>
      <c r="CS58" s="110" t="n">
        <v>0</v>
      </c>
      <c r="CT58" s="110" t="n">
        <v>0</v>
      </c>
      <c r="CU58" s="110" t="n">
        <v>0</v>
      </c>
      <c r="CV58" s="111" t="n">
        <v>36</v>
      </c>
      <c r="CW58" s="111" t="n">
        <v>31</v>
      </c>
      <c r="CX58" s="111" t="n">
        <v>29</v>
      </c>
      <c r="CY58" s="111" t="n">
        <v>2</v>
      </c>
      <c r="CZ58" s="111" t="n">
        <v>5</v>
      </c>
      <c r="DA58" s="111" t="n">
        <v>5</v>
      </c>
      <c r="DB58" s="111" t="n">
        <v>0</v>
      </c>
      <c r="DC58" s="111" t="n">
        <v>4</v>
      </c>
      <c r="DD58" s="111" t="n">
        <v>0</v>
      </c>
      <c r="DE58" s="111" t="n">
        <v>3</v>
      </c>
      <c r="DF58" s="111" t="n">
        <v>2</v>
      </c>
      <c r="DG58" s="111" t="n">
        <v>1</v>
      </c>
      <c r="DH58" s="111" t="n">
        <v>1</v>
      </c>
      <c r="DI58" s="111" t="n">
        <v>1</v>
      </c>
      <c r="DJ58" s="111" t="n">
        <v>0</v>
      </c>
      <c r="DK58" s="111" t="n">
        <v>32</v>
      </c>
      <c r="DL58" s="111" t="n">
        <v>28</v>
      </c>
      <c r="DM58" s="111" t="n">
        <v>27</v>
      </c>
      <c r="DN58" s="111" t="n">
        <v>1</v>
      </c>
      <c r="DO58" s="111" t="n">
        <v>4</v>
      </c>
      <c r="DP58" s="111" t="n">
        <v>4</v>
      </c>
      <c r="DQ58" s="111" t="n">
        <v>0</v>
      </c>
      <c r="DR58" s="111" t="n">
        <v>0</v>
      </c>
      <c r="DS58" s="111" t="n">
        <v>0</v>
      </c>
      <c r="DT58" s="111" t="n">
        <v>0</v>
      </c>
      <c r="DU58" s="111" t="n">
        <v>0</v>
      </c>
      <c r="DV58" s="111" t="n">
        <v>0</v>
      </c>
      <c r="DW58" s="111" t="n">
        <v>0</v>
      </c>
      <c r="DX58" s="111" t="n">
        <v>0</v>
      </c>
      <c r="DY58" s="111" t="n">
        <v>0</v>
      </c>
      <c r="DZ58" s="111" t="n">
        <v>0</v>
      </c>
      <c r="EA58" s="111" t="n">
        <v>0</v>
      </c>
      <c r="EB58" s="111" t="n">
        <v>0</v>
      </c>
      <c r="EC58" s="111" t="n">
        <v>0</v>
      </c>
      <c r="ED58" s="111" t="n">
        <v>0</v>
      </c>
      <c r="EE58" s="111" t="n">
        <v>0</v>
      </c>
      <c r="EF58" s="111" t="n">
        <v>0</v>
      </c>
      <c r="EG58" s="111" t="n">
        <v>0</v>
      </c>
      <c r="EH58" s="111" t="n">
        <v>0</v>
      </c>
      <c r="EI58" s="111" t="n">
        <v>0</v>
      </c>
      <c r="EJ58" s="111" t="n">
        <v>0</v>
      </c>
      <c r="EK58" s="111" t="n">
        <v>0</v>
      </c>
      <c r="EL58" s="111" t="n">
        <v>0</v>
      </c>
      <c r="EM58" s="111" t="n">
        <v>0</v>
      </c>
      <c r="EN58" s="111" t="n">
        <v>14</v>
      </c>
      <c r="EO58" s="111" t="n">
        <v>0</v>
      </c>
      <c r="EP58" s="111" t="n">
        <v>0</v>
      </c>
      <c r="EQ58" s="111" t="n">
        <v>14</v>
      </c>
      <c r="ER58" s="111" t="n">
        <v>0</v>
      </c>
      <c r="ES58" s="111" t="n">
        <v>0</v>
      </c>
      <c r="ET58" s="111" t="n">
        <v>0</v>
      </c>
      <c r="EU58" s="111" t="n">
        <v>0</v>
      </c>
      <c r="EV58" s="111" t="n">
        <v>0</v>
      </c>
      <c r="EW58" s="111" t="n">
        <v>0</v>
      </c>
      <c r="EX58" s="111" t="n">
        <v>0</v>
      </c>
      <c r="EY58" s="111" t="n">
        <v>0</v>
      </c>
      <c r="EZ58" s="111" t="n">
        <v>0</v>
      </c>
      <c r="FA58" s="111" t="n">
        <v>0</v>
      </c>
      <c r="FB58" s="111" t="n">
        <v>0</v>
      </c>
    </row>
    <row r="59" ht="19.5" customHeight="1" s="247">
      <c r="A59" s="107" t="n">
        <v>56</v>
      </c>
      <c r="B59" s="107" t="n"/>
      <c r="C59" s="107" t="inlineStr">
        <is>
          <t>其它</t>
        </is>
      </c>
      <c r="D59" s="110" t="n">
        <v>0</v>
      </c>
      <c r="E59" s="110" t="n">
        <v>0</v>
      </c>
      <c r="F59" s="110" t="n">
        <v>0</v>
      </c>
      <c r="G59" s="110" t="n">
        <v>151</v>
      </c>
      <c r="H59" s="110" t="n">
        <v>0</v>
      </c>
      <c r="I59" s="110" t="n">
        <v>0</v>
      </c>
      <c r="J59" s="110" t="n">
        <v>0</v>
      </c>
      <c r="K59" s="110" t="n">
        <v>0</v>
      </c>
      <c r="L59" s="110" t="n">
        <v>0</v>
      </c>
      <c r="M59" s="110" t="n">
        <v>0</v>
      </c>
      <c r="N59" s="110" t="n">
        <v>0</v>
      </c>
      <c r="O59" s="110" t="n">
        <v>461875.28</v>
      </c>
      <c r="P59" s="110" t="n">
        <v>375685.16</v>
      </c>
      <c r="Q59" s="110" t="n">
        <v>292336.4</v>
      </c>
      <c r="R59" s="110" t="n">
        <v>83348.75999999999</v>
      </c>
      <c r="S59" s="110" t="n">
        <v>86190.12</v>
      </c>
      <c r="T59" s="110" t="n">
        <v>60390.12</v>
      </c>
      <c r="U59" s="110" t="n">
        <v>25800</v>
      </c>
      <c r="V59" s="110" t="n">
        <v>0</v>
      </c>
      <c r="W59" s="110" t="n">
        <v>0</v>
      </c>
      <c r="X59" s="110" t="n">
        <v>0</v>
      </c>
      <c r="Y59" s="110" t="n">
        <v>0</v>
      </c>
      <c r="Z59" s="110" t="n">
        <v>0</v>
      </c>
      <c r="AA59" s="110" t="n">
        <v>0</v>
      </c>
      <c r="AB59" s="110" t="n">
        <v>0</v>
      </c>
      <c r="AC59" s="110" t="n">
        <v>0</v>
      </c>
      <c r="AD59" s="110" t="n">
        <v>0</v>
      </c>
      <c r="AE59" s="110" t="n">
        <v>0</v>
      </c>
      <c r="AF59" s="110" t="n">
        <v>0</v>
      </c>
      <c r="AG59" s="110" t="n">
        <v>0</v>
      </c>
      <c r="AH59" s="110" t="n">
        <v>0</v>
      </c>
      <c r="AI59" s="110" t="n">
        <v>0</v>
      </c>
      <c r="AJ59" s="110" t="n">
        <v>0</v>
      </c>
      <c r="AK59" s="110" t="n">
        <v>0</v>
      </c>
      <c r="AL59" s="110" t="n">
        <v>0</v>
      </c>
      <c r="AM59" s="110" t="n">
        <v>0</v>
      </c>
      <c r="AN59" s="110" t="n">
        <v>0</v>
      </c>
      <c r="AO59" s="110" t="n">
        <v>0</v>
      </c>
      <c r="AP59" s="110" t="n">
        <v>0</v>
      </c>
      <c r="AQ59" s="110" t="n">
        <v>0</v>
      </c>
      <c r="AR59" s="110" t="n">
        <v>0</v>
      </c>
      <c r="AS59" s="110" t="n">
        <v>0</v>
      </c>
      <c r="AT59" s="110" t="n">
        <v>0</v>
      </c>
      <c r="AU59" s="110" t="n">
        <v>0</v>
      </c>
      <c r="AV59" s="110" t="n">
        <v>0</v>
      </c>
      <c r="AW59" s="110" t="n">
        <v>0</v>
      </c>
      <c r="AX59" s="110" t="n">
        <v>0</v>
      </c>
      <c r="AY59" s="110" t="n">
        <v>0</v>
      </c>
      <c r="AZ59" s="110" t="n">
        <v>0</v>
      </c>
      <c r="BA59" s="110" t="n">
        <v>0</v>
      </c>
      <c r="BB59" s="110" t="n">
        <v>0</v>
      </c>
      <c r="BC59" s="110" t="n">
        <v>0</v>
      </c>
      <c r="BD59" s="110" t="n">
        <v>0</v>
      </c>
      <c r="BE59" s="110" t="n">
        <v>461875.28</v>
      </c>
      <c r="BF59" s="110" t="n">
        <v>375685.16</v>
      </c>
      <c r="BG59" s="110" t="n">
        <v>292336.4</v>
      </c>
      <c r="BH59" s="110" t="n">
        <v>83348.75999999999</v>
      </c>
      <c r="BI59" s="110" t="n">
        <v>86190.12</v>
      </c>
      <c r="BJ59" s="110" t="n">
        <v>60390.12</v>
      </c>
      <c r="BK59" s="110" t="n">
        <v>25800</v>
      </c>
      <c r="BL59" s="110" t="n">
        <v>0</v>
      </c>
      <c r="BM59" s="110" t="n">
        <v>0</v>
      </c>
      <c r="BN59" s="110" t="n">
        <v>0</v>
      </c>
      <c r="BO59" s="110" t="n">
        <v>0</v>
      </c>
      <c r="BP59" s="110" t="n">
        <v>0</v>
      </c>
      <c r="BQ59" s="110" t="n">
        <v>0</v>
      </c>
      <c r="BR59" s="110" t="n">
        <v>0</v>
      </c>
      <c r="BS59" s="110" t="n">
        <v>461875.28</v>
      </c>
      <c r="BT59" s="110" t="n">
        <v>375685.16</v>
      </c>
      <c r="BU59" s="110" t="n">
        <v>292336.4</v>
      </c>
      <c r="BV59" s="110" t="n">
        <v>83348.75999999999</v>
      </c>
      <c r="BW59" s="110" t="n">
        <v>86190.12</v>
      </c>
      <c r="BX59" s="110" t="n">
        <v>60390.12</v>
      </c>
      <c r="BY59" s="110" t="n">
        <v>25800</v>
      </c>
      <c r="BZ59" s="110" t="n">
        <v>0</v>
      </c>
      <c r="CA59" s="110" t="n">
        <v>0</v>
      </c>
      <c r="CB59" s="110" t="n">
        <v>0</v>
      </c>
      <c r="CC59" s="110" t="n">
        <v>0</v>
      </c>
      <c r="CD59" s="110" t="n">
        <v>0</v>
      </c>
      <c r="CE59" s="110" t="n">
        <v>0</v>
      </c>
      <c r="CF59" s="110" t="n">
        <v>0</v>
      </c>
      <c r="CG59" s="110" t="n">
        <v>0</v>
      </c>
      <c r="CH59" s="110" t="n">
        <v>0</v>
      </c>
      <c r="CI59" s="110" t="n">
        <v>0</v>
      </c>
      <c r="CJ59" s="110" t="n">
        <v>0</v>
      </c>
      <c r="CK59" s="110" t="n">
        <v>0</v>
      </c>
      <c r="CL59" s="110" t="n">
        <v>0</v>
      </c>
      <c r="CM59" s="110" t="n">
        <v>0</v>
      </c>
      <c r="CN59" s="110" t="n">
        <v>0</v>
      </c>
      <c r="CO59" s="110" t="n">
        <v>0</v>
      </c>
      <c r="CP59" s="110" t="n">
        <v>0</v>
      </c>
      <c r="CQ59" s="110" t="n">
        <v>0</v>
      </c>
      <c r="CR59" s="110" t="n">
        <v>0</v>
      </c>
      <c r="CS59" s="110" t="n">
        <v>0</v>
      </c>
      <c r="CT59" s="110" t="n">
        <v>103200</v>
      </c>
      <c r="CU59" s="110" t="n">
        <v>0</v>
      </c>
      <c r="CV59" s="111" t="n">
        <v>151</v>
      </c>
      <c r="CW59" s="111" t="n">
        <v>34</v>
      </c>
      <c r="CX59" s="111" t="n">
        <v>0</v>
      </c>
      <c r="CY59" s="111" t="n">
        <v>34</v>
      </c>
      <c r="CZ59" s="111" t="n">
        <v>117</v>
      </c>
      <c r="DA59" s="111" t="n">
        <v>0</v>
      </c>
      <c r="DB59" s="111" t="n">
        <v>117</v>
      </c>
      <c r="DC59" s="111" t="n">
        <v>151</v>
      </c>
      <c r="DD59" s="111" t="n">
        <v>0</v>
      </c>
      <c r="DE59" s="111" t="n">
        <v>34</v>
      </c>
      <c r="DF59" s="111" t="n">
        <v>0</v>
      </c>
      <c r="DG59" s="111" t="n">
        <v>34</v>
      </c>
      <c r="DH59" s="111" t="n">
        <v>117</v>
      </c>
      <c r="DI59" s="111" t="n">
        <v>0</v>
      </c>
      <c r="DJ59" s="111" t="n">
        <v>117</v>
      </c>
      <c r="DK59" s="111" t="n">
        <v>0</v>
      </c>
      <c r="DL59" s="111" t="n">
        <v>0</v>
      </c>
      <c r="DM59" s="111" t="n">
        <v>0</v>
      </c>
      <c r="DN59" s="111" t="n">
        <v>0</v>
      </c>
      <c r="DO59" s="111" t="n">
        <v>0</v>
      </c>
      <c r="DP59" s="111" t="n">
        <v>0</v>
      </c>
      <c r="DQ59" s="111" t="n">
        <v>0</v>
      </c>
      <c r="DR59" s="111" t="n">
        <v>0</v>
      </c>
      <c r="DS59" s="111" t="n">
        <v>0</v>
      </c>
      <c r="DT59" s="111" t="n">
        <v>0</v>
      </c>
      <c r="DU59" s="111" t="n">
        <v>0</v>
      </c>
      <c r="DV59" s="111" t="n">
        <v>0</v>
      </c>
      <c r="DW59" s="111" t="n">
        <v>0</v>
      </c>
      <c r="DX59" s="111" t="n">
        <v>0</v>
      </c>
      <c r="DY59" s="111" t="n">
        <v>0</v>
      </c>
      <c r="DZ59" s="111" t="n">
        <v>0</v>
      </c>
      <c r="EA59" s="111" t="n">
        <v>0</v>
      </c>
      <c r="EB59" s="111" t="n">
        <v>0</v>
      </c>
      <c r="EC59" s="111" t="n">
        <v>0</v>
      </c>
      <c r="ED59" s="111" t="n">
        <v>0</v>
      </c>
      <c r="EE59" s="111" t="n">
        <v>0</v>
      </c>
      <c r="EF59" s="111" t="n">
        <v>0</v>
      </c>
      <c r="EG59" s="111" t="n">
        <v>0</v>
      </c>
      <c r="EH59" s="111" t="n">
        <v>0</v>
      </c>
      <c r="EI59" s="111" t="n">
        <v>0</v>
      </c>
      <c r="EJ59" s="111" t="n">
        <v>0</v>
      </c>
      <c r="EK59" s="111" t="n">
        <v>0</v>
      </c>
      <c r="EL59" s="111" t="n">
        <v>0</v>
      </c>
      <c r="EM59" s="111" t="n">
        <v>0</v>
      </c>
      <c r="EN59" s="111" t="n">
        <v>0</v>
      </c>
      <c r="EO59" s="111" t="n">
        <v>0</v>
      </c>
      <c r="EP59" s="111" t="n">
        <v>0</v>
      </c>
      <c r="EQ59" s="111" t="n">
        <v>0</v>
      </c>
      <c r="ER59" s="111" t="n">
        <v>0</v>
      </c>
      <c r="ES59" s="111" t="n">
        <v>0</v>
      </c>
      <c r="ET59" s="111" t="n">
        <v>0</v>
      </c>
      <c r="EU59" s="111" t="n">
        <v>0</v>
      </c>
      <c r="EV59" s="111" t="n">
        <v>0</v>
      </c>
      <c r="EW59" s="111" t="n">
        <v>0</v>
      </c>
      <c r="EX59" s="111" t="n">
        <v>0</v>
      </c>
      <c r="EY59" s="111" t="n">
        <v>0</v>
      </c>
      <c r="EZ59" s="111" t="n">
        <v>0</v>
      </c>
      <c r="FA59" s="111" t="n">
        <v>0</v>
      </c>
      <c r="FB59" s="111" t="n">
        <v>0</v>
      </c>
    </row>
  </sheetData>
  <mergeCells count="2">
    <mergeCell ref="A1:C1"/>
    <mergeCell ref="A3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B68"/>
  <sheetViews>
    <sheetView workbookViewId="0">
      <selection activeCell="A1" sqref="A1:XFD1048576"/>
    </sheetView>
  </sheetViews>
  <sheetFormatPr baseColWidth="8" defaultColWidth="10" defaultRowHeight="14"/>
  <cols>
    <col width="7.75" customWidth="1" style="247" min="1" max="1"/>
    <col width="12.83203125" customWidth="1" style="247" min="2" max="2"/>
    <col width="18" customWidth="1" style="247" min="3" max="3"/>
    <col width="15.33203125" customWidth="1" style="247" min="4" max="99"/>
    <col width="16.08203125" customWidth="1" style="247" min="100" max="100"/>
    <col width="15.33203125" customWidth="1" style="247" min="101" max="158"/>
    <col width="9.75" customWidth="1" style="247" min="159" max="161"/>
  </cols>
  <sheetData>
    <row r="1" ht="43.9" customHeight="1" s="247">
      <c r="A1" s="195" t="inlineStr">
        <is>
          <t>日期范围：20250501-20250531</t>
        </is>
      </c>
      <c r="B1" s="289" t="n"/>
      <c r="C1" s="289" t="n"/>
      <c r="D1" s="195" t="n">
        <v>25</v>
      </c>
      <c r="E1" s="195" t="n"/>
      <c r="F1" s="105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inlineStr">
        <is>
          <t>1=2+5=8+43</t>
        </is>
      </c>
      <c r="P1" s="106" t="inlineStr">
        <is>
          <t>2=3+4</t>
        </is>
      </c>
      <c r="Q1" s="106" t="n">
        <v>3</v>
      </c>
      <c r="R1" s="106" t="n">
        <v>4</v>
      </c>
      <c r="S1" s="106" t="inlineStr">
        <is>
          <t>5=6+7</t>
        </is>
      </c>
      <c r="T1" s="106" t="n">
        <v>6</v>
      </c>
      <c r="U1" s="106" t="n">
        <v>7</v>
      </c>
      <c r="V1" s="106" t="inlineStr">
        <is>
          <t>8=9+12=15+22+29+36</t>
        </is>
      </c>
      <c r="W1" s="106" t="inlineStr">
        <is>
          <t>9=10+11</t>
        </is>
      </c>
      <c r="X1" s="106" t="n">
        <v>10</v>
      </c>
      <c r="Y1" s="106" t="n">
        <v>11</v>
      </c>
      <c r="Z1" s="106" t="inlineStr">
        <is>
          <t>12=13+14</t>
        </is>
      </c>
      <c r="AA1" s="106" t="n">
        <v>13</v>
      </c>
      <c r="AB1" s="106" t="n">
        <v>14</v>
      </c>
      <c r="AC1" s="106" t="inlineStr">
        <is>
          <t>15=16+19</t>
        </is>
      </c>
      <c r="AD1" s="106" t="inlineStr">
        <is>
          <t>16=17+18</t>
        </is>
      </c>
      <c r="AE1" s="106" t="n">
        <v>17</v>
      </c>
      <c r="AF1" s="106" t="n">
        <v>18</v>
      </c>
      <c r="AG1" s="106" t="inlineStr">
        <is>
          <t>19=20+21</t>
        </is>
      </c>
      <c r="AH1" s="106" t="n">
        <v>20</v>
      </c>
      <c r="AI1" s="106" t="n">
        <v>21</v>
      </c>
      <c r="AJ1" s="106" t="inlineStr">
        <is>
          <t>22=23+26</t>
        </is>
      </c>
      <c r="AK1" s="106" t="inlineStr">
        <is>
          <t>23=24+25</t>
        </is>
      </c>
      <c r="AL1" s="106" t="n">
        <v>24</v>
      </c>
      <c r="AM1" s="106" t="n">
        <v>25</v>
      </c>
      <c r="AN1" s="106" t="inlineStr">
        <is>
          <t>26=27+28</t>
        </is>
      </c>
      <c r="AO1" s="106" t="n">
        <v>27</v>
      </c>
      <c r="AP1" s="106" t="n">
        <v>28</v>
      </c>
      <c r="AQ1" s="106" t="inlineStr">
        <is>
          <t>29=30+33</t>
        </is>
      </c>
      <c r="AR1" s="106" t="inlineStr">
        <is>
          <t>30=31+32</t>
        </is>
      </c>
      <c r="AS1" s="106" t="n">
        <v>31</v>
      </c>
      <c r="AT1" s="106" t="n">
        <v>32</v>
      </c>
      <c r="AU1" s="106" t="inlineStr">
        <is>
          <t>33=34+35</t>
        </is>
      </c>
      <c r="AV1" s="106" t="n">
        <v>34</v>
      </c>
      <c r="AW1" s="106" t="n">
        <v>35</v>
      </c>
      <c r="AX1" s="106" t="inlineStr">
        <is>
          <t>36=37+40</t>
        </is>
      </c>
      <c r="AY1" s="106" t="inlineStr">
        <is>
          <t>37=38+39</t>
        </is>
      </c>
      <c r="AZ1" s="106" t="n">
        <v>38</v>
      </c>
      <c r="BA1" s="106" t="n">
        <v>39</v>
      </c>
      <c r="BB1" s="106" t="inlineStr">
        <is>
          <t>40=41+42</t>
        </is>
      </c>
      <c r="BC1" s="106" t="n">
        <v>41</v>
      </c>
      <c r="BD1" s="106" t="n">
        <v>42</v>
      </c>
      <c r="BE1" s="106" t="inlineStr">
        <is>
          <t>43=50+57+64+71=44+47</t>
        </is>
      </c>
      <c r="BF1" s="106" t="inlineStr">
        <is>
          <t>44=45+46</t>
        </is>
      </c>
      <c r="BG1" s="106" t="n">
        <v>45</v>
      </c>
      <c r="BH1" s="106" t="n">
        <v>46</v>
      </c>
      <c r="BI1" s="106" t="inlineStr">
        <is>
          <t>47=48+49</t>
        </is>
      </c>
      <c r="BJ1" s="106" t="n">
        <v>48</v>
      </c>
      <c r="BK1" s="106" t="n">
        <v>49</v>
      </c>
      <c r="BL1" s="106" t="inlineStr">
        <is>
          <t>50=51+54</t>
        </is>
      </c>
      <c r="BM1" s="106" t="inlineStr">
        <is>
          <t>51=52+53</t>
        </is>
      </c>
      <c r="BN1" s="106" t="n">
        <v>52</v>
      </c>
      <c r="BO1" s="106" t="n">
        <v>53</v>
      </c>
      <c r="BP1" s="106" t="inlineStr">
        <is>
          <t>54=55+56</t>
        </is>
      </c>
      <c r="BQ1" s="106" t="n">
        <v>55</v>
      </c>
      <c r="BR1" s="106" t="n">
        <v>56</v>
      </c>
      <c r="BS1" s="106" t="inlineStr">
        <is>
          <t>57=58+61</t>
        </is>
      </c>
      <c r="BT1" s="106" t="inlineStr">
        <is>
          <t>58=59+60</t>
        </is>
      </c>
      <c r="BU1" s="106" t="n">
        <v>59</v>
      </c>
      <c r="BV1" s="106" t="n">
        <v>60</v>
      </c>
      <c r="BW1" s="106" t="inlineStr">
        <is>
          <t>61=62+63</t>
        </is>
      </c>
      <c r="BX1" s="106" t="n">
        <v>62</v>
      </c>
      <c r="BY1" s="106" t="n">
        <v>63</v>
      </c>
      <c r="BZ1" s="106" t="inlineStr">
        <is>
          <t>64=65+68</t>
        </is>
      </c>
      <c r="CA1" s="106" t="inlineStr">
        <is>
          <t>65=66+67</t>
        </is>
      </c>
      <c r="CB1" s="106" t="n">
        <v>66</v>
      </c>
      <c r="CC1" s="106" t="n">
        <v>67</v>
      </c>
      <c r="CD1" s="106" t="inlineStr">
        <is>
          <t>68=69+70</t>
        </is>
      </c>
      <c r="CE1" s="106" t="n">
        <v>69</v>
      </c>
      <c r="CF1" s="106" t="n">
        <v>70</v>
      </c>
      <c r="CG1" s="106" t="inlineStr">
        <is>
          <t>71=72+75</t>
        </is>
      </c>
      <c r="CH1" s="106" t="inlineStr">
        <is>
          <t>72=73+74</t>
        </is>
      </c>
      <c r="CI1" s="106" t="n">
        <v>73</v>
      </c>
      <c r="CJ1" s="106" t="n">
        <v>74</v>
      </c>
      <c r="CK1" s="106" t="inlineStr">
        <is>
          <t>75=76+77</t>
        </is>
      </c>
      <c r="CL1" s="106" t="n">
        <v>76</v>
      </c>
      <c r="CM1" s="106" t="n">
        <v>77</v>
      </c>
      <c r="CN1" s="106" t="n"/>
      <c r="CO1" s="106" t="n"/>
      <c r="CP1" s="112" t="n"/>
      <c r="CQ1" s="112" t="n"/>
      <c r="CR1" s="106" t="n"/>
      <c r="CS1" s="106" t="n"/>
      <c r="CT1" s="106" t="n"/>
      <c r="CU1" s="106" t="n"/>
      <c r="CV1" s="106" t="inlineStr">
        <is>
          <t>78=85+93+100+108+86+101=79+82</t>
        </is>
      </c>
      <c r="CW1" s="106" t="inlineStr">
        <is>
          <t>79=80+81</t>
        </is>
      </c>
      <c r="CX1" s="106" t="n">
        <v>80</v>
      </c>
      <c r="CY1" s="106" t="n">
        <v>81</v>
      </c>
      <c r="CZ1" s="106" t="inlineStr">
        <is>
          <t>82=83+84</t>
        </is>
      </c>
      <c r="DA1" s="106" t="n">
        <v>83</v>
      </c>
      <c r="DB1" s="106" t="n">
        <v>84</v>
      </c>
      <c r="DC1" s="106" t="inlineStr">
        <is>
          <t>85=87+90=78-93-100-108-86-101</t>
        </is>
      </c>
      <c r="DD1" s="106" t="n">
        <v>86</v>
      </c>
      <c r="DE1" s="106" t="inlineStr">
        <is>
          <t>87=88+89</t>
        </is>
      </c>
      <c r="DF1" s="106" t="n">
        <v>88</v>
      </c>
      <c r="DG1" s="106" t="n">
        <v>89</v>
      </c>
      <c r="DH1" s="106" t="inlineStr">
        <is>
          <t>90=91+92</t>
        </is>
      </c>
      <c r="DI1" s="106" t="n">
        <v>91</v>
      </c>
      <c r="DJ1" s="106" t="n">
        <v>92</v>
      </c>
      <c r="DK1" s="106" t="inlineStr">
        <is>
          <t>93=94+97</t>
        </is>
      </c>
      <c r="DL1" s="106" t="inlineStr">
        <is>
          <t>94=95+96</t>
        </is>
      </c>
      <c r="DM1" s="106" t="n">
        <v>95</v>
      </c>
      <c r="DN1" s="106" t="n">
        <v>96</v>
      </c>
      <c r="DO1" s="106" t="inlineStr">
        <is>
          <t>97=98+99</t>
        </is>
      </c>
      <c r="DP1" s="106" t="n">
        <v>98</v>
      </c>
      <c r="DQ1" s="106" t="n">
        <v>99</v>
      </c>
      <c r="DR1" s="106" t="inlineStr">
        <is>
          <t>100=102+105</t>
        </is>
      </c>
      <c r="DS1" s="106" t="n">
        <v>101</v>
      </c>
      <c r="DT1" s="106" t="inlineStr">
        <is>
          <t>102=103+104</t>
        </is>
      </c>
      <c r="DU1" s="106" t="n">
        <v>103</v>
      </c>
      <c r="DV1" s="106" t="n">
        <v>104</v>
      </c>
      <c r="DW1" s="106" t="inlineStr">
        <is>
          <t>105=106+107</t>
        </is>
      </c>
      <c r="DX1" s="106" t="n">
        <v>106</v>
      </c>
      <c r="DY1" s="106" t="n">
        <v>107</v>
      </c>
      <c r="DZ1" s="106" t="inlineStr">
        <is>
          <t>108=109+112</t>
        </is>
      </c>
      <c r="EA1" s="106" t="inlineStr">
        <is>
          <t>109=110+111</t>
        </is>
      </c>
      <c r="EB1" s="106" t="n">
        <v>110</v>
      </c>
      <c r="EC1" s="106" t="n">
        <v>111</v>
      </c>
      <c r="ED1" s="106" t="inlineStr">
        <is>
          <t>112=113+114</t>
        </is>
      </c>
      <c r="EE1" s="106" t="n">
        <v>113</v>
      </c>
      <c r="EF1" s="106" t="n">
        <v>114</v>
      </c>
      <c r="EG1" s="106" t="inlineStr">
        <is>
          <t>115=116+119</t>
        </is>
      </c>
      <c r="EH1" s="106" t="inlineStr">
        <is>
          <t>116=117+118</t>
        </is>
      </c>
      <c r="EI1" s="106" t="n">
        <v>117</v>
      </c>
      <c r="EJ1" s="106" t="n">
        <v>118</v>
      </c>
      <c r="EK1" s="106" t="inlineStr">
        <is>
          <t>119=120+121</t>
        </is>
      </c>
      <c r="EL1" s="106" t="n">
        <v>120</v>
      </c>
      <c r="EM1" s="106" t="n">
        <v>121</v>
      </c>
      <c r="EN1" s="106" t="inlineStr">
        <is>
          <t>122=123+124+125</t>
        </is>
      </c>
      <c r="EO1" s="106" t="n">
        <v>123</v>
      </c>
      <c r="EP1" s="106" t="n">
        <v>124</v>
      </c>
      <c r="EQ1" s="106" t="n">
        <v>125</v>
      </c>
      <c r="ER1" s="106" t="n"/>
      <c r="ES1" s="106" t="n"/>
      <c r="ET1" s="106" t="n"/>
      <c r="EU1" s="106" t="inlineStr">
        <is>
          <t>126=127+128+129</t>
        </is>
      </c>
      <c r="EV1" s="106" t="n">
        <v>127</v>
      </c>
      <c r="EW1" s="106" t="n">
        <v>128</v>
      </c>
      <c r="EX1" s="106" t="n">
        <v>129</v>
      </c>
      <c r="EY1" s="106" t="inlineStr">
        <is>
          <t>130=131+132</t>
        </is>
      </c>
      <c r="EZ1" s="106" t="n">
        <v>131</v>
      </c>
      <c r="FA1" s="106" t="n">
        <v>132</v>
      </c>
      <c r="FB1" s="106" t="n">
        <v>133</v>
      </c>
    </row>
    <row r="2" ht="29.25" customHeight="1" s="247">
      <c r="A2" s="107" t="inlineStr">
        <is>
          <t>序号</t>
        </is>
      </c>
      <c r="B2" s="107" t="inlineStr">
        <is>
          <t>科室类别</t>
        </is>
      </c>
      <c r="C2" s="107" t="inlineStr">
        <is>
          <t>科室名称</t>
        </is>
      </c>
      <c r="D2" s="107" t="inlineStr">
        <is>
          <t>医疗收入不含药耗</t>
        </is>
      </c>
      <c r="E2" s="107" t="inlineStr">
        <is>
          <t>门急诊收入不含药耗</t>
        </is>
      </c>
      <c r="F2" s="107" t="inlineStr">
        <is>
          <t>住院收入不含药耗</t>
        </is>
      </c>
      <c r="G2" s="107" t="inlineStr">
        <is>
          <t>门急诊人次</t>
        </is>
      </c>
      <c r="H2" s="107" t="inlineStr">
        <is>
          <t>住院人次</t>
        </is>
      </c>
      <c r="I2" s="108" t="inlineStr">
        <is>
          <t>门急诊治疗收入</t>
        </is>
      </c>
      <c r="J2" s="108" t="inlineStr">
        <is>
          <t>门急诊手术收入</t>
        </is>
      </c>
      <c r="K2" s="108" t="inlineStr">
        <is>
          <t>门诊中药饮片收入</t>
        </is>
      </c>
      <c r="L2" s="108" t="inlineStr">
        <is>
          <t>住院治疗收入</t>
        </is>
      </c>
      <c r="M2" s="108" t="inlineStr">
        <is>
          <t>住院手术收入</t>
        </is>
      </c>
      <c r="N2" s="108" t="inlineStr">
        <is>
          <t>住院中药饮片收入</t>
        </is>
      </c>
      <c r="O2" s="108" t="inlineStr">
        <is>
          <t>医疗收入</t>
        </is>
      </c>
      <c r="P2" s="107" t="inlineStr">
        <is>
          <t>其中本地病人医疗收入</t>
        </is>
      </c>
      <c r="Q2" s="107" t="inlineStr">
        <is>
          <t>其中本地病人医保医疗收入</t>
        </is>
      </c>
      <c r="R2" s="107" t="inlineStr">
        <is>
          <t>其中本地病人自费医疗收入</t>
        </is>
      </c>
      <c r="S2" s="107" t="inlineStr">
        <is>
          <t>其中异地病人医疗收入</t>
        </is>
      </c>
      <c r="T2" s="107" t="inlineStr">
        <is>
          <t>其中异地病人医保医疗收入</t>
        </is>
      </c>
      <c r="U2" s="107" t="inlineStr">
        <is>
          <t>其中异地病人自费医疗收入</t>
        </is>
      </c>
      <c r="V2" s="108" t="inlineStr">
        <is>
          <t>门急诊收入</t>
        </is>
      </c>
      <c r="W2" s="107" t="inlineStr">
        <is>
          <t>其中本地病人医疗收入</t>
        </is>
      </c>
      <c r="X2" s="107" t="inlineStr">
        <is>
          <t>其中本地病人医保医疗收入</t>
        </is>
      </c>
      <c r="Y2" s="107" t="inlineStr">
        <is>
          <t>其中本地病人自费医疗收入</t>
        </is>
      </c>
      <c r="Z2" s="107" t="inlineStr">
        <is>
          <t>其中异地病人医疗收入</t>
        </is>
      </c>
      <c r="AA2" s="107" t="inlineStr">
        <is>
          <t>其中异地病人医保医疗收入</t>
        </is>
      </c>
      <c r="AB2" s="107" t="inlineStr">
        <is>
          <t>其中异地病人自费医疗收入</t>
        </is>
      </c>
      <c r="AC2" s="108" t="inlineStr">
        <is>
          <t>门急诊药品收入</t>
        </is>
      </c>
      <c r="AD2" s="107" t="inlineStr">
        <is>
          <t>其中本地病人医疗收入</t>
        </is>
      </c>
      <c r="AE2" s="107" t="inlineStr">
        <is>
          <t>其中本地病人医保医疗收入</t>
        </is>
      </c>
      <c r="AF2" s="107" t="inlineStr">
        <is>
          <t>其中本地病人自费医疗收入</t>
        </is>
      </c>
      <c r="AG2" s="107" t="inlineStr">
        <is>
          <t>其中异地病人医疗收入</t>
        </is>
      </c>
      <c r="AH2" s="107" t="inlineStr">
        <is>
          <t>其中异地病人医保医疗收入</t>
        </is>
      </c>
      <c r="AI2" s="107" t="inlineStr">
        <is>
          <t>其中异地病人自费医疗收入</t>
        </is>
      </c>
      <c r="AJ2" s="108" t="inlineStr">
        <is>
          <t>门急诊耗材收入</t>
        </is>
      </c>
      <c r="AK2" s="107" t="inlineStr">
        <is>
          <t>其中本地病人医疗收入</t>
        </is>
      </c>
      <c r="AL2" s="107" t="inlineStr">
        <is>
          <t>其中本地病人医保医疗收入</t>
        </is>
      </c>
      <c r="AM2" s="107" t="inlineStr">
        <is>
          <t>其中本地病人自费医疗收入</t>
        </is>
      </c>
      <c r="AN2" s="107" t="inlineStr">
        <is>
          <t>其中异地病人医疗收入</t>
        </is>
      </c>
      <c r="AO2" s="107" t="inlineStr">
        <is>
          <t>其中异地病人医保医疗收入</t>
        </is>
      </c>
      <c r="AP2" s="107" t="inlineStr">
        <is>
          <t>其中异地病人自费医疗收入</t>
        </is>
      </c>
      <c r="AQ2" s="108" t="inlineStr">
        <is>
          <t>门急诊检查化验收入</t>
        </is>
      </c>
      <c r="AR2" s="107" t="inlineStr">
        <is>
          <t>其中本地病人医疗收入</t>
        </is>
      </c>
      <c r="AS2" s="107" t="inlineStr">
        <is>
          <t>其中本地病人医保医疗收入</t>
        </is>
      </c>
      <c r="AT2" s="107" t="inlineStr">
        <is>
          <t>其中本地病人自费医疗收入</t>
        </is>
      </c>
      <c r="AU2" s="107" t="inlineStr">
        <is>
          <t>其中异地病人医疗收入</t>
        </is>
      </c>
      <c r="AV2" s="107" t="inlineStr">
        <is>
          <t>其中异地病人医保医疗收入</t>
        </is>
      </c>
      <c r="AW2" s="107" t="inlineStr">
        <is>
          <t>其中异地病人自费医疗收入</t>
        </is>
      </c>
      <c r="AX2" s="108" t="inlineStr">
        <is>
          <t>门急诊劳务收入</t>
        </is>
      </c>
      <c r="AY2" s="107" t="inlineStr">
        <is>
          <t>其中本地病人医疗收入</t>
        </is>
      </c>
      <c r="AZ2" s="107" t="inlineStr">
        <is>
          <t>其中本地病人医保医疗收入</t>
        </is>
      </c>
      <c r="BA2" s="107" t="inlineStr">
        <is>
          <t>其中本地病人自费医疗收入</t>
        </is>
      </c>
      <c r="BB2" s="107" t="inlineStr">
        <is>
          <t>其中异地病人医疗收入</t>
        </is>
      </c>
      <c r="BC2" s="107" t="inlineStr">
        <is>
          <t>其中异地病人医保医疗收入</t>
        </is>
      </c>
      <c r="BD2" s="107" t="inlineStr">
        <is>
          <t>其中异地病人自费医疗收入</t>
        </is>
      </c>
      <c r="BE2" s="108" t="inlineStr">
        <is>
          <t>住院收入</t>
        </is>
      </c>
      <c r="BF2" s="107" t="inlineStr">
        <is>
          <t>其中本地病人医疗收入</t>
        </is>
      </c>
      <c r="BG2" s="107" t="inlineStr">
        <is>
          <t>其中本地病人医保医疗收入</t>
        </is>
      </c>
      <c r="BH2" s="107" t="inlineStr">
        <is>
          <t>其中本地病人自费医疗收入</t>
        </is>
      </c>
      <c r="BI2" s="107" t="inlineStr">
        <is>
          <t>其中异地病人医疗收入</t>
        </is>
      </c>
      <c r="BJ2" s="107" t="inlineStr">
        <is>
          <t>其中异地病人医保医疗收入</t>
        </is>
      </c>
      <c r="BK2" s="107" t="inlineStr">
        <is>
          <t>其中异地病人自费医疗收入</t>
        </is>
      </c>
      <c r="BL2" s="108" t="inlineStr">
        <is>
          <t>住院药品收入</t>
        </is>
      </c>
      <c r="BM2" s="107" t="inlineStr">
        <is>
          <t>其中本地病人医疗收入</t>
        </is>
      </c>
      <c r="BN2" s="107" t="inlineStr">
        <is>
          <t>其中本地病人医保医疗收入</t>
        </is>
      </c>
      <c r="BO2" s="107" t="inlineStr">
        <is>
          <t>其中本地病人自费医疗收入</t>
        </is>
      </c>
      <c r="BP2" s="107" t="inlineStr">
        <is>
          <t>其中异地病人医疗收入</t>
        </is>
      </c>
      <c r="BQ2" s="107" t="inlineStr">
        <is>
          <t>其中异地病人医保医疗收入</t>
        </is>
      </c>
      <c r="BR2" s="107" t="inlineStr">
        <is>
          <t>其中异地病人自费医疗收入</t>
        </is>
      </c>
      <c r="BS2" s="108" t="inlineStr">
        <is>
          <t>住院耗材收入</t>
        </is>
      </c>
      <c r="BT2" s="107" t="inlineStr">
        <is>
          <t>其中本地病人医疗收入</t>
        </is>
      </c>
      <c r="BU2" s="107" t="inlineStr">
        <is>
          <t>其中本地病人医保医疗收入</t>
        </is>
      </c>
      <c r="BV2" s="107" t="inlineStr">
        <is>
          <t>其中本地病人自费医疗收入</t>
        </is>
      </c>
      <c r="BW2" s="107" t="inlineStr">
        <is>
          <t>其中异地病人医疗收入</t>
        </is>
      </c>
      <c r="BX2" s="107" t="inlineStr">
        <is>
          <t>其中异地病人医保医疗收入</t>
        </is>
      </c>
      <c r="BY2" s="107" t="inlineStr">
        <is>
          <t>其中异地病人自费医疗收入</t>
        </is>
      </c>
      <c r="BZ2" s="108" t="inlineStr">
        <is>
          <t>住院检查化验收入</t>
        </is>
      </c>
      <c r="CA2" s="107" t="inlineStr">
        <is>
          <t>其中本地病人医疗收入</t>
        </is>
      </c>
      <c r="CB2" s="107" t="inlineStr">
        <is>
          <t>其中本地病人医保医疗收入</t>
        </is>
      </c>
      <c r="CC2" s="107" t="inlineStr">
        <is>
          <t>其中本地病人自费医疗收入</t>
        </is>
      </c>
      <c r="CD2" s="107" t="inlineStr">
        <is>
          <t>其中异地病人医疗收入</t>
        </is>
      </c>
      <c r="CE2" s="107" t="inlineStr">
        <is>
          <t>其中异地病人医保医疗收入</t>
        </is>
      </c>
      <c r="CF2" s="107" t="inlineStr">
        <is>
          <t>其中异地病人自费医疗收入</t>
        </is>
      </c>
      <c r="CG2" s="108" t="inlineStr">
        <is>
          <t>住院劳务收入</t>
        </is>
      </c>
      <c r="CH2" s="107" t="inlineStr">
        <is>
          <t>其中本地病人医疗收入</t>
        </is>
      </c>
      <c r="CI2" s="107" t="inlineStr">
        <is>
          <t>其中本地病人医保医疗收入</t>
        </is>
      </c>
      <c r="CJ2" s="107" t="inlineStr">
        <is>
          <t>其中本地病人自费医疗收入</t>
        </is>
      </c>
      <c r="CK2" s="107" t="inlineStr">
        <is>
          <t>其中异地病人医疗收入</t>
        </is>
      </c>
      <c r="CL2" s="107" t="inlineStr">
        <is>
          <t>其中异地病人医保医疗收入</t>
        </is>
      </c>
      <c r="CM2" s="107" t="inlineStr">
        <is>
          <t>其中异地病人自费医疗收入</t>
        </is>
      </c>
      <c r="CN2" s="108" t="inlineStr">
        <is>
          <t>急诊收入</t>
        </is>
      </c>
      <c r="CO2" s="108" t="inlineStr">
        <is>
          <t>普通门诊收入</t>
        </is>
      </c>
      <c r="CP2" s="108" t="inlineStr">
        <is>
          <t>专家门诊收入</t>
        </is>
      </c>
      <c r="CQ2" s="108" t="inlineStr">
        <is>
          <t>专病门诊收入</t>
        </is>
      </c>
      <c r="CR2" s="108" t="inlineStr">
        <is>
          <t>特需门诊收入</t>
        </is>
      </c>
      <c r="CS2" s="108" t="inlineStr">
        <is>
          <t>MDT门诊收入</t>
        </is>
      </c>
      <c r="CT2" s="108" t="inlineStr">
        <is>
          <t>镜朗诊疗部收入</t>
        </is>
      </c>
      <c r="CU2" s="108" t="inlineStr">
        <is>
          <t>特需病房收入</t>
        </is>
      </c>
      <c r="CV2" s="108" t="inlineStr">
        <is>
          <t>门急诊人次</t>
        </is>
      </c>
      <c r="CW2" s="107" t="inlineStr">
        <is>
          <t>其中本地病人人次</t>
        </is>
      </c>
      <c r="CX2" s="107" t="inlineStr">
        <is>
          <t>其中本地病人医保人次</t>
        </is>
      </c>
      <c r="CY2" s="107" t="inlineStr">
        <is>
          <t>其中本地病人自费人次</t>
        </is>
      </c>
      <c r="CZ2" s="107" t="inlineStr">
        <is>
          <t>其中异地病人人次</t>
        </is>
      </c>
      <c r="DA2" s="107" t="inlineStr">
        <is>
          <t>其中异地病人医保人次</t>
        </is>
      </c>
      <c r="DB2" s="107" t="inlineStr">
        <is>
          <t>其中异地病人自费人次</t>
        </is>
      </c>
      <c r="DC2" s="108" t="inlineStr">
        <is>
          <t>普通门诊
(普通+专病)</t>
        </is>
      </c>
      <c r="DD2" s="108" t="inlineStr">
        <is>
          <t>互联网普通门诊人次</t>
        </is>
      </c>
      <c r="DE2" s="107" t="inlineStr">
        <is>
          <t>其中本地病人人次</t>
        </is>
      </c>
      <c r="DF2" s="107" t="inlineStr">
        <is>
          <t>其中本地病人医保人次</t>
        </is>
      </c>
      <c r="DG2" s="107" t="inlineStr">
        <is>
          <t>其中本地病人自费人次</t>
        </is>
      </c>
      <c r="DH2" s="107" t="inlineStr">
        <is>
          <t>其中异地病人人次</t>
        </is>
      </c>
      <c r="DI2" s="107" t="inlineStr">
        <is>
          <t>其中异地病人医保人次</t>
        </is>
      </c>
      <c r="DJ2" s="107" t="inlineStr">
        <is>
          <t>其中异地病人自费人次</t>
        </is>
      </c>
      <c r="DK2" s="108" t="inlineStr">
        <is>
          <t>专家门诊</t>
        </is>
      </c>
      <c r="DL2" s="107" t="inlineStr">
        <is>
          <t>其中本地病人人次</t>
        </is>
      </c>
      <c r="DM2" s="107" t="inlineStr">
        <is>
          <t>其中本地病人医保人次</t>
        </is>
      </c>
      <c r="DN2" s="107" t="inlineStr">
        <is>
          <t>其中本地病人自费人次</t>
        </is>
      </c>
      <c r="DO2" s="107" t="inlineStr">
        <is>
          <t>其中异地病人人次</t>
        </is>
      </c>
      <c r="DP2" s="107" t="inlineStr">
        <is>
          <t>其中异地病人医保人次</t>
        </is>
      </c>
      <c r="DQ2" s="107" t="inlineStr">
        <is>
          <t>其中异地病人自费人次</t>
        </is>
      </c>
      <c r="DR2" s="108" t="inlineStr">
        <is>
          <t>特需门诊
(特需+MDT)</t>
        </is>
      </c>
      <c r="DS2" s="108" t="inlineStr">
        <is>
          <t>互联网特需门诊人次</t>
        </is>
      </c>
      <c r="DT2" s="107" t="inlineStr">
        <is>
          <t>其中本地病人人次</t>
        </is>
      </c>
      <c r="DU2" s="107" t="inlineStr">
        <is>
          <t>其中本地病人医保人次</t>
        </is>
      </c>
      <c r="DV2" s="107" t="inlineStr">
        <is>
          <t>其中本地病人自费人次</t>
        </is>
      </c>
      <c r="DW2" s="107" t="inlineStr">
        <is>
          <t>其中异地病人人次</t>
        </is>
      </c>
      <c r="DX2" s="107" t="inlineStr">
        <is>
          <t>其中异地病人医保人次</t>
        </is>
      </c>
      <c r="DY2" s="107" t="inlineStr">
        <is>
          <t>其中异地病人自费人次</t>
        </is>
      </c>
      <c r="DZ2" s="108" t="inlineStr">
        <is>
          <t>急诊人次</t>
        </is>
      </c>
      <c r="EA2" s="107" t="inlineStr">
        <is>
          <t>其中本地病人人次</t>
        </is>
      </c>
      <c r="EB2" s="107" t="inlineStr">
        <is>
          <t>其中本地病人医保人次</t>
        </is>
      </c>
      <c r="EC2" s="107" t="inlineStr">
        <is>
          <t>其中本地病人自费人次</t>
        </is>
      </c>
      <c r="ED2" s="107" t="inlineStr">
        <is>
          <t>其中异地病人人次</t>
        </is>
      </c>
      <c r="EE2" s="107" t="inlineStr">
        <is>
          <t>其中异地病人医保人次</t>
        </is>
      </c>
      <c r="EF2" s="107" t="inlineStr">
        <is>
          <t>其中异地病人自费人次</t>
        </is>
      </c>
      <c r="EG2" s="108" t="inlineStr">
        <is>
          <t>住院人次</t>
        </is>
      </c>
      <c r="EH2" s="107" t="inlineStr">
        <is>
          <t>其中本地病人人次</t>
        </is>
      </c>
      <c r="EI2" s="107" t="inlineStr">
        <is>
          <t>其中本地病人医保人次</t>
        </is>
      </c>
      <c r="EJ2" s="107" t="inlineStr">
        <is>
          <t>其中本地病人自费人次</t>
        </is>
      </c>
      <c r="EK2" s="107" t="inlineStr">
        <is>
          <t>其中异地病人人次</t>
        </is>
      </c>
      <c r="EL2" s="107" t="inlineStr">
        <is>
          <t>其中异地病人医保人次</t>
        </is>
      </c>
      <c r="EM2" s="107" t="inlineStr">
        <is>
          <t>其中异地病人自费人次</t>
        </is>
      </c>
      <c r="EN2" s="108" t="inlineStr">
        <is>
          <t>手术人次与操作人次</t>
        </is>
      </c>
      <c r="EO2" s="108" t="inlineStr">
        <is>
          <t>手术人次</t>
        </is>
      </c>
      <c r="EP2" s="108" t="inlineStr">
        <is>
          <t>介入人次</t>
        </is>
      </c>
      <c r="EQ2" s="108" t="inlineStr">
        <is>
          <t>操作人次(治疗+诊断)</t>
        </is>
      </c>
      <c r="ER2" s="108" t="inlineStr">
        <is>
          <t>微创手术人次（手术）</t>
        </is>
      </c>
      <c r="ES2" s="108" t="inlineStr">
        <is>
          <t>微创手术人次（介入）</t>
        </is>
      </c>
      <c r="ET2" s="108" t="inlineStr">
        <is>
          <t>微创手术人次（操作）</t>
        </is>
      </c>
      <c r="EU2" s="108" t="inlineStr">
        <is>
          <t>三级手术</t>
        </is>
      </c>
      <c r="EV2" s="108" t="inlineStr">
        <is>
          <t>三级手术(手术)</t>
        </is>
      </c>
      <c r="EW2" s="108" t="inlineStr">
        <is>
          <t>三级手术(介入)</t>
        </is>
      </c>
      <c r="EX2" s="108" t="inlineStr">
        <is>
          <t>三级手术(操作)</t>
        </is>
      </c>
      <c r="EY2" s="108" t="inlineStr">
        <is>
          <t>四级手术</t>
        </is>
      </c>
      <c r="EZ2" s="108" t="inlineStr">
        <is>
          <t>四级手术(手术)</t>
        </is>
      </c>
      <c r="FA2" s="108" t="inlineStr">
        <is>
          <t>四级手术(介入)</t>
        </is>
      </c>
      <c r="FB2" s="109" t="inlineStr">
        <is>
          <t>重点病种人次</t>
        </is>
      </c>
    </row>
    <row r="3" ht="19.5" customHeight="1" s="247">
      <c r="A3" s="196" t="inlineStr">
        <is>
          <t>小计：</t>
        </is>
      </c>
      <c r="B3" s="289" t="n"/>
      <c r="C3" s="290" t="n"/>
      <c r="D3" s="110" t="n">
        <v>227360881.35</v>
      </c>
      <c r="E3" s="110" t="n">
        <v>97233114.2</v>
      </c>
      <c r="F3" s="110" t="n">
        <v>130127767.15</v>
      </c>
      <c r="G3" s="110" t="n">
        <v>338994</v>
      </c>
      <c r="H3" s="110" t="n">
        <v>13003</v>
      </c>
      <c r="I3" s="110" t="n">
        <v>16745706.4</v>
      </c>
      <c r="J3" s="110" t="n">
        <v>3555656.4</v>
      </c>
      <c r="K3" s="110" t="n">
        <v>2487959.02</v>
      </c>
      <c r="L3" s="110" t="n">
        <v>15288068.8</v>
      </c>
      <c r="M3" s="110" t="n">
        <v>26472724.75</v>
      </c>
      <c r="N3" s="110" t="n">
        <v>84038.57000000001</v>
      </c>
      <c r="O3" s="110" t="n">
        <v>480125030.18</v>
      </c>
      <c r="P3" s="110" t="n">
        <v>310420968.14</v>
      </c>
      <c r="Q3" s="110" t="n">
        <v>283691871.12</v>
      </c>
      <c r="R3" s="110" t="n">
        <v>26729097.02</v>
      </c>
      <c r="S3" s="110" t="n">
        <v>169704062.04</v>
      </c>
      <c r="T3" s="110" t="n">
        <v>139034739.88</v>
      </c>
      <c r="U3" s="110" t="n">
        <v>30669322.16</v>
      </c>
      <c r="V3" s="110" t="n">
        <v>170907903.65</v>
      </c>
      <c r="W3" s="110" t="n">
        <v>142581721.25</v>
      </c>
      <c r="X3" s="110" t="n">
        <v>129596027.19</v>
      </c>
      <c r="Y3" s="110" t="n">
        <v>12985694.06</v>
      </c>
      <c r="Z3" s="110" t="n">
        <v>28326182.4</v>
      </c>
      <c r="AA3" s="110" t="n">
        <v>12529387.07</v>
      </c>
      <c r="AB3" s="110" t="n">
        <v>15796795.33</v>
      </c>
      <c r="AC3" s="110" t="n">
        <v>67288362.12</v>
      </c>
      <c r="AD3" s="110" t="n">
        <v>60189147.31</v>
      </c>
      <c r="AE3" s="110" t="n">
        <v>57732458.4</v>
      </c>
      <c r="AF3" s="110" t="n">
        <v>2456688.91</v>
      </c>
      <c r="AG3" s="110" t="n">
        <v>7099214.81</v>
      </c>
      <c r="AH3" s="110" t="n">
        <v>4218233.28</v>
      </c>
      <c r="AI3" s="110" t="n">
        <v>2880981.53</v>
      </c>
      <c r="AJ3" s="110" t="n">
        <v>6386427.33</v>
      </c>
      <c r="AK3" s="110" t="n">
        <v>5723032.51</v>
      </c>
      <c r="AL3" s="110" t="n">
        <v>5185892.01</v>
      </c>
      <c r="AM3" s="110" t="n">
        <v>537140.5</v>
      </c>
      <c r="AN3" s="110" t="n">
        <v>663394.8199999999</v>
      </c>
      <c r="AO3" s="110" t="n">
        <v>342962.49</v>
      </c>
      <c r="AP3" s="110" t="n">
        <v>320432.33</v>
      </c>
      <c r="AQ3" s="110" t="n">
        <v>54278068</v>
      </c>
      <c r="AR3" s="110" t="n">
        <v>43921589</v>
      </c>
      <c r="AS3" s="110" t="n">
        <v>39407210</v>
      </c>
      <c r="AT3" s="110" t="n">
        <v>4514379</v>
      </c>
      <c r="AU3" s="110" t="n">
        <v>10356479</v>
      </c>
      <c r="AV3" s="110" t="n">
        <v>4533481</v>
      </c>
      <c r="AW3" s="110" t="n">
        <v>5822998</v>
      </c>
      <c r="AX3" s="110" t="n">
        <v>42955046.2</v>
      </c>
      <c r="AY3" s="110" t="n">
        <v>32747952.43</v>
      </c>
      <c r="AZ3" s="110" t="n">
        <v>27270466.78</v>
      </c>
      <c r="BA3" s="110" t="n">
        <v>5477485.65</v>
      </c>
      <c r="BB3" s="110" t="n">
        <v>10207093.77</v>
      </c>
      <c r="BC3" s="110" t="n">
        <v>3434710.3</v>
      </c>
      <c r="BD3" s="110" t="n">
        <v>6772383.47</v>
      </c>
      <c r="BE3" s="110" t="n">
        <v>309217126.53</v>
      </c>
      <c r="BF3" s="110" t="n">
        <v>167839246.89</v>
      </c>
      <c r="BG3" s="110" t="n">
        <v>154095843.93</v>
      </c>
      <c r="BH3" s="110" t="n">
        <v>13743402.96</v>
      </c>
      <c r="BI3" s="110" t="n">
        <v>141377879.64</v>
      </c>
      <c r="BJ3" s="110" t="n">
        <v>126505352.81</v>
      </c>
      <c r="BK3" s="110" t="n">
        <v>14872526.83</v>
      </c>
      <c r="BL3" s="110" t="n">
        <v>58232390.56</v>
      </c>
      <c r="BM3" s="110" t="n">
        <v>30098082.45</v>
      </c>
      <c r="BN3" s="110" t="n">
        <v>27802500.94</v>
      </c>
      <c r="BO3" s="110" t="n">
        <v>2295581.51</v>
      </c>
      <c r="BP3" s="110" t="n">
        <v>28134308.11</v>
      </c>
      <c r="BQ3" s="110" t="n">
        <v>25967292.04</v>
      </c>
      <c r="BR3" s="110" t="n">
        <v>2167016.07</v>
      </c>
      <c r="BS3" s="110" t="n">
        <v>120856968.82</v>
      </c>
      <c r="BT3" s="110" t="n">
        <v>68932237.98999999</v>
      </c>
      <c r="BU3" s="110" t="n">
        <v>64976079.09</v>
      </c>
      <c r="BV3" s="110" t="n">
        <v>3956158.9</v>
      </c>
      <c r="BW3" s="110" t="n">
        <v>51924730.83</v>
      </c>
      <c r="BX3" s="110" t="n">
        <v>47812009.87</v>
      </c>
      <c r="BY3" s="110" t="n">
        <v>4112720.96</v>
      </c>
      <c r="BZ3" s="110" t="n">
        <v>53351034.9</v>
      </c>
      <c r="CA3" s="110" t="n">
        <v>30000898.5</v>
      </c>
      <c r="CB3" s="110" t="n">
        <v>28051918.5</v>
      </c>
      <c r="CC3" s="110" t="n">
        <v>1948980</v>
      </c>
      <c r="CD3" s="110" t="n">
        <v>23350136.4</v>
      </c>
      <c r="CE3" s="110" t="n">
        <v>21067874.7</v>
      </c>
      <c r="CF3" s="110" t="n">
        <v>2282261.7</v>
      </c>
      <c r="CG3" s="110" t="n">
        <v>76776732.25</v>
      </c>
      <c r="CH3" s="110" t="n">
        <v>38808027.95</v>
      </c>
      <c r="CI3" s="110" t="n">
        <v>33265345.4</v>
      </c>
      <c r="CJ3" s="110" t="n">
        <v>5542682.55</v>
      </c>
      <c r="CK3" s="110" t="n">
        <v>37968704.3</v>
      </c>
      <c r="CL3" s="110" t="n">
        <v>31658176.2</v>
      </c>
      <c r="CM3" s="110" t="n">
        <v>6310528.1</v>
      </c>
      <c r="CN3" s="110" t="n">
        <v>21565506.46</v>
      </c>
      <c r="CO3" s="110" t="n">
        <v>60135521.01</v>
      </c>
      <c r="CP3" s="110" t="n">
        <v>40537135.22</v>
      </c>
      <c r="CQ3" s="110" t="n">
        <v>23569740.5</v>
      </c>
      <c r="CR3" s="110" t="n">
        <v>24434005.34</v>
      </c>
      <c r="CS3" s="110" t="n">
        <v>665792.12</v>
      </c>
      <c r="CT3" s="110" t="n">
        <v>8989468.35</v>
      </c>
      <c r="CU3" s="110" t="n">
        <v>0</v>
      </c>
      <c r="CV3" s="111" t="n">
        <v>338994</v>
      </c>
      <c r="CW3" s="111" t="n">
        <v>288093</v>
      </c>
      <c r="CX3" s="111" t="n">
        <v>261435</v>
      </c>
      <c r="CY3" s="111" t="n">
        <v>26658</v>
      </c>
      <c r="CZ3" s="111" t="n">
        <v>50901</v>
      </c>
      <c r="DA3" s="111" t="n">
        <v>22420</v>
      </c>
      <c r="DB3" s="111" t="n">
        <v>28481</v>
      </c>
      <c r="DC3" s="111" t="n">
        <v>183608</v>
      </c>
      <c r="DD3" s="111" t="n">
        <v>3671</v>
      </c>
      <c r="DE3" s="111" t="n">
        <v>162556</v>
      </c>
      <c r="DF3" s="111" t="n">
        <v>150469</v>
      </c>
      <c r="DG3" s="111" t="n">
        <v>12087</v>
      </c>
      <c r="DH3" s="111" t="n">
        <v>21052</v>
      </c>
      <c r="DI3" s="111" t="n">
        <v>10355</v>
      </c>
      <c r="DJ3" s="111" t="n">
        <v>10697</v>
      </c>
      <c r="DK3" s="111" t="n">
        <v>73423</v>
      </c>
      <c r="DL3" s="111" t="n">
        <v>58820</v>
      </c>
      <c r="DM3" s="111" t="n">
        <v>53316</v>
      </c>
      <c r="DN3" s="111" t="n">
        <v>5504</v>
      </c>
      <c r="DO3" s="111" t="n">
        <v>14603</v>
      </c>
      <c r="DP3" s="111" t="n">
        <v>6997</v>
      </c>
      <c r="DQ3" s="111" t="n">
        <v>7606</v>
      </c>
      <c r="DR3" s="111" t="n">
        <v>33211</v>
      </c>
      <c r="DS3" s="111" t="n">
        <v>97</v>
      </c>
      <c r="DT3" s="111" t="n">
        <v>23884</v>
      </c>
      <c r="DU3" s="111" t="n">
        <v>19563</v>
      </c>
      <c r="DV3" s="111" t="n">
        <v>4321</v>
      </c>
      <c r="DW3" s="111" t="n">
        <v>9327</v>
      </c>
      <c r="DX3" s="111" t="n">
        <v>2914</v>
      </c>
      <c r="DY3" s="111" t="n">
        <v>6413</v>
      </c>
      <c r="DZ3" s="111" t="n">
        <v>44984</v>
      </c>
      <c r="EA3" s="111" t="n">
        <v>39669</v>
      </c>
      <c r="EB3" s="111" t="n">
        <v>35582</v>
      </c>
      <c r="EC3" s="111" t="n">
        <v>4087</v>
      </c>
      <c r="ED3" s="111" t="n">
        <v>5315</v>
      </c>
      <c r="EE3" s="111" t="n">
        <v>2116</v>
      </c>
      <c r="EF3" s="111" t="n">
        <v>3199</v>
      </c>
      <c r="EG3" s="111" t="n">
        <v>13003</v>
      </c>
      <c r="EH3" s="111" t="n">
        <v>7733</v>
      </c>
      <c r="EI3" s="111" t="n">
        <v>7078</v>
      </c>
      <c r="EJ3" s="111" t="n">
        <v>655</v>
      </c>
      <c r="EK3" s="111" t="n">
        <v>5270</v>
      </c>
      <c r="EL3" s="111" t="n">
        <v>4539</v>
      </c>
      <c r="EM3" s="111" t="n">
        <v>731</v>
      </c>
      <c r="EN3" s="111" t="n">
        <v>10654</v>
      </c>
      <c r="EO3" s="111" t="n">
        <v>5005</v>
      </c>
      <c r="EP3" s="111" t="n">
        <v>554</v>
      </c>
      <c r="EQ3" s="111" t="n">
        <v>5095</v>
      </c>
      <c r="ER3" s="111" t="n">
        <v>1255</v>
      </c>
      <c r="ES3" s="111" t="n">
        <v>0</v>
      </c>
      <c r="ET3" s="111" t="n">
        <v>113</v>
      </c>
      <c r="EU3" s="111" t="n">
        <v>2013</v>
      </c>
      <c r="EV3" s="111" t="n">
        <v>1589</v>
      </c>
      <c r="EW3" s="111" t="n">
        <v>300</v>
      </c>
      <c r="EX3" s="111" t="n">
        <v>124</v>
      </c>
      <c r="EY3" s="111" t="n">
        <v>1716</v>
      </c>
      <c r="EZ3" s="111" t="n">
        <v>1575</v>
      </c>
      <c r="FA3" s="111" t="n">
        <v>141</v>
      </c>
      <c r="FB3" s="111" t="n">
        <v>2757</v>
      </c>
    </row>
    <row r="4" ht="19.5" customHeight="1" s="247">
      <c r="A4" s="107" t="n">
        <v>1</v>
      </c>
      <c r="B4" s="107" t="inlineStr">
        <is>
          <t>成人非手术</t>
        </is>
      </c>
      <c r="C4" s="107" t="inlineStr">
        <is>
          <t>内科</t>
        </is>
      </c>
      <c r="D4" s="110" t="n">
        <v>146843</v>
      </c>
      <c r="E4" s="110" t="n">
        <v>146843</v>
      </c>
      <c r="F4" s="110" t="n">
        <v>0</v>
      </c>
      <c r="G4" s="110" t="n">
        <v>739</v>
      </c>
      <c r="H4" s="110" t="n">
        <v>0</v>
      </c>
      <c r="I4" s="110" t="n">
        <v>480</v>
      </c>
      <c r="J4" s="110" t="n">
        <v>0</v>
      </c>
      <c r="K4" s="110" t="n">
        <v>0</v>
      </c>
      <c r="L4" s="110" t="n">
        <v>0</v>
      </c>
      <c r="M4" s="110" t="n">
        <v>0</v>
      </c>
      <c r="N4" s="110" t="n">
        <v>0</v>
      </c>
      <c r="O4" s="110" t="n">
        <v>349574.07</v>
      </c>
      <c r="P4" s="110" t="n">
        <v>324942.87</v>
      </c>
      <c r="Q4" s="110" t="n">
        <v>312249.81</v>
      </c>
      <c r="R4" s="110" t="n">
        <v>12693.06</v>
      </c>
      <c r="S4" s="110" t="n">
        <v>24631.2</v>
      </c>
      <c r="T4" s="110" t="n">
        <v>22856.77</v>
      </c>
      <c r="U4" s="110" t="n">
        <v>1774.43</v>
      </c>
      <c r="V4" s="110" t="n">
        <v>349574.07</v>
      </c>
      <c r="W4" s="110" t="n">
        <v>324942.87</v>
      </c>
      <c r="X4" s="110" t="n">
        <v>312249.81</v>
      </c>
      <c r="Y4" s="110" t="n">
        <v>12693.06</v>
      </c>
      <c r="Z4" s="110" t="n">
        <v>24631.2</v>
      </c>
      <c r="AA4" s="110" t="n">
        <v>22856.77</v>
      </c>
      <c r="AB4" s="110" t="n">
        <v>1774.43</v>
      </c>
      <c r="AC4" s="110" t="n">
        <v>201815.67</v>
      </c>
      <c r="AD4" s="110" t="n">
        <v>195184.47</v>
      </c>
      <c r="AE4" s="110" t="n">
        <v>191853.21</v>
      </c>
      <c r="AF4" s="110" t="n">
        <v>3331.26</v>
      </c>
      <c r="AG4" s="110" t="n">
        <v>6631.2</v>
      </c>
      <c r="AH4" s="110" t="n">
        <v>6147.77</v>
      </c>
      <c r="AI4" s="110" t="n">
        <v>483.43</v>
      </c>
      <c r="AJ4" s="110" t="n">
        <v>915.4</v>
      </c>
      <c r="AK4" s="110" t="n">
        <v>915.4</v>
      </c>
      <c r="AL4" s="110" t="n">
        <v>769.6</v>
      </c>
      <c r="AM4" s="110" t="n">
        <v>145.8</v>
      </c>
      <c r="AN4" s="110" t="n">
        <v>0</v>
      </c>
      <c r="AO4" s="110" t="n">
        <v>0</v>
      </c>
      <c r="AP4" s="110" t="n">
        <v>0</v>
      </c>
      <c r="AQ4" s="110" t="n">
        <v>121169</v>
      </c>
      <c r="AR4" s="110" t="n">
        <v>104454</v>
      </c>
      <c r="AS4" s="110" t="n">
        <v>97846</v>
      </c>
      <c r="AT4" s="110" t="n">
        <v>6608</v>
      </c>
      <c r="AU4" s="110" t="n">
        <v>16715</v>
      </c>
      <c r="AV4" s="110" t="n">
        <v>15679</v>
      </c>
      <c r="AW4" s="110" t="n">
        <v>1036</v>
      </c>
      <c r="AX4" s="110" t="n">
        <v>25674</v>
      </c>
      <c r="AY4" s="110" t="n">
        <v>24389</v>
      </c>
      <c r="AZ4" s="110" t="n">
        <v>21781</v>
      </c>
      <c r="BA4" s="110" t="n">
        <v>2608</v>
      </c>
      <c r="BB4" s="110" t="n">
        <v>1285</v>
      </c>
      <c r="BC4" s="110" t="n">
        <v>1030</v>
      </c>
      <c r="BD4" s="110" t="n">
        <v>255</v>
      </c>
      <c r="BE4" s="110" t="n">
        <v>0</v>
      </c>
      <c r="BF4" s="110" t="n">
        <v>0</v>
      </c>
      <c r="BG4" s="110" t="n">
        <v>0</v>
      </c>
      <c r="BH4" s="110" t="n">
        <v>0</v>
      </c>
      <c r="BI4" s="110" t="n">
        <v>0</v>
      </c>
      <c r="BJ4" s="110" t="n">
        <v>0</v>
      </c>
      <c r="BK4" s="110" t="n">
        <v>0</v>
      </c>
      <c r="BL4" s="110" t="n">
        <v>0</v>
      </c>
      <c r="BM4" s="110" t="n">
        <v>0</v>
      </c>
      <c r="BN4" s="110" t="n">
        <v>0</v>
      </c>
      <c r="BO4" s="110" t="n">
        <v>0</v>
      </c>
      <c r="BP4" s="110" t="n">
        <v>0</v>
      </c>
      <c r="BQ4" s="110" t="n">
        <v>0</v>
      </c>
      <c r="BR4" s="110" t="n">
        <v>0</v>
      </c>
      <c r="BS4" s="110" t="n">
        <v>0</v>
      </c>
      <c r="BT4" s="110" t="n">
        <v>0</v>
      </c>
      <c r="BU4" s="110" t="n">
        <v>0</v>
      </c>
      <c r="BV4" s="110" t="n">
        <v>0</v>
      </c>
      <c r="BW4" s="110" t="n">
        <v>0</v>
      </c>
      <c r="BX4" s="110" t="n">
        <v>0</v>
      </c>
      <c r="BY4" s="110" t="n">
        <v>0</v>
      </c>
      <c r="BZ4" s="110" t="n">
        <v>0</v>
      </c>
      <c r="CA4" s="110" t="n">
        <v>0</v>
      </c>
      <c r="CB4" s="110" t="n">
        <v>0</v>
      </c>
      <c r="CC4" s="110" t="n">
        <v>0</v>
      </c>
      <c r="CD4" s="110" t="n">
        <v>0</v>
      </c>
      <c r="CE4" s="110" t="n">
        <v>0</v>
      </c>
      <c r="CF4" s="110" t="n">
        <v>0</v>
      </c>
      <c r="CG4" s="110" t="n">
        <v>0</v>
      </c>
      <c r="CH4" s="110" t="n">
        <v>0</v>
      </c>
      <c r="CI4" s="110" t="n">
        <v>0</v>
      </c>
      <c r="CJ4" s="110" t="n">
        <v>0</v>
      </c>
      <c r="CK4" s="110" t="n">
        <v>0</v>
      </c>
      <c r="CL4" s="110" t="n">
        <v>0</v>
      </c>
      <c r="CM4" s="110" t="n">
        <v>0</v>
      </c>
      <c r="CN4" s="110" t="n">
        <v>0</v>
      </c>
      <c r="CO4" s="110" t="n">
        <v>193952.2</v>
      </c>
      <c r="CP4" s="110" t="n">
        <v>113874.54</v>
      </c>
      <c r="CQ4" s="110" t="n">
        <v>33437.48</v>
      </c>
      <c r="CR4" s="110" t="n">
        <v>8309.85</v>
      </c>
      <c r="CS4" s="110" t="n">
        <v>0</v>
      </c>
      <c r="CT4" s="110" t="n">
        <v>0</v>
      </c>
      <c r="CU4" s="110" t="n">
        <v>0</v>
      </c>
      <c r="CV4" s="111" t="n">
        <v>739</v>
      </c>
      <c r="CW4" s="111" t="n">
        <v>696</v>
      </c>
      <c r="CX4" s="111" t="n">
        <v>677</v>
      </c>
      <c r="CY4" s="111" t="n">
        <v>19</v>
      </c>
      <c r="CZ4" s="111" t="n">
        <v>43</v>
      </c>
      <c r="DA4" s="111" t="n">
        <v>35</v>
      </c>
      <c r="DB4" s="111" t="n">
        <v>8</v>
      </c>
      <c r="DC4" s="111" t="n">
        <v>557</v>
      </c>
      <c r="DD4" s="111" t="n">
        <v>0</v>
      </c>
      <c r="DE4" s="111" t="n">
        <v>526</v>
      </c>
      <c r="DF4" s="111" t="n">
        <v>518</v>
      </c>
      <c r="DG4" s="111" t="n">
        <v>8</v>
      </c>
      <c r="DH4" s="111" t="n">
        <v>31</v>
      </c>
      <c r="DI4" s="111" t="n">
        <v>26</v>
      </c>
      <c r="DJ4" s="111" t="n">
        <v>5</v>
      </c>
      <c r="DK4" s="111" t="n">
        <v>173</v>
      </c>
      <c r="DL4" s="111" t="n">
        <v>161</v>
      </c>
      <c r="DM4" s="111" t="n">
        <v>154</v>
      </c>
      <c r="DN4" s="111" t="n">
        <v>7</v>
      </c>
      <c r="DO4" s="111" t="n">
        <v>12</v>
      </c>
      <c r="DP4" s="111" t="n">
        <v>9</v>
      </c>
      <c r="DQ4" s="111" t="n">
        <v>3</v>
      </c>
      <c r="DR4" s="111" t="n">
        <v>9</v>
      </c>
      <c r="DS4" s="111" t="n">
        <v>0</v>
      </c>
      <c r="DT4" s="111" t="n">
        <v>9</v>
      </c>
      <c r="DU4" s="111" t="n">
        <v>5</v>
      </c>
      <c r="DV4" s="111" t="n">
        <v>4</v>
      </c>
      <c r="DW4" s="111" t="n">
        <v>0</v>
      </c>
      <c r="DX4" s="111" t="n">
        <v>0</v>
      </c>
      <c r="DY4" s="111" t="n">
        <v>0</v>
      </c>
      <c r="DZ4" s="111" t="n">
        <v>0</v>
      </c>
      <c r="EA4" s="111" t="n">
        <v>0</v>
      </c>
      <c r="EB4" s="111" t="n">
        <v>0</v>
      </c>
      <c r="EC4" s="111" t="n">
        <v>0</v>
      </c>
      <c r="ED4" s="111" t="n">
        <v>0</v>
      </c>
      <c r="EE4" s="111" t="n">
        <v>0</v>
      </c>
      <c r="EF4" s="111" t="n">
        <v>0</v>
      </c>
      <c r="EG4" s="111" t="n">
        <v>0</v>
      </c>
      <c r="EH4" s="111" t="n">
        <v>0</v>
      </c>
      <c r="EI4" s="111" t="n">
        <v>0</v>
      </c>
      <c r="EJ4" s="111" t="n">
        <v>0</v>
      </c>
      <c r="EK4" s="111" t="n">
        <v>0</v>
      </c>
      <c r="EL4" s="111" t="n">
        <v>0</v>
      </c>
      <c r="EM4" s="111" t="n">
        <v>0</v>
      </c>
      <c r="EN4" s="111" t="n">
        <v>0</v>
      </c>
      <c r="EO4" s="111" t="n">
        <v>0</v>
      </c>
      <c r="EP4" s="111" t="n">
        <v>0</v>
      </c>
      <c r="EQ4" s="111" t="n">
        <v>0</v>
      </c>
      <c r="ER4" s="111" t="n">
        <v>0</v>
      </c>
      <c r="ES4" s="111" t="n">
        <v>0</v>
      </c>
      <c r="ET4" s="111" t="n">
        <v>0</v>
      </c>
      <c r="EU4" s="111" t="n">
        <v>0</v>
      </c>
      <c r="EV4" s="111" t="n">
        <v>0</v>
      </c>
      <c r="EW4" s="111" t="n">
        <v>0</v>
      </c>
      <c r="EX4" s="111" t="n">
        <v>0</v>
      </c>
      <c r="EY4" s="111" t="n">
        <v>0</v>
      </c>
      <c r="EZ4" s="111" t="n">
        <v>0</v>
      </c>
      <c r="FA4" s="111" t="n">
        <v>0</v>
      </c>
      <c r="FB4" s="111" t="n">
        <v>0</v>
      </c>
    </row>
    <row r="5" ht="19.5" customHeight="1" s="247">
      <c r="A5" s="107" t="n">
        <v>2</v>
      </c>
      <c r="B5" s="107" t="inlineStr">
        <is>
          <t>成人非手术</t>
        </is>
      </c>
      <c r="C5" s="107" t="inlineStr">
        <is>
          <t>呼吸内科</t>
        </is>
      </c>
      <c r="D5" s="110" t="n">
        <v>3936522</v>
      </c>
      <c r="E5" s="110" t="n">
        <v>1426784</v>
      </c>
      <c r="F5" s="110" t="n">
        <v>2509738</v>
      </c>
      <c r="G5" s="110" t="n">
        <v>7273</v>
      </c>
      <c r="H5" s="110" t="n">
        <v>234</v>
      </c>
      <c r="I5" s="110" t="n">
        <v>12728</v>
      </c>
      <c r="J5" s="110" t="n">
        <v>0</v>
      </c>
      <c r="K5" s="110" t="n">
        <v>0</v>
      </c>
      <c r="L5" s="110" t="n">
        <v>137855</v>
      </c>
      <c r="M5" s="110" t="n">
        <v>975</v>
      </c>
      <c r="N5" s="110" t="n">
        <v>1524.66</v>
      </c>
      <c r="O5" s="110" t="n">
        <v>8117333.92</v>
      </c>
      <c r="P5" s="110" t="n">
        <v>5804551.91</v>
      </c>
      <c r="Q5" s="110" t="n">
        <v>5616173.52</v>
      </c>
      <c r="R5" s="110" t="n">
        <v>188378.39</v>
      </c>
      <c r="S5" s="110" t="n">
        <v>2312782.01</v>
      </c>
      <c r="T5" s="110" t="n">
        <v>2152318.68</v>
      </c>
      <c r="U5" s="110" t="n">
        <v>160463.33</v>
      </c>
      <c r="V5" s="110" t="n">
        <v>3166081.34</v>
      </c>
      <c r="W5" s="110" t="n">
        <v>2825380.22</v>
      </c>
      <c r="X5" s="110" t="n">
        <v>2736679.18</v>
      </c>
      <c r="Y5" s="110" t="n">
        <v>88701.03999999999</v>
      </c>
      <c r="Z5" s="110" t="n">
        <v>340701.12</v>
      </c>
      <c r="AA5" s="110" t="n">
        <v>214909.89</v>
      </c>
      <c r="AB5" s="110" t="n">
        <v>125791.23</v>
      </c>
      <c r="AC5" s="110" t="n">
        <v>1695682.24</v>
      </c>
      <c r="AD5" s="110" t="n">
        <v>1508057.12</v>
      </c>
      <c r="AE5" s="110" t="n">
        <v>1477384.08</v>
      </c>
      <c r="AF5" s="110" t="n">
        <v>30673.04</v>
      </c>
      <c r="AG5" s="110" t="n">
        <v>187625.12</v>
      </c>
      <c r="AH5" s="110" t="n">
        <v>124441.89</v>
      </c>
      <c r="AI5" s="110" t="n">
        <v>63183.23</v>
      </c>
      <c r="AJ5" s="110" t="n">
        <v>43615.1</v>
      </c>
      <c r="AK5" s="110" t="n">
        <v>38957.1</v>
      </c>
      <c r="AL5" s="110" t="n">
        <v>37235.1</v>
      </c>
      <c r="AM5" s="110" t="n">
        <v>1722</v>
      </c>
      <c r="AN5" s="110" t="n">
        <v>4658</v>
      </c>
      <c r="AO5" s="110" t="n">
        <v>3028</v>
      </c>
      <c r="AP5" s="110" t="n">
        <v>1630</v>
      </c>
      <c r="AQ5" s="110" t="n">
        <v>1145666</v>
      </c>
      <c r="AR5" s="110" t="n">
        <v>1030484</v>
      </c>
      <c r="AS5" s="110" t="n">
        <v>985105</v>
      </c>
      <c r="AT5" s="110" t="n">
        <v>45379</v>
      </c>
      <c r="AU5" s="110" t="n">
        <v>115182</v>
      </c>
      <c r="AV5" s="110" t="n">
        <v>68730</v>
      </c>
      <c r="AW5" s="110" t="n">
        <v>46452</v>
      </c>
      <c r="AX5" s="110" t="n">
        <v>281118</v>
      </c>
      <c r="AY5" s="110" t="n">
        <v>247882</v>
      </c>
      <c r="AZ5" s="110" t="n">
        <v>236955</v>
      </c>
      <c r="BA5" s="110" t="n">
        <v>10927</v>
      </c>
      <c r="BB5" s="110" t="n">
        <v>33236</v>
      </c>
      <c r="BC5" s="110" t="n">
        <v>18710</v>
      </c>
      <c r="BD5" s="110" t="n">
        <v>14526</v>
      </c>
      <c r="BE5" s="110" t="n">
        <v>4951252.58</v>
      </c>
      <c r="BF5" s="110" t="n">
        <v>2979171.69</v>
      </c>
      <c r="BG5" s="110" t="n">
        <v>2879494.34</v>
      </c>
      <c r="BH5" s="110" t="n">
        <v>99677.35000000001</v>
      </c>
      <c r="BI5" s="110" t="n">
        <v>1972080.89</v>
      </c>
      <c r="BJ5" s="110" t="n">
        <v>1937408.79</v>
      </c>
      <c r="BK5" s="110" t="n">
        <v>34672.1</v>
      </c>
      <c r="BL5" s="110" t="n">
        <v>2270395.91</v>
      </c>
      <c r="BM5" s="110" t="n">
        <v>1358434.26</v>
      </c>
      <c r="BN5" s="110" t="n">
        <v>1317822.02</v>
      </c>
      <c r="BO5" s="110" t="n">
        <v>40612.24</v>
      </c>
      <c r="BP5" s="110" t="n">
        <v>911961.65</v>
      </c>
      <c r="BQ5" s="110" t="n">
        <v>908900.89</v>
      </c>
      <c r="BR5" s="110" t="n">
        <v>3060.76</v>
      </c>
      <c r="BS5" s="110" t="n">
        <v>171118.67</v>
      </c>
      <c r="BT5" s="110" t="n">
        <v>102110.93</v>
      </c>
      <c r="BU5" s="110" t="n">
        <v>98748.32000000001</v>
      </c>
      <c r="BV5" s="110" t="n">
        <v>3362.61</v>
      </c>
      <c r="BW5" s="110" t="n">
        <v>69007.74000000001</v>
      </c>
      <c r="BX5" s="110" t="n">
        <v>66459.39999999999</v>
      </c>
      <c r="BY5" s="110" t="n">
        <v>2548.34</v>
      </c>
      <c r="BZ5" s="110" t="n">
        <v>2034501</v>
      </c>
      <c r="CA5" s="110" t="n">
        <v>1228509</v>
      </c>
      <c r="CB5" s="110" t="n">
        <v>1194016</v>
      </c>
      <c r="CC5" s="110" t="n">
        <v>34493</v>
      </c>
      <c r="CD5" s="110" t="n">
        <v>805992</v>
      </c>
      <c r="CE5" s="110" t="n">
        <v>779552</v>
      </c>
      <c r="CF5" s="110" t="n">
        <v>26440</v>
      </c>
      <c r="CG5" s="110" t="n">
        <v>475237</v>
      </c>
      <c r="CH5" s="110" t="n">
        <v>290117.5</v>
      </c>
      <c r="CI5" s="110" t="n">
        <v>268908</v>
      </c>
      <c r="CJ5" s="110" t="n">
        <v>21209.5</v>
      </c>
      <c r="CK5" s="110" t="n">
        <v>185119.5</v>
      </c>
      <c r="CL5" s="110" t="n">
        <v>182496.5</v>
      </c>
      <c r="CM5" s="110" t="n">
        <v>2623</v>
      </c>
      <c r="CN5" s="110" t="n">
        <v>-25</v>
      </c>
      <c r="CO5" s="110" t="n">
        <v>1921787.28</v>
      </c>
      <c r="CP5" s="110" t="n">
        <v>939586.63</v>
      </c>
      <c r="CQ5" s="110" t="n">
        <v>108899.66</v>
      </c>
      <c r="CR5" s="110" t="n">
        <v>195807.77</v>
      </c>
      <c r="CS5" s="110" t="n">
        <v>0</v>
      </c>
      <c r="CT5" s="110" t="n">
        <v>27432.8</v>
      </c>
      <c r="CU5" s="110" t="n">
        <v>0</v>
      </c>
      <c r="CV5" s="111" t="n">
        <v>7273</v>
      </c>
      <c r="CW5" s="111" t="n">
        <v>6545</v>
      </c>
      <c r="CX5" s="111" t="n">
        <v>6338</v>
      </c>
      <c r="CY5" s="111" t="n">
        <v>207</v>
      </c>
      <c r="CZ5" s="111" t="n">
        <v>728</v>
      </c>
      <c r="DA5" s="111" t="n">
        <v>449</v>
      </c>
      <c r="DB5" s="111" t="n">
        <v>279</v>
      </c>
      <c r="DC5" s="111" t="n">
        <v>5473</v>
      </c>
      <c r="DD5" s="111" t="n">
        <v>51</v>
      </c>
      <c r="DE5" s="111" t="n">
        <v>4988</v>
      </c>
      <c r="DF5" s="111" t="n">
        <v>4855</v>
      </c>
      <c r="DG5" s="111" t="n">
        <v>133</v>
      </c>
      <c r="DH5" s="111" t="n">
        <v>485</v>
      </c>
      <c r="DI5" s="111" t="n">
        <v>296</v>
      </c>
      <c r="DJ5" s="111" t="n">
        <v>189</v>
      </c>
      <c r="DK5" s="111" t="n">
        <v>1498</v>
      </c>
      <c r="DL5" s="111" t="n">
        <v>1297</v>
      </c>
      <c r="DM5" s="111" t="n">
        <v>1239</v>
      </c>
      <c r="DN5" s="111" t="n">
        <v>58</v>
      </c>
      <c r="DO5" s="111" t="n">
        <v>201</v>
      </c>
      <c r="DP5" s="111" t="n">
        <v>133</v>
      </c>
      <c r="DQ5" s="111" t="n">
        <v>68</v>
      </c>
      <c r="DR5" s="111" t="n">
        <v>250</v>
      </c>
      <c r="DS5" s="111" t="n">
        <v>1</v>
      </c>
      <c r="DT5" s="111" t="n">
        <v>211</v>
      </c>
      <c r="DU5" s="111" t="n">
        <v>197</v>
      </c>
      <c r="DV5" s="111" t="n">
        <v>14</v>
      </c>
      <c r="DW5" s="111" t="n">
        <v>39</v>
      </c>
      <c r="DX5" s="111" t="n">
        <v>18</v>
      </c>
      <c r="DY5" s="111" t="n">
        <v>21</v>
      </c>
      <c r="DZ5" s="111" t="n">
        <v>0</v>
      </c>
      <c r="EA5" s="111" t="n">
        <v>0</v>
      </c>
      <c r="EB5" s="111" t="n">
        <v>0</v>
      </c>
      <c r="EC5" s="111" t="n">
        <v>0</v>
      </c>
      <c r="ED5" s="111" t="n">
        <v>0</v>
      </c>
      <c r="EE5" s="111" t="n">
        <v>0</v>
      </c>
      <c r="EF5" s="111" t="n">
        <v>0</v>
      </c>
      <c r="EG5" s="111" t="n">
        <v>234</v>
      </c>
      <c r="EH5" s="111" t="n">
        <v>148</v>
      </c>
      <c r="EI5" s="111" t="n">
        <v>145</v>
      </c>
      <c r="EJ5" s="111" t="n">
        <v>3</v>
      </c>
      <c r="EK5" s="111" t="n">
        <v>86</v>
      </c>
      <c r="EL5" s="111" t="n">
        <v>84</v>
      </c>
      <c r="EM5" s="111" t="n">
        <v>2</v>
      </c>
      <c r="EN5" s="111" t="n">
        <v>159</v>
      </c>
      <c r="EO5" s="111" t="n">
        <v>1</v>
      </c>
      <c r="EP5" s="111" t="n">
        <v>0</v>
      </c>
      <c r="EQ5" s="111" t="n">
        <v>158</v>
      </c>
      <c r="ER5" s="111" t="n">
        <v>0</v>
      </c>
      <c r="ES5" s="111" t="n">
        <v>0</v>
      </c>
      <c r="ET5" s="111" t="n">
        <v>0</v>
      </c>
      <c r="EU5" s="111" t="n">
        <v>0</v>
      </c>
      <c r="EV5" s="111" t="n">
        <v>0</v>
      </c>
      <c r="EW5" s="111" t="n">
        <v>0</v>
      </c>
      <c r="EX5" s="111" t="n">
        <v>0</v>
      </c>
      <c r="EY5" s="111" t="n">
        <v>0</v>
      </c>
      <c r="EZ5" s="111" t="n">
        <v>0</v>
      </c>
      <c r="FA5" s="111" t="n">
        <v>0</v>
      </c>
      <c r="FB5" s="111" t="n">
        <v>38</v>
      </c>
    </row>
    <row r="6" ht="28.5" customHeight="1" s="247">
      <c r="A6" s="107" t="n">
        <v>3</v>
      </c>
      <c r="B6" s="107" t="inlineStr">
        <is>
          <t>成人非手术</t>
        </is>
      </c>
      <c r="C6" s="107" t="inlineStr">
        <is>
          <t>消化内科（内窥镜诊治部）</t>
        </is>
      </c>
      <c r="D6" s="110" t="n">
        <v>7699914</v>
      </c>
      <c r="E6" s="110" t="n">
        <v>4699592</v>
      </c>
      <c r="F6" s="110" t="n">
        <v>3000322</v>
      </c>
      <c r="G6" s="110" t="n">
        <v>13958</v>
      </c>
      <c r="H6" s="110" t="n">
        <v>492</v>
      </c>
      <c r="I6" s="110" t="n">
        <v>271894</v>
      </c>
      <c r="J6" s="110" t="n">
        <v>27900</v>
      </c>
      <c r="K6" s="110" t="n">
        <v>0</v>
      </c>
      <c r="L6" s="110" t="n">
        <v>261115.5</v>
      </c>
      <c r="M6" s="110" t="n">
        <v>83795</v>
      </c>
      <c r="N6" s="110" t="n">
        <v>954.3</v>
      </c>
      <c r="O6" s="110" t="n">
        <v>13599113.92</v>
      </c>
      <c r="P6" s="110" t="n">
        <v>10985900.97</v>
      </c>
      <c r="Q6" s="110" t="n">
        <v>10545401.18</v>
      </c>
      <c r="R6" s="110" t="n">
        <v>440499.79</v>
      </c>
      <c r="S6" s="110" t="n">
        <v>2613212.95</v>
      </c>
      <c r="T6" s="110" t="n">
        <v>2170252.48</v>
      </c>
      <c r="U6" s="110" t="n">
        <v>442960.47</v>
      </c>
      <c r="V6" s="110" t="n">
        <v>8242959.7</v>
      </c>
      <c r="W6" s="110" t="n">
        <v>7206306.16</v>
      </c>
      <c r="X6" s="110" t="n">
        <v>6783472.32</v>
      </c>
      <c r="Y6" s="110" t="n">
        <v>422833.84</v>
      </c>
      <c r="Z6" s="110" t="n">
        <v>1036653.54</v>
      </c>
      <c r="AA6" s="110" t="n">
        <v>642502.92</v>
      </c>
      <c r="AB6" s="110" t="n">
        <v>394150.62</v>
      </c>
      <c r="AC6" s="110" t="n">
        <v>3038485.5</v>
      </c>
      <c r="AD6" s="110" t="n">
        <v>2669952.96</v>
      </c>
      <c r="AE6" s="110" t="n">
        <v>2579574.12</v>
      </c>
      <c r="AF6" s="110" t="n">
        <v>90378.84</v>
      </c>
      <c r="AG6" s="110" t="n">
        <v>368532.54</v>
      </c>
      <c r="AH6" s="110" t="n">
        <v>241635.92</v>
      </c>
      <c r="AI6" s="110" t="n">
        <v>126896.62</v>
      </c>
      <c r="AJ6" s="110" t="n">
        <v>504882.2</v>
      </c>
      <c r="AK6" s="110" t="n">
        <v>437543.2</v>
      </c>
      <c r="AL6" s="110" t="n">
        <v>426466.2</v>
      </c>
      <c r="AM6" s="110" t="n">
        <v>11077</v>
      </c>
      <c r="AN6" s="110" t="n">
        <v>67339</v>
      </c>
      <c r="AO6" s="110" t="n">
        <v>48690</v>
      </c>
      <c r="AP6" s="110" t="n">
        <v>18649</v>
      </c>
      <c r="AQ6" s="110" t="n">
        <v>3226628</v>
      </c>
      <c r="AR6" s="110" t="n">
        <v>2852119</v>
      </c>
      <c r="AS6" s="110" t="n">
        <v>2760069</v>
      </c>
      <c r="AT6" s="110" t="n">
        <v>92050</v>
      </c>
      <c r="AU6" s="110" t="n">
        <v>374509</v>
      </c>
      <c r="AV6" s="110" t="n">
        <v>247422</v>
      </c>
      <c r="AW6" s="110" t="n">
        <v>127087</v>
      </c>
      <c r="AX6" s="110" t="n">
        <v>1472964</v>
      </c>
      <c r="AY6" s="110" t="n">
        <v>1246691</v>
      </c>
      <c r="AZ6" s="110" t="n">
        <v>1017363</v>
      </c>
      <c r="BA6" s="110" t="n">
        <v>229328</v>
      </c>
      <c r="BB6" s="110" t="n">
        <v>226273</v>
      </c>
      <c r="BC6" s="110" t="n">
        <v>104755</v>
      </c>
      <c r="BD6" s="110" t="n">
        <v>121518</v>
      </c>
      <c r="BE6" s="110" t="n">
        <v>5356154.22</v>
      </c>
      <c r="BF6" s="110" t="n">
        <v>3779594.81</v>
      </c>
      <c r="BG6" s="110" t="n">
        <v>3761928.86</v>
      </c>
      <c r="BH6" s="110" t="n">
        <v>17665.95</v>
      </c>
      <c r="BI6" s="110" t="n">
        <v>1576559.41</v>
      </c>
      <c r="BJ6" s="110" t="n">
        <v>1527749.56</v>
      </c>
      <c r="BK6" s="110" t="n">
        <v>48809.85</v>
      </c>
      <c r="BL6" s="110" t="n">
        <v>920538.73</v>
      </c>
      <c r="BM6" s="110" t="n">
        <v>621459.12</v>
      </c>
      <c r="BN6" s="110" t="n">
        <v>616747.4300000001</v>
      </c>
      <c r="BO6" s="110" t="n">
        <v>4711.69</v>
      </c>
      <c r="BP6" s="110" t="n">
        <v>299079.61</v>
      </c>
      <c r="BQ6" s="110" t="n">
        <v>292373.7</v>
      </c>
      <c r="BR6" s="110" t="n">
        <v>6705.91</v>
      </c>
      <c r="BS6" s="110" t="n">
        <v>1435293.49</v>
      </c>
      <c r="BT6" s="110" t="n">
        <v>1035474.19</v>
      </c>
      <c r="BU6" s="110" t="n">
        <v>1034884.43</v>
      </c>
      <c r="BV6" s="110" t="n">
        <v>589.76</v>
      </c>
      <c r="BW6" s="110" t="n">
        <v>399819.3</v>
      </c>
      <c r="BX6" s="110" t="n">
        <v>391702.86</v>
      </c>
      <c r="BY6" s="110" t="n">
        <v>8116.44</v>
      </c>
      <c r="BZ6" s="110" t="n">
        <v>2116565</v>
      </c>
      <c r="CA6" s="110" t="n">
        <v>1484173</v>
      </c>
      <c r="CB6" s="110" t="n">
        <v>1474746</v>
      </c>
      <c r="CC6" s="110" t="n">
        <v>9427</v>
      </c>
      <c r="CD6" s="110" t="n">
        <v>632392</v>
      </c>
      <c r="CE6" s="110" t="n">
        <v>605119</v>
      </c>
      <c r="CF6" s="110" t="n">
        <v>27273</v>
      </c>
      <c r="CG6" s="110" t="n">
        <v>883757</v>
      </c>
      <c r="CH6" s="110" t="n">
        <v>638488.5</v>
      </c>
      <c r="CI6" s="110" t="n">
        <v>635551</v>
      </c>
      <c r="CJ6" s="110" t="n">
        <v>2937.5</v>
      </c>
      <c r="CK6" s="110" t="n">
        <v>245268.5</v>
      </c>
      <c r="CL6" s="110" t="n">
        <v>238554</v>
      </c>
      <c r="CM6" s="110" t="n">
        <v>6714.5</v>
      </c>
      <c r="CN6" s="110" t="n">
        <v>305</v>
      </c>
      <c r="CO6" s="110" t="n">
        <v>3635524.64</v>
      </c>
      <c r="CP6" s="110" t="n">
        <v>2050832.15</v>
      </c>
      <c r="CQ6" s="110" t="n">
        <v>1165294.72</v>
      </c>
      <c r="CR6" s="110" t="n">
        <v>1390953.19</v>
      </c>
      <c r="CS6" s="110" t="n">
        <v>0</v>
      </c>
      <c r="CT6" s="110" t="n">
        <v>0</v>
      </c>
      <c r="CU6" s="110" t="n">
        <v>0</v>
      </c>
      <c r="CV6" s="111" t="n">
        <v>13958</v>
      </c>
      <c r="CW6" s="111" t="n">
        <v>12352</v>
      </c>
      <c r="CX6" s="111" t="n">
        <v>11760</v>
      </c>
      <c r="CY6" s="111" t="n">
        <v>592</v>
      </c>
      <c r="CZ6" s="111" t="n">
        <v>1606</v>
      </c>
      <c r="DA6" s="111" t="n">
        <v>995</v>
      </c>
      <c r="DB6" s="111" t="n">
        <v>611</v>
      </c>
      <c r="DC6" s="111" t="n">
        <v>9197</v>
      </c>
      <c r="DD6" s="111" t="n">
        <v>202</v>
      </c>
      <c r="DE6" s="111" t="n">
        <v>8238</v>
      </c>
      <c r="DF6" s="111" t="n">
        <v>7990</v>
      </c>
      <c r="DG6" s="111" t="n">
        <v>248</v>
      </c>
      <c r="DH6" s="111" t="n">
        <v>959</v>
      </c>
      <c r="DI6" s="111" t="n">
        <v>631</v>
      </c>
      <c r="DJ6" s="111" t="n">
        <v>328</v>
      </c>
      <c r="DK6" s="111" t="n">
        <v>3564</v>
      </c>
      <c r="DL6" s="111" t="n">
        <v>3112</v>
      </c>
      <c r="DM6" s="111" t="n">
        <v>2983</v>
      </c>
      <c r="DN6" s="111" t="n">
        <v>129</v>
      </c>
      <c r="DO6" s="111" t="n">
        <v>452</v>
      </c>
      <c r="DP6" s="111" t="n">
        <v>292</v>
      </c>
      <c r="DQ6" s="111" t="n">
        <v>160</v>
      </c>
      <c r="DR6" s="111" t="n">
        <v>995</v>
      </c>
      <c r="DS6" s="111" t="n">
        <v>0</v>
      </c>
      <c r="DT6" s="111" t="n">
        <v>810</v>
      </c>
      <c r="DU6" s="111" t="n">
        <v>605</v>
      </c>
      <c r="DV6" s="111" t="n">
        <v>205</v>
      </c>
      <c r="DW6" s="111" t="n">
        <v>185</v>
      </c>
      <c r="DX6" s="111" t="n">
        <v>72</v>
      </c>
      <c r="DY6" s="111" t="n">
        <v>113</v>
      </c>
      <c r="DZ6" s="111" t="n">
        <v>0</v>
      </c>
      <c r="EA6" s="111" t="n">
        <v>0</v>
      </c>
      <c r="EB6" s="111" t="n">
        <v>0</v>
      </c>
      <c r="EC6" s="111" t="n">
        <v>0</v>
      </c>
      <c r="ED6" s="111" t="n">
        <v>0</v>
      </c>
      <c r="EE6" s="111" t="n">
        <v>0</v>
      </c>
      <c r="EF6" s="111" t="n">
        <v>0</v>
      </c>
      <c r="EG6" s="111" t="n">
        <v>492</v>
      </c>
      <c r="EH6" s="111" t="n">
        <v>365</v>
      </c>
      <c r="EI6" s="111" t="n">
        <v>361</v>
      </c>
      <c r="EJ6" s="111" t="n">
        <v>4</v>
      </c>
      <c r="EK6" s="111" t="n">
        <v>127</v>
      </c>
      <c r="EL6" s="111" t="n">
        <v>122</v>
      </c>
      <c r="EM6" s="111" t="n">
        <v>5</v>
      </c>
      <c r="EN6" s="111" t="n">
        <v>639</v>
      </c>
      <c r="EO6" s="111" t="n">
        <v>0</v>
      </c>
      <c r="EP6" s="111" t="n">
        <v>0</v>
      </c>
      <c r="EQ6" s="111" t="n">
        <v>639</v>
      </c>
      <c r="ER6" s="111" t="n">
        <v>0</v>
      </c>
      <c r="ES6" s="111" t="n">
        <v>0</v>
      </c>
      <c r="ET6" s="111" t="n">
        <v>92</v>
      </c>
      <c r="EU6" s="111" t="n">
        <v>70</v>
      </c>
      <c r="EV6" s="111" t="n">
        <v>0</v>
      </c>
      <c r="EW6" s="111" t="n">
        <v>0</v>
      </c>
      <c r="EX6" s="111" t="n">
        <v>70</v>
      </c>
      <c r="EY6" s="111" t="n">
        <v>0</v>
      </c>
      <c r="EZ6" s="111" t="n">
        <v>0</v>
      </c>
      <c r="FA6" s="111" t="n">
        <v>0</v>
      </c>
      <c r="FB6" s="111" t="n">
        <v>44</v>
      </c>
    </row>
    <row r="7" ht="19.5" customHeight="1" s="247">
      <c r="A7" s="107" t="n">
        <v>4</v>
      </c>
      <c r="B7" s="107" t="inlineStr">
        <is>
          <t>成人非手术</t>
        </is>
      </c>
      <c r="C7" s="107" t="inlineStr">
        <is>
          <t>神经内科</t>
        </is>
      </c>
      <c r="D7" s="110" t="n">
        <v>4145539</v>
      </c>
      <c r="E7" s="110" t="n">
        <v>1862176.5</v>
      </c>
      <c r="F7" s="110" t="n">
        <v>2283362.5</v>
      </c>
      <c r="G7" s="110" t="n">
        <v>10485</v>
      </c>
      <c r="H7" s="110" t="n">
        <v>217</v>
      </c>
      <c r="I7" s="110" t="n">
        <v>886</v>
      </c>
      <c r="J7" s="110" t="n">
        <v>0</v>
      </c>
      <c r="K7" s="110" t="n">
        <v>126648.15</v>
      </c>
      <c r="L7" s="110" t="n">
        <v>192255</v>
      </c>
      <c r="M7" s="110" t="n">
        <v>4000</v>
      </c>
      <c r="N7" s="110" t="n">
        <v>1002.92</v>
      </c>
      <c r="O7" s="110" t="n">
        <v>9536740.85</v>
      </c>
      <c r="P7" s="110" t="n">
        <v>7922371.31</v>
      </c>
      <c r="Q7" s="110" t="n">
        <v>7749818.09</v>
      </c>
      <c r="R7" s="110" t="n">
        <v>172553.22</v>
      </c>
      <c r="S7" s="110" t="n">
        <v>1614369.54</v>
      </c>
      <c r="T7" s="110" t="n">
        <v>1429080.89</v>
      </c>
      <c r="U7" s="110" t="n">
        <v>185288.65</v>
      </c>
      <c r="V7" s="110" t="n">
        <v>4738974.08</v>
      </c>
      <c r="W7" s="110" t="n">
        <v>4275100.01</v>
      </c>
      <c r="X7" s="110" t="n">
        <v>4147824.92</v>
      </c>
      <c r="Y7" s="110" t="n">
        <v>127275.09</v>
      </c>
      <c r="Z7" s="110" t="n">
        <v>463874.07</v>
      </c>
      <c r="AA7" s="110" t="n">
        <v>327154.11</v>
      </c>
      <c r="AB7" s="110" t="n">
        <v>136719.96</v>
      </c>
      <c r="AC7" s="110" t="n">
        <v>2876642.42</v>
      </c>
      <c r="AD7" s="110" t="n">
        <v>2642896.85</v>
      </c>
      <c r="AE7" s="110" t="n">
        <v>2575958.76</v>
      </c>
      <c r="AF7" s="110" t="n">
        <v>66938.09</v>
      </c>
      <c r="AG7" s="110" t="n">
        <v>233745.57</v>
      </c>
      <c r="AH7" s="110" t="n">
        <v>171452.61</v>
      </c>
      <c r="AI7" s="110" t="n">
        <v>62292.96</v>
      </c>
      <c r="AJ7" s="110" t="n">
        <v>155.16</v>
      </c>
      <c r="AK7" s="110" t="n">
        <v>155.16</v>
      </c>
      <c r="AL7" s="110" t="n">
        <v>155.16</v>
      </c>
      <c r="AM7" s="110" t="n">
        <v>0</v>
      </c>
      <c r="AN7" s="110" t="n">
        <v>0</v>
      </c>
      <c r="AO7" s="110" t="n">
        <v>0</v>
      </c>
      <c r="AP7" s="110" t="n">
        <v>0</v>
      </c>
      <c r="AQ7" s="110" t="n">
        <v>1500431</v>
      </c>
      <c r="AR7" s="110" t="n">
        <v>1317213</v>
      </c>
      <c r="AS7" s="110" t="n">
        <v>1272939</v>
      </c>
      <c r="AT7" s="110" t="n">
        <v>44274</v>
      </c>
      <c r="AU7" s="110" t="n">
        <v>183218</v>
      </c>
      <c r="AV7" s="110" t="n">
        <v>126874</v>
      </c>
      <c r="AW7" s="110" t="n">
        <v>56344</v>
      </c>
      <c r="AX7" s="110" t="n">
        <v>361745.5</v>
      </c>
      <c r="AY7" s="110" t="n">
        <v>314835</v>
      </c>
      <c r="AZ7" s="110" t="n">
        <v>298772</v>
      </c>
      <c r="BA7" s="110" t="n">
        <v>16063</v>
      </c>
      <c r="BB7" s="110" t="n">
        <v>46910.5</v>
      </c>
      <c r="BC7" s="110" t="n">
        <v>28827.5</v>
      </c>
      <c r="BD7" s="110" t="n">
        <v>18083</v>
      </c>
      <c r="BE7" s="110" t="n">
        <v>4797766.77</v>
      </c>
      <c r="BF7" s="110" t="n">
        <v>3647271.3</v>
      </c>
      <c r="BG7" s="110" t="n">
        <v>3601993.17</v>
      </c>
      <c r="BH7" s="110" t="n">
        <v>45278.13</v>
      </c>
      <c r="BI7" s="110" t="n">
        <v>1150495.47</v>
      </c>
      <c r="BJ7" s="110" t="n">
        <v>1101926.78</v>
      </c>
      <c r="BK7" s="110" t="n">
        <v>48568.69</v>
      </c>
      <c r="BL7" s="110" t="n">
        <v>1010117.26</v>
      </c>
      <c r="BM7" s="110" t="n">
        <v>769669.89</v>
      </c>
      <c r="BN7" s="110" t="n">
        <v>760704.86</v>
      </c>
      <c r="BO7" s="110" t="n">
        <v>8965.030000000001</v>
      </c>
      <c r="BP7" s="110" t="n">
        <v>240447.37</v>
      </c>
      <c r="BQ7" s="110" t="n">
        <v>232217.38</v>
      </c>
      <c r="BR7" s="110" t="n">
        <v>8229.99</v>
      </c>
      <c r="BS7" s="110" t="n">
        <v>1504287.01</v>
      </c>
      <c r="BT7" s="110" t="n">
        <v>1146622.41</v>
      </c>
      <c r="BU7" s="110" t="n">
        <v>1145585.81</v>
      </c>
      <c r="BV7" s="110" t="n">
        <v>1036.6</v>
      </c>
      <c r="BW7" s="110" t="n">
        <v>357664.6</v>
      </c>
      <c r="BX7" s="110" t="n">
        <v>354510.4</v>
      </c>
      <c r="BY7" s="110" t="n">
        <v>3154.2</v>
      </c>
      <c r="BZ7" s="110" t="n">
        <v>1738740</v>
      </c>
      <c r="CA7" s="110" t="n">
        <v>1299402</v>
      </c>
      <c r="CB7" s="110" t="n">
        <v>1274987</v>
      </c>
      <c r="CC7" s="110" t="n">
        <v>24415</v>
      </c>
      <c r="CD7" s="110" t="n">
        <v>439338</v>
      </c>
      <c r="CE7" s="110" t="n">
        <v>408338</v>
      </c>
      <c r="CF7" s="110" t="n">
        <v>31000</v>
      </c>
      <c r="CG7" s="110" t="n">
        <v>544622.5</v>
      </c>
      <c r="CH7" s="110" t="n">
        <v>431577</v>
      </c>
      <c r="CI7" s="110" t="n">
        <v>420715.5</v>
      </c>
      <c r="CJ7" s="110" t="n">
        <v>10861.5</v>
      </c>
      <c r="CK7" s="110" t="n">
        <v>113045.5</v>
      </c>
      <c r="CL7" s="110" t="n">
        <v>106861</v>
      </c>
      <c r="CM7" s="110" t="n">
        <v>6184.5</v>
      </c>
      <c r="CN7" s="110" t="n">
        <v>0</v>
      </c>
      <c r="CO7" s="110" t="n">
        <v>2338290.45</v>
      </c>
      <c r="CP7" s="110" t="n">
        <v>1212368.59</v>
      </c>
      <c r="CQ7" s="110" t="n">
        <v>874733.88</v>
      </c>
      <c r="CR7" s="110" t="n">
        <v>313581.16</v>
      </c>
      <c r="CS7" s="110" t="n">
        <v>0</v>
      </c>
      <c r="CT7" s="110" t="n">
        <v>0</v>
      </c>
      <c r="CU7" s="110" t="n">
        <v>0</v>
      </c>
      <c r="CV7" s="111" t="n">
        <v>10485</v>
      </c>
      <c r="CW7" s="111" t="n">
        <v>9497</v>
      </c>
      <c r="CX7" s="111" t="n">
        <v>9184</v>
      </c>
      <c r="CY7" s="111" t="n">
        <v>313</v>
      </c>
      <c r="CZ7" s="111" t="n">
        <v>988</v>
      </c>
      <c r="DA7" s="111" t="n">
        <v>615</v>
      </c>
      <c r="DB7" s="111" t="n">
        <v>373</v>
      </c>
      <c r="DC7" s="111" t="n">
        <v>7980</v>
      </c>
      <c r="DD7" s="111" t="n">
        <v>175</v>
      </c>
      <c r="DE7" s="111" t="n">
        <v>7353</v>
      </c>
      <c r="DF7" s="111" t="n">
        <v>7135</v>
      </c>
      <c r="DG7" s="111" t="n">
        <v>218</v>
      </c>
      <c r="DH7" s="111" t="n">
        <v>627</v>
      </c>
      <c r="DI7" s="111" t="n">
        <v>406</v>
      </c>
      <c r="DJ7" s="111" t="n">
        <v>221</v>
      </c>
      <c r="DK7" s="111" t="n">
        <v>2123</v>
      </c>
      <c r="DL7" s="111" t="n">
        <v>1827</v>
      </c>
      <c r="DM7" s="111" t="n">
        <v>1765</v>
      </c>
      <c r="DN7" s="111" t="n">
        <v>62</v>
      </c>
      <c r="DO7" s="111" t="n">
        <v>296</v>
      </c>
      <c r="DP7" s="111" t="n">
        <v>180</v>
      </c>
      <c r="DQ7" s="111" t="n">
        <v>116</v>
      </c>
      <c r="DR7" s="111" t="n">
        <v>207</v>
      </c>
      <c r="DS7" s="111" t="n">
        <v>0</v>
      </c>
      <c r="DT7" s="111" t="n">
        <v>156</v>
      </c>
      <c r="DU7" s="111" t="n">
        <v>133</v>
      </c>
      <c r="DV7" s="111" t="n">
        <v>23</v>
      </c>
      <c r="DW7" s="111" t="n">
        <v>51</v>
      </c>
      <c r="DX7" s="111" t="n">
        <v>28</v>
      </c>
      <c r="DY7" s="111" t="n">
        <v>23</v>
      </c>
      <c r="DZ7" s="111" t="n">
        <v>0</v>
      </c>
      <c r="EA7" s="111" t="n">
        <v>0</v>
      </c>
      <c r="EB7" s="111" t="n">
        <v>0</v>
      </c>
      <c r="EC7" s="111" t="n">
        <v>0</v>
      </c>
      <c r="ED7" s="111" t="n">
        <v>0</v>
      </c>
      <c r="EE7" s="111" t="n">
        <v>0</v>
      </c>
      <c r="EF7" s="111" t="n">
        <v>0</v>
      </c>
      <c r="EG7" s="111" t="n">
        <v>217</v>
      </c>
      <c r="EH7" s="111" t="n">
        <v>163</v>
      </c>
      <c r="EI7" s="111" t="n">
        <v>160</v>
      </c>
      <c r="EJ7" s="111" t="n">
        <v>3</v>
      </c>
      <c r="EK7" s="111" t="n">
        <v>54</v>
      </c>
      <c r="EL7" s="111" t="n">
        <v>51</v>
      </c>
      <c r="EM7" s="111" t="n">
        <v>3</v>
      </c>
      <c r="EN7" s="111" t="n">
        <v>45</v>
      </c>
      <c r="EO7" s="111" t="n">
        <v>0</v>
      </c>
      <c r="EP7" s="111" t="n">
        <v>10</v>
      </c>
      <c r="EQ7" s="111" t="n">
        <v>35</v>
      </c>
      <c r="ER7" s="111" t="n">
        <v>0</v>
      </c>
      <c r="ES7" s="111" t="n">
        <v>0</v>
      </c>
      <c r="ET7" s="111" t="n">
        <v>0</v>
      </c>
      <c r="EU7" s="111" t="n">
        <v>3</v>
      </c>
      <c r="EV7" s="111" t="n">
        <v>0</v>
      </c>
      <c r="EW7" s="111" t="n">
        <v>3</v>
      </c>
      <c r="EX7" s="111" t="n">
        <v>0</v>
      </c>
      <c r="EY7" s="111" t="n">
        <v>7</v>
      </c>
      <c r="EZ7" s="111" t="n">
        <v>0</v>
      </c>
      <c r="FA7" s="111" t="n">
        <v>7</v>
      </c>
      <c r="FB7" s="111" t="n">
        <v>59</v>
      </c>
    </row>
    <row r="8" ht="19.5" customHeight="1" s="247">
      <c r="A8" s="107" t="n">
        <v>5</v>
      </c>
      <c r="B8" s="107" t="inlineStr">
        <is>
          <t>成人非手术</t>
        </is>
      </c>
      <c r="C8" s="107" t="inlineStr">
        <is>
          <t>心血管一科</t>
        </is>
      </c>
      <c r="D8" s="110" t="n">
        <v>3830336</v>
      </c>
      <c r="E8" s="110" t="n">
        <v>1264980</v>
      </c>
      <c r="F8" s="110" t="n">
        <v>2565356</v>
      </c>
      <c r="G8" s="110" t="n">
        <v>8981</v>
      </c>
      <c r="H8" s="110" t="n">
        <v>304</v>
      </c>
      <c r="I8" s="110" t="n">
        <v>546</v>
      </c>
      <c r="J8" s="110" t="n">
        <v>0</v>
      </c>
      <c r="K8" s="110" t="n">
        <v>0</v>
      </c>
      <c r="L8" s="110" t="n">
        <v>676498</v>
      </c>
      <c r="M8" s="110" t="n">
        <v>0</v>
      </c>
      <c r="N8" s="110" t="n">
        <v>833.38</v>
      </c>
      <c r="O8" s="110" t="n">
        <v>20693252.72</v>
      </c>
      <c r="P8" s="110" t="n">
        <v>15166405.35</v>
      </c>
      <c r="Q8" s="110" t="n">
        <v>15117289.54</v>
      </c>
      <c r="R8" s="110" t="n">
        <v>49115.81</v>
      </c>
      <c r="S8" s="110" t="n">
        <v>5526847.37</v>
      </c>
      <c r="T8" s="110" t="n">
        <v>5458087.33</v>
      </c>
      <c r="U8" s="110" t="n">
        <v>68760.03999999999</v>
      </c>
      <c r="V8" s="110" t="n">
        <v>3918955.92</v>
      </c>
      <c r="W8" s="110" t="n">
        <v>3602559.75</v>
      </c>
      <c r="X8" s="110" t="n">
        <v>3553443.94</v>
      </c>
      <c r="Y8" s="110" t="n">
        <v>49115.81</v>
      </c>
      <c r="Z8" s="110" t="n">
        <v>316396.17</v>
      </c>
      <c r="AA8" s="110" t="n">
        <v>247636.13</v>
      </c>
      <c r="AB8" s="110" t="n">
        <v>68760.03999999999</v>
      </c>
      <c r="AC8" s="110" t="n">
        <v>2653568.12</v>
      </c>
      <c r="AD8" s="110" t="n">
        <v>2484117.95</v>
      </c>
      <c r="AE8" s="110" t="n">
        <v>2460101.14</v>
      </c>
      <c r="AF8" s="110" t="n">
        <v>24016.81</v>
      </c>
      <c r="AG8" s="110" t="n">
        <v>169450.17</v>
      </c>
      <c r="AH8" s="110" t="n">
        <v>145127.13</v>
      </c>
      <c r="AI8" s="110" t="n">
        <v>24323.04</v>
      </c>
      <c r="AJ8" s="110" t="n">
        <v>407.8</v>
      </c>
      <c r="AK8" s="110" t="n">
        <v>407.8</v>
      </c>
      <c r="AL8" s="110" t="n">
        <v>407.8</v>
      </c>
      <c r="AM8" s="110" t="n">
        <v>0</v>
      </c>
      <c r="AN8" s="110" t="n">
        <v>0</v>
      </c>
      <c r="AO8" s="110" t="n">
        <v>0</v>
      </c>
      <c r="AP8" s="110" t="n">
        <v>0</v>
      </c>
      <c r="AQ8" s="110" t="n">
        <v>921783</v>
      </c>
      <c r="AR8" s="110" t="n">
        <v>816639</v>
      </c>
      <c r="AS8" s="110" t="n">
        <v>799010</v>
      </c>
      <c r="AT8" s="110" t="n">
        <v>17629</v>
      </c>
      <c r="AU8" s="110" t="n">
        <v>105144</v>
      </c>
      <c r="AV8" s="110" t="n">
        <v>74430</v>
      </c>
      <c r="AW8" s="110" t="n">
        <v>30714</v>
      </c>
      <c r="AX8" s="110" t="n">
        <v>343197</v>
      </c>
      <c r="AY8" s="110" t="n">
        <v>301395</v>
      </c>
      <c r="AZ8" s="110" t="n">
        <v>293925</v>
      </c>
      <c r="BA8" s="110" t="n">
        <v>7470</v>
      </c>
      <c r="BB8" s="110" t="n">
        <v>41802</v>
      </c>
      <c r="BC8" s="110" t="n">
        <v>28079</v>
      </c>
      <c r="BD8" s="110" t="n">
        <v>13723</v>
      </c>
      <c r="BE8" s="110" t="n">
        <v>16774296.8</v>
      </c>
      <c r="BF8" s="110" t="n">
        <v>11563845.6</v>
      </c>
      <c r="BG8" s="110" t="n">
        <v>11563845.6</v>
      </c>
      <c r="BH8" s="110" t="n">
        <v>0</v>
      </c>
      <c r="BI8" s="110" t="n">
        <v>5210451.2</v>
      </c>
      <c r="BJ8" s="110" t="n">
        <v>5210451.2</v>
      </c>
      <c r="BK8" s="110" t="n">
        <v>0</v>
      </c>
      <c r="BL8" s="110" t="n">
        <v>520282</v>
      </c>
      <c r="BM8" s="110" t="n">
        <v>378832.25</v>
      </c>
      <c r="BN8" s="110" t="n">
        <v>378832.25</v>
      </c>
      <c r="BO8" s="110" t="n">
        <v>0</v>
      </c>
      <c r="BP8" s="110" t="n">
        <v>141449.75</v>
      </c>
      <c r="BQ8" s="110" t="n">
        <v>141449.75</v>
      </c>
      <c r="BR8" s="110" t="n">
        <v>0</v>
      </c>
      <c r="BS8" s="110" t="n">
        <v>13688658.8</v>
      </c>
      <c r="BT8" s="110" t="n">
        <v>9370655.35</v>
      </c>
      <c r="BU8" s="110" t="n">
        <v>9370655.35</v>
      </c>
      <c r="BV8" s="110" t="n">
        <v>0</v>
      </c>
      <c r="BW8" s="110" t="n">
        <v>4318003.45</v>
      </c>
      <c r="BX8" s="110" t="n">
        <v>4318003.45</v>
      </c>
      <c r="BY8" s="110" t="n">
        <v>0</v>
      </c>
      <c r="BZ8" s="110" t="n">
        <v>1596249.5</v>
      </c>
      <c r="CA8" s="110" t="n">
        <v>1141145.5</v>
      </c>
      <c r="CB8" s="110" t="n">
        <v>1141145.5</v>
      </c>
      <c r="CC8" s="110" t="n">
        <v>0</v>
      </c>
      <c r="CD8" s="110" t="n">
        <v>455104</v>
      </c>
      <c r="CE8" s="110" t="n">
        <v>455104</v>
      </c>
      <c r="CF8" s="110" t="n">
        <v>0</v>
      </c>
      <c r="CG8" s="110" t="n">
        <v>969106.5</v>
      </c>
      <c r="CH8" s="110" t="n">
        <v>673212.5</v>
      </c>
      <c r="CI8" s="110" t="n">
        <v>673212.5</v>
      </c>
      <c r="CJ8" s="110" t="n">
        <v>0</v>
      </c>
      <c r="CK8" s="110" t="n">
        <v>295894</v>
      </c>
      <c r="CL8" s="110" t="n">
        <v>295894</v>
      </c>
      <c r="CM8" s="110" t="n">
        <v>0</v>
      </c>
      <c r="CN8" s="110" t="n">
        <v>-25</v>
      </c>
      <c r="CO8" s="110" t="n">
        <v>1675782.81</v>
      </c>
      <c r="CP8" s="110" t="n">
        <v>1394068.51</v>
      </c>
      <c r="CQ8" s="110" t="n">
        <v>668424.86</v>
      </c>
      <c r="CR8" s="110" t="n">
        <v>180679.74</v>
      </c>
      <c r="CS8" s="110" t="n">
        <v>0</v>
      </c>
      <c r="CT8" s="110" t="n">
        <v>0</v>
      </c>
      <c r="CU8" s="110" t="n">
        <v>0</v>
      </c>
      <c r="CV8" s="111" t="n">
        <v>8981</v>
      </c>
      <c r="CW8" s="111" t="n">
        <v>8230</v>
      </c>
      <c r="CX8" s="111" t="n">
        <v>8085</v>
      </c>
      <c r="CY8" s="111" t="n">
        <v>145</v>
      </c>
      <c r="CZ8" s="111" t="n">
        <v>751</v>
      </c>
      <c r="DA8" s="111" t="n">
        <v>561</v>
      </c>
      <c r="DB8" s="111" t="n">
        <v>190</v>
      </c>
      <c r="DC8" s="111" t="n">
        <v>5981</v>
      </c>
      <c r="DD8" s="111" t="n">
        <v>196</v>
      </c>
      <c r="DE8" s="111" t="n">
        <v>5570</v>
      </c>
      <c r="DF8" s="111" t="n">
        <v>5477</v>
      </c>
      <c r="DG8" s="111" t="n">
        <v>93</v>
      </c>
      <c r="DH8" s="111" t="n">
        <v>411</v>
      </c>
      <c r="DI8" s="111" t="n">
        <v>311</v>
      </c>
      <c r="DJ8" s="111" t="n">
        <v>100</v>
      </c>
      <c r="DK8" s="111" t="n">
        <v>2588</v>
      </c>
      <c r="DL8" s="111" t="n">
        <v>2301</v>
      </c>
      <c r="DM8" s="111" t="n">
        <v>2261</v>
      </c>
      <c r="DN8" s="111" t="n">
        <v>40</v>
      </c>
      <c r="DO8" s="111" t="n">
        <v>287</v>
      </c>
      <c r="DP8" s="111" t="n">
        <v>222</v>
      </c>
      <c r="DQ8" s="111" t="n">
        <v>65</v>
      </c>
      <c r="DR8" s="111" t="n">
        <v>216</v>
      </c>
      <c r="DS8" s="111" t="n">
        <v>0</v>
      </c>
      <c r="DT8" s="111" t="n">
        <v>165</v>
      </c>
      <c r="DU8" s="111" t="n">
        <v>155</v>
      </c>
      <c r="DV8" s="111" t="n">
        <v>10</v>
      </c>
      <c r="DW8" s="111" t="n">
        <v>51</v>
      </c>
      <c r="DX8" s="111" t="n">
        <v>28</v>
      </c>
      <c r="DY8" s="111" t="n">
        <v>23</v>
      </c>
      <c r="DZ8" s="111" t="n">
        <v>0</v>
      </c>
      <c r="EA8" s="111" t="n">
        <v>0</v>
      </c>
      <c r="EB8" s="111" t="n">
        <v>0</v>
      </c>
      <c r="EC8" s="111" t="n">
        <v>0</v>
      </c>
      <c r="ED8" s="111" t="n">
        <v>0</v>
      </c>
      <c r="EE8" s="111" t="n">
        <v>0</v>
      </c>
      <c r="EF8" s="111" t="n">
        <v>0</v>
      </c>
      <c r="EG8" s="111" t="n">
        <v>304</v>
      </c>
      <c r="EH8" s="111" t="n">
        <v>218</v>
      </c>
      <c r="EI8" s="111" t="n">
        <v>218</v>
      </c>
      <c r="EJ8" s="111" t="n">
        <v>0</v>
      </c>
      <c r="EK8" s="111" t="n">
        <v>86</v>
      </c>
      <c r="EL8" s="111" t="n">
        <v>86</v>
      </c>
      <c r="EM8" s="111" t="n">
        <v>0</v>
      </c>
      <c r="EN8" s="111" t="n">
        <v>224</v>
      </c>
      <c r="EO8" s="111" t="n">
        <v>68</v>
      </c>
      <c r="EP8" s="111" t="n">
        <v>67</v>
      </c>
      <c r="EQ8" s="111" t="n">
        <v>89</v>
      </c>
      <c r="ER8" s="111" t="n">
        <v>0</v>
      </c>
      <c r="ES8" s="111" t="n">
        <v>0</v>
      </c>
      <c r="ET8" s="111" t="n">
        <v>0</v>
      </c>
      <c r="EU8" s="111" t="n">
        <v>91</v>
      </c>
      <c r="EV8" s="111" t="n">
        <v>68</v>
      </c>
      <c r="EW8" s="111" t="n">
        <v>23</v>
      </c>
      <c r="EX8" s="111" t="n">
        <v>0</v>
      </c>
      <c r="EY8" s="111" t="n">
        <v>35</v>
      </c>
      <c r="EZ8" s="111" t="n">
        <v>0</v>
      </c>
      <c r="FA8" s="111" t="n">
        <v>35</v>
      </c>
      <c r="FB8" s="111" t="n">
        <v>136</v>
      </c>
    </row>
    <row r="9" ht="19.5" customHeight="1" s="247">
      <c r="A9" s="107" t="n">
        <v>6</v>
      </c>
      <c r="B9" s="107" t="inlineStr">
        <is>
          <t>成人非手术</t>
        </is>
      </c>
      <c r="C9" s="107" t="inlineStr">
        <is>
          <t>血液内科</t>
        </is>
      </c>
      <c r="D9" s="110" t="n">
        <v>1593347</v>
      </c>
      <c r="E9" s="110" t="n">
        <v>245825</v>
      </c>
      <c r="F9" s="110" t="n">
        <v>1347522</v>
      </c>
      <c r="G9" s="110" t="n">
        <v>1148</v>
      </c>
      <c r="H9" s="110" t="n">
        <v>383</v>
      </c>
      <c r="I9" s="110" t="n">
        <v>1626</v>
      </c>
      <c r="J9" s="110" t="n">
        <v>126</v>
      </c>
      <c r="K9" s="110" t="n">
        <v>0</v>
      </c>
      <c r="L9" s="110" t="n">
        <v>68607</v>
      </c>
      <c r="M9" s="110" t="n">
        <v>11336</v>
      </c>
      <c r="N9" s="110" t="n">
        <v>0</v>
      </c>
      <c r="O9" s="110" t="n">
        <v>8710755.08</v>
      </c>
      <c r="P9" s="110" t="n">
        <v>4259439.42</v>
      </c>
      <c r="Q9" s="110" t="n">
        <v>3475044.5</v>
      </c>
      <c r="R9" s="110" t="n">
        <v>784394.92</v>
      </c>
      <c r="S9" s="110" t="n">
        <v>4451315.66</v>
      </c>
      <c r="T9" s="110" t="n">
        <v>3981342.64</v>
      </c>
      <c r="U9" s="110" t="n">
        <v>469973.02</v>
      </c>
      <c r="V9" s="110" t="n">
        <v>904498.42</v>
      </c>
      <c r="W9" s="110" t="n">
        <v>737230.38</v>
      </c>
      <c r="X9" s="110" t="n">
        <v>711055.25</v>
      </c>
      <c r="Y9" s="110" t="n">
        <v>26175.13</v>
      </c>
      <c r="Z9" s="110" t="n">
        <v>167268.04</v>
      </c>
      <c r="AA9" s="110" t="n">
        <v>146371.5</v>
      </c>
      <c r="AB9" s="110" t="n">
        <v>20896.54</v>
      </c>
      <c r="AC9" s="110" t="n">
        <v>639221.6800000001</v>
      </c>
      <c r="AD9" s="110" t="n">
        <v>538426.28</v>
      </c>
      <c r="AE9" s="110" t="n">
        <v>530612.15</v>
      </c>
      <c r="AF9" s="110" t="n">
        <v>7814.13</v>
      </c>
      <c r="AG9" s="110" t="n">
        <v>100795.4</v>
      </c>
      <c r="AH9" s="110" t="n">
        <v>91571.86</v>
      </c>
      <c r="AI9" s="110" t="n">
        <v>9223.540000000001</v>
      </c>
      <c r="AJ9" s="110" t="n">
        <v>19451.74</v>
      </c>
      <c r="AK9" s="110" t="n">
        <v>18535.1</v>
      </c>
      <c r="AL9" s="110" t="n">
        <v>18535.1</v>
      </c>
      <c r="AM9" s="110" t="n">
        <v>0</v>
      </c>
      <c r="AN9" s="110" t="n">
        <v>916.64</v>
      </c>
      <c r="AO9" s="110" t="n">
        <v>916.64</v>
      </c>
      <c r="AP9" s="110" t="n">
        <v>0</v>
      </c>
      <c r="AQ9" s="110" t="n">
        <v>203063</v>
      </c>
      <c r="AR9" s="110" t="n">
        <v>146908</v>
      </c>
      <c r="AS9" s="110" t="n">
        <v>130181</v>
      </c>
      <c r="AT9" s="110" t="n">
        <v>16727</v>
      </c>
      <c r="AU9" s="110" t="n">
        <v>56155</v>
      </c>
      <c r="AV9" s="110" t="n">
        <v>46125</v>
      </c>
      <c r="AW9" s="110" t="n">
        <v>10030</v>
      </c>
      <c r="AX9" s="110" t="n">
        <v>42762</v>
      </c>
      <c r="AY9" s="110" t="n">
        <v>33361</v>
      </c>
      <c r="AZ9" s="110" t="n">
        <v>31727</v>
      </c>
      <c r="BA9" s="110" t="n">
        <v>1634</v>
      </c>
      <c r="BB9" s="110" t="n">
        <v>9401</v>
      </c>
      <c r="BC9" s="110" t="n">
        <v>7758</v>
      </c>
      <c r="BD9" s="110" t="n">
        <v>1643</v>
      </c>
      <c r="BE9" s="110" t="n">
        <v>7806256.66</v>
      </c>
      <c r="BF9" s="110" t="n">
        <v>3522209.04</v>
      </c>
      <c r="BG9" s="110" t="n">
        <v>2763989.25</v>
      </c>
      <c r="BH9" s="110" t="n">
        <v>758219.79</v>
      </c>
      <c r="BI9" s="110" t="n">
        <v>4284047.62</v>
      </c>
      <c r="BJ9" s="110" t="n">
        <v>3834971.14</v>
      </c>
      <c r="BK9" s="110" t="n">
        <v>449076.48</v>
      </c>
      <c r="BL9" s="110" t="n">
        <v>6202941.58</v>
      </c>
      <c r="BM9" s="110" t="n">
        <v>2891375.15</v>
      </c>
      <c r="BN9" s="110" t="n">
        <v>2148269.41</v>
      </c>
      <c r="BO9" s="110" t="n">
        <v>743105.74</v>
      </c>
      <c r="BP9" s="110" t="n">
        <v>3311566.43</v>
      </c>
      <c r="BQ9" s="110" t="n">
        <v>2882907.97</v>
      </c>
      <c r="BR9" s="110" t="n">
        <v>428658.46</v>
      </c>
      <c r="BS9" s="110" t="n">
        <v>255793.08</v>
      </c>
      <c r="BT9" s="110" t="n">
        <v>81353.89</v>
      </c>
      <c r="BU9" s="110" t="n">
        <v>76392.84</v>
      </c>
      <c r="BV9" s="110" t="n">
        <v>4961.05</v>
      </c>
      <c r="BW9" s="110" t="n">
        <v>174439.19</v>
      </c>
      <c r="BX9" s="110" t="n">
        <v>168653.67</v>
      </c>
      <c r="BY9" s="110" t="n">
        <v>5785.52</v>
      </c>
      <c r="BZ9" s="110" t="n">
        <v>981859</v>
      </c>
      <c r="CA9" s="110" t="n">
        <v>412034</v>
      </c>
      <c r="CB9" s="110" t="n">
        <v>406732</v>
      </c>
      <c r="CC9" s="110" t="n">
        <v>5302</v>
      </c>
      <c r="CD9" s="110" t="n">
        <v>569825</v>
      </c>
      <c r="CE9" s="110" t="n">
        <v>557491</v>
      </c>
      <c r="CF9" s="110" t="n">
        <v>12334</v>
      </c>
      <c r="CG9" s="110" t="n">
        <v>365663</v>
      </c>
      <c r="CH9" s="110" t="n">
        <v>137446</v>
      </c>
      <c r="CI9" s="110" t="n">
        <v>132595</v>
      </c>
      <c r="CJ9" s="110" t="n">
        <v>4851</v>
      </c>
      <c r="CK9" s="110" t="n">
        <v>228217</v>
      </c>
      <c r="CL9" s="110" t="n">
        <v>225918.5</v>
      </c>
      <c r="CM9" s="110" t="n">
        <v>2298.5</v>
      </c>
      <c r="CN9" s="110" t="n">
        <v>0</v>
      </c>
      <c r="CO9" s="110" t="n">
        <v>273998.34</v>
      </c>
      <c r="CP9" s="110" t="n">
        <v>475044.04</v>
      </c>
      <c r="CQ9" s="110" t="n">
        <v>129707.6</v>
      </c>
      <c r="CR9" s="110" t="n">
        <v>25748.44</v>
      </c>
      <c r="CS9" s="110" t="n">
        <v>0</v>
      </c>
      <c r="CT9" s="110" t="n">
        <v>0</v>
      </c>
      <c r="CU9" s="110" t="n">
        <v>0</v>
      </c>
      <c r="CV9" s="111" t="n">
        <v>1148</v>
      </c>
      <c r="CW9" s="111" t="n">
        <v>906</v>
      </c>
      <c r="CX9" s="111" t="n">
        <v>875</v>
      </c>
      <c r="CY9" s="111" t="n">
        <v>31</v>
      </c>
      <c r="CZ9" s="111" t="n">
        <v>242</v>
      </c>
      <c r="DA9" s="111" t="n">
        <v>190</v>
      </c>
      <c r="DB9" s="111" t="n">
        <v>52</v>
      </c>
      <c r="DC9" s="111" t="n">
        <v>673</v>
      </c>
      <c r="DD9" s="111" t="n">
        <v>0</v>
      </c>
      <c r="DE9" s="111" t="n">
        <v>517</v>
      </c>
      <c r="DF9" s="111" t="n">
        <v>503</v>
      </c>
      <c r="DG9" s="111" t="n">
        <v>14</v>
      </c>
      <c r="DH9" s="111" t="n">
        <v>156</v>
      </c>
      <c r="DI9" s="111" t="n">
        <v>123</v>
      </c>
      <c r="DJ9" s="111" t="n">
        <v>33</v>
      </c>
      <c r="DK9" s="111" t="n">
        <v>460</v>
      </c>
      <c r="DL9" s="111" t="n">
        <v>381</v>
      </c>
      <c r="DM9" s="111" t="n">
        <v>366</v>
      </c>
      <c r="DN9" s="111" t="n">
        <v>15</v>
      </c>
      <c r="DO9" s="111" t="n">
        <v>79</v>
      </c>
      <c r="DP9" s="111" t="n">
        <v>60</v>
      </c>
      <c r="DQ9" s="111" t="n">
        <v>19</v>
      </c>
      <c r="DR9" s="111" t="n">
        <v>15</v>
      </c>
      <c r="DS9" s="111" t="n">
        <v>0</v>
      </c>
      <c r="DT9" s="111" t="n">
        <v>8</v>
      </c>
      <c r="DU9" s="111" t="n">
        <v>6</v>
      </c>
      <c r="DV9" s="111" t="n">
        <v>2</v>
      </c>
      <c r="DW9" s="111" t="n">
        <v>7</v>
      </c>
      <c r="DX9" s="111" t="n">
        <v>7</v>
      </c>
      <c r="DY9" s="111" t="n">
        <v>0</v>
      </c>
      <c r="DZ9" s="111" t="n">
        <v>0</v>
      </c>
      <c r="EA9" s="111" t="n">
        <v>0</v>
      </c>
      <c r="EB9" s="111" t="n">
        <v>0</v>
      </c>
      <c r="EC9" s="111" t="n">
        <v>0</v>
      </c>
      <c r="ED9" s="111" t="n">
        <v>0</v>
      </c>
      <c r="EE9" s="111" t="n">
        <v>0</v>
      </c>
      <c r="EF9" s="111" t="n">
        <v>0</v>
      </c>
      <c r="EG9" s="111" t="n">
        <v>383</v>
      </c>
      <c r="EH9" s="111" t="n">
        <v>180</v>
      </c>
      <c r="EI9" s="111" t="n">
        <v>169</v>
      </c>
      <c r="EJ9" s="111" t="n">
        <v>11</v>
      </c>
      <c r="EK9" s="111" t="n">
        <v>203</v>
      </c>
      <c r="EL9" s="111" t="n">
        <v>197</v>
      </c>
      <c r="EM9" s="111" t="n">
        <v>6</v>
      </c>
      <c r="EN9" s="111" t="n">
        <v>300</v>
      </c>
      <c r="EO9" s="111" t="n">
        <v>1</v>
      </c>
      <c r="EP9" s="111" t="n">
        <v>0</v>
      </c>
      <c r="EQ9" s="111" t="n">
        <v>299</v>
      </c>
      <c r="ER9" s="111" t="n">
        <v>0</v>
      </c>
      <c r="ES9" s="111" t="n">
        <v>0</v>
      </c>
      <c r="ET9" s="111" t="n">
        <v>0</v>
      </c>
      <c r="EU9" s="111" t="n">
        <v>0</v>
      </c>
      <c r="EV9" s="111" t="n">
        <v>0</v>
      </c>
      <c r="EW9" s="111" t="n">
        <v>0</v>
      </c>
      <c r="EX9" s="111" t="n">
        <v>0</v>
      </c>
      <c r="EY9" s="111" t="n">
        <v>0</v>
      </c>
      <c r="EZ9" s="111" t="n">
        <v>0</v>
      </c>
      <c r="FA9" s="111" t="n">
        <v>0</v>
      </c>
      <c r="FB9" s="111" t="n">
        <v>11</v>
      </c>
    </row>
    <row r="10" ht="19.5" customHeight="1" s="247">
      <c r="A10" s="107" t="n">
        <v>7</v>
      </c>
      <c r="B10" s="107" t="inlineStr">
        <is>
          <t>成人非手术</t>
        </is>
      </c>
      <c r="C10" s="107" t="inlineStr">
        <is>
          <t>肾脏风湿免疫科</t>
        </is>
      </c>
      <c r="D10" s="110" t="n">
        <v>5160723</v>
      </c>
      <c r="E10" s="110" t="n">
        <v>3648021</v>
      </c>
      <c r="F10" s="110" t="n">
        <v>1512702</v>
      </c>
      <c r="G10" s="110" t="n">
        <v>5602</v>
      </c>
      <c r="H10" s="110" t="n">
        <v>175</v>
      </c>
      <c r="I10" s="110" t="n">
        <v>2778978</v>
      </c>
      <c r="J10" s="110" t="n">
        <v>0</v>
      </c>
      <c r="K10" s="110" t="n">
        <v>0</v>
      </c>
      <c r="L10" s="110" t="n">
        <v>113414.5</v>
      </c>
      <c r="M10" s="110" t="n">
        <v>28115</v>
      </c>
      <c r="N10" s="110" t="n">
        <v>0</v>
      </c>
      <c r="O10" s="110" t="n">
        <v>10320417.2</v>
      </c>
      <c r="P10" s="110" t="n">
        <v>9316722.91</v>
      </c>
      <c r="Q10" s="110" t="n">
        <v>9248533.9</v>
      </c>
      <c r="R10" s="110" t="n">
        <v>68189.00999999999</v>
      </c>
      <c r="S10" s="110" t="n">
        <v>1003694.29</v>
      </c>
      <c r="T10" s="110" t="n">
        <v>868539.58</v>
      </c>
      <c r="U10" s="110" t="n">
        <v>135154.71</v>
      </c>
      <c r="V10" s="110" t="n">
        <v>7953055.03</v>
      </c>
      <c r="W10" s="110" t="n">
        <v>7491167.33</v>
      </c>
      <c r="X10" s="110" t="n">
        <v>7431920.29</v>
      </c>
      <c r="Y10" s="110" t="n">
        <v>59247.04</v>
      </c>
      <c r="Z10" s="110" t="n">
        <v>461887.7</v>
      </c>
      <c r="AA10" s="110" t="n">
        <v>367606.22</v>
      </c>
      <c r="AB10" s="110" t="n">
        <v>94281.48</v>
      </c>
      <c r="AC10" s="110" t="n">
        <v>3099202.07</v>
      </c>
      <c r="AD10" s="110" t="n">
        <v>2918977.19</v>
      </c>
      <c r="AE10" s="110" t="n">
        <v>2883663.61</v>
      </c>
      <c r="AF10" s="110" t="n">
        <v>35313.58</v>
      </c>
      <c r="AG10" s="110" t="n">
        <v>180224.88</v>
      </c>
      <c r="AH10" s="110" t="n">
        <v>148855.96</v>
      </c>
      <c r="AI10" s="110" t="n">
        <v>31368.92</v>
      </c>
      <c r="AJ10" s="110" t="n">
        <v>1205831.96</v>
      </c>
      <c r="AK10" s="110" t="n">
        <v>1151058.14</v>
      </c>
      <c r="AL10" s="110" t="n">
        <v>1148536.68</v>
      </c>
      <c r="AM10" s="110" t="n">
        <v>2521.46</v>
      </c>
      <c r="AN10" s="110" t="n">
        <v>54773.82</v>
      </c>
      <c r="AO10" s="110" t="n">
        <v>43239.26</v>
      </c>
      <c r="AP10" s="110" t="n">
        <v>11534.56</v>
      </c>
      <c r="AQ10" s="110" t="n">
        <v>673527</v>
      </c>
      <c r="AR10" s="110" t="n">
        <v>605310</v>
      </c>
      <c r="AS10" s="110" t="n">
        <v>595356</v>
      </c>
      <c r="AT10" s="110" t="n">
        <v>9954</v>
      </c>
      <c r="AU10" s="110" t="n">
        <v>68217</v>
      </c>
      <c r="AV10" s="110" t="n">
        <v>45252</v>
      </c>
      <c r="AW10" s="110" t="n">
        <v>22965</v>
      </c>
      <c r="AX10" s="110" t="n">
        <v>2974494</v>
      </c>
      <c r="AY10" s="110" t="n">
        <v>2815822</v>
      </c>
      <c r="AZ10" s="110" t="n">
        <v>2804364</v>
      </c>
      <c r="BA10" s="110" t="n">
        <v>11458</v>
      </c>
      <c r="BB10" s="110" t="n">
        <v>158672</v>
      </c>
      <c r="BC10" s="110" t="n">
        <v>130259</v>
      </c>
      <c r="BD10" s="110" t="n">
        <v>28413</v>
      </c>
      <c r="BE10" s="110" t="n">
        <v>2367362.17</v>
      </c>
      <c r="BF10" s="110" t="n">
        <v>1825555.58</v>
      </c>
      <c r="BG10" s="110" t="n">
        <v>1816613.61</v>
      </c>
      <c r="BH10" s="110" t="n">
        <v>8941.969999999999</v>
      </c>
      <c r="BI10" s="110" t="n">
        <v>541806.59</v>
      </c>
      <c r="BJ10" s="110" t="n">
        <v>500933.36</v>
      </c>
      <c r="BK10" s="110" t="n">
        <v>40873.23</v>
      </c>
      <c r="BL10" s="110" t="n">
        <v>699076.25</v>
      </c>
      <c r="BM10" s="110" t="n">
        <v>534222.5600000001</v>
      </c>
      <c r="BN10" s="110" t="n">
        <v>533682.49</v>
      </c>
      <c r="BO10" s="110" t="n">
        <v>540.0700000000001</v>
      </c>
      <c r="BP10" s="110" t="n">
        <v>164853.69</v>
      </c>
      <c r="BQ10" s="110" t="n">
        <v>158686.46</v>
      </c>
      <c r="BR10" s="110" t="n">
        <v>6167.23</v>
      </c>
      <c r="BS10" s="110" t="n">
        <v>155583.92</v>
      </c>
      <c r="BT10" s="110" t="n">
        <v>119207.52</v>
      </c>
      <c r="BU10" s="110" t="n">
        <v>119206.12</v>
      </c>
      <c r="BV10" s="110" t="n">
        <v>1.4</v>
      </c>
      <c r="BW10" s="110" t="n">
        <v>36376.4</v>
      </c>
      <c r="BX10" s="110" t="n">
        <v>35886.4</v>
      </c>
      <c r="BY10" s="110" t="n">
        <v>490</v>
      </c>
      <c r="BZ10" s="110" t="n">
        <v>1145083.5</v>
      </c>
      <c r="CA10" s="110" t="n">
        <v>865754.5</v>
      </c>
      <c r="CB10" s="110" t="n">
        <v>858201.5</v>
      </c>
      <c r="CC10" s="110" t="n">
        <v>7553</v>
      </c>
      <c r="CD10" s="110" t="n">
        <v>279329</v>
      </c>
      <c r="CE10" s="110" t="n">
        <v>248591</v>
      </c>
      <c r="CF10" s="110" t="n">
        <v>30738</v>
      </c>
      <c r="CG10" s="110" t="n">
        <v>367618.5</v>
      </c>
      <c r="CH10" s="110" t="n">
        <v>306371</v>
      </c>
      <c r="CI10" s="110" t="n">
        <v>305523.5</v>
      </c>
      <c r="CJ10" s="110" t="n">
        <v>847.5</v>
      </c>
      <c r="CK10" s="110" t="n">
        <v>61247.5</v>
      </c>
      <c r="CL10" s="110" t="n">
        <v>57769.5</v>
      </c>
      <c r="CM10" s="110" t="n">
        <v>3478</v>
      </c>
      <c r="CN10" s="110" t="n">
        <v>70</v>
      </c>
      <c r="CO10" s="110" t="n">
        <v>1003027.12</v>
      </c>
      <c r="CP10" s="110" t="n">
        <v>983125.41</v>
      </c>
      <c r="CQ10" s="110" t="n">
        <v>5897248.17</v>
      </c>
      <c r="CR10" s="110" t="n">
        <v>69534.33</v>
      </c>
      <c r="CS10" s="110" t="n">
        <v>0</v>
      </c>
      <c r="CT10" s="110" t="n">
        <v>0</v>
      </c>
      <c r="CU10" s="110" t="n">
        <v>0</v>
      </c>
      <c r="CV10" s="111" t="n">
        <v>5602</v>
      </c>
      <c r="CW10" s="111" t="n">
        <v>5105</v>
      </c>
      <c r="CX10" s="111" t="n">
        <v>4994</v>
      </c>
      <c r="CY10" s="111" t="n">
        <v>111</v>
      </c>
      <c r="CZ10" s="111" t="n">
        <v>497</v>
      </c>
      <c r="DA10" s="111" t="n">
        <v>335</v>
      </c>
      <c r="DB10" s="111" t="n">
        <v>162</v>
      </c>
      <c r="DC10" s="111" t="n">
        <v>4215</v>
      </c>
      <c r="DD10" s="111" t="n">
        <v>80</v>
      </c>
      <c r="DE10" s="111" t="n">
        <v>3893</v>
      </c>
      <c r="DF10" s="111" t="n">
        <v>3819</v>
      </c>
      <c r="DG10" s="111" t="n">
        <v>74</v>
      </c>
      <c r="DH10" s="111" t="n">
        <v>322</v>
      </c>
      <c r="DI10" s="111" t="n">
        <v>223</v>
      </c>
      <c r="DJ10" s="111" t="n">
        <v>99</v>
      </c>
      <c r="DK10" s="111" t="n">
        <v>1223</v>
      </c>
      <c r="DL10" s="111" t="n">
        <v>1076</v>
      </c>
      <c r="DM10" s="111" t="n">
        <v>1045</v>
      </c>
      <c r="DN10" s="111" t="n">
        <v>31</v>
      </c>
      <c r="DO10" s="111" t="n">
        <v>147</v>
      </c>
      <c r="DP10" s="111" t="n">
        <v>100</v>
      </c>
      <c r="DQ10" s="111" t="n">
        <v>47</v>
      </c>
      <c r="DR10" s="111" t="n">
        <v>84</v>
      </c>
      <c r="DS10" s="111" t="n">
        <v>0</v>
      </c>
      <c r="DT10" s="111" t="n">
        <v>61</v>
      </c>
      <c r="DU10" s="111" t="n">
        <v>57</v>
      </c>
      <c r="DV10" s="111" t="n">
        <v>4</v>
      </c>
      <c r="DW10" s="111" t="n">
        <v>23</v>
      </c>
      <c r="DX10" s="111" t="n">
        <v>11</v>
      </c>
      <c r="DY10" s="111" t="n">
        <v>12</v>
      </c>
      <c r="DZ10" s="111" t="n">
        <v>0</v>
      </c>
      <c r="EA10" s="111" t="n">
        <v>0</v>
      </c>
      <c r="EB10" s="111" t="n">
        <v>0</v>
      </c>
      <c r="EC10" s="111" t="n">
        <v>0</v>
      </c>
      <c r="ED10" s="111" t="n">
        <v>0</v>
      </c>
      <c r="EE10" s="111" t="n">
        <v>0</v>
      </c>
      <c r="EF10" s="111" t="n">
        <v>0</v>
      </c>
      <c r="EG10" s="111" t="n">
        <v>175</v>
      </c>
      <c r="EH10" s="111" t="n">
        <v>132</v>
      </c>
      <c r="EI10" s="111" t="n">
        <v>131</v>
      </c>
      <c r="EJ10" s="111" t="n">
        <v>1</v>
      </c>
      <c r="EK10" s="111" t="n">
        <v>43</v>
      </c>
      <c r="EL10" s="111" t="n">
        <v>41</v>
      </c>
      <c r="EM10" s="111" t="n">
        <v>2</v>
      </c>
      <c r="EN10" s="111" t="n">
        <v>55</v>
      </c>
      <c r="EO10" s="111" t="n">
        <v>9</v>
      </c>
      <c r="EP10" s="111" t="n">
        <v>0</v>
      </c>
      <c r="EQ10" s="111" t="n">
        <v>46</v>
      </c>
      <c r="ER10" s="111" t="n">
        <v>0</v>
      </c>
      <c r="ES10" s="111" t="n">
        <v>0</v>
      </c>
      <c r="ET10" s="111" t="n">
        <v>0</v>
      </c>
      <c r="EU10" s="111" t="n">
        <v>0</v>
      </c>
      <c r="EV10" s="111" t="n">
        <v>0</v>
      </c>
      <c r="EW10" s="111" t="n">
        <v>0</v>
      </c>
      <c r="EX10" s="111" t="n">
        <v>0</v>
      </c>
      <c r="EY10" s="111" t="n">
        <v>0</v>
      </c>
      <c r="EZ10" s="111" t="n">
        <v>0</v>
      </c>
      <c r="FA10" s="111" t="n">
        <v>0</v>
      </c>
      <c r="FB10" s="111" t="n">
        <v>19</v>
      </c>
    </row>
    <row r="11" ht="19.5" customHeight="1" s="247">
      <c r="A11" s="107" t="n">
        <v>8</v>
      </c>
      <c r="B11" s="107" t="inlineStr">
        <is>
          <t>成人非手术</t>
        </is>
      </c>
      <c r="C11" s="107" t="inlineStr">
        <is>
          <t>内分泌科</t>
        </is>
      </c>
      <c r="D11" s="110" t="n">
        <v>4561051.5</v>
      </c>
      <c r="E11" s="110" t="n">
        <v>2640101</v>
      </c>
      <c r="F11" s="110" t="n">
        <v>1920950.5</v>
      </c>
      <c r="G11" s="110" t="n">
        <v>12553</v>
      </c>
      <c r="H11" s="110" t="n">
        <v>206</v>
      </c>
      <c r="I11" s="110" t="n">
        <v>7578</v>
      </c>
      <c r="J11" s="110" t="n">
        <v>0</v>
      </c>
      <c r="K11" s="110" t="n">
        <v>0</v>
      </c>
      <c r="L11" s="110" t="n">
        <v>208201</v>
      </c>
      <c r="M11" s="110" t="n">
        <v>57</v>
      </c>
      <c r="N11" s="110" t="n">
        <v>0</v>
      </c>
      <c r="O11" s="110" t="n">
        <v>8626991.6</v>
      </c>
      <c r="P11" s="110" t="n">
        <v>7539916.84</v>
      </c>
      <c r="Q11" s="110" t="n">
        <v>7452125.26</v>
      </c>
      <c r="R11" s="110" t="n">
        <v>87791.58</v>
      </c>
      <c r="S11" s="110" t="n">
        <v>1087074.76</v>
      </c>
      <c r="T11" s="110" t="n">
        <v>951719.66</v>
      </c>
      <c r="U11" s="110" t="n">
        <v>135355.1</v>
      </c>
      <c r="V11" s="110" t="n">
        <v>6122348.85</v>
      </c>
      <c r="W11" s="110" t="n">
        <v>5672893.27</v>
      </c>
      <c r="X11" s="110" t="n">
        <v>5585101.69</v>
      </c>
      <c r="Y11" s="110" t="n">
        <v>87791.58</v>
      </c>
      <c r="Z11" s="110" t="n">
        <v>449455.58</v>
      </c>
      <c r="AA11" s="110" t="n">
        <v>333495.47</v>
      </c>
      <c r="AB11" s="110" t="n">
        <v>115960.11</v>
      </c>
      <c r="AC11" s="110" t="n">
        <v>3401454.65</v>
      </c>
      <c r="AD11" s="110" t="n">
        <v>3178309.87</v>
      </c>
      <c r="AE11" s="110" t="n">
        <v>3144384.49</v>
      </c>
      <c r="AF11" s="110" t="n">
        <v>33925.38</v>
      </c>
      <c r="AG11" s="110" t="n">
        <v>223144.78</v>
      </c>
      <c r="AH11" s="110" t="n">
        <v>173799.67</v>
      </c>
      <c r="AI11" s="110" t="n">
        <v>49345.11</v>
      </c>
      <c r="AJ11" s="110" t="n">
        <v>80793.2</v>
      </c>
      <c r="AK11" s="110" t="n">
        <v>75218.39999999999</v>
      </c>
      <c r="AL11" s="110" t="n">
        <v>74116.2</v>
      </c>
      <c r="AM11" s="110" t="n">
        <v>1102.2</v>
      </c>
      <c r="AN11" s="110" t="n">
        <v>5574.8</v>
      </c>
      <c r="AO11" s="110" t="n">
        <v>4672.8</v>
      </c>
      <c r="AP11" s="110" t="n">
        <v>902</v>
      </c>
      <c r="AQ11" s="110" t="n">
        <v>2218072</v>
      </c>
      <c r="AR11" s="110" t="n">
        <v>2034661</v>
      </c>
      <c r="AS11" s="110" t="n">
        <v>1992891</v>
      </c>
      <c r="AT11" s="110" t="n">
        <v>41770</v>
      </c>
      <c r="AU11" s="110" t="n">
        <v>183411</v>
      </c>
      <c r="AV11" s="110" t="n">
        <v>129942</v>
      </c>
      <c r="AW11" s="110" t="n">
        <v>53469</v>
      </c>
      <c r="AX11" s="110" t="n">
        <v>422029</v>
      </c>
      <c r="AY11" s="110" t="n">
        <v>384704</v>
      </c>
      <c r="AZ11" s="110" t="n">
        <v>373710</v>
      </c>
      <c r="BA11" s="110" t="n">
        <v>10994</v>
      </c>
      <c r="BB11" s="110" t="n">
        <v>37325</v>
      </c>
      <c r="BC11" s="110" t="n">
        <v>25081</v>
      </c>
      <c r="BD11" s="110" t="n">
        <v>12244</v>
      </c>
      <c r="BE11" s="110" t="n">
        <v>2504642.75</v>
      </c>
      <c r="BF11" s="110" t="n">
        <v>1867023.57</v>
      </c>
      <c r="BG11" s="110" t="n">
        <v>1867023.57</v>
      </c>
      <c r="BH11" s="110" t="n">
        <v>0</v>
      </c>
      <c r="BI11" s="110" t="n">
        <v>637619.1800000001</v>
      </c>
      <c r="BJ11" s="110" t="n">
        <v>618224.1899999999</v>
      </c>
      <c r="BK11" s="110" t="n">
        <v>19394.99</v>
      </c>
      <c r="BL11" s="110" t="n">
        <v>527687</v>
      </c>
      <c r="BM11" s="110" t="n">
        <v>387986.67</v>
      </c>
      <c r="BN11" s="110" t="n">
        <v>387986.67</v>
      </c>
      <c r="BO11" s="110" t="n">
        <v>0</v>
      </c>
      <c r="BP11" s="110" t="n">
        <v>139700.33</v>
      </c>
      <c r="BQ11" s="110" t="n">
        <v>136445.44</v>
      </c>
      <c r="BR11" s="110" t="n">
        <v>3254.89</v>
      </c>
      <c r="BS11" s="110" t="n">
        <v>56005.25</v>
      </c>
      <c r="BT11" s="110" t="n">
        <v>41011.9</v>
      </c>
      <c r="BU11" s="110" t="n">
        <v>41011.9</v>
      </c>
      <c r="BV11" s="110" t="n">
        <v>0</v>
      </c>
      <c r="BW11" s="110" t="n">
        <v>14993.35</v>
      </c>
      <c r="BX11" s="110" t="n">
        <v>14583.25</v>
      </c>
      <c r="BY11" s="110" t="n">
        <v>410.1</v>
      </c>
      <c r="BZ11" s="110" t="n">
        <v>1476390</v>
      </c>
      <c r="CA11" s="110" t="n">
        <v>1103711</v>
      </c>
      <c r="CB11" s="110" t="n">
        <v>1103711</v>
      </c>
      <c r="CC11" s="110" t="n">
        <v>0</v>
      </c>
      <c r="CD11" s="110" t="n">
        <v>372679</v>
      </c>
      <c r="CE11" s="110" t="n">
        <v>359800</v>
      </c>
      <c r="CF11" s="110" t="n">
        <v>12879</v>
      </c>
      <c r="CG11" s="110" t="n">
        <v>444560.5</v>
      </c>
      <c r="CH11" s="110" t="n">
        <v>334314</v>
      </c>
      <c r="CI11" s="110" t="n">
        <v>334314</v>
      </c>
      <c r="CJ11" s="110" t="n">
        <v>0</v>
      </c>
      <c r="CK11" s="110" t="n">
        <v>110246.5</v>
      </c>
      <c r="CL11" s="110" t="n">
        <v>107395.5</v>
      </c>
      <c r="CM11" s="110" t="n">
        <v>2851</v>
      </c>
      <c r="CN11" s="110" t="n">
        <v>-10</v>
      </c>
      <c r="CO11" s="110" t="n">
        <v>3421064.81</v>
      </c>
      <c r="CP11" s="110" t="n">
        <v>1623828.43</v>
      </c>
      <c r="CQ11" s="110" t="n">
        <v>903780.1899999999</v>
      </c>
      <c r="CR11" s="110" t="n">
        <v>173419.42</v>
      </c>
      <c r="CS11" s="110" t="n">
        <v>256</v>
      </c>
      <c r="CT11" s="110" t="n">
        <v>0</v>
      </c>
      <c r="CU11" s="110" t="n">
        <v>0</v>
      </c>
      <c r="CV11" s="111" t="n">
        <v>12553</v>
      </c>
      <c r="CW11" s="111" t="n">
        <v>11561</v>
      </c>
      <c r="CX11" s="111" t="n">
        <v>11316</v>
      </c>
      <c r="CY11" s="111" t="n">
        <v>245</v>
      </c>
      <c r="CZ11" s="111" t="n">
        <v>992</v>
      </c>
      <c r="DA11" s="111" t="n">
        <v>702</v>
      </c>
      <c r="DB11" s="111" t="n">
        <v>290</v>
      </c>
      <c r="DC11" s="111" t="n">
        <v>9387</v>
      </c>
      <c r="DD11" s="111" t="n">
        <v>127</v>
      </c>
      <c r="DE11" s="111" t="n">
        <v>8659</v>
      </c>
      <c r="DF11" s="111" t="n">
        <v>8488</v>
      </c>
      <c r="DG11" s="111" t="n">
        <v>171</v>
      </c>
      <c r="DH11" s="111" t="n">
        <v>728</v>
      </c>
      <c r="DI11" s="111" t="n">
        <v>513</v>
      </c>
      <c r="DJ11" s="111" t="n">
        <v>215</v>
      </c>
      <c r="DK11" s="111" t="n">
        <v>2823</v>
      </c>
      <c r="DL11" s="111" t="n">
        <v>2596</v>
      </c>
      <c r="DM11" s="111" t="n">
        <v>2539</v>
      </c>
      <c r="DN11" s="111" t="n">
        <v>57</v>
      </c>
      <c r="DO11" s="111" t="n">
        <v>227</v>
      </c>
      <c r="DP11" s="111" t="n">
        <v>169</v>
      </c>
      <c r="DQ11" s="111" t="n">
        <v>58</v>
      </c>
      <c r="DR11" s="111" t="n">
        <v>216</v>
      </c>
      <c r="DS11" s="111" t="n">
        <v>0</v>
      </c>
      <c r="DT11" s="111" t="n">
        <v>183</v>
      </c>
      <c r="DU11" s="111" t="n">
        <v>169</v>
      </c>
      <c r="DV11" s="111" t="n">
        <v>14</v>
      </c>
      <c r="DW11" s="111" t="n">
        <v>33</v>
      </c>
      <c r="DX11" s="111" t="n">
        <v>19</v>
      </c>
      <c r="DY11" s="111" t="n">
        <v>14</v>
      </c>
      <c r="DZ11" s="111" t="n">
        <v>0</v>
      </c>
      <c r="EA11" s="111" t="n">
        <v>0</v>
      </c>
      <c r="EB11" s="111" t="n">
        <v>0</v>
      </c>
      <c r="EC11" s="111" t="n">
        <v>0</v>
      </c>
      <c r="ED11" s="111" t="n">
        <v>0</v>
      </c>
      <c r="EE11" s="111" t="n">
        <v>0</v>
      </c>
      <c r="EF11" s="111" t="n">
        <v>0</v>
      </c>
      <c r="EG11" s="111" t="n">
        <v>206</v>
      </c>
      <c r="EH11" s="111" t="n">
        <v>153</v>
      </c>
      <c r="EI11" s="111" t="n">
        <v>153</v>
      </c>
      <c r="EJ11" s="111" t="n">
        <v>0</v>
      </c>
      <c r="EK11" s="111" t="n">
        <v>53</v>
      </c>
      <c r="EL11" s="111" t="n">
        <v>51</v>
      </c>
      <c r="EM11" s="111" t="n">
        <v>2</v>
      </c>
      <c r="EN11" s="111" t="n">
        <v>0</v>
      </c>
      <c r="EO11" s="111" t="n">
        <v>0</v>
      </c>
      <c r="EP11" s="111" t="n">
        <v>0</v>
      </c>
      <c r="EQ11" s="111" t="n">
        <v>0</v>
      </c>
      <c r="ER11" s="111" t="n">
        <v>0</v>
      </c>
      <c r="ES11" s="111" t="n">
        <v>0</v>
      </c>
      <c r="ET11" s="111" t="n">
        <v>0</v>
      </c>
      <c r="EU11" s="111" t="n">
        <v>0</v>
      </c>
      <c r="EV11" s="111" t="n">
        <v>0</v>
      </c>
      <c r="EW11" s="111" t="n">
        <v>0</v>
      </c>
      <c r="EX11" s="111" t="n">
        <v>0</v>
      </c>
      <c r="EY11" s="111" t="n">
        <v>0</v>
      </c>
      <c r="EZ11" s="111" t="n">
        <v>0</v>
      </c>
      <c r="FA11" s="111" t="n">
        <v>0</v>
      </c>
      <c r="FB11" s="111" t="n">
        <v>187</v>
      </c>
    </row>
    <row r="12" ht="19.5" customHeight="1" s="247">
      <c r="A12" s="107" t="n">
        <v>9</v>
      </c>
      <c r="B12" s="107" t="inlineStr">
        <is>
          <t>成人非手术</t>
        </is>
      </c>
      <c r="C12" s="107" t="inlineStr">
        <is>
          <t>老年医学科</t>
        </is>
      </c>
      <c r="D12" s="110" t="n">
        <v>3902178.5</v>
      </c>
      <c r="E12" s="110" t="n">
        <v>174394.5</v>
      </c>
      <c r="F12" s="110" t="n">
        <v>3727784</v>
      </c>
      <c r="G12" s="110" t="n">
        <v>1994</v>
      </c>
      <c r="H12" s="110" t="n">
        <v>63</v>
      </c>
      <c r="I12" s="110" t="n">
        <v>8102</v>
      </c>
      <c r="J12" s="110" t="n">
        <v>0</v>
      </c>
      <c r="K12" s="110" t="n">
        <v>82056.71000000001</v>
      </c>
      <c r="L12" s="110" t="n">
        <v>1088731.5</v>
      </c>
      <c r="M12" s="110" t="n">
        <v>11523</v>
      </c>
      <c r="N12" s="110" t="n">
        <v>19369.49</v>
      </c>
      <c r="O12" s="110" t="n">
        <v>6817190.3</v>
      </c>
      <c r="P12" s="110" t="n">
        <v>6802610.28</v>
      </c>
      <c r="Q12" s="110" t="n">
        <v>6799297.36</v>
      </c>
      <c r="R12" s="110" t="n">
        <v>3312.92</v>
      </c>
      <c r="S12" s="110" t="n">
        <v>14580.02</v>
      </c>
      <c r="T12" s="110" t="n">
        <v>14366.02</v>
      </c>
      <c r="U12" s="110" t="n">
        <v>214</v>
      </c>
      <c r="V12" s="110" t="n">
        <v>1288375.97</v>
      </c>
      <c r="W12" s="110" t="n">
        <v>1273795.95</v>
      </c>
      <c r="X12" s="110" t="n">
        <v>1270483.03</v>
      </c>
      <c r="Y12" s="110" t="n">
        <v>3312.92</v>
      </c>
      <c r="Z12" s="110" t="n">
        <v>14580.02</v>
      </c>
      <c r="AA12" s="110" t="n">
        <v>14366.02</v>
      </c>
      <c r="AB12" s="110" t="n">
        <v>214</v>
      </c>
      <c r="AC12" s="110" t="n">
        <v>1111396.77</v>
      </c>
      <c r="AD12" s="110" t="n">
        <v>1102175.75</v>
      </c>
      <c r="AE12" s="110" t="n">
        <v>1099517.83</v>
      </c>
      <c r="AF12" s="110" t="n">
        <v>2657.92</v>
      </c>
      <c r="AG12" s="110" t="n">
        <v>9221.02</v>
      </c>
      <c r="AH12" s="110" t="n">
        <v>9221.02</v>
      </c>
      <c r="AI12" s="110" t="n">
        <v>0</v>
      </c>
      <c r="AJ12" s="110" t="n">
        <v>2584.7</v>
      </c>
      <c r="AK12" s="110" t="n">
        <v>2511.7</v>
      </c>
      <c r="AL12" s="110" t="n">
        <v>2511.7</v>
      </c>
      <c r="AM12" s="110" t="n">
        <v>0</v>
      </c>
      <c r="AN12" s="110" t="n">
        <v>73</v>
      </c>
      <c r="AO12" s="110" t="n">
        <v>73</v>
      </c>
      <c r="AP12" s="110" t="n">
        <v>0</v>
      </c>
      <c r="AQ12" s="110" t="n">
        <v>114336</v>
      </c>
      <c r="AR12" s="110" t="n">
        <v>109639</v>
      </c>
      <c r="AS12" s="110" t="n">
        <v>109109</v>
      </c>
      <c r="AT12" s="110" t="n">
        <v>530</v>
      </c>
      <c r="AU12" s="110" t="n">
        <v>4697</v>
      </c>
      <c r="AV12" s="110" t="n">
        <v>4508</v>
      </c>
      <c r="AW12" s="110" t="n">
        <v>189</v>
      </c>
      <c r="AX12" s="110" t="n">
        <v>60058.5</v>
      </c>
      <c r="AY12" s="110" t="n">
        <v>59469.5</v>
      </c>
      <c r="AZ12" s="110" t="n">
        <v>59344.5</v>
      </c>
      <c r="BA12" s="110" t="n">
        <v>125</v>
      </c>
      <c r="BB12" s="110" t="n">
        <v>589</v>
      </c>
      <c r="BC12" s="110" t="n">
        <v>564</v>
      </c>
      <c r="BD12" s="110" t="n">
        <v>25</v>
      </c>
      <c r="BE12" s="110" t="n">
        <v>5528814.33</v>
      </c>
      <c r="BF12" s="110" t="n">
        <v>5528814.33</v>
      </c>
      <c r="BG12" s="110" t="n">
        <v>5528814.33</v>
      </c>
      <c r="BH12" s="110" t="n">
        <v>0</v>
      </c>
      <c r="BI12" s="110" t="n">
        <v>0</v>
      </c>
      <c r="BJ12" s="110" t="n">
        <v>0</v>
      </c>
      <c r="BK12" s="110" t="n">
        <v>0</v>
      </c>
      <c r="BL12" s="110" t="n">
        <v>1646242.05</v>
      </c>
      <c r="BM12" s="110" t="n">
        <v>1646242.05</v>
      </c>
      <c r="BN12" s="110" t="n">
        <v>1646242.05</v>
      </c>
      <c r="BO12" s="110" t="n">
        <v>0</v>
      </c>
      <c r="BP12" s="110" t="n">
        <v>0</v>
      </c>
      <c r="BQ12" s="110" t="n">
        <v>0</v>
      </c>
      <c r="BR12" s="110" t="n">
        <v>0</v>
      </c>
      <c r="BS12" s="110" t="n">
        <v>154788.28</v>
      </c>
      <c r="BT12" s="110" t="n">
        <v>154788.28</v>
      </c>
      <c r="BU12" s="110" t="n">
        <v>154788.28</v>
      </c>
      <c r="BV12" s="110" t="n">
        <v>0</v>
      </c>
      <c r="BW12" s="110" t="n">
        <v>0</v>
      </c>
      <c r="BX12" s="110" t="n">
        <v>0</v>
      </c>
      <c r="BY12" s="110" t="n">
        <v>0</v>
      </c>
      <c r="BZ12" s="110" t="n">
        <v>1535500</v>
      </c>
      <c r="CA12" s="110" t="n">
        <v>1535500</v>
      </c>
      <c r="CB12" s="110" t="n">
        <v>1535500</v>
      </c>
      <c r="CC12" s="110" t="n">
        <v>0</v>
      </c>
      <c r="CD12" s="110" t="n">
        <v>0</v>
      </c>
      <c r="CE12" s="110" t="n">
        <v>0</v>
      </c>
      <c r="CF12" s="110" t="n">
        <v>0</v>
      </c>
      <c r="CG12" s="110" t="n">
        <v>2192284</v>
      </c>
      <c r="CH12" s="110" t="n">
        <v>2192284</v>
      </c>
      <c r="CI12" s="110" t="n">
        <v>2192284</v>
      </c>
      <c r="CJ12" s="110" t="n">
        <v>0</v>
      </c>
      <c r="CK12" s="110" t="n">
        <v>0</v>
      </c>
      <c r="CL12" s="110" t="n">
        <v>0</v>
      </c>
      <c r="CM12" s="110" t="n">
        <v>0</v>
      </c>
      <c r="CN12" s="110" t="n">
        <v>0</v>
      </c>
      <c r="CO12" s="110" t="n">
        <v>1288325.97</v>
      </c>
      <c r="CP12" s="110" t="n">
        <v>0</v>
      </c>
      <c r="CQ12" s="110" t="n">
        <v>50</v>
      </c>
      <c r="CR12" s="110" t="n">
        <v>0</v>
      </c>
      <c r="CS12" s="110" t="n">
        <v>0</v>
      </c>
      <c r="CT12" s="110" t="n">
        <v>0</v>
      </c>
      <c r="CU12" s="110" t="n">
        <v>0</v>
      </c>
      <c r="CV12" s="111" t="n">
        <v>1994</v>
      </c>
      <c r="CW12" s="111" t="n">
        <v>1972</v>
      </c>
      <c r="CX12" s="111" t="n">
        <v>1967</v>
      </c>
      <c r="CY12" s="111" t="n">
        <v>5</v>
      </c>
      <c r="CZ12" s="111" t="n">
        <v>22</v>
      </c>
      <c r="DA12" s="111" t="n">
        <v>21</v>
      </c>
      <c r="DB12" s="111" t="n">
        <v>1</v>
      </c>
      <c r="DC12" s="111" t="n">
        <v>1994</v>
      </c>
      <c r="DD12" s="111" t="n">
        <v>0</v>
      </c>
      <c r="DE12" s="111" t="n">
        <v>1972</v>
      </c>
      <c r="DF12" s="111" t="n">
        <v>1967</v>
      </c>
      <c r="DG12" s="111" t="n">
        <v>5</v>
      </c>
      <c r="DH12" s="111" t="n">
        <v>22</v>
      </c>
      <c r="DI12" s="111" t="n">
        <v>21</v>
      </c>
      <c r="DJ12" s="111" t="n">
        <v>1</v>
      </c>
      <c r="DK12" s="111" t="n">
        <v>0</v>
      </c>
      <c r="DL12" s="111" t="n">
        <v>0</v>
      </c>
      <c r="DM12" s="111" t="n">
        <v>0</v>
      </c>
      <c r="DN12" s="111" t="n">
        <v>0</v>
      </c>
      <c r="DO12" s="111" t="n">
        <v>0</v>
      </c>
      <c r="DP12" s="111" t="n">
        <v>0</v>
      </c>
      <c r="DQ12" s="111" t="n">
        <v>0</v>
      </c>
      <c r="DR12" s="111" t="n">
        <v>0</v>
      </c>
      <c r="DS12" s="111" t="n">
        <v>0</v>
      </c>
      <c r="DT12" s="111" t="n">
        <v>0</v>
      </c>
      <c r="DU12" s="111" t="n">
        <v>0</v>
      </c>
      <c r="DV12" s="111" t="n">
        <v>0</v>
      </c>
      <c r="DW12" s="111" t="n">
        <v>0</v>
      </c>
      <c r="DX12" s="111" t="n">
        <v>0</v>
      </c>
      <c r="DY12" s="111" t="n">
        <v>0</v>
      </c>
      <c r="DZ12" s="111" t="n">
        <v>0</v>
      </c>
      <c r="EA12" s="111" t="n">
        <v>0</v>
      </c>
      <c r="EB12" s="111" t="n">
        <v>0</v>
      </c>
      <c r="EC12" s="111" t="n">
        <v>0</v>
      </c>
      <c r="ED12" s="111" t="n">
        <v>0</v>
      </c>
      <c r="EE12" s="111" t="n">
        <v>0</v>
      </c>
      <c r="EF12" s="111" t="n">
        <v>0</v>
      </c>
      <c r="EG12" s="111" t="n">
        <v>63</v>
      </c>
      <c r="EH12" s="111" t="n">
        <v>63</v>
      </c>
      <c r="EI12" s="111" t="n">
        <v>63</v>
      </c>
      <c r="EJ12" s="111" t="n">
        <v>0</v>
      </c>
      <c r="EK12" s="111" t="n">
        <v>0</v>
      </c>
      <c r="EL12" s="111" t="n">
        <v>0</v>
      </c>
      <c r="EM12" s="111" t="n">
        <v>0</v>
      </c>
      <c r="EN12" s="111" t="n">
        <v>27</v>
      </c>
      <c r="EO12" s="111" t="n">
        <v>0</v>
      </c>
      <c r="EP12" s="111" t="n">
        <v>0</v>
      </c>
      <c r="EQ12" s="111" t="n">
        <v>27</v>
      </c>
      <c r="ER12" s="111" t="n">
        <v>0</v>
      </c>
      <c r="ES12" s="111" t="n">
        <v>0</v>
      </c>
      <c r="ET12" s="111" t="n">
        <v>0</v>
      </c>
      <c r="EU12" s="111" t="n">
        <v>0</v>
      </c>
      <c r="EV12" s="111" t="n">
        <v>0</v>
      </c>
      <c r="EW12" s="111" t="n">
        <v>0</v>
      </c>
      <c r="EX12" s="111" t="n">
        <v>0</v>
      </c>
      <c r="EY12" s="111" t="n">
        <v>0</v>
      </c>
      <c r="EZ12" s="111" t="n">
        <v>0</v>
      </c>
      <c r="FA12" s="111" t="n">
        <v>0</v>
      </c>
      <c r="FB12" s="111" t="n">
        <v>0</v>
      </c>
    </row>
    <row r="13" ht="19.5" customHeight="1" s="247">
      <c r="A13" s="107" t="n">
        <v>10</v>
      </c>
      <c r="B13" s="107" t="inlineStr">
        <is>
          <t>成人非手术</t>
        </is>
      </c>
      <c r="C13" s="107" t="inlineStr">
        <is>
          <t>全科医学科</t>
        </is>
      </c>
      <c r="D13" s="110" t="n">
        <v>1561845.5</v>
      </c>
      <c r="E13" s="110" t="n">
        <v>437442</v>
      </c>
      <c r="F13" s="110" t="n">
        <v>1124403.5</v>
      </c>
      <c r="G13" s="110" t="n">
        <v>2493</v>
      </c>
      <c r="H13" s="110" t="n">
        <v>83</v>
      </c>
      <c r="I13" s="110" t="n">
        <v>1620</v>
      </c>
      <c r="J13" s="110" t="n">
        <v>0</v>
      </c>
      <c r="K13" s="110" t="n">
        <v>0</v>
      </c>
      <c r="L13" s="110" t="n">
        <v>60878</v>
      </c>
      <c r="M13" s="110" t="n">
        <v>750</v>
      </c>
      <c r="N13" s="110" t="n">
        <v>0</v>
      </c>
      <c r="O13" s="110" t="n">
        <v>2435258.2</v>
      </c>
      <c r="P13" s="110" t="n">
        <v>1966099.55</v>
      </c>
      <c r="Q13" s="110" t="n">
        <v>1945347.29</v>
      </c>
      <c r="R13" s="110" t="n">
        <v>20752.26</v>
      </c>
      <c r="S13" s="110" t="n">
        <v>469158.65</v>
      </c>
      <c r="T13" s="110" t="n">
        <v>410660.26</v>
      </c>
      <c r="U13" s="110" t="n">
        <v>58498.39</v>
      </c>
      <c r="V13" s="110" t="n">
        <v>1011805.56</v>
      </c>
      <c r="W13" s="110" t="n">
        <v>931692.52</v>
      </c>
      <c r="X13" s="110" t="n">
        <v>917915.25</v>
      </c>
      <c r="Y13" s="110" t="n">
        <v>13777.27</v>
      </c>
      <c r="Z13" s="110" t="n">
        <v>80113.03999999999</v>
      </c>
      <c r="AA13" s="110" t="n">
        <v>66053.33</v>
      </c>
      <c r="AB13" s="110" t="n">
        <v>14059.71</v>
      </c>
      <c r="AC13" s="110" t="n">
        <v>573798.16</v>
      </c>
      <c r="AD13" s="110" t="n">
        <v>541913.12</v>
      </c>
      <c r="AE13" s="110" t="n">
        <v>537222.85</v>
      </c>
      <c r="AF13" s="110" t="n">
        <v>4690.27</v>
      </c>
      <c r="AG13" s="110" t="n">
        <v>31885.04</v>
      </c>
      <c r="AH13" s="110" t="n">
        <v>29158.33</v>
      </c>
      <c r="AI13" s="110" t="n">
        <v>2726.71</v>
      </c>
      <c r="AJ13" s="110" t="n">
        <v>565.4</v>
      </c>
      <c r="AK13" s="110" t="n">
        <v>454.4</v>
      </c>
      <c r="AL13" s="110" t="n">
        <v>454.4</v>
      </c>
      <c r="AM13" s="110" t="n">
        <v>0</v>
      </c>
      <c r="AN13" s="110" t="n">
        <v>111</v>
      </c>
      <c r="AO13" s="110" t="n">
        <v>111</v>
      </c>
      <c r="AP13" s="110" t="n">
        <v>0</v>
      </c>
      <c r="AQ13" s="110" t="n">
        <v>368615</v>
      </c>
      <c r="AR13" s="110" t="n">
        <v>325774</v>
      </c>
      <c r="AS13" s="110" t="n">
        <v>317874</v>
      </c>
      <c r="AT13" s="110" t="n">
        <v>7900</v>
      </c>
      <c r="AU13" s="110" t="n">
        <v>42841</v>
      </c>
      <c r="AV13" s="110" t="n">
        <v>32699</v>
      </c>
      <c r="AW13" s="110" t="n">
        <v>10142</v>
      </c>
      <c r="AX13" s="110" t="n">
        <v>68827</v>
      </c>
      <c r="AY13" s="110" t="n">
        <v>63551</v>
      </c>
      <c r="AZ13" s="110" t="n">
        <v>62364</v>
      </c>
      <c r="BA13" s="110" t="n">
        <v>1187</v>
      </c>
      <c r="BB13" s="110" t="n">
        <v>5276</v>
      </c>
      <c r="BC13" s="110" t="n">
        <v>4085</v>
      </c>
      <c r="BD13" s="110" t="n">
        <v>1191</v>
      </c>
      <c r="BE13" s="110" t="n">
        <v>1423452.64</v>
      </c>
      <c r="BF13" s="110" t="n">
        <v>1034407.03</v>
      </c>
      <c r="BG13" s="110" t="n">
        <v>1027432.04</v>
      </c>
      <c r="BH13" s="110" t="n">
        <v>6974.99</v>
      </c>
      <c r="BI13" s="110" t="n">
        <v>389045.61</v>
      </c>
      <c r="BJ13" s="110" t="n">
        <v>344606.93</v>
      </c>
      <c r="BK13" s="110" t="n">
        <v>44438.68</v>
      </c>
      <c r="BL13" s="110" t="n">
        <v>220633.04</v>
      </c>
      <c r="BM13" s="110" t="n">
        <v>167981.85</v>
      </c>
      <c r="BN13" s="110" t="n">
        <v>167966.36</v>
      </c>
      <c r="BO13" s="110" t="n">
        <v>15.49</v>
      </c>
      <c r="BP13" s="110" t="n">
        <v>52651.19</v>
      </c>
      <c r="BQ13" s="110" t="n">
        <v>48685.01</v>
      </c>
      <c r="BR13" s="110" t="n">
        <v>3966.18</v>
      </c>
      <c r="BS13" s="110" t="n">
        <v>78416.10000000001</v>
      </c>
      <c r="BT13" s="110" t="n">
        <v>46794.68</v>
      </c>
      <c r="BU13" s="110" t="n">
        <v>46794.68</v>
      </c>
      <c r="BV13" s="110" t="n">
        <v>0</v>
      </c>
      <c r="BW13" s="110" t="n">
        <v>31621.42</v>
      </c>
      <c r="BX13" s="110" t="n">
        <v>30390.92</v>
      </c>
      <c r="BY13" s="110" t="n">
        <v>1230.5</v>
      </c>
      <c r="BZ13" s="110" t="n">
        <v>533572</v>
      </c>
      <c r="CA13" s="110" t="n">
        <v>357020</v>
      </c>
      <c r="CB13" s="110" t="n">
        <v>352090</v>
      </c>
      <c r="CC13" s="110" t="n">
        <v>4930</v>
      </c>
      <c r="CD13" s="110" t="n">
        <v>176552</v>
      </c>
      <c r="CE13" s="110" t="n">
        <v>152532</v>
      </c>
      <c r="CF13" s="110" t="n">
        <v>24020</v>
      </c>
      <c r="CG13" s="110" t="n">
        <v>590831.5</v>
      </c>
      <c r="CH13" s="110" t="n">
        <v>462610.5</v>
      </c>
      <c r="CI13" s="110" t="n">
        <v>460581</v>
      </c>
      <c r="CJ13" s="110" t="n">
        <v>2029.5</v>
      </c>
      <c r="CK13" s="110" t="n">
        <v>128221</v>
      </c>
      <c r="CL13" s="110" t="n">
        <v>112999</v>
      </c>
      <c r="CM13" s="110" t="n">
        <v>15222</v>
      </c>
      <c r="CN13" s="110" t="n">
        <v>0</v>
      </c>
      <c r="CO13" s="110" t="n">
        <v>896459.12</v>
      </c>
      <c r="CP13" s="110" t="n">
        <v>101756.43</v>
      </c>
      <c r="CQ13" s="110" t="n">
        <v>4011.28</v>
      </c>
      <c r="CR13" s="110" t="n">
        <v>9578.73</v>
      </c>
      <c r="CS13" s="110" t="n">
        <v>0</v>
      </c>
      <c r="CT13" s="110" t="n">
        <v>0</v>
      </c>
      <c r="CU13" s="110" t="n">
        <v>0</v>
      </c>
      <c r="CV13" s="111" t="n">
        <v>2493</v>
      </c>
      <c r="CW13" s="111" t="n">
        <v>2298</v>
      </c>
      <c r="CX13" s="111" t="n">
        <v>2260</v>
      </c>
      <c r="CY13" s="111" t="n">
        <v>38</v>
      </c>
      <c r="CZ13" s="111" t="n">
        <v>195</v>
      </c>
      <c r="DA13" s="111" t="n">
        <v>154</v>
      </c>
      <c r="DB13" s="111" t="n">
        <v>41</v>
      </c>
      <c r="DC13" s="111" t="n">
        <v>2255</v>
      </c>
      <c r="DD13" s="111" t="n">
        <v>36</v>
      </c>
      <c r="DE13" s="111" t="n">
        <v>2085</v>
      </c>
      <c r="DF13" s="111" t="n">
        <v>2052</v>
      </c>
      <c r="DG13" s="111" t="n">
        <v>33</v>
      </c>
      <c r="DH13" s="111" t="n">
        <v>170</v>
      </c>
      <c r="DI13" s="111" t="n">
        <v>137</v>
      </c>
      <c r="DJ13" s="111" t="n">
        <v>33</v>
      </c>
      <c r="DK13" s="111" t="n">
        <v>190</v>
      </c>
      <c r="DL13" s="111" t="n">
        <v>167</v>
      </c>
      <c r="DM13" s="111" t="n">
        <v>165</v>
      </c>
      <c r="DN13" s="111" t="n">
        <v>2</v>
      </c>
      <c r="DO13" s="111" t="n">
        <v>23</v>
      </c>
      <c r="DP13" s="111" t="n">
        <v>15</v>
      </c>
      <c r="DQ13" s="111" t="n">
        <v>8</v>
      </c>
      <c r="DR13" s="111" t="n">
        <v>12</v>
      </c>
      <c r="DS13" s="111" t="n">
        <v>0</v>
      </c>
      <c r="DT13" s="111" t="n">
        <v>12</v>
      </c>
      <c r="DU13" s="111" t="n">
        <v>10</v>
      </c>
      <c r="DV13" s="111" t="n">
        <v>2</v>
      </c>
      <c r="DW13" s="111" t="n">
        <v>0</v>
      </c>
      <c r="DX13" s="111" t="n">
        <v>0</v>
      </c>
      <c r="DY13" s="111" t="n">
        <v>0</v>
      </c>
      <c r="DZ13" s="111" t="n">
        <v>0</v>
      </c>
      <c r="EA13" s="111" t="n">
        <v>0</v>
      </c>
      <c r="EB13" s="111" t="n">
        <v>0</v>
      </c>
      <c r="EC13" s="111" t="n">
        <v>0</v>
      </c>
      <c r="ED13" s="111" t="n">
        <v>0</v>
      </c>
      <c r="EE13" s="111" t="n">
        <v>0</v>
      </c>
      <c r="EF13" s="111" t="n">
        <v>0</v>
      </c>
      <c r="EG13" s="111" t="n">
        <v>83</v>
      </c>
      <c r="EH13" s="111" t="n">
        <v>56</v>
      </c>
      <c r="EI13" s="111" t="n">
        <v>55</v>
      </c>
      <c r="EJ13" s="111" t="n">
        <v>1</v>
      </c>
      <c r="EK13" s="111" t="n">
        <v>27</v>
      </c>
      <c r="EL13" s="111" t="n">
        <v>23</v>
      </c>
      <c r="EM13" s="111" t="n">
        <v>4</v>
      </c>
      <c r="EN13" s="111" t="n">
        <v>6</v>
      </c>
      <c r="EO13" s="111" t="n">
        <v>0</v>
      </c>
      <c r="EP13" s="111" t="n">
        <v>0</v>
      </c>
      <c r="EQ13" s="111" t="n">
        <v>6</v>
      </c>
      <c r="ER13" s="111" t="n">
        <v>0</v>
      </c>
      <c r="ES13" s="111" t="n">
        <v>0</v>
      </c>
      <c r="ET13" s="111" t="n">
        <v>0</v>
      </c>
      <c r="EU13" s="111" t="n">
        <v>0</v>
      </c>
      <c r="EV13" s="111" t="n">
        <v>0</v>
      </c>
      <c r="EW13" s="111" t="n">
        <v>0</v>
      </c>
      <c r="EX13" s="111" t="n">
        <v>0</v>
      </c>
      <c r="EY13" s="111" t="n">
        <v>0</v>
      </c>
      <c r="EZ13" s="111" t="n">
        <v>0</v>
      </c>
      <c r="FA13" s="111" t="n">
        <v>0</v>
      </c>
      <c r="FB13" s="111" t="n">
        <v>0</v>
      </c>
    </row>
    <row r="14" ht="19.5" customHeight="1" s="247">
      <c r="A14" s="107" t="n">
        <v>11</v>
      </c>
      <c r="B14" s="107" t="inlineStr">
        <is>
          <t>成人非手术</t>
        </is>
      </c>
      <c r="C14" s="107" t="inlineStr">
        <is>
          <t>心血管二科</t>
        </is>
      </c>
      <c r="D14" s="110" t="n">
        <v>6151785.75</v>
      </c>
      <c r="E14" s="110" t="n">
        <v>1331878</v>
      </c>
      <c r="F14" s="110" t="n">
        <v>4819907.75</v>
      </c>
      <c r="G14" s="110" t="n">
        <v>12041</v>
      </c>
      <c r="H14" s="110" t="n">
        <v>420</v>
      </c>
      <c r="I14" s="110" t="n">
        <v>620</v>
      </c>
      <c r="J14" s="110" t="n">
        <v>0</v>
      </c>
      <c r="K14" s="110" t="n">
        <v>0</v>
      </c>
      <c r="L14" s="110" t="n">
        <v>1115631</v>
      </c>
      <c r="M14" s="110" t="n">
        <v>42301.25</v>
      </c>
      <c r="N14" s="110" t="n">
        <v>0</v>
      </c>
      <c r="O14" s="110" t="n">
        <v>19087012.78</v>
      </c>
      <c r="P14" s="110" t="n">
        <v>15292110.19</v>
      </c>
      <c r="Q14" s="110" t="n">
        <v>15160187.35</v>
      </c>
      <c r="R14" s="110" t="n">
        <v>131922.84</v>
      </c>
      <c r="S14" s="110" t="n">
        <v>3794902.59</v>
      </c>
      <c r="T14" s="110" t="n">
        <v>3706088.56</v>
      </c>
      <c r="U14" s="110" t="n">
        <v>88814.03</v>
      </c>
      <c r="V14" s="110" t="n">
        <v>5635828.76</v>
      </c>
      <c r="W14" s="110" t="n">
        <v>5252609.68</v>
      </c>
      <c r="X14" s="110" t="n">
        <v>5186749.45</v>
      </c>
      <c r="Y14" s="110" t="n">
        <v>65860.23</v>
      </c>
      <c r="Z14" s="110" t="n">
        <v>383219.08</v>
      </c>
      <c r="AA14" s="110" t="n">
        <v>313352.4</v>
      </c>
      <c r="AB14" s="110" t="n">
        <v>69866.67999999999</v>
      </c>
      <c r="AC14" s="110" t="n">
        <v>4303622.58</v>
      </c>
      <c r="AD14" s="110" t="n">
        <v>4058450.5</v>
      </c>
      <c r="AE14" s="110" t="n">
        <v>4025954.27</v>
      </c>
      <c r="AF14" s="110" t="n">
        <v>32496.23</v>
      </c>
      <c r="AG14" s="110" t="n">
        <v>245172.08</v>
      </c>
      <c r="AH14" s="110" t="n">
        <v>207546.4</v>
      </c>
      <c r="AI14" s="110" t="n">
        <v>37625.68</v>
      </c>
      <c r="AJ14" s="110" t="n">
        <v>328.18</v>
      </c>
      <c r="AK14" s="110" t="n">
        <v>290.18</v>
      </c>
      <c r="AL14" s="110" t="n">
        <v>290.18</v>
      </c>
      <c r="AM14" s="110" t="n">
        <v>0</v>
      </c>
      <c r="AN14" s="110" t="n">
        <v>38</v>
      </c>
      <c r="AO14" s="110" t="n">
        <v>0</v>
      </c>
      <c r="AP14" s="110" t="n">
        <v>38</v>
      </c>
      <c r="AQ14" s="110" t="n">
        <v>964455</v>
      </c>
      <c r="AR14" s="110" t="n">
        <v>858282</v>
      </c>
      <c r="AS14" s="110" t="n">
        <v>833367</v>
      </c>
      <c r="AT14" s="110" t="n">
        <v>24915</v>
      </c>
      <c r="AU14" s="110" t="n">
        <v>106173</v>
      </c>
      <c r="AV14" s="110" t="n">
        <v>84095</v>
      </c>
      <c r="AW14" s="110" t="n">
        <v>22078</v>
      </c>
      <c r="AX14" s="110" t="n">
        <v>367423</v>
      </c>
      <c r="AY14" s="110" t="n">
        <v>335587</v>
      </c>
      <c r="AZ14" s="110" t="n">
        <v>327138</v>
      </c>
      <c r="BA14" s="110" t="n">
        <v>8449</v>
      </c>
      <c r="BB14" s="110" t="n">
        <v>31836</v>
      </c>
      <c r="BC14" s="110" t="n">
        <v>21711</v>
      </c>
      <c r="BD14" s="110" t="n">
        <v>10125</v>
      </c>
      <c r="BE14" s="110" t="n">
        <v>13451184.02</v>
      </c>
      <c r="BF14" s="110" t="n">
        <v>10039500.51</v>
      </c>
      <c r="BG14" s="110" t="n">
        <v>9973437.9</v>
      </c>
      <c r="BH14" s="110" t="n">
        <v>66062.61</v>
      </c>
      <c r="BI14" s="110" t="n">
        <v>3411683.51</v>
      </c>
      <c r="BJ14" s="110" t="n">
        <v>3392736.16</v>
      </c>
      <c r="BK14" s="110" t="n">
        <v>18947.35</v>
      </c>
      <c r="BL14" s="110" t="n">
        <v>778396.51</v>
      </c>
      <c r="BM14" s="110" t="n">
        <v>607784.47</v>
      </c>
      <c r="BN14" s="110" t="n">
        <v>604011.36</v>
      </c>
      <c r="BO14" s="110" t="n">
        <v>3773.11</v>
      </c>
      <c r="BP14" s="110" t="n">
        <v>170612.04</v>
      </c>
      <c r="BQ14" s="110" t="n">
        <v>168419.69</v>
      </c>
      <c r="BR14" s="110" t="n">
        <v>2192.35</v>
      </c>
      <c r="BS14" s="110" t="n">
        <v>7852879.76</v>
      </c>
      <c r="BT14" s="110" t="n">
        <v>5809578.54</v>
      </c>
      <c r="BU14" s="110" t="n">
        <v>5780628.54</v>
      </c>
      <c r="BV14" s="110" t="n">
        <v>28950</v>
      </c>
      <c r="BW14" s="110" t="n">
        <v>2043301.22</v>
      </c>
      <c r="BX14" s="110" t="n">
        <v>2039717.72</v>
      </c>
      <c r="BY14" s="110" t="n">
        <v>3583.5</v>
      </c>
      <c r="BZ14" s="110" t="n">
        <v>3229287.5</v>
      </c>
      <c r="CA14" s="110" t="n">
        <v>2429119.5</v>
      </c>
      <c r="CB14" s="110" t="n">
        <v>2400636.5</v>
      </c>
      <c r="CC14" s="110" t="n">
        <v>28483</v>
      </c>
      <c r="CD14" s="110" t="n">
        <v>800168</v>
      </c>
      <c r="CE14" s="110" t="n">
        <v>788613</v>
      </c>
      <c r="CF14" s="110" t="n">
        <v>11555</v>
      </c>
      <c r="CG14" s="110" t="n">
        <v>1590620.25</v>
      </c>
      <c r="CH14" s="110" t="n">
        <v>1193018</v>
      </c>
      <c r="CI14" s="110" t="n">
        <v>1188161.5</v>
      </c>
      <c r="CJ14" s="110" t="n">
        <v>4856.5</v>
      </c>
      <c r="CK14" s="110" t="n">
        <v>397602.25</v>
      </c>
      <c r="CL14" s="110" t="n">
        <v>395985.75</v>
      </c>
      <c r="CM14" s="110" t="n">
        <v>1616.5</v>
      </c>
      <c r="CN14" s="110" t="n">
        <v>0</v>
      </c>
      <c r="CO14" s="110" t="n">
        <v>2369320.85</v>
      </c>
      <c r="CP14" s="110" t="n">
        <v>1841568.33</v>
      </c>
      <c r="CQ14" s="110" t="n">
        <v>1384303.62</v>
      </c>
      <c r="CR14" s="110" t="n">
        <v>40635.96</v>
      </c>
      <c r="CS14" s="110" t="n">
        <v>0</v>
      </c>
      <c r="CT14" s="110" t="n">
        <v>0</v>
      </c>
      <c r="CU14" s="110" t="n">
        <v>0</v>
      </c>
      <c r="CV14" s="111" t="n">
        <v>12041</v>
      </c>
      <c r="CW14" s="111" t="n">
        <v>11176</v>
      </c>
      <c r="CX14" s="111" t="n">
        <v>11018</v>
      </c>
      <c r="CY14" s="111" t="n">
        <v>158</v>
      </c>
      <c r="CZ14" s="111" t="n">
        <v>865</v>
      </c>
      <c r="DA14" s="111" t="n">
        <v>659</v>
      </c>
      <c r="DB14" s="111" t="n">
        <v>206</v>
      </c>
      <c r="DC14" s="111" t="n">
        <v>8617</v>
      </c>
      <c r="DD14" s="111" t="n">
        <v>131</v>
      </c>
      <c r="DE14" s="111" t="n">
        <v>8097</v>
      </c>
      <c r="DF14" s="111" t="n">
        <v>8010</v>
      </c>
      <c r="DG14" s="111" t="n">
        <v>87</v>
      </c>
      <c r="DH14" s="111" t="n">
        <v>520</v>
      </c>
      <c r="DI14" s="111" t="n">
        <v>407</v>
      </c>
      <c r="DJ14" s="111" t="n">
        <v>113</v>
      </c>
      <c r="DK14" s="111" t="n">
        <v>3255</v>
      </c>
      <c r="DL14" s="111" t="n">
        <v>2922</v>
      </c>
      <c r="DM14" s="111" t="n">
        <v>2861</v>
      </c>
      <c r="DN14" s="111" t="n">
        <v>61</v>
      </c>
      <c r="DO14" s="111" t="n">
        <v>333</v>
      </c>
      <c r="DP14" s="111" t="n">
        <v>250</v>
      </c>
      <c r="DQ14" s="111" t="n">
        <v>83</v>
      </c>
      <c r="DR14" s="111" t="n">
        <v>38</v>
      </c>
      <c r="DS14" s="111" t="n">
        <v>0</v>
      </c>
      <c r="DT14" s="111" t="n">
        <v>28</v>
      </c>
      <c r="DU14" s="111" t="n">
        <v>20</v>
      </c>
      <c r="DV14" s="111" t="n">
        <v>8</v>
      </c>
      <c r="DW14" s="111" t="n">
        <v>10</v>
      </c>
      <c r="DX14" s="111" t="n">
        <v>2</v>
      </c>
      <c r="DY14" s="111" t="n">
        <v>8</v>
      </c>
      <c r="DZ14" s="111" t="n">
        <v>0</v>
      </c>
      <c r="EA14" s="111" t="n">
        <v>0</v>
      </c>
      <c r="EB14" s="111" t="n">
        <v>0</v>
      </c>
      <c r="EC14" s="111" t="n">
        <v>0</v>
      </c>
      <c r="ED14" s="111" t="n">
        <v>0</v>
      </c>
      <c r="EE14" s="111" t="n">
        <v>0</v>
      </c>
      <c r="EF14" s="111" t="n">
        <v>0</v>
      </c>
      <c r="EG14" s="111" t="n">
        <v>420</v>
      </c>
      <c r="EH14" s="111" t="n">
        <v>310</v>
      </c>
      <c r="EI14" s="111" t="n">
        <v>307</v>
      </c>
      <c r="EJ14" s="111" t="n">
        <v>3</v>
      </c>
      <c r="EK14" s="111" t="n">
        <v>110</v>
      </c>
      <c r="EL14" s="111" t="n">
        <v>108</v>
      </c>
      <c r="EM14" s="111" t="n">
        <v>2</v>
      </c>
      <c r="EN14" s="111" t="n">
        <v>391</v>
      </c>
      <c r="EO14" s="111" t="n">
        <v>2</v>
      </c>
      <c r="EP14" s="111" t="n">
        <v>233</v>
      </c>
      <c r="EQ14" s="111" t="n">
        <v>156</v>
      </c>
      <c r="ER14" s="111" t="n">
        <v>0</v>
      </c>
      <c r="ES14" s="111" t="n">
        <v>0</v>
      </c>
      <c r="ET14" s="111" t="n">
        <v>0</v>
      </c>
      <c r="EU14" s="111" t="n">
        <v>160</v>
      </c>
      <c r="EV14" s="111" t="n">
        <v>0</v>
      </c>
      <c r="EW14" s="111" t="n">
        <v>160</v>
      </c>
      <c r="EX14" s="111" t="n">
        <v>0</v>
      </c>
      <c r="EY14" s="111" t="n">
        <v>2</v>
      </c>
      <c r="EZ14" s="111" t="n">
        <v>2</v>
      </c>
      <c r="FA14" s="111" t="n">
        <v>0</v>
      </c>
      <c r="FB14" s="111" t="n">
        <v>151</v>
      </c>
    </row>
    <row r="15" ht="19.5" customHeight="1" s="247">
      <c r="A15" s="107" t="n">
        <v>12</v>
      </c>
      <c r="B15" s="107" t="inlineStr">
        <is>
          <t>成人手术</t>
        </is>
      </c>
      <c r="C15" s="107" t="inlineStr">
        <is>
          <t>普外科</t>
        </is>
      </c>
      <c r="D15" s="110" t="n">
        <v>9981453.75</v>
      </c>
      <c r="E15" s="110" t="n">
        <v>1747744</v>
      </c>
      <c r="F15" s="110" t="n">
        <v>8233709.75</v>
      </c>
      <c r="G15" s="110" t="n">
        <v>7865</v>
      </c>
      <c r="H15" s="110" t="n">
        <v>824</v>
      </c>
      <c r="I15" s="110" t="n">
        <v>148043</v>
      </c>
      <c r="J15" s="110" t="n">
        <v>109866</v>
      </c>
      <c r="K15" s="110" t="n">
        <v>45</v>
      </c>
      <c r="L15" s="110" t="n">
        <v>429715</v>
      </c>
      <c r="M15" s="110" t="n">
        <v>2149094.75</v>
      </c>
      <c r="N15" s="110" t="n">
        <v>862.5</v>
      </c>
      <c r="O15" s="110" t="n">
        <v>22551115.84</v>
      </c>
      <c r="P15" s="110" t="n">
        <v>14231211.79</v>
      </c>
      <c r="Q15" s="110" t="n">
        <v>13719851.84</v>
      </c>
      <c r="R15" s="110" t="n">
        <v>511359.95</v>
      </c>
      <c r="S15" s="110" t="n">
        <v>8319904.05</v>
      </c>
      <c r="T15" s="110" t="n">
        <v>7691051.12</v>
      </c>
      <c r="U15" s="110" t="n">
        <v>628852.9300000001</v>
      </c>
      <c r="V15" s="110" t="n">
        <v>3309746.17</v>
      </c>
      <c r="W15" s="110" t="n">
        <v>2730616.11</v>
      </c>
      <c r="X15" s="110" t="n">
        <v>2624683.8</v>
      </c>
      <c r="Y15" s="110" t="n">
        <v>105932.31</v>
      </c>
      <c r="Z15" s="110" t="n">
        <v>579130.0600000001</v>
      </c>
      <c r="AA15" s="110" t="n">
        <v>416174</v>
      </c>
      <c r="AB15" s="110" t="n">
        <v>162956.06</v>
      </c>
      <c r="AC15" s="110" t="n">
        <v>1190942.52</v>
      </c>
      <c r="AD15" s="110" t="n">
        <v>974079.54</v>
      </c>
      <c r="AE15" s="110" t="n">
        <v>940187.95</v>
      </c>
      <c r="AF15" s="110" t="n">
        <v>33891.59</v>
      </c>
      <c r="AG15" s="110" t="n">
        <v>216862.98</v>
      </c>
      <c r="AH15" s="110" t="n">
        <v>179807.74</v>
      </c>
      <c r="AI15" s="110" t="n">
        <v>37055.24</v>
      </c>
      <c r="AJ15" s="110" t="n">
        <v>371059.65</v>
      </c>
      <c r="AK15" s="110" t="n">
        <v>349591.57</v>
      </c>
      <c r="AL15" s="110" t="n">
        <v>340937.85</v>
      </c>
      <c r="AM15" s="110" t="n">
        <v>8653.719999999999</v>
      </c>
      <c r="AN15" s="110" t="n">
        <v>21468.08</v>
      </c>
      <c r="AO15" s="110" t="n">
        <v>12411.26</v>
      </c>
      <c r="AP15" s="110" t="n">
        <v>9056.82</v>
      </c>
      <c r="AQ15" s="110" t="n">
        <v>1174142</v>
      </c>
      <c r="AR15" s="110" t="n">
        <v>918213</v>
      </c>
      <c r="AS15" s="110" t="n">
        <v>888802</v>
      </c>
      <c r="AT15" s="110" t="n">
        <v>29411</v>
      </c>
      <c r="AU15" s="110" t="n">
        <v>255929</v>
      </c>
      <c r="AV15" s="110" t="n">
        <v>177973</v>
      </c>
      <c r="AW15" s="110" t="n">
        <v>77956</v>
      </c>
      <c r="AX15" s="110" t="n">
        <v>573602</v>
      </c>
      <c r="AY15" s="110" t="n">
        <v>488732</v>
      </c>
      <c r="AZ15" s="110" t="n">
        <v>454756</v>
      </c>
      <c r="BA15" s="110" t="n">
        <v>33976</v>
      </c>
      <c r="BB15" s="110" t="n">
        <v>84870</v>
      </c>
      <c r="BC15" s="110" t="n">
        <v>45982</v>
      </c>
      <c r="BD15" s="110" t="n">
        <v>38888</v>
      </c>
      <c r="BE15" s="110" t="n">
        <v>19241369.67</v>
      </c>
      <c r="BF15" s="110" t="n">
        <v>11500595.68</v>
      </c>
      <c r="BG15" s="110" t="n">
        <v>11095168.04</v>
      </c>
      <c r="BH15" s="110" t="n">
        <v>405427.64</v>
      </c>
      <c r="BI15" s="110" t="n">
        <v>7740773.99</v>
      </c>
      <c r="BJ15" s="110" t="n">
        <v>7274877.12</v>
      </c>
      <c r="BK15" s="110" t="n">
        <v>465896.87</v>
      </c>
      <c r="BL15" s="110" t="n">
        <v>3869405.95</v>
      </c>
      <c r="BM15" s="110" t="n">
        <v>2249128.62</v>
      </c>
      <c r="BN15" s="110" t="n">
        <v>2155121.31</v>
      </c>
      <c r="BO15" s="110" t="n">
        <v>94007.31</v>
      </c>
      <c r="BP15" s="110" t="n">
        <v>1620277.33</v>
      </c>
      <c r="BQ15" s="110" t="n">
        <v>1543745.82</v>
      </c>
      <c r="BR15" s="110" t="n">
        <v>76531.50999999999</v>
      </c>
      <c r="BS15" s="110" t="n">
        <v>7138253.97</v>
      </c>
      <c r="BT15" s="110" t="n">
        <v>4467222.06</v>
      </c>
      <c r="BU15" s="110" t="n">
        <v>4331175.23</v>
      </c>
      <c r="BV15" s="110" t="n">
        <v>136046.83</v>
      </c>
      <c r="BW15" s="110" t="n">
        <v>2671031.91</v>
      </c>
      <c r="BX15" s="110" t="n">
        <v>2500379.05</v>
      </c>
      <c r="BY15" s="110" t="n">
        <v>170652.86</v>
      </c>
      <c r="BZ15" s="110" t="n">
        <v>3286459.5</v>
      </c>
      <c r="CA15" s="110" t="n">
        <v>1775762</v>
      </c>
      <c r="CB15" s="110" t="n">
        <v>1727898</v>
      </c>
      <c r="CC15" s="110" t="n">
        <v>47864</v>
      </c>
      <c r="CD15" s="110" t="n">
        <v>1510697.5</v>
      </c>
      <c r="CE15" s="110" t="n">
        <v>1436380.5</v>
      </c>
      <c r="CF15" s="110" t="n">
        <v>74317</v>
      </c>
      <c r="CG15" s="110" t="n">
        <v>4947250.25</v>
      </c>
      <c r="CH15" s="110" t="n">
        <v>3008483</v>
      </c>
      <c r="CI15" s="110" t="n">
        <v>2880973.5</v>
      </c>
      <c r="CJ15" s="110" t="n">
        <v>127509.5</v>
      </c>
      <c r="CK15" s="110" t="n">
        <v>1938767.25</v>
      </c>
      <c r="CL15" s="110" t="n">
        <v>1794371.75</v>
      </c>
      <c r="CM15" s="110" t="n">
        <v>144395.5</v>
      </c>
      <c r="CN15" s="110" t="n">
        <v>777562.09</v>
      </c>
      <c r="CO15" s="110" t="n">
        <v>1233736.44</v>
      </c>
      <c r="CP15" s="110" t="n">
        <v>831580.4</v>
      </c>
      <c r="CQ15" s="110" t="n">
        <v>370282.58</v>
      </c>
      <c r="CR15" s="110" t="n">
        <v>94901.17999999999</v>
      </c>
      <c r="CS15" s="110" t="n">
        <v>1658.48</v>
      </c>
      <c r="CT15" s="110" t="n">
        <v>278936.62</v>
      </c>
      <c r="CU15" s="110" t="n">
        <v>0</v>
      </c>
      <c r="CV15" s="111" t="n">
        <v>7865</v>
      </c>
      <c r="CW15" s="111" t="n">
        <v>6595</v>
      </c>
      <c r="CX15" s="111" t="n">
        <v>6331</v>
      </c>
      <c r="CY15" s="111" t="n">
        <v>264</v>
      </c>
      <c r="CZ15" s="111" t="n">
        <v>1270</v>
      </c>
      <c r="DA15" s="111" t="n">
        <v>829</v>
      </c>
      <c r="DB15" s="111" t="n">
        <v>441</v>
      </c>
      <c r="DC15" s="111" t="n">
        <v>4134</v>
      </c>
      <c r="DD15" s="111" t="n">
        <v>21</v>
      </c>
      <c r="DE15" s="111" t="n">
        <v>3632</v>
      </c>
      <c r="DF15" s="111" t="n">
        <v>3484</v>
      </c>
      <c r="DG15" s="111" t="n">
        <v>148</v>
      </c>
      <c r="DH15" s="111" t="n">
        <v>502</v>
      </c>
      <c r="DI15" s="111" t="n">
        <v>320</v>
      </c>
      <c r="DJ15" s="111" t="n">
        <v>182</v>
      </c>
      <c r="DK15" s="111" t="n">
        <v>1922</v>
      </c>
      <c r="DL15" s="111" t="n">
        <v>1507</v>
      </c>
      <c r="DM15" s="111" t="n">
        <v>1458</v>
      </c>
      <c r="DN15" s="111" t="n">
        <v>49</v>
      </c>
      <c r="DO15" s="111" t="n">
        <v>415</v>
      </c>
      <c r="DP15" s="111" t="n">
        <v>271</v>
      </c>
      <c r="DQ15" s="111" t="n">
        <v>144</v>
      </c>
      <c r="DR15" s="111" t="n">
        <v>155</v>
      </c>
      <c r="DS15" s="111" t="n">
        <v>0</v>
      </c>
      <c r="DT15" s="111" t="n">
        <v>93</v>
      </c>
      <c r="DU15" s="111" t="n">
        <v>78</v>
      </c>
      <c r="DV15" s="111" t="n">
        <v>15</v>
      </c>
      <c r="DW15" s="111" t="n">
        <v>62</v>
      </c>
      <c r="DX15" s="111" t="n">
        <v>30</v>
      </c>
      <c r="DY15" s="111" t="n">
        <v>32</v>
      </c>
      <c r="DZ15" s="111" t="n">
        <v>1633</v>
      </c>
      <c r="EA15" s="111" t="n">
        <v>1344</v>
      </c>
      <c r="EB15" s="111" t="n">
        <v>1293</v>
      </c>
      <c r="EC15" s="111" t="n">
        <v>51</v>
      </c>
      <c r="ED15" s="111" t="n">
        <v>289</v>
      </c>
      <c r="EE15" s="111" t="n">
        <v>208</v>
      </c>
      <c r="EF15" s="111" t="n">
        <v>81</v>
      </c>
      <c r="EG15" s="111" t="n">
        <v>824</v>
      </c>
      <c r="EH15" s="111" t="n">
        <v>528</v>
      </c>
      <c r="EI15" s="111" t="n">
        <v>513</v>
      </c>
      <c r="EJ15" s="111" t="n">
        <v>15</v>
      </c>
      <c r="EK15" s="111" t="n">
        <v>296</v>
      </c>
      <c r="EL15" s="111" t="n">
        <v>271</v>
      </c>
      <c r="EM15" s="111" t="n">
        <v>25</v>
      </c>
      <c r="EN15" s="111" t="n">
        <v>750</v>
      </c>
      <c r="EO15" s="111" t="n">
        <v>559</v>
      </c>
      <c r="EP15" s="111" t="n">
        <v>0</v>
      </c>
      <c r="EQ15" s="111" t="n">
        <v>191</v>
      </c>
      <c r="ER15" s="111" t="n">
        <v>239</v>
      </c>
      <c r="ES15" s="111" t="n">
        <v>0</v>
      </c>
      <c r="ET15" s="111" t="n">
        <v>1</v>
      </c>
      <c r="EU15" s="111" t="n">
        <v>169</v>
      </c>
      <c r="EV15" s="111" t="n">
        <v>135</v>
      </c>
      <c r="EW15" s="111" t="n">
        <v>0</v>
      </c>
      <c r="EX15" s="111" t="n">
        <v>34</v>
      </c>
      <c r="EY15" s="111" t="n">
        <v>181</v>
      </c>
      <c r="EZ15" s="111" t="n">
        <v>181</v>
      </c>
      <c r="FA15" s="111" t="n">
        <v>0</v>
      </c>
      <c r="FB15" s="111" t="n">
        <v>323</v>
      </c>
    </row>
    <row r="16" ht="19.5" customHeight="1" s="247">
      <c r="A16" s="107" t="n">
        <v>13</v>
      </c>
      <c r="B16" s="107" t="inlineStr">
        <is>
          <t>成人手术</t>
        </is>
      </c>
      <c r="C16" s="107" t="inlineStr">
        <is>
          <t>神经外科</t>
        </is>
      </c>
      <c r="D16" s="110" t="n">
        <v>5592111.75</v>
      </c>
      <c r="E16" s="110" t="n">
        <v>271950</v>
      </c>
      <c r="F16" s="110" t="n">
        <v>5320161.75</v>
      </c>
      <c r="G16" s="110" t="n">
        <v>1469</v>
      </c>
      <c r="H16" s="110" t="n">
        <v>370</v>
      </c>
      <c r="I16" s="110" t="n">
        <v>222</v>
      </c>
      <c r="J16" s="110" t="n">
        <v>0</v>
      </c>
      <c r="K16" s="110" t="n">
        <v>0</v>
      </c>
      <c r="L16" s="110" t="n">
        <v>347527.5</v>
      </c>
      <c r="M16" s="110" t="n">
        <v>1443081.25</v>
      </c>
      <c r="N16" s="110" t="n">
        <v>0</v>
      </c>
      <c r="O16" s="110" t="n">
        <v>18863546.81</v>
      </c>
      <c r="P16" s="110" t="n">
        <v>9274659.08</v>
      </c>
      <c r="Q16" s="110" t="n">
        <v>8693912.1</v>
      </c>
      <c r="R16" s="110" t="n">
        <v>580746.98</v>
      </c>
      <c r="S16" s="110" t="n">
        <v>9588887.73</v>
      </c>
      <c r="T16" s="110" t="n">
        <v>8904963.800000001</v>
      </c>
      <c r="U16" s="110" t="n">
        <v>683923.9300000001</v>
      </c>
      <c r="V16" s="110" t="n">
        <v>356591.67</v>
      </c>
      <c r="W16" s="110" t="n">
        <v>273196.67</v>
      </c>
      <c r="X16" s="110" t="n">
        <v>254274.5</v>
      </c>
      <c r="Y16" s="110" t="n">
        <v>18922.17</v>
      </c>
      <c r="Z16" s="110" t="n">
        <v>83395</v>
      </c>
      <c r="AA16" s="110" t="n">
        <v>57123.1</v>
      </c>
      <c r="AB16" s="110" t="n">
        <v>26271.9</v>
      </c>
      <c r="AC16" s="110" t="n">
        <v>84641.67</v>
      </c>
      <c r="AD16" s="110" t="n">
        <v>65684.67</v>
      </c>
      <c r="AE16" s="110" t="n">
        <v>63014.5</v>
      </c>
      <c r="AF16" s="110" t="n">
        <v>2670.17</v>
      </c>
      <c r="AG16" s="110" t="n">
        <v>18957</v>
      </c>
      <c r="AH16" s="110" t="n">
        <v>15764.1</v>
      </c>
      <c r="AI16" s="110" t="n">
        <v>3192.9</v>
      </c>
      <c r="AJ16" s="110" t="n">
        <v>0</v>
      </c>
      <c r="AK16" s="110" t="n">
        <v>0</v>
      </c>
      <c r="AL16" s="110" t="n">
        <v>0</v>
      </c>
      <c r="AM16" s="110" t="n">
        <v>0</v>
      </c>
      <c r="AN16" s="110" t="n">
        <v>0</v>
      </c>
      <c r="AO16" s="110" t="n">
        <v>0</v>
      </c>
      <c r="AP16" s="110" t="n">
        <v>0</v>
      </c>
      <c r="AQ16" s="110" t="n">
        <v>215298</v>
      </c>
      <c r="AR16" s="110" t="n">
        <v>169489</v>
      </c>
      <c r="AS16" s="110" t="n">
        <v>156429</v>
      </c>
      <c r="AT16" s="110" t="n">
        <v>13060</v>
      </c>
      <c r="AU16" s="110" t="n">
        <v>45809</v>
      </c>
      <c r="AV16" s="110" t="n">
        <v>30947</v>
      </c>
      <c r="AW16" s="110" t="n">
        <v>14862</v>
      </c>
      <c r="AX16" s="110" t="n">
        <v>56652</v>
      </c>
      <c r="AY16" s="110" t="n">
        <v>38023</v>
      </c>
      <c r="AZ16" s="110" t="n">
        <v>34831</v>
      </c>
      <c r="BA16" s="110" t="n">
        <v>3192</v>
      </c>
      <c r="BB16" s="110" t="n">
        <v>18629</v>
      </c>
      <c r="BC16" s="110" t="n">
        <v>10412</v>
      </c>
      <c r="BD16" s="110" t="n">
        <v>8217</v>
      </c>
      <c r="BE16" s="110" t="n">
        <v>18506955.14</v>
      </c>
      <c r="BF16" s="110" t="n">
        <v>9001462.41</v>
      </c>
      <c r="BG16" s="110" t="n">
        <v>8439637.6</v>
      </c>
      <c r="BH16" s="110" t="n">
        <v>561824.8100000001</v>
      </c>
      <c r="BI16" s="110" t="n">
        <v>9505492.73</v>
      </c>
      <c r="BJ16" s="110" t="n">
        <v>8847840.699999999</v>
      </c>
      <c r="BK16" s="110" t="n">
        <v>657652.03</v>
      </c>
      <c r="BL16" s="110" t="n">
        <v>2426035.25</v>
      </c>
      <c r="BM16" s="110" t="n">
        <v>1128787.74</v>
      </c>
      <c r="BN16" s="110" t="n">
        <v>1042022.48</v>
      </c>
      <c r="BO16" s="110" t="n">
        <v>86765.25999999999</v>
      </c>
      <c r="BP16" s="110" t="n">
        <v>1297247.51</v>
      </c>
      <c r="BQ16" s="110" t="n">
        <v>1226424.96</v>
      </c>
      <c r="BR16" s="110" t="n">
        <v>70822.55</v>
      </c>
      <c r="BS16" s="110" t="n">
        <v>10760758.14</v>
      </c>
      <c r="BT16" s="110" t="n">
        <v>5725046.42</v>
      </c>
      <c r="BU16" s="110" t="n">
        <v>5411774.37</v>
      </c>
      <c r="BV16" s="110" t="n">
        <v>313272.05</v>
      </c>
      <c r="BW16" s="110" t="n">
        <v>5035711.72</v>
      </c>
      <c r="BX16" s="110" t="n">
        <v>4619563.49</v>
      </c>
      <c r="BY16" s="110" t="n">
        <v>416148.23</v>
      </c>
      <c r="BZ16" s="110" t="n">
        <v>2184994.5</v>
      </c>
      <c r="CA16" s="110" t="n">
        <v>869110</v>
      </c>
      <c r="CB16" s="110" t="n">
        <v>817783</v>
      </c>
      <c r="CC16" s="110" t="n">
        <v>51327</v>
      </c>
      <c r="CD16" s="110" t="n">
        <v>1315884.5</v>
      </c>
      <c r="CE16" s="110" t="n">
        <v>1259588</v>
      </c>
      <c r="CF16" s="110" t="n">
        <v>56296.5</v>
      </c>
      <c r="CG16" s="110" t="n">
        <v>3135167.25</v>
      </c>
      <c r="CH16" s="110" t="n">
        <v>1278518.25</v>
      </c>
      <c r="CI16" s="110" t="n">
        <v>1168057.75</v>
      </c>
      <c r="CJ16" s="110" t="n">
        <v>110460.5</v>
      </c>
      <c r="CK16" s="110" t="n">
        <v>1856649</v>
      </c>
      <c r="CL16" s="110" t="n">
        <v>1742264.25</v>
      </c>
      <c r="CM16" s="110" t="n">
        <v>114384.75</v>
      </c>
      <c r="CN16" s="110" t="n">
        <v>23</v>
      </c>
      <c r="CO16" s="110" t="n">
        <v>177193.99</v>
      </c>
      <c r="CP16" s="110" t="n">
        <v>151175.38</v>
      </c>
      <c r="CQ16" s="110" t="n">
        <v>20633.37</v>
      </c>
      <c r="CR16" s="110" t="n">
        <v>7540.93</v>
      </c>
      <c r="CS16" s="110" t="n">
        <v>0</v>
      </c>
      <c r="CT16" s="110" t="n">
        <v>124842.86</v>
      </c>
      <c r="CU16" s="110" t="n">
        <v>0</v>
      </c>
      <c r="CV16" s="111" t="n">
        <v>1469</v>
      </c>
      <c r="CW16" s="111" t="n">
        <v>1064</v>
      </c>
      <c r="CX16" s="111" t="n">
        <v>987</v>
      </c>
      <c r="CY16" s="111" t="n">
        <v>77</v>
      </c>
      <c r="CZ16" s="111" t="n">
        <v>405</v>
      </c>
      <c r="DA16" s="111" t="n">
        <v>230</v>
      </c>
      <c r="DB16" s="111" t="n">
        <v>175</v>
      </c>
      <c r="DC16" s="111" t="n">
        <v>724</v>
      </c>
      <c r="DD16" s="111" t="n">
        <v>20</v>
      </c>
      <c r="DE16" s="111" t="n">
        <v>579</v>
      </c>
      <c r="DF16" s="111" t="n">
        <v>544</v>
      </c>
      <c r="DG16" s="111" t="n">
        <v>35</v>
      </c>
      <c r="DH16" s="111" t="n">
        <v>145</v>
      </c>
      <c r="DI16" s="111" t="n">
        <v>85</v>
      </c>
      <c r="DJ16" s="111" t="n">
        <v>60</v>
      </c>
      <c r="DK16" s="111" t="n">
        <v>700</v>
      </c>
      <c r="DL16" s="111" t="n">
        <v>459</v>
      </c>
      <c r="DM16" s="111" t="n">
        <v>419</v>
      </c>
      <c r="DN16" s="111" t="n">
        <v>40</v>
      </c>
      <c r="DO16" s="111" t="n">
        <v>241</v>
      </c>
      <c r="DP16" s="111" t="n">
        <v>138</v>
      </c>
      <c r="DQ16" s="111" t="n">
        <v>103</v>
      </c>
      <c r="DR16" s="111" t="n">
        <v>22</v>
      </c>
      <c r="DS16" s="111" t="n">
        <v>0</v>
      </c>
      <c r="DT16" s="111" t="n">
        <v>8</v>
      </c>
      <c r="DU16" s="111" t="n">
        <v>7</v>
      </c>
      <c r="DV16" s="111" t="n">
        <v>1</v>
      </c>
      <c r="DW16" s="111" t="n">
        <v>14</v>
      </c>
      <c r="DX16" s="111" t="n">
        <v>7</v>
      </c>
      <c r="DY16" s="111" t="n">
        <v>7</v>
      </c>
      <c r="DZ16" s="111" t="n">
        <v>3</v>
      </c>
      <c r="EA16" s="111" t="n">
        <v>2</v>
      </c>
      <c r="EB16" s="111" t="n">
        <v>1</v>
      </c>
      <c r="EC16" s="111" t="n">
        <v>1</v>
      </c>
      <c r="ED16" s="111" t="n">
        <v>1</v>
      </c>
      <c r="EE16" s="111" t="n">
        <v>0</v>
      </c>
      <c r="EF16" s="111" t="n">
        <v>1</v>
      </c>
      <c r="EG16" s="111" t="n">
        <v>370</v>
      </c>
      <c r="EH16" s="111" t="n">
        <v>156</v>
      </c>
      <c r="EI16" s="111" t="n">
        <v>147</v>
      </c>
      <c r="EJ16" s="111" t="n">
        <v>9</v>
      </c>
      <c r="EK16" s="111" t="n">
        <v>214</v>
      </c>
      <c r="EL16" s="111" t="n">
        <v>194</v>
      </c>
      <c r="EM16" s="111" t="n">
        <v>20</v>
      </c>
      <c r="EN16" s="111" t="n">
        <v>316</v>
      </c>
      <c r="EO16" s="111" t="n">
        <v>146</v>
      </c>
      <c r="EP16" s="111" t="n">
        <v>90</v>
      </c>
      <c r="EQ16" s="111" t="n">
        <v>80</v>
      </c>
      <c r="ER16" s="111" t="n">
        <v>74</v>
      </c>
      <c r="ES16" s="111" t="n">
        <v>0</v>
      </c>
      <c r="ET16" s="111" t="n">
        <v>0</v>
      </c>
      <c r="EU16" s="111" t="n">
        <v>19</v>
      </c>
      <c r="EV16" s="111" t="n">
        <v>13</v>
      </c>
      <c r="EW16" s="111" t="n">
        <v>6</v>
      </c>
      <c r="EX16" s="111" t="n">
        <v>0</v>
      </c>
      <c r="EY16" s="111" t="n">
        <v>195</v>
      </c>
      <c r="EZ16" s="111" t="n">
        <v>111</v>
      </c>
      <c r="FA16" s="111" t="n">
        <v>84</v>
      </c>
      <c r="FB16" s="111" t="n">
        <v>143</v>
      </c>
    </row>
    <row r="17" ht="19.5" customHeight="1" s="247">
      <c r="A17" s="107" t="n">
        <v>14</v>
      </c>
      <c r="B17" s="107" t="inlineStr">
        <is>
          <t>成人手术</t>
        </is>
      </c>
      <c r="C17" s="107" t="inlineStr">
        <is>
          <t>骨科</t>
        </is>
      </c>
      <c r="D17" s="110" t="n">
        <v>7465627.75</v>
      </c>
      <c r="E17" s="110" t="n">
        <v>1699744</v>
      </c>
      <c r="F17" s="110" t="n">
        <v>5765883.75</v>
      </c>
      <c r="G17" s="110" t="n">
        <v>9952</v>
      </c>
      <c r="H17" s="110" t="n">
        <v>727</v>
      </c>
      <c r="I17" s="110" t="n">
        <v>34969</v>
      </c>
      <c r="J17" s="110" t="n">
        <v>47106</v>
      </c>
      <c r="K17" s="110" t="n">
        <v>0</v>
      </c>
      <c r="L17" s="110" t="n">
        <v>625855.5</v>
      </c>
      <c r="M17" s="110" t="n">
        <v>2174356.75</v>
      </c>
      <c r="N17" s="110" t="n">
        <v>0</v>
      </c>
      <c r="O17" s="110" t="n">
        <v>29861882.44</v>
      </c>
      <c r="P17" s="110" t="n">
        <v>22472221.12</v>
      </c>
      <c r="Q17" s="110" t="n">
        <v>19093138.91</v>
      </c>
      <c r="R17" s="110" t="n">
        <v>3379082.21</v>
      </c>
      <c r="S17" s="110" t="n">
        <v>7389661.32</v>
      </c>
      <c r="T17" s="110" t="n">
        <v>5782072.66</v>
      </c>
      <c r="U17" s="110" t="n">
        <v>1607588.66</v>
      </c>
      <c r="V17" s="110" t="n">
        <v>3624338.5</v>
      </c>
      <c r="W17" s="110" t="n">
        <v>3159137.32</v>
      </c>
      <c r="X17" s="110" t="n">
        <v>2749788.52</v>
      </c>
      <c r="Y17" s="110" t="n">
        <v>409348.8</v>
      </c>
      <c r="Z17" s="110" t="n">
        <v>465201.18</v>
      </c>
      <c r="AA17" s="110" t="n">
        <v>184441.5</v>
      </c>
      <c r="AB17" s="110" t="n">
        <v>280759.68</v>
      </c>
      <c r="AC17" s="110" t="n">
        <v>1346008.68</v>
      </c>
      <c r="AD17" s="110" t="n">
        <v>1201631.63</v>
      </c>
      <c r="AE17" s="110" t="n">
        <v>1103601.83</v>
      </c>
      <c r="AF17" s="110" t="n">
        <v>98029.8</v>
      </c>
      <c r="AG17" s="110" t="n">
        <v>144377.05</v>
      </c>
      <c r="AH17" s="110" t="n">
        <v>62373.77</v>
      </c>
      <c r="AI17" s="110" t="n">
        <v>82003.28</v>
      </c>
      <c r="AJ17" s="110" t="n">
        <v>578585.8199999999</v>
      </c>
      <c r="AK17" s="110" t="n">
        <v>506491.69</v>
      </c>
      <c r="AL17" s="110" t="n">
        <v>390717.69</v>
      </c>
      <c r="AM17" s="110" t="n">
        <v>115774</v>
      </c>
      <c r="AN17" s="110" t="n">
        <v>72094.13</v>
      </c>
      <c r="AO17" s="110" t="n">
        <v>23005.73</v>
      </c>
      <c r="AP17" s="110" t="n">
        <v>49088.4</v>
      </c>
      <c r="AQ17" s="110" t="n">
        <v>1255279</v>
      </c>
      <c r="AR17" s="110" t="n">
        <v>1094698</v>
      </c>
      <c r="AS17" s="110" t="n">
        <v>948441</v>
      </c>
      <c r="AT17" s="110" t="n">
        <v>146257</v>
      </c>
      <c r="AU17" s="110" t="n">
        <v>160581</v>
      </c>
      <c r="AV17" s="110" t="n">
        <v>63819</v>
      </c>
      <c r="AW17" s="110" t="n">
        <v>96762</v>
      </c>
      <c r="AX17" s="110" t="n">
        <v>444465</v>
      </c>
      <c r="AY17" s="110" t="n">
        <v>356316</v>
      </c>
      <c r="AZ17" s="110" t="n">
        <v>307028</v>
      </c>
      <c r="BA17" s="110" t="n">
        <v>49288</v>
      </c>
      <c r="BB17" s="110" t="n">
        <v>88149</v>
      </c>
      <c r="BC17" s="110" t="n">
        <v>35243</v>
      </c>
      <c r="BD17" s="110" t="n">
        <v>52906</v>
      </c>
      <c r="BE17" s="110" t="n">
        <v>26237543.94</v>
      </c>
      <c r="BF17" s="110" t="n">
        <v>19313083.8</v>
      </c>
      <c r="BG17" s="110" t="n">
        <v>16343350.39</v>
      </c>
      <c r="BH17" s="110" t="n">
        <v>2969733.41</v>
      </c>
      <c r="BI17" s="110" t="n">
        <v>6924460.14</v>
      </c>
      <c r="BJ17" s="110" t="n">
        <v>5597631.16</v>
      </c>
      <c r="BK17" s="110" t="n">
        <v>1326828.98</v>
      </c>
      <c r="BL17" s="110" t="n">
        <v>2207978.46</v>
      </c>
      <c r="BM17" s="110" t="n">
        <v>1538055.87</v>
      </c>
      <c r="BN17" s="110" t="n">
        <v>1317309</v>
      </c>
      <c r="BO17" s="110" t="n">
        <v>220746.87</v>
      </c>
      <c r="BP17" s="110" t="n">
        <v>669922.59</v>
      </c>
      <c r="BQ17" s="110" t="n">
        <v>554724.15</v>
      </c>
      <c r="BR17" s="110" t="n">
        <v>115198.44</v>
      </c>
      <c r="BS17" s="110" t="n">
        <v>18263681.73</v>
      </c>
      <c r="BT17" s="110" t="n">
        <v>13783735.43</v>
      </c>
      <c r="BU17" s="110" t="n">
        <v>11609104.89</v>
      </c>
      <c r="BV17" s="110" t="n">
        <v>2174630.54</v>
      </c>
      <c r="BW17" s="110" t="n">
        <v>4479946.3</v>
      </c>
      <c r="BX17" s="110" t="n">
        <v>3562407.51</v>
      </c>
      <c r="BY17" s="110" t="n">
        <v>917538.79</v>
      </c>
      <c r="BZ17" s="110" t="n">
        <v>1249926</v>
      </c>
      <c r="CA17" s="110" t="n">
        <v>866053.5</v>
      </c>
      <c r="CB17" s="110" t="n">
        <v>731580.5</v>
      </c>
      <c r="CC17" s="110" t="n">
        <v>134473</v>
      </c>
      <c r="CD17" s="110" t="n">
        <v>383872.5</v>
      </c>
      <c r="CE17" s="110" t="n">
        <v>328055.5</v>
      </c>
      <c r="CF17" s="110" t="n">
        <v>55817</v>
      </c>
      <c r="CG17" s="110" t="n">
        <v>4515957.75</v>
      </c>
      <c r="CH17" s="110" t="n">
        <v>3125239</v>
      </c>
      <c r="CI17" s="110" t="n">
        <v>2685356</v>
      </c>
      <c r="CJ17" s="110" t="n">
        <v>439883</v>
      </c>
      <c r="CK17" s="110" t="n">
        <v>1390718.75</v>
      </c>
      <c r="CL17" s="110" t="n">
        <v>1152444</v>
      </c>
      <c r="CM17" s="110" t="n">
        <v>238274.75</v>
      </c>
      <c r="CN17" s="110" t="n">
        <v>1015400.38</v>
      </c>
      <c r="CO17" s="110" t="n">
        <v>1379983.53</v>
      </c>
      <c r="CP17" s="110" t="n">
        <v>739187.04</v>
      </c>
      <c r="CQ17" s="110" t="n">
        <v>412339.74</v>
      </c>
      <c r="CR17" s="110" t="n">
        <v>77115.81</v>
      </c>
      <c r="CS17" s="110" t="n">
        <v>272</v>
      </c>
      <c r="CT17" s="110" t="n">
        <v>78714.07000000001</v>
      </c>
      <c r="CU17" s="110" t="n">
        <v>0</v>
      </c>
      <c r="CV17" s="111" t="n">
        <v>9952</v>
      </c>
      <c r="CW17" s="111" t="n">
        <v>8517</v>
      </c>
      <c r="CX17" s="111" t="n">
        <v>7488</v>
      </c>
      <c r="CY17" s="111" t="n">
        <v>1029</v>
      </c>
      <c r="CZ17" s="111" t="n">
        <v>1435</v>
      </c>
      <c r="DA17" s="111" t="n">
        <v>610</v>
      </c>
      <c r="DB17" s="111" t="n">
        <v>825</v>
      </c>
      <c r="DC17" s="111" t="n">
        <v>4677</v>
      </c>
      <c r="DD17" s="111" t="n">
        <v>22</v>
      </c>
      <c r="DE17" s="111" t="n">
        <v>4239</v>
      </c>
      <c r="DF17" s="111" t="n">
        <v>3950</v>
      </c>
      <c r="DG17" s="111" t="n">
        <v>289</v>
      </c>
      <c r="DH17" s="111" t="n">
        <v>438</v>
      </c>
      <c r="DI17" s="111" t="n">
        <v>222</v>
      </c>
      <c r="DJ17" s="111" t="n">
        <v>216</v>
      </c>
      <c r="DK17" s="111" t="n">
        <v>3102</v>
      </c>
      <c r="DL17" s="111" t="n">
        <v>2552</v>
      </c>
      <c r="DM17" s="111" t="n">
        <v>2283</v>
      </c>
      <c r="DN17" s="111" t="n">
        <v>269</v>
      </c>
      <c r="DO17" s="111" t="n">
        <v>550</v>
      </c>
      <c r="DP17" s="111" t="n">
        <v>279</v>
      </c>
      <c r="DQ17" s="111" t="n">
        <v>271</v>
      </c>
      <c r="DR17" s="111" t="n">
        <v>151</v>
      </c>
      <c r="DS17" s="111" t="n">
        <v>0</v>
      </c>
      <c r="DT17" s="111" t="n">
        <v>70</v>
      </c>
      <c r="DU17" s="111" t="n">
        <v>55</v>
      </c>
      <c r="DV17" s="111" t="n">
        <v>15</v>
      </c>
      <c r="DW17" s="111" t="n">
        <v>81</v>
      </c>
      <c r="DX17" s="111" t="n">
        <v>31</v>
      </c>
      <c r="DY17" s="111" t="n">
        <v>50</v>
      </c>
      <c r="DZ17" s="111" t="n">
        <v>2000</v>
      </c>
      <c r="EA17" s="111" t="n">
        <v>1634</v>
      </c>
      <c r="EB17" s="111" t="n">
        <v>1178</v>
      </c>
      <c r="EC17" s="111" t="n">
        <v>456</v>
      </c>
      <c r="ED17" s="111" t="n">
        <v>366</v>
      </c>
      <c r="EE17" s="111" t="n">
        <v>78</v>
      </c>
      <c r="EF17" s="111" t="n">
        <v>288</v>
      </c>
      <c r="EG17" s="111" t="n">
        <v>727</v>
      </c>
      <c r="EH17" s="111" t="n">
        <v>563</v>
      </c>
      <c r="EI17" s="111" t="n">
        <v>501</v>
      </c>
      <c r="EJ17" s="111" t="n">
        <v>62</v>
      </c>
      <c r="EK17" s="111" t="n">
        <v>164</v>
      </c>
      <c r="EL17" s="111" t="n">
        <v>132</v>
      </c>
      <c r="EM17" s="111" t="n">
        <v>32</v>
      </c>
      <c r="EN17" s="111" t="n">
        <v>696</v>
      </c>
      <c r="EO17" s="111" t="n">
        <v>456</v>
      </c>
      <c r="EP17" s="111" t="n">
        <v>0</v>
      </c>
      <c r="EQ17" s="111" t="n">
        <v>240</v>
      </c>
      <c r="ER17" s="111" t="n">
        <v>160</v>
      </c>
      <c r="ES17" s="111" t="n">
        <v>0</v>
      </c>
      <c r="ET17" s="111" t="n">
        <v>0</v>
      </c>
      <c r="EU17" s="111" t="n">
        <v>175</v>
      </c>
      <c r="EV17" s="111" t="n">
        <v>175</v>
      </c>
      <c r="EW17" s="111" t="n">
        <v>0</v>
      </c>
      <c r="EX17" s="111" t="n">
        <v>0</v>
      </c>
      <c r="EY17" s="111" t="n">
        <v>112</v>
      </c>
      <c r="EZ17" s="111" t="n">
        <v>112</v>
      </c>
      <c r="FA17" s="111" t="n">
        <v>0</v>
      </c>
      <c r="FB17" s="111" t="n">
        <v>182</v>
      </c>
    </row>
    <row r="18" ht="19.5" customHeight="1" s="247">
      <c r="A18" s="107" t="n">
        <v>15</v>
      </c>
      <c r="B18" s="107" t="inlineStr">
        <is>
          <t>成人手术</t>
        </is>
      </c>
      <c r="C18" s="107" t="inlineStr">
        <is>
          <t>泌尿外科</t>
        </is>
      </c>
      <c r="D18" s="110" t="n">
        <v>8190628.5</v>
      </c>
      <c r="E18" s="110" t="n">
        <v>1158816</v>
      </c>
      <c r="F18" s="110" t="n">
        <v>7031812.5</v>
      </c>
      <c r="G18" s="110" t="n">
        <v>5872</v>
      </c>
      <c r="H18" s="110" t="n">
        <v>561</v>
      </c>
      <c r="I18" s="110" t="n">
        <v>74081</v>
      </c>
      <c r="J18" s="110" t="n">
        <v>379</v>
      </c>
      <c r="K18" s="110" t="n">
        <v>0</v>
      </c>
      <c r="L18" s="110" t="n">
        <v>850373</v>
      </c>
      <c r="M18" s="110" t="n">
        <v>3118735.5</v>
      </c>
      <c r="N18" s="110" t="n">
        <v>0</v>
      </c>
      <c r="O18" s="110" t="n">
        <v>16565782.55</v>
      </c>
      <c r="P18" s="110" t="n">
        <v>9921683.75</v>
      </c>
      <c r="Q18" s="110" t="n">
        <v>9682804.17</v>
      </c>
      <c r="R18" s="110" t="n">
        <v>238879.58</v>
      </c>
      <c r="S18" s="110" t="n">
        <v>6644098.8</v>
      </c>
      <c r="T18" s="110" t="n">
        <v>6004535.39</v>
      </c>
      <c r="U18" s="110" t="n">
        <v>639563.41</v>
      </c>
      <c r="V18" s="110" t="n">
        <v>4107702</v>
      </c>
      <c r="W18" s="110" t="n">
        <v>3366827.98</v>
      </c>
      <c r="X18" s="110" t="n">
        <v>3304898.84</v>
      </c>
      <c r="Y18" s="110" t="n">
        <v>61929.14</v>
      </c>
      <c r="Z18" s="110" t="n">
        <v>740874.02</v>
      </c>
      <c r="AA18" s="110" t="n">
        <v>569313.4</v>
      </c>
      <c r="AB18" s="110" t="n">
        <v>171560.62</v>
      </c>
      <c r="AC18" s="110" t="n">
        <v>2812728.17</v>
      </c>
      <c r="AD18" s="110" t="n">
        <v>2371095.26</v>
      </c>
      <c r="AE18" s="110" t="n">
        <v>2352897.52</v>
      </c>
      <c r="AF18" s="110" t="n">
        <v>18197.74</v>
      </c>
      <c r="AG18" s="110" t="n">
        <v>441632.91</v>
      </c>
      <c r="AH18" s="110" t="n">
        <v>357293.64</v>
      </c>
      <c r="AI18" s="110" t="n">
        <v>84339.27</v>
      </c>
      <c r="AJ18" s="110" t="n">
        <v>136157.83</v>
      </c>
      <c r="AK18" s="110" t="n">
        <v>115920.72</v>
      </c>
      <c r="AL18" s="110" t="n">
        <v>114196.32</v>
      </c>
      <c r="AM18" s="110" t="n">
        <v>1724.4</v>
      </c>
      <c r="AN18" s="110" t="n">
        <v>20237.11</v>
      </c>
      <c r="AO18" s="110" t="n">
        <v>19284.76</v>
      </c>
      <c r="AP18" s="110" t="n">
        <v>952.35</v>
      </c>
      <c r="AQ18" s="110" t="n">
        <v>822211</v>
      </c>
      <c r="AR18" s="110" t="n">
        <v>621785</v>
      </c>
      <c r="AS18" s="110" t="n">
        <v>601793</v>
      </c>
      <c r="AT18" s="110" t="n">
        <v>19992</v>
      </c>
      <c r="AU18" s="110" t="n">
        <v>200426</v>
      </c>
      <c r="AV18" s="110" t="n">
        <v>140849</v>
      </c>
      <c r="AW18" s="110" t="n">
        <v>59577</v>
      </c>
      <c r="AX18" s="110" t="n">
        <v>336605</v>
      </c>
      <c r="AY18" s="110" t="n">
        <v>258027</v>
      </c>
      <c r="AZ18" s="110" t="n">
        <v>236012</v>
      </c>
      <c r="BA18" s="110" t="n">
        <v>22015</v>
      </c>
      <c r="BB18" s="110" t="n">
        <v>78578</v>
      </c>
      <c r="BC18" s="110" t="n">
        <v>51886</v>
      </c>
      <c r="BD18" s="110" t="n">
        <v>26692</v>
      </c>
      <c r="BE18" s="110" t="n">
        <v>12458080.55</v>
      </c>
      <c r="BF18" s="110" t="n">
        <v>6554855.77</v>
      </c>
      <c r="BG18" s="110" t="n">
        <v>6377905.33</v>
      </c>
      <c r="BH18" s="110" t="n">
        <v>176950.44</v>
      </c>
      <c r="BI18" s="110" t="n">
        <v>5903224.78</v>
      </c>
      <c r="BJ18" s="110" t="n">
        <v>5435221.99</v>
      </c>
      <c r="BK18" s="110" t="n">
        <v>468002.79</v>
      </c>
      <c r="BL18" s="110" t="n">
        <v>1639398.65</v>
      </c>
      <c r="BM18" s="110" t="n">
        <v>919782.3100000001</v>
      </c>
      <c r="BN18" s="110" t="n">
        <v>898011.75</v>
      </c>
      <c r="BO18" s="110" t="n">
        <v>21770.56</v>
      </c>
      <c r="BP18" s="110" t="n">
        <v>719616.34</v>
      </c>
      <c r="BQ18" s="110" t="n">
        <v>680193.66</v>
      </c>
      <c r="BR18" s="110" t="n">
        <v>39422.68</v>
      </c>
      <c r="BS18" s="110" t="n">
        <v>3786869.4</v>
      </c>
      <c r="BT18" s="110" t="n">
        <v>2107338.46</v>
      </c>
      <c r="BU18" s="110" t="n">
        <v>2057393.08</v>
      </c>
      <c r="BV18" s="110" t="n">
        <v>49945.38</v>
      </c>
      <c r="BW18" s="110" t="n">
        <v>1679530.94</v>
      </c>
      <c r="BX18" s="110" t="n">
        <v>1560275.83</v>
      </c>
      <c r="BY18" s="110" t="n">
        <v>119255.11</v>
      </c>
      <c r="BZ18" s="110" t="n">
        <v>1901143</v>
      </c>
      <c r="CA18" s="110" t="n">
        <v>994670</v>
      </c>
      <c r="CB18" s="110" t="n">
        <v>980123</v>
      </c>
      <c r="CC18" s="110" t="n">
        <v>14547</v>
      </c>
      <c r="CD18" s="110" t="n">
        <v>906473</v>
      </c>
      <c r="CE18" s="110" t="n">
        <v>845687</v>
      </c>
      <c r="CF18" s="110" t="n">
        <v>60786</v>
      </c>
      <c r="CG18" s="110" t="n">
        <v>5130669.5</v>
      </c>
      <c r="CH18" s="110" t="n">
        <v>2533065</v>
      </c>
      <c r="CI18" s="110" t="n">
        <v>2442377.5</v>
      </c>
      <c r="CJ18" s="110" t="n">
        <v>90687.5</v>
      </c>
      <c r="CK18" s="110" t="n">
        <v>2597604.5</v>
      </c>
      <c r="CL18" s="110" t="n">
        <v>2349065.5</v>
      </c>
      <c r="CM18" s="110" t="n">
        <v>248539</v>
      </c>
      <c r="CN18" s="110" t="n">
        <v>0</v>
      </c>
      <c r="CO18" s="110" t="n">
        <v>1339354.46</v>
      </c>
      <c r="CP18" s="110" t="n">
        <v>2180397.1</v>
      </c>
      <c r="CQ18" s="110" t="n">
        <v>92414.22</v>
      </c>
      <c r="CR18" s="110" t="n">
        <v>495536.22</v>
      </c>
      <c r="CS18" s="110" t="n">
        <v>0</v>
      </c>
      <c r="CT18" s="110" t="n">
        <v>258506.31</v>
      </c>
      <c r="CU18" s="110" t="n">
        <v>0</v>
      </c>
      <c r="CV18" s="111" t="n">
        <v>5872</v>
      </c>
      <c r="CW18" s="111" t="n">
        <v>4983</v>
      </c>
      <c r="CX18" s="111" t="n">
        <v>4792</v>
      </c>
      <c r="CY18" s="111" t="n">
        <v>191</v>
      </c>
      <c r="CZ18" s="111" t="n">
        <v>889</v>
      </c>
      <c r="DA18" s="111" t="n">
        <v>612</v>
      </c>
      <c r="DB18" s="111" t="n">
        <v>277</v>
      </c>
      <c r="DC18" s="111" t="n">
        <v>3074</v>
      </c>
      <c r="DD18" s="111" t="n">
        <v>20</v>
      </c>
      <c r="DE18" s="111" t="n">
        <v>2727</v>
      </c>
      <c r="DF18" s="111" t="n">
        <v>2639</v>
      </c>
      <c r="DG18" s="111" t="n">
        <v>88</v>
      </c>
      <c r="DH18" s="111" t="n">
        <v>347</v>
      </c>
      <c r="DI18" s="111" t="n">
        <v>241</v>
      </c>
      <c r="DJ18" s="111" t="n">
        <v>106</v>
      </c>
      <c r="DK18" s="111" t="n">
        <v>2449</v>
      </c>
      <c r="DL18" s="111" t="n">
        <v>2048</v>
      </c>
      <c r="DM18" s="111" t="n">
        <v>1961</v>
      </c>
      <c r="DN18" s="111" t="n">
        <v>87</v>
      </c>
      <c r="DO18" s="111" t="n">
        <v>401</v>
      </c>
      <c r="DP18" s="111" t="n">
        <v>281</v>
      </c>
      <c r="DQ18" s="111" t="n">
        <v>120</v>
      </c>
      <c r="DR18" s="111" t="n">
        <v>329</v>
      </c>
      <c r="DS18" s="111" t="n">
        <v>0</v>
      </c>
      <c r="DT18" s="111" t="n">
        <v>190</v>
      </c>
      <c r="DU18" s="111" t="n">
        <v>175</v>
      </c>
      <c r="DV18" s="111" t="n">
        <v>15</v>
      </c>
      <c r="DW18" s="111" t="n">
        <v>139</v>
      </c>
      <c r="DX18" s="111" t="n">
        <v>88</v>
      </c>
      <c r="DY18" s="111" t="n">
        <v>51</v>
      </c>
      <c r="DZ18" s="111" t="n">
        <v>0</v>
      </c>
      <c r="EA18" s="111" t="n">
        <v>0</v>
      </c>
      <c r="EB18" s="111" t="n">
        <v>0</v>
      </c>
      <c r="EC18" s="111" t="n">
        <v>0</v>
      </c>
      <c r="ED18" s="111" t="n">
        <v>0</v>
      </c>
      <c r="EE18" s="111" t="n">
        <v>0</v>
      </c>
      <c r="EF18" s="111" t="n">
        <v>0</v>
      </c>
      <c r="EG18" s="111" t="n">
        <v>561</v>
      </c>
      <c r="EH18" s="111" t="n">
        <v>345</v>
      </c>
      <c r="EI18" s="111" t="n">
        <v>324</v>
      </c>
      <c r="EJ18" s="111" t="n">
        <v>21</v>
      </c>
      <c r="EK18" s="111" t="n">
        <v>216</v>
      </c>
      <c r="EL18" s="111" t="n">
        <v>200</v>
      </c>
      <c r="EM18" s="111" t="n">
        <v>16</v>
      </c>
      <c r="EN18" s="111" t="n">
        <v>541</v>
      </c>
      <c r="EO18" s="111" t="n">
        <v>309</v>
      </c>
      <c r="EP18" s="111" t="n">
        <v>0</v>
      </c>
      <c r="EQ18" s="111" t="n">
        <v>232</v>
      </c>
      <c r="ER18" s="111" t="n">
        <v>108</v>
      </c>
      <c r="ES18" s="111" t="n">
        <v>0</v>
      </c>
      <c r="ET18" s="111" t="n">
        <v>0</v>
      </c>
      <c r="EU18" s="111" t="n">
        <v>152</v>
      </c>
      <c r="EV18" s="111" t="n">
        <v>152</v>
      </c>
      <c r="EW18" s="111" t="n">
        <v>0</v>
      </c>
      <c r="EX18" s="111" t="n">
        <v>0</v>
      </c>
      <c r="EY18" s="111" t="n">
        <v>95</v>
      </c>
      <c r="EZ18" s="111" t="n">
        <v>95</v>
      </c>
      <c r="FA18" s="111" t="n">
        <v>0</v>
      </c>
      <c r="FB18" s="111" t="n">
        <v>180</v>
      </c>
    </row>
    <row r="19" ht="19.5" customHeight="1" s="247">
      <c r="A19" s="107" t="n">
        <v>16</v>
      </c>
      <c r="B19" s="107" t="inlineStr">
        <is>
          <t>成人手术</t>
        </is>
      </c>
      <c r="C19" s="107" t="inlineStr">
        <is>
          <t>心胸外科</t>
        </is>
      </c>
      <c r="D19" s="110" t="n">
        <v>8932237.6</v>
      </c>
      <c r="E19" s="110" t="n">
        <v>515683</v>
      </c>
      <c r="F19" s="110" t="n">
        <v>8416554.6</v>
      </c>
      <c r="G19" s="110" t="n">
        <v>2337</v>
      </c>
      <c r="H19" s="110" t="n">
        <v>311</v>
      </c>
      <c r="I19" s="110" t="n">
        <v>2521</v>
      </c>
      <c r="J19" s="110" t="n">
        <v>736</v>
      </c>
      <c r="K19" s="110" t="n">
        <v>0</v>
      </c>
      <c r="L19" s="110" t="n">
        <v>730623</v>
      </c>
      <c r="M19" s="110" t="n">
        <v>3008418.5</v>
      </c>
      <c r="N19" s="110" t="n">
        <v>373.51</v>
      </c>
      <c r="O19" s="110" t="n">
        <v>25131342.15</v>
      </c>
      <c r="P19" s="110" t="n">
        <v>8668969.23</v>
      </c>
      <c r="Q19" s="110" t="n">
        <v>8310565.11</v>
      </c>
      <c r="R19" s="110" t="n">
        <v>358404.12</v>
      </c>
      <c r="S19" s="110" t="n">
        <v>16462372.92</v>
      </c>
      <c r="T19" s="110" t="n">
        <v>15949492.7</v>
      </c>
      <c r="U19" s="110" t="n">
        <v>512880.22</v>
      </c>
      <c r="V19" s="110" t="n">
        <v>818505.48</v>
      </c>
      <c r="W19" s="110" t="n">
        <v>467273.35</v>
      </c>
      <c r="X19" s="110" t="n">
        <v>432620</v>
      </c>
      <c r="Y19" s="110" t="n">
        <v>34653.35</v>
      </c>
      <c r="Z19" s="110" t="n">
        <v>351232.13</v>
      </c>
      <c r="AA19" s="110" t="n">
        <v>216890.77</v>
      </c>
      <c r="AB19" s="110" t="n">
        <v>134341.36</v>
      </c>
      <c r="AC19" s="110" t="n">
        <v>302009.7</v>
      </c>
      <c r="AD19" s="110" t="n">
        <v>197096.75</v>
      </c>
      <c r="AE19" s="110" t="n">
        <v>182827.4</v>
      </c>
      <c r="AF19" s="110" t="n">
        <v>14269.35</v>
      </c>
      <c r="AG19" s="110" t="n">
        <v>104912.95</v>
      </c>
      <c r="AH19" s="110" t="n">
        <v>76011.77</v>
      </c>
      <c r="AI19" s="110" t="n">
        <v>28901.18</v>
      </c>
      <c r="AJ19" s="110" t="n">
        <v>812.78</v>
      </c>
      <c r="AK19" s="110" t="n">
        <v>458.6</v>
      </c>
      <c r="AL19" s="110" t="n">
        <v>458.6</v>
      </c>
      <c r="AM19" s="110" t="n">
        <v>0</v>
      </c>
      <c r="AN19" s="110" t="n">
        <v>354.18</v>
      </c>
      <c r="AO19" s="110" t="n">
        <v>219</v>
      </c>
      <c r="AP19" s="110" t="n">
        <v>135.18</v>
      </c>
      <c r="AQ19" s="110" t="n">
        <v>396851</v>
      </c>
      <c r="AR19" s="110" t="n">
        <v>208738</v>
      </c>
      <c r="AS19" s="110" t="n">
        <v>194230</v>
      </c>
      <c r="AT19" s="110" t="n">
        <v>14508</v>
      </c>
      <c r="AU19" s="110" t="n">
        <v>188113</v>
      </c>
      <c r="AV19" s="110" t="n">
        <v>111089</v>
      </c>
      <c r="AW19" s="110" t="n">
        <v>77024</v>
      </c>
      <c r="AX19" s="110" t="n">
        <v>118832</v>
      </c>
      <c r="AY19" s="110" t="n">
        <v>60980</v>
      </c>
      <c r="AZ19" s="110" t="n">
        <v>55104</v>
      </c>
      <c r="BA19" s="110" t="n">
        <v>5876</v>
      </c>
      <c r="BB19" s="110" t="n">
        <v>57852</v>
      </c>
      <c r="BC19" s="110" t="n">
        <v>29571</v>
      </c>
      <c r="BD19" s="110" t="n">
        <v>28281</v>
      </c>
      <c r="BE19" s="110" t="n">
        <v>24312836.67</v>
      </c>
      <c r="BF19" s="110" t="n">
        <v>8201695.88</v>
      </c>
      <c r="BG19" s="110" t="n">
        <v>7877945.11</v>
      </c>
      <c r="BH19" s="110" t="n">
        <v>323750.77</v>
      </c>
      <c r="BI19" s="110" t="n">
        <v>16111140.79</v>
      </c>
      <c r="BJ19" s="110" t="n">
        <v>15732601.93</v>
      </c>
      <c r="BK19" s="110" t="n">
        <v>378538.86</v>
      </c>
      <c r="BL19" s="110" t="n">
        <v>3943297.32</v>
      </c>
      <c r="BM19" s="110" t="n">
        <v>1115134.58</v>
      </c>
      <c r="BN19" s="110" t="n">
        <v>1071595.44</v>
      </c>
      <c r="BO19" s="110" t="n">
        <v>43539.14</v>
      </c>
      <c r="BP19" s="110" t="n">
        <v>2828162.74</v>
      </c>
      <c r="BQ19" s="110" t="n">
        <v>2757134.41</v>
      </c>
      <c r="BR19" s="110" t="n">
        <v>71028.33</v>
      </c>
      <c r="BS19" s="110" t="n">
        <v>11952984.75</v>
      </c>
      <c r="BT19" s="110" t="n">
        <v>4588953.25</v>
      </c>
      <c r="BU19" s="110" t="n">
        <v>4401489.52</v>
      </c>
      <c r="BV19" s="110" t="n">
        <v>187463.73</v>
      </c>
      <c r="BW19" s="110" t="n">
        <v>7364031.5</v>
      </c>
      <c r="BX19" s="110" t="n">
        <v>7186574.47</v>
      </c>
      <c r="BY19" s="110" t="n">
        <v>177457.03</v>
      </c>
      <c r="BZ19" s="110" t="n">
        <v>2805260.5</v>
      </c>
      <c r="CA19" s="110" t="n">
        <v>820146</v>
      </c>
      <c r="CB19" s="110" t="n">
        <v>790764</v>
      </c>
      <c r="CC19" s="110" t="n">
        <v>29382</v>
      </c>
      <c r="CD19" s="110" t="n">
        <v>1985114.5</v>
      </c>
      <c r="CE19" s="110" t="n">
        <v>1933141.5</v>
      </c>
      <c r="CF19" s="110" t="n">
        <v>51973</v>
      </c>
      <c r="CG19" s="110" t="n">
        <v>5611294.1</v>
      </c>
      <c r="CH19" s="110" t="n">
        <v>1677462.05</v>
      </c>
      <c r="CI19" s="110" t="n">
        <v>1614096.15</v>
      </c>
      <c r="CJ19" s="110" t="n">
        <v>63365.9</v>
      </c>
      <c r="CK19" s="110" t="n">
        <v>3933832.05</v>
      </c>
      <c r="CL19" s="110" t="n">
        <v>3855751.55</v>
      </c>
      <c r="CM19" s="110" t="n">
        <v>78080.5</v>
      </c>
      <c r="CN19" s="110" t="n">
        <v>30</v>
      </c>
      <c r="CO19" s="110" t="n">
        <v>235249.27</v>
      </c>
      <c r="CP19" s="110" t="n">
        <v>465957.9</v>
      </c>
      <c r="CQ19" s="110" t="n">
        <v>58264.3</v>
      </c>
      <c r="CR19" s="110" t="n">
        <v>59004.01</v>
      </c>
      <c r="CS19" s="110" t="n">
        <v>0</v>
      </c>
      <c r="CT19" s="110" t="n">
        <v>0</v>
      </c>
      <c r="CU19" s="110" t="n">
        <v>0</v>
      </c>
      <c r="CV19" s="111" t="n">
        <v>2337</v>
      </c>
      <c r="CW19" s="111" t="n">
        <v>1380</v>
      </c>
      <c r="CX19" s="111" t="n">
        <v>1263</v>
      </c>
      <c r="CY19" s="111" t="n">
        <v>117</v>
      </c>
      <c r="CZ19" s="111" t="n">
        <v>957</v>
      </c>
      <c r="DA19" s="111" t="n">
        <v>515</v>
      </c>
      <c r="DB19" s="111" t="n">
        <v>442</v>
      </c>
      <c r="DC19" s="111" t="n">
        <v>780</v>
      </c>
      <c r="DD19" s="111" t="n">
        <v>5</v>
      </c>
      <c r="DE19" s="111" t="n">
        <v>526</v>
      </c>
      <c r="DF19" s="111" t="n">
        <v>484</v>
      </c>
      <c r="DG19" s="111" t="n">
        <v>42</v>
      </c>
      <c r="DH19" s="111" t="n">
        <v>254</v>
      </c>
      <c r="DI19" s="111" t="n">
        <v>145</v>
      </c>
      <c r="DJ19" s="111" t="n">
        <v>109</v>
      </c>
      <c r="DK19" s="111" t="n">
        <v>1425</v>
      </c>
      <c r="DL19" s="111" t="n">
        <v>822</v>
      </c>
      <c r="DM19" s="111" t="n">
        <v>754</v>
      </c>
      <c r="DN19" s="111" t="n">
        <v>68</v>
      </c>
      <c r="DO19" s="111" t="n">
        <v>603</v>
      </c>
      <c r="DP19" s="111" t="n">
        <v>330</v>
      </c>
      <c r="DQ19" s="111" t="n">
        <v>273</v>
      </c>
      <c r="DR19" s="111" t="n">
        <v>115</v>
      </c>
      <c r="DS19" s="111" t="n">
        <v>11</v>
      </c>
      <c r="DT19" s="111" t="n">
        <v>28</v>
      </c>
      <c r="DU19" s="111" t="n">
        <v>22</v>
      </c>
      <c r="DV19" s="111" t="n">
        <v>6</v>
      </c>
      <c r="DW19" s="111" t="n">
        <v>87</v>
      </c>
      <c r="DX19" s="111" t="n">
        <v>39</v>
      </c>
      <c r="DY19" s="111" t="n">
        <v>48</v>
      </c>
      <c r="DZ19" s="111" t="n">
        <v>1</v>
      </c>
      <c r="EA19" s="111" t="n">
        <v>0</v>
      </c>
      <c r="EB19" s="111" t="n">
        <v>0</v>
      </c>
      <c r="EC19" s="111" t="n">
        <v>0</v>
      </c>
      <c r="ED19" s="111" t="n">
        <v>1</v>
      </c>
      <c r="EE19" s="111" t="n">
        <v>1</v>
      </c>
      <c r="EF19" s="111" t="n">
        <v>0</v>
      </c>
      <c r="EG19" s="111" t="n">
        <v>311</v>
      </c>
      <c r="EH19" s="111" t="n">
        <v>94</v>
      </c>
      <c r="EI19" s="111" t="n">
        <v>91</v>
      </c>
      <c r="EJ19" s="111" t="n">
        <v>3</v>
      </c>
      <c r="EK19" s="111" t="n">
        <v>217</v>
      </c>
      <c r="EL19" s="111" t="n">
        <v>210</v>
      </c>
      <c r="EM19" s="111" t="n">
        <v>7</v>
      </c>
      <c r="EN19" s="111" t="n">
        <v>272</v>
      </c>
      <c r="EO19" s="111" t="n">
        <v>225</v>
      </c>
      <c r="EP19" s="111" t="n">
        <v>12</v>
      </c>
      <c r="EQ19" s="111" t="n">
        <v>35</v>
      </c>
      <c r="ER19" s="111" t="n">
        <v>153</v>
      </c>
      <c r="ES19" s="111" t="n">
        <v>0</v>
      </c>
      <c r="ET19" s="111" t="n">
        <v>0</v>
      </c>
      <c r="EU19" s="111" t="n">
        <v>6</v>
      </c>
      <c r="EV19" s="111" t="n">
        <v>5</v>
      </c>
      <c r="EW19" s="111" t="n">
        <v>1</v>
      </c>
      <c r="EX19" s="111" t="n">
        <v>0</v>
      </c>
      <c r="EY19" s="111" t="n">
        <v>210</v>
      </c>
      <c r="EZ19" s="111" t="n">
        <v>203</v>
      </c>
      <c r="FA19" s="111" t="n">
        <v>7</v>
      </c>
      <c r="FB19" s="111" t="n">
        <v>144</v>
      </c>
    </row>
    <row r="20" ht="19.5" customHeight="1" s="247">
      <c r="A20" s="107" t="n">
        <v>17</v>
      </c>
      <c r="B20" s="107" t="inlineStr">
        <is>
          <t>成人手术</t>
        </is>
      </c>
      <c r="C20" s="107" t="inlineStr">
        <is>
          <t>整形外科</t>
        </is>
      </c>
      <c r="D20" s="110" t="n">
        <v>1475935.15</v>
      </c>
      <c r="E20" s="110" t="n">
        <v>1079920.9</v>
      </c>
      <c r="F20" s="110" t="n">
        <v>396014.25</v>
      </c>
      <c r="G20" s="110" t="n">
        <v>690</v>
      </c>
      <c r="H20" s="110" t="n">
        <v>23</v>
      </c>
      <c r="I20" s="110" t="n">
        <v>19294</v>
      </c>
      <c r="J20" s="110" t="n">
        <v>1024809.9</v>
      </c>
      <c r="K20" s="110" t="n">
        <v>0</v>
      </c>
      <c r="L20" s="110" t="n">
        <v>65552</v>
      </c>
      <c r="M20" s="110" t="n">
        <v>119872.75</v>
      </c>
      <c r="N20" s="110" t="n">
        <v>0</v>
      </c>
      <c r="O20" s="110" t="n">
        <v>1877511.4</v>
      </c>
      <c r="P20" s="110" t="n">
        <v>1082110.01</v>
      </c>
      <c r="Q20" s="110" t="n">
        <v>62232.12</v>
      </c>
      <c r="R20" s="110" t="n">
        <v>1019877.89</v>
      </c>
      <c r="S20" s="110" t="n">
        <v>795401.39</v>
      </c>
      <c r="T20" s="110" t="n">
        <v>69233.58</v>
      </c>
      <c r="U20" s="110" t="n">
        <v>726167.8100000001</v>
      </c>
      <c r="V20" s="110" t="n">
        <v>1323996.75</v>
      </c>
      <c r="W20" s="110" t="n">
        <v>883789.36</v>
      </c>
      <c r="X20" s="110" t="n">
        <v>15274.74</v>
      </c>
      <c r="Y20" s="110" t="n">
        <v>868514.62</v>
      </c>
      <c r="Z20" s="110" t="n">
        <v>440207.39</v>
      </c>
      <c r="AA20" s="110" t="n">
        <v>1546.8</v>
      </c>
      <c r="AB20" s="110" t="n">
        <v>438660.59</v>
      </c>
      <c r="AC20" s="110" t="n">
        <v>220205.65</v>
      </c>
      <c r="AD20" s="110" t="n">
        <v>154973.11</v>
      </c>
      <c r="AE20" s="110" t="n">
        <v>170.94</v>
      </c>
      <c r="AF20" s="110" t="n">
        <v>154802.17</v>
      </c>
      <c r="AG20" s="110" t="n">
        <v>65232.54</v>
      </c>
      <c r="AH20" s="110" t="n">
        <v>0</v>
      </c>
      <c r="AI20" s="110" t="n">
        <v>65232.54</v>
      </c>
      <c r="AJ20" s="110" t="n">
        <v>23870.2</v>
      </c>
      <c r="AK20" s="110" t="n">
        <v>11931.4</v>
      </c>
      <c r="AL20" s="110" t="n">
        <v>791.8</v>
      </c>
      <c r="AM20" s="110" t="n">
        <v>11139.6</v>
      </c>
      <c r="AN20" s="110" t="n">
        <v>11938.8</v>
      </c>
      <c r="AO20" s="110" t="n">
        <v>146.8</v>
      </c>
      <c r="AP20" s="110" t="n">
        <v>11792</v>
      </c>
      <c r="AQ20" s="110" t="n">
        <v>4941</v>
      </c>
      <c r="AR20" s="110" t="n">
        <v>2877</v>
      </c>
      <c r="AS20" s="110" t="n">
        <v>950</v>
      </c>
      <c r="AT20" s="110" t="n">
        <v>1927</v>
      </c>
      <c r="AU20" s="110" t="n">
        <v>2064</v>
      </c>
      <c r="AV20" s="110" t="n">
        <v>0</v>
      </c>
      <c r="AW20" s="110" t="n">
        <v>2064</v>
      </c>
      <c r="AX20" s="110" t="n">
        <v>1074979.9</v>
      </c>
      <c r="AY20" s="110" t="n">
        <v>714007.85</v>
      </c>
      <c r="AZ20" s="110" t="n">
        <v>13362</v>
      </c>
      <c r="BA20" s="110" t="n">
        <v>700645.85</v>
      </c>
      <c r="BB20" s="110" t="n">
        <v>360972.05</v>
      </c>
      <c r="BC20" s="110" t="n">
        <v>1400</v>
      </c>
      <c r="BD20" s="110" t="n">
        <v>359572.05</v>
      </c>
      <c r="BE20" s="110" t="n">
        <v>553514.65</v>
      </c>
      <c r="BF20" s="110" t="n">
        <v>198320.65</v>
      </c>
      <c r="BG20" s="110" t="n">
        <v>46957.38</v>
      </c>
      <c r="BH20" s="110" t="n">
        <v>151363.27</v>
      </c>
      <c r="BI20" s="110" t="n">
        <v>355194</v>
      </c>
      <c r="BJ20" s="110" t="n">
        <v>67686.78</v>
      </c>
      <c r="BK20" s="110" t="n">
        <v>287507.22</v>
      </c>
      <c r="BL20" s="110" t="n">
        <v>54101.46</v>
      </c>
      <c r="BM20" s="110" t="n">
        <v>24948.37</v>
      </c>
      <c r="BN20" s="110" t="n">
        <v>4456.48</v>
      </c>
      <c r="BO20" s="110" t="n">
        <v>20491.89</v>
      </c>
      <c r="BP20" s="110" t="n">
        <v>29153.09</v>
      </c>
      <c r="BQ20" s="110" t="n">
        <v>4487.93</v>
      </c>
      <c r="BR20" s="110" t="n">
        <v>24665.16</v>
      </c>
      <c r="BS20" s="110" t="n">
        <v>103398.94</v>
      </c>
      <c r="BT20" s="110" t="n">
        <v>47060.28</v>
      </c>
      <c r="BU20" s="110" t="n">
        <v>11304.15</v>
      </c>
      <c r="BV20" s="110" t="n">
        <v>35756.13</v>
      </c>
      <c r="BW20" s="110" t="n">
        <v>56338.66</v>
      </c>
      <c r="BX20" s="110" t="n">
        <v>14133.6</v>
      </c>
      <c r="BY20" s="110" t="n">
        <v>42205.06</v>
      </c>
      <c r="BZ20" s="110" t="n">
        <v>34361.5</v>
      </c>
      <c r="CA20" s="110" t="n">
        <v>16683</v>
      </c>
      <c r="CB20" s="110" t="n">
        <v>7025</v>
      </c>
      <c r="CC20" s="110" t="n">
        <v>9658</v>
      </c>
      <c r="CD20" s="110" t="n">
        <v>17678.5</v>
      </c>
      <c r="CE20" s="110" t="n">
        <v>5088</v>
      </c>
      <c r="CF20" s="110" t="n">
        <v>12590.5</v>
      </c>
      <c r="CG20" s="110" t="n">
        <v>361652.75</v>
      </c>
      <c r="CH20" s="110" t="n">
        <v>109629</v>
      </c>
      <c r="CI20" s="110" t="n">
        <v>24171.75</v>
      </c>
      <c r="CJ20" s="110" t="n">
        <v>85457.25</v>
      </c>
      <c r="CK20" s="110" t="n">
        <v>252023.75</v>
      </c>
      <c r="CL20" s="110" t="n">
        <v>43977.25</v>
      </c>
      <c r="CM20" s="110" t="n">
        <v>208046.5</v>
      </c>
      <c r="CN20" s="110" t="n">
        <v>320422.67</v>
      </c>
      <c r="CO20" s="110" t="n">
        <v>452823.32</v>
      </c>
      <c r="CP20" s="110" t="n">
        <v>273304.22</v>
      </c>
      <c r="CQ20" s="110" t="n">
        <v>237269.22</v>
      </c>
      <c r="CR20" s="110" t="n">
        <v>40177.32</v>
      </c>
      <c r="CS20" s="110" t="n">
        <v>0</v>
      </c>
      <c r="CT20" s="110" t="n">
        <v>256934.86</v>
      </c>
      <c r="CU20" s="110" t="n">
        <v>0</v>
      </c>
      <c r="CV20" s="111" t="n">
        <v>690</v>
      </c>
      <c r="CW20" s="111" t="n">
        <v>444</v>
      </c>
      <c r="CX20" s="111" t="n">
        <v>10</v>
      </c>
      <c r="CY20" s="111" t="n">
        <v>434</v>
      </c>
      <c r="CZ20" s="111" t="n">
        <v>246</v>
      </c>
      <c r="DA20" s="111" t="n">
        <v>2</v>
      </c>
      <c r="DB20" s="111" t="n">
        <v>244</v>
      </c>
      <c r="DC20" s="111" t="n">
        <v>382</v>
      </c>
      <c r="DD20" s="111" t="n">
        <v>0</v>
      </c>
      <c r="DE20" s="111" t="n">
        <v>259</v>
      </c>
      <c r="DF20" s="111" t="n">
        <v>10</v>
      </c>
      <c r="DG20" s="111" t="n">
        <v>249</v>
      </c>
      <c r="DH20" s="111" t="n">
        <v>123</v>
      </c>
      <c r="DI20" s="111" t="n">
        <v>1</v>
      </c>
      <c r="DJ20" s="111" t="n">
        <v>122</v>
      </c>
      <c r="DK20" s="111" t="n">
        <v>165</v>
      </c>
      <c r="DL20" s="111" t="n">
        <v>93</v>
      </c>
      <c r="DM20" s="111" t="n">
        <v>0</v>
      </c>
      <c r="DN20" s="111" t="n">
        <v>93</v>
      </c>
      <c r="DO20" s="111" t="n">
        <v>72</v>
      </c>
      <c r="DP20" s="111" t="n">
        <v>1</v>
      </c>
      <c r="DQ20" s="111" t="n">
        <v>71</v>
      </c>
      <c r="DR20" s="111" t="n">
        <v>36</v>
      </c>
      <c r="DS20" s="111" t="n">
        <v>0</v>
      </c>
      <c r="DT20" s="111" t="n">
        <v>9</v>
      </c>
      <c r="DU20" s="111" t="n">
        <v>0</v>
      </c>
      <c r="DV20" s="111" t="n">
        <v>9</v>
      </c>
      <c r="DW20" s="111" t="n">
        <v>27</v>
      </c>
      <c r="DX20" s="111" t="n">
        <v>0</v>
      </c>
      <c r="DY20" s="111" t="n">
        <v>27</v>
      </c>
      <c r="DZ20" s="111" t="n">
        <v>107</v>
      </c>
      <c r="EA20" s="111" t="n">
        <v>83</v>
      </c>
      <c r="EB20" s="111" t="n">
        <v>0</v>
      </c>
      <c r="EC20" s="111" t="n">
        <v>83</v>
      </c>
      <c r="ED20" s="111" t="n">
        <v>24</v>
      </c>
      <c r="EE20" s="111" t="n">
        <v>0</v>
      </c>
      <c r="EF20" s="111" t="n">
        <v>24</v>
      </c>
      <c r="EG20" s="111" t="n">
        <v>23</v>
      </c>
      <c r="EH20" s="111" t="n">
        <v>7</v>
      </c>
      <c r="EI20" s="111" t="n">
        <v>3</v>
      </c>
      <c r="EJ20" s="111" t="n">
        <v>4</v>
      </c>
      <c r="EK20" s="111" t="n">
        <v>16</v>
      </c>
      <c r="EL20" s="111" t="n">
        <v>2</v>
      </c>
      <c r="EM20" s="111" t="n">
        <v>14</v>
      </c>
      <c r="EN20" s="111" t="n">
        <v>24</v>
      </c>
      <c r="EO20" s="111" t="n">
        <v>17</v>
      </c>
      <c r="EP20" s="111" t="n">
        <v>0</v>
      </c>
      <c r="EQ20" s="111" t="n">
        <v>7</v>
      </c>
      <c r="ER20" s="111" t="n">
        <v>0</v>
      </c>
      <c r="ES20" s="111" t="n">
        <v>0</v>
      </c>
      <c r="ET20" s="111" t="n">
        <v>0</v>
      </c>
      <c r="EU20" s="111" t="n">
        <v>12</v>
      </c>
      <c r="EV20" s="111" t="n">
        <v>12</v>
      </c>
      <c r="EW20" s="111" t="n">
        <v>0</v>
      </c>
      <c r="EX20" s="111" t="n">
        <v>0</v>
      </c>
      <c r="EY20" s="111" t="n">
        <v>0</v>
      </c>
      <c r="EZ20" s="111" t="n">
        <v>0</v>
      </c>
      <c r="FA20" s="111" t="n">
        <v>0</v>
      </c>
      <c r="FB20" s="111" t="n">
        <v>3</v>
      </c>
    </row>
    <row r="21" ht="19.5" customHeight="1" s="247">
      <c r="A21" s="107" t="n">
        <v>18</v>
      </c>
      <c r="B21" s="107" t="inlineStr">
        <is>
          <t>成人手术</t>
        </is>
      </c>
      <c r="C21" s="107" t="inlineStr">
        <is>
          <t>肛肠外科</t>
        </is>
      </c>
      <c r="D21" s="110" t="n">
        <v>5505915</v>
      </c>
      <c r="E21" s="110" t="n">
        <v>869528</v>
      </c>
      <c r="F21" s="110" t="n">
        <v>4636387</v>
      </c>
      <c r="G21" s="110" t="n">
        <v>3492</v>
      </c>
      <c r="H21" s="110" t="n">
        <v>601</v>
      </c>
      <c r="I21" s="110" t="n">
        <v>60012</v>
      </c>
      <c r="J21" s="110" t="n">
        <v>0</v>
      </c>
      <c r="K21" s="110" t="n">
        <v>360.35</v>
      </c>
      <c r="L21" s="110" t="n">
        <v>279692</v>
      </c>
      <c r="M21" s="110" t="n">
        <v>1210994.5</v>
      </c>
      <c r="N21" s="110" t="n">
        <v>27327.77</v>
      </c>
      <c r="O21" s="110" t="n">
        <v>12835695.29</v>
      </c>
      <c r="P21" s="110" t="n">
        <v>7175541.51</v>
      </c>
      <c r="Q21" s="110" t="n">
        <v>7077954.23</v>
      </c>
      <c r="R21" s="110" t="n">
        <v>97587.28</v>
      </c>
      <c r="S21" s="110" t="n">
        <v>5660153.78</v>
      </c>
      <c r="T21" s="110" t="n">
        <v>5417919.63</v>
      </c>
      <c r="U21" s="110" t="n">
        <v>242234.15</v>
      </c>
      <c r="V21" s="110" t="n">
        <v>1958538.95</v>
      </c>
      <c r="W21" s="110" t="n">
        <v>1712309.43</v>
      </c>
      <c r="X21" s="110" t="n">
        <v>1680920.75</v>
      </c>
      <c r="Y21" s="110" t="n">
        <v>31388.68</v>
      </c>
      <c r="Z21" s="110" t="n">
        <v>246229.52</v>
      </c>
      <c r="AA21" s="110" t="n">
        <v>193967.69</v>
      </c>
      <c r="AB21" s="110" t="n">
        <v>52261.83</v>
      </c>
      <c r="AC21" s="110" t="n">
        <v>968387.85</v>
      </c>
      <c r="AD21" s="110" t="n">
        <v>893065.8</v>
      </c>
      <c r="AE21" s="110" t="n">
        <v>880431.36</v>
      </c>
      <c r="AF21" s="110" t="n">
        <v>12634.44</v>
      </c>
      <c r="AG21" s="110" t="n">
        <v>75322.05</v>
      </c>
      <c r="AH21" s="110" t="n">
        <v>59946.79</v>
      </c>
      <c r="AI21" s="110" t="n">
        <v>15375.26</v>
      </c>
      <c r="AJ21" s="110" t="n">
        <v>120623.1</v>
      </c>
      <c r="AK21" s="110" t="n">
        <v>94273.63</v>
      </c>
      <c r="AL21" s="110" t="n">
        <v>93443.39</v>
      </c>
      <c r="AM21" s="110" t="n">
        <v>830.24</v>
      </c>
      <c r="AN21" s="110" t="n">
        <v>26349.47</v>
      </c>
      <c r="AO21" s="110" t="n">
        <v>22462.9</v>
      </c>
      <c r="AP21" s="110" t="n">
        <v>3886.57</v>
      </c>
      <c r="AQ21" s="110" t="n">
        <v>674665</v>
      </c>
      <c r="AR21" s="110" t="n">
        <v>567647</v>
      </c>
      <c r="AS21" s="110" t="n">
        <v>553748</v>
      </c>
      <c r="AT21" s="110" t="n">
        <v>13899</v>
      </c>
      <c r="AU21" s="110" t="n">
        <v>107018</v>
      </c>
      <c r="AV21" s="110" t="n">
        <v>85033</v>
      </c>
      <c r="AW21" s="110" t="n">
        <v>21985</v>
      </c>
      <c r="AX21" s="110" t="n">
        <v>194863</v>
      </c>
      <c r="AY21" s="110" t="n">
        <v>157323</v>
      </c>
      <c r="AZ21" s="110" t="n">
        <v>153298</v>
      </c>
      <c r="BA21" s="110" t="n">
        <v>4025</v>
      </c>
      <c r="BB21" s="110" t="n">
        <v>37540</v>
      </c>
      <c r="BC21" s="110" t="n">
        <v>26525</v>
      </c>
      <c r="BD21" s="110" t="n">
        <v>11015</v>
      </c>
      <c r="BE21" s="110" t="n">
        <v>10877156.34</v>
      </c>
      <c r="BF21" s="110" t="n">
        <v>5463232.08</v>
      </c>
      <c r="BG21" s="110" t="n">
        <v>5397033.48</v>
      </c>
      <c r="BH21" s="110" t="n">
        <v>66198.60000000001</v>
      </c>
      <c r="BI21" s="110" t="n">
        <v>5413924.26</v>
      </c>
      <c r="BJ21" s="110" t="n">
        <v>5223951.94</v>
      </c>
      <c r="BK21" s="110" t="n">
        <v>189972.32</v>
      </c>
      <c r="BL21" s="110" t="n">
        <v>3369296.61</v>
      </c>
      <c r="BM21" s="110" t="n">
        <v>1800988.6</v>
      </c>
      <c r="BN21" s="110" t="n">
        <v>1794375.69</v>
      </c>
      <c r="BO21" s="110" t="n">
        <v>6612.91</v>
      </c>
      <c r="BP21" s="110" t="n">
        <v>1568308.01</v>
      </c>
      <c r="BQ21" s="110" t="n">
        <v>1519252.13</v>
      </c>
      <c r="BR21" s="110" t="n">
        <v>49055.88</v>
      </c>
      <c r="BS21" s="110" t="n">
        <v>2871472.73</v>
      </c>
      <c r="BT21" s="110" t="n">
        <v>1415426.98</v>
      </c>
      <c r="BU21" s="110" t="n">
        <v>1401833.79</v>
      </c>
      <c r="BV21" s="110" t="n">
        <v>13593.19</v>
      </c>
      <c r="BW21" s="110" t="n">
        <v>1456045.75</v>
      </c>
      <c r="BX21" s="110" t="n">
        <v>1405857.06</v>
      </c>
      <c r="BY21" s="110" t="n">
        <v>50188.69</v>
      </c>
      <c r="BZ21" s="110" t="n">
        <v>2007565.5</v>
      </c>
      <c r="CA21" s="110" t="n">
        <v>926268</v>
      </c>
      <c r="CB21" s="110" t="n">
        <v>925220</v>
      </c>
      <c r="CC21" s="110" t="n">
        <v>1048</v>
      </c>
      <c r="CD21" s="110" t="n">
        <v>1081297.5</v>
      </c>
      <c r="CE21" s="110" t="n">
        <v>1048830</v>
      </c>
      <c r="CF21" s="110" t="n">
        <v>32467.5</v>
      </c>
      <c r="CG21" s="110" t="n">
        <v>2628821.5</v>
      </c>
      <c r="CH21" s="110" t="n">
        <v>1320548.5</v>
      </c>
      <c r="CI21" s="110" t="n">
        <v>1275604</v>
      </c>
      <c r="CJ21" s="110" t="n">
        <v>44944.5</v>
      </c>
      <c r="CK21" s="110" t="n">
        <v>1308273</v>
      </c>
      <c r="CL21" s="110" t="n">
        <v>1250012.75</v>
      </c>
      <c r="CM21" s="110" t="n">
        <v>58260.25</v>
      </c>
      <c r="CN21" s="110" t="n">
        <v>94710.11</v>
      </c>
      <c r="CO21" s="110" t="n">
        <v>634992.28</v>
      </c>
      <c r="CP21" s="110" t="n">
        <v>997382.3100000001</v>
      </c>
      <c r="CQ21" s="110" t="n">
        <v>107919.38</v>
      </c>
      <c r="CR21" s="110" t="n">
        <v>123559.87</v>
      </c>
      <c r="CS21" s="110" t="n">
        <v>0</v>
      </c>
      <c r="CT21" s="110" t="n">
        <v>73854.61</v>
      </c>
      <c r="CU21" s="110" t="n">
        <v>0</v>
      </c>
      <c r="CV21" s="111" t="n">
        <v>3492</v>
      </c>
      <c r="CW21" s="111" t="n">
        <v>2799</v>
      </c>
      <c r="CX21" s="111" t="n">
        <v>2707</v>
      </c>
      <c r="CY21" s="111" t="n">
        <v>92</v>
      </c>
      <c r="CZ21" s="111" t="n">
        <v>693</v>
      </c>
      <c r="DA21" s="111" t="n">
        <v>504</v>
      </c>
      <c r="DB21" s="111" t="n">
        <v>189</v>
      </c>
      <c r="DC21" s="111" t="n">
        <v>2081</v>
      </c>
      <c r="DD21" s="111" t="n">
        <v>4</v>
      </c>
      <c r="DE21" s="111" t="n">
        <v>1669</v>
      </c>
      <c r="DF21" s="111" t="n">
        <v>1609</v>
      </c>
      <c r="DG21" s="111" t="n">
        <v>60</v>
      </c>
      <c r="DH21" s="111" t="n">
        <v>412</v>
      </c>
      <c r="DI21" s="111" t="n">
        <v>297</v>
      </c>
      <c r="DJ21" s="111" t="n">
        <v>115</v>
      </c>
      <c r="DK21" s="111" t="n">
        <v>1032</v>
      </c>
      <c r="DL21" s="111" t="n">
        <v>884</v>
      </c>
      <c r="DM21" s="111" t="n">
        <v>859</v>
      </c>
      <c r="DN21" s="111" t="n">
        <v>25</v>
      </c>
      <c r="DO21" s="111" t="n">
        <v>148</v>
      </c>
      <c r="DP21" s="111" t="n">
        <v>95</v>
      </c>
      <c r="DQ21" s="111" t="n">
        <v>53</v>
      </c>
      <c r="DR21" s="111" t="n">
        <v>106</v>
      </c>
      <c r="DS21" s="111" t="n">
        <v>0</v>
      </c>
      <c r="DT21" s="111" t="n">
        <v>78</v>
      </c>
      <c r="DU21" s="111" t="n">
        <v>75</v>
      </c>
      <c r="DV21" s="111" t="n">
        <v>3</v>
      </c>
      <c r="DW21" s="111" t="n">
        <v>28</v>
      </c>
      <c r="DX21" s="111" t="n">
        <v>15</v>
      </c>
      <c r="DY21" s="111" t="n">
        <v>13</v>
      </c>
      <c r="DZ21" s="111" t="n">
        <v>269</v>
      </c>
      <c r="EA21" s="111" t="n">
        <v>164</v>
      </c>
      <c r="EB21" s="111" t="n">
        <v>160</v>
      </c>
      <c r="EC21" s="111" t="n">
        <v>4</v>
      </c>
      <c r="ED21" s="111" t="n">
        <v>105</v>
      </c>
      <c r="EE21" s="111" t="n">
        <v>97</v>
      </c>
      <c r="EF21" s="111" t="n">
        <v>8</v>
      </c>
      <c r="EG21" s="111" t="n">
        <v>601</v>
      </c>
      <c r="EH21" s="111" t="n">
        <v>333</v>
      </c>
      <c r="EI21" s="111" t="n">
        <v>329</v>
      </c>
      <c r="EJ21" s="111" t="n">
        <v>4</v>
      </c>
      <c r="EK21" s="111" t="n">
        <v>268</v>
      </c>
      <c r="EL21" s="111" t="n">
        <v>257</v>
      </c>
      <c r="EM21" s="111" t="n">
        <v>11</v>
      </c>
      <c r="EN21" s="111" t="n">
        <v>571</v>
      </c>
      <c r="EO21" s="111" t="n">
        <v>214</v>
      </c>
      <c r="EP21" s="111" t="n">
        <v>0</v>
      </c>
      <c r="EQ21" s="111" t="n">
        <v>357</v>
      </c>
      <c r="ER21" s="111" t="n">
        <v>85</v>
      </c>
      <c r="ES21" s="111" t="n">
        <v>0</v>
      </c>
      <c r="ET21" s="111" t="n">
        <v>20</v>
      </c>
      <c r="EU21" s="111" t="n">
        <v>36</v>
      </c>
      <c r="EV21" s="111" t="n">
        <v>21</v>
      </c>
      <c r="EW21" s="111" t="n">
        <v>0</v>
      </c>
      <c r="EX21" s="111" t="n">
        <v>15</v>
      </c>
      <c r="EY21" s="111" t="n">
        <v>77</v>
      </c>
      <c r="EZ21" s="111" t="n">
        <v>77</v>
      </c>
      <c r="FA21" s="111" t="n">
        <v>0</v>
      </c>
      <c r="FB21" s="111" t="n">
        <v>6</v>
      </c>
    </row>
    <row r="22" ht="19.5" customHeight="1" s="247">
      <c r="A22" s="107" t="n">
        <v>19</v>
      </c>
      <c r="B22" s="107" t="inlineStr">
        <is>
          <t>成人手术</t>
        </is>
      </c>
      <c r="C22" s="107" t="inlineStr">
        <is>
          <t>脊柱中心</t>
        </is>
      </c>
      <c r="D22" s="110" t="n">
        <v>4401823</v>
      </c>
      <c r="E22" s="110" t="n">
        <v>1090150</v>
      </c>
      <c r="F22" s="110" t="n">
        <v>3311673</v>
      </c>
      <c r="G22" s="110" t="n">
        <v>4344</v>
      </c>
      <c r="H22" s="110" t="n">
        <v>259</v>
      </c>
      <c r="I22" s="110" t="n">
        <v>1916</v>
      </c>
      <c r="J22" s="110" t="n">
        <v>0</v>
      </c>
      <c r="K22" s="110" t="n">
        <v>0</v>
      </c>
      <c r="L22" s="110" t="n">
        <v>114359</v>
      </c>
      <c r="M22" s="110" t="n">
        <v>1525018.5</v>
      </c>
      <c r="N22" s="110" t="n">
        <v>57.4</v>
      </c>
      <c r="O22" s="110" t="n">
        <v>14658259.66</v>
      </c>
      <c r="P22" s="110" t="n">
        <v>7601410.77</v>
      </c>
      <c r="Q22" s="110" t="n">
        <v>7299867.74</v>
      </c>
      <c r="R22" s="110" t="n">
        <v>301543.03</v>
      </c>
      <c r="S22" s="110" t="n">
        <v>7056848.89</v>
      </c>
      <c r="T22" s="110" t="n">
        <v>6412808.77</v>
      </c>
      <c r="U22" s="110" t="n">
        <v>644040.12</v>
      </c>
      <c r="V22" s="110" t="n">
        <v>1248926.7</v>
      </c>
      <c r="W22" s="110" t="n">
        <v>810249.76</v>
      </c>
      <c r="X22" s="110" t="n">
        <v>746050.48</v>
      </c>
      <c r="Y22" s="110" t="n">
        <v>64199.28</v>
      </c>
      <c r="Z22" s="110" t="n">
        <v>438676.94</v>
      </c>
      <c r="AA22" s="110" t="n">
        <v>149743.35</v>
      </c>
      <c r="AB22" s="110" t="n">
        <v>288933.59</v>
      </c>
      <c r="AC22" s="110" t="n">
        <v>153716.7</v>
      </c>
      <c r="AD22" s="110" t="n">
        <v>137260.76</v>
      </c>
      <c r="AE22" s="110" t="n">
        <v>132665.48</v>
      </c>
      <c r="AF22" s="110" t="n">
        <v>4595.28</v>
      </c>
      <c r="AG22" s="110" t="n">
        <v>16455.94</v>
      </c>
      <c r="AH22" s="110" t="n">
        <v>11509.35</v>
      </c>
      <c r="AI22" s="110" t="n">
        <v>4946.59</v>
      </c>
      <c r="AJ22" s="110" t="n">
        <v>5060</v>
      </c>
      <c r="AK22" s="110" t="n">
        <v>3992</v>
      </c>
      <c r="AL22" s="110" t="n">
        <v>3992</v>
      </c>
      <c r="AM22" s="110" t="n">
        <v>0</v>
      </c>
      <c r="AN22" s="110" t="n">
        <v>1068</v>
      </c>
      <c r="AO22" s="110" t="n">
        <v>1030</v>
      </c>
      <c r="AP22" s="110" t="n">
        <v>38</v>
      </c>
      <c r="AQ22" s="110" t="n">
        <v>846006</v>
      </c>
      <c r="AR22" s="110" t="n">
        <v>540600</v>
      </c>
      <c r="AS22" s="110" t="n">
        <v>494050</v>
      </c>
      <c r="AT22" s="110" t="n">
        <v>46550</v>
      </c>
      <c r="AU22" s="110" t="n">
        <v>305406</v>
      </c>
      <c r="AV22" s="110" t="n">
        <v>96893</v>
      </c>
      <c r="AW22" s="110" t="n">
        <v>208513</v>
      </c>
      <c r="AX22" s="110" t="n">
        <v>244144</v>
      </c>
      <c r="AY22" s="110" t="n">
        <v>128397</v>
      </c>
      <c r="AZ22" s="110" t="n">
        <v>115343</v>
      </c>
      <c r="BA22" s="110" t="n">
        <v>13054</v>
      </c>
      <c r="BB22" s="110" t="n">
        <v>115747</v>
      </c>
      <c r="BC22" s="110" t="n">
        <v>40311</v>
      </c>
      <c r="BD22" s="110" t="n">
        <v>75436</v>
      </c>
      <c r="BE22" s="110" t="n">
        <v>13409332.96</v>
      </c>
      <c r="BF22" s="110" t="n">
        <v>6791161.01</v>
      </c>
      <c r="BG22" s="110" t="n">
        <v>6553817.26</v>
      </c>
      <c r="BH22" s="110" t="n">
        <v>237343.75</v>
      </c>
      <c r="BI22" s="110" t="n">
        <v>6618171.95</v>
      </c>
      <c r="BJ22" s="110" t="n">
        <v>6263065.42</v>
      </c>
      <c r="BK22" s="110" t="n">
        <v>355106.53</v>
      </c>
      <c r="BL22" s="110" t="n">
        <v>915345.38</v>
      </c>
      <c r="BM22" s="110" t="n">
        <v>464742.07</v>
      </c>
      <c r="BN22" s="110" t="n">
        <v>444921.87</v>
      </c>
      <c r="BO22" s="110" t="n">
        <v>19820.2</v>
      </c>
      <c r="BP22" s="110" t="n">
        <v>450603.31</v>
      </c>
      <c r="BQ22" s="110" t="n">
        <v>431842.31</v>
      </c>
      <c r="BR22" s="110" t="n">
        <v>18761</v>
      </c>
      <c r="BS22" s="110" t="n">
        <v>9182314.58</v>
      </c>
      <c r="BT22" s="110" t="n">
        <v>4642959.69</v>
      </c>
      <c r="BU22" s="110" t="n">
        <v>4485916.89</v>
      </c>
      <c r="BV22" s="110" t="n">
        <v>157042.8</v>
      </c>
      <c r="BW22" s="110" t="n">
        <v>4539354.89</v>
      </c>
      <c r="BX22" s="110" t="n">
        <v>4306916.36</v>
      </c>
      <c r="BY22" s="110" t="n">
        <v>232438.53</v>
      </c>
      <c r="BZ22" s="110" t="n">
        <v>893139</v>
      </c>
      <c r="CA22" s="110" t="n">
        <v>461410</v>
      </c>
      <c r="CB22" s="110" t="n">
        <v>441681</v>
      </c>
      <c r="CC22" s="110" t="n">
        <v>19729</v>
      </c>
      <c r="CD22" s="110" t="n">
        <v>431729</v>
      </c>
      <c r="CE22" s="110" t="n">
        <v>383747</v>
      </c>
      <c r="CF22" s="110" t="n">
        <v>47982</v>
      </c>
      <c r="CG22" s="110" t="n">
        <v>2418534</v>
      </c>
      <c r="CH22" s="110" t="n">
        <v>1222049.25</v>
      </c>
      <c r="CI22" s="110" t="n">
        <v>1181297.5</v>
      </c>
      <c r="CJ22" s="110" t="n">
        <v>40751.75</v>
      </c>
      <c r="CK22" s="110" t="n">
        <v>1196484.75</v>
      </c>
      <c r="CL22" s="110" t="n">
        <v>1140559.75</v>
      </c>
      <c r="CM22" s="110" t="n">
        <v>55925</v>
      </c>
      <c r="CN22" s="110" t="n">
        <v>0</v>
      </c>
      <c r="CO22" s="110" t="n">
        <v>0</v>
      </c>
      <c r="CP22" s="110" t="n">
        <v>654272.41</v>
      </c>
      <c r="CQ22" s="110" t="n">
        <v>430566.22</v>
      </c>
      <c r="CR22" s="110" t="n">
        <v>160868.3</v>
      </c>
      <c r="CS22" s="110" t="n">
        <v>3219.77</v>
      </c>
      <c r="CT22" s="110" t="n">
        <v>0</v>
      </c>
      <c r="CU22" s="110" t="n">
        <v>0</v>
      </c>
      <c r="CV22" s="111" t="n">
        <v>4344</v>
      </c>
      <c r="CW22" s="111" t="n">
        <v>2793</v>
      </c>
      <c r="CX22" s="111" t="n">
        <v>2557</v>
      </c>
      <c r="CY22" s="111" t="n">
        <v>236</v>
      </c>
      <c r="CZ22" s="111" t="n">
        <v>1551</v>
      </c>
      <c r="DA22" s="111" t="n">
        <v>575</v>
      </c>
      <c r="DB22" s="111" t="n">
        <v>976</v>
      </c>
      <c r="DC22" s="111" t="n">
        <v>1474</v>
      </c>
      <c r="DD22" s="111" t="n">
        <v>0</v>
      </c>
      <c r="DE22" s="111" t="n">
        <v>1048</v>
      </c>
      <c r="DF22" s="111" t="n">
        <v>971</v>
      </c>
      <c r="DG22" s="111" t="n">
        <v>77</v>
      </c>
      <c r="DH22" s="111" t="n">
        <v>426</v>
      </c>
      <c r="DI22" s="111" t="n">
        <v>161</v>
      </c>
      <c r="DJ22" s="111" t="n">
        <v>265</v>
      </c>
      <c r="DK22" s="111" t="n">
        <v>2410</v>
      </c>
      <c r="DL22" s="111" t="n">
        <v>1643</v>
      </c>
      <c r="DM22" s="111" t="n">
        <v>1502</v>
      </c>
      <c r="DN22" s="111" t="n">
        <v>141</v>
      </c>
      <c r="DO22" s="111" t="n">
        <v>767</v>
      </c>
      <c r="DP22" s="111" t="n">
        <v>292</v>
      </c>
      <c r="DQ22" s="111" t="n">
        <v>475</v>
      </c>
      <c r="DR22" s="111" t="n">
        <v>460</v>
      </c>
      <c r="DS22" s="111" t="n">
        <v>0</v>
      </c>
      <c r="DT22" s="111" t="n">
        <v>102</v>
      </c>
      <c r="DU22" s="111" t="n">
        <v>84</v>
      </c>
      <c r="DV22" s="111" t="n">
        <v>18</v>
      </c>
      <c r="DW22" s="111" t="n">
        <v>358</v>
      </c>
      <c r="DX22" s="111" t="n">
        <v>122</v>
      </c>
      <c r="DY22" s="111" t="n">
        <v>236</v>
      </c>
      <c r="DZ22" s="111" t="n">
        <v>0</v>
      </c>
      <c r="EA22" s="111" t="n">
        <v>0</v>
      </c>
      <c r="EB22" s="111" t="n">
        <v>0</v>
      </c>
      <c r="EC22" s="111" t="n">
        <v>0</v>
      </c>
      <c r="ED22" s="111" t="n">
        <v>0</v>
      </c>
      <c r="EE22" s="111" t="n">
        <v>0</v>
      </c>
      <c r="EF22" s="111" t="n">
        <v>0</v>
      </c>
      <c r="EG22" s="111" t="n">
        <v>259</v>
      </c>
      <c r="EH22" s="111" t="n">
        <v>150</v>
      </c>
      <c r="EI22" s="111" t="n">
        <v>144</v>
      </c>
      <c r="EJ22" s="111" t="n">
        <v>6</v>
      </c>
      <c r="EK22" s="111" t="n">
        <v>109</v>
      </c>
      <c r="EL22" s="111" t="n">
        <v>101</v>
      </c>
      <c r="EM22" s="111" t="n">
        <v>8</v>
      </c>
      <c r="EN22" s="111" t="n">
        <v>239</v>
      </c>
      <c r="EO22" s="111" t="n">
        <v>236</v>
      </c>
      <c r="EP22" s="111" t="n">
        <v>0</v>
      </c>
      <c r="EQ22" s="111" t="n">
        <v>3</v>
      </c>
      <c r="ER22" s="111" t="n">
        <v>109</v>
      </c>
      <c r="ES22" s="111" t="n">
        <v>0</v>
      </c>
      <c r="ET22" s="111" t="n">
        <v>0</v>
      </c>
      <c r="EU22" s="111" t="n">
        <v>1</v>
      </c>
      <c r="EV22" s="111" t="n">
        <v>1</v>
      </c>
      <c r="EW22" s="111" t="n">
        <v>0</v>
      </c>
      <c r="EX22" s="111" t="n">
        <v>0</v>
      </c>
      <c r="EY22" s="111" t="n">
        <v>226</v>
      </c>
      <c r="EZ22" s="111" t="n">
        <v>226</v>
      </c>
      <c r="FA22" s="111" t="n">
        <v>0</v>
      </c>
      <c r="FB22" s="111" t="n">
        <v>194</v>
      </c>
    </row>
    <row r="23" ht="19.5" customHeight="1" s="247">
      <c r="A23" s="107" t="n">
        <v>20</v>
      </c>
      <c r="B23" s="107" t="inlineStr">
        <is>
          <t>成人手术</t>
        </is>
      </c>
      <c r="C23" s="107" t="inlineStr">
        <is>
          <t>移植科</t>
        </is>
      </c>
      <c r="D23" s="110" t="n">
        <v>359289.5</v>
      </c>
      <c r="E23" s="110" t="n">
        <v>6231</v>
      </c>
      <c r="F23" s="110" t="n">
        <v>353058.5</v>
      </c>
      <c r="G23" s="110" t="n">
        <v>17</v>
      </c>
      <c r="H23" s="110" t="n">
        <v>29</v>
      </c>
      <c r="I23" s="110" t="n">
        <v>36</v>
      </c>
      <c r="J23" s="110" t="n">
        <v>0</v>
      </c>
      <c r="K23" s="110" t="n">
        <v>0</v>
      </c>
      <c r="L23" s="110" t="n">
        <v>19412.5</v>
      </c>
      <c r="M23" s="110" t="n">
        <v>83590.5</v>
      </c>
      <c r="N23" s="110" t="n">
        <v>0</v>
      </c>
      <c r="O23" s="110" t="n">
        <v>816795.64</v>
      </c>
      <c r="P23" s="110" t="n">
        <v>350106.48</v>
      </c>
      <c r="Q23" s="110" t="n">
        <v>350106.48</v>
      </c>
      <c r="R23" s="110" t="n">
        <v>0</v>
      </c>
      <c r="S23" s="110" t="n">
        <v>466689.16</v>
      </c>
      <c r="T23" s="110" t="n">
        <v>442450.45</v>
      </c>
      <c r="U23" s="110" t="n">
        <v>24238.71</v>
      </c>
      <c r="V23" s="110" t="n">
        <v>31939.52</v>
      </c>
      <c r="W23" s="110" t="n">
        <v>16288.16</v>
      </c>
      <c r="X23" s="110" t="n">
        <v>16288.16</v>
      </c>
      <c r="Y23" s="110" t="n">
        <v>0</v>
      </c>
      <c r="Z23" s="110" t="n">
        <v>15651.36</v>
      </c>
      <c r="AA23" s="110" t="n">
        <v>14470.41</v>
      </c>
      <c r="AB23" s="110" t="n">
        <v>1180.95</v>
      </c>
      <c r="AC23" s="110" t="n">
        <v>25708.52</v>
      </c>
      <c r="AD23" s="110" t="n">
        <v>13090.16</v>
      </c>
      <c r="AE23" s="110" t="n">
        <v>13090.16</v>
      </c>
      <c r="AF23" s="110" t="n">
        <v>0</v>
      </c>
      <c r="AG23" s="110" t="n">
        <v>12618.36</v>
      </c>
      <c r="AH23" s="110" t="n">
        <v>12287.41</v>
      </c>
      <c r="AI23" s="110" t="n">
        <v>330.95</v>
      </c>
      <c r="AJ23" s="110" t="n">
        <v>0</v>
      </c>
      <c r="AK23" s="110" t="n">
        <v>0</v>
      </c>
      <c r="AL23" s="110" t="n">
        <v>0</v>
      </c>
      <c r="AM23" s="110" t="n">
        <v>0</v>
      </c>
      <c r="AN23" s="110" t="n">
        <v>0</v>
      </c>
      <c r="AO23" s="110" t="n">
        <v>0</v>
      </c>
      <c r="AP23" s="110" t="n">
        <v>0</v>
      </c>
      <c r="AQ23" s="110" t="n">
        <v>5515</v>
      </c>
      <c r="AR23" s="110" t="n">
        <v>2740</v>
      </c>
      <c r="AS23" s="110" t="n">
        <v>2740</v>
      </c>
      <c r="AT23" s="110" t="n">
        <v>0</v>
      </c>
      <c r="AU23" s="110" t="n">
        <v>2775</v>
      </c>
      <c r="AV23" s="110" t="n">
        <v>1965</v>
      </c>
      <c r="AW23" s="110" t="n">
        <v>810</v>
      </c>
      <c r="AX23" s="110" t="n">
        <v>716</v>
      </c>
      <c r="AY23" s="110" t="n">
        <v>458</v>
      </c>
      <c r="AZ23" s="110" t="n">
        <v>458</v>
      </c>
      <c r="BA23" s="110" t="n">
        <v>0</v>
      </c>
      <c r="BB23" s="110" t="n">
        <v>258</v>
      </c>
      <c r="BC23" s="110" t="n">
        <v>218</v>
      </c>
      <c r="BD23" s="110" t="n">
        <v>40</v>
      </c>
      <c r="BE23" s="110" t="n">
        <v>784856.12</v>
      </c>
      <c r="BF23" s="110" t="n">
        <v>333818.32</v>
      </c>
      <c r="BG23" s="110" t="n">
        <v>333818.32</v>
      </c>
      <c r="BH23" s="110" t="n">
        <v>0</v>
      </c>
      <c r="BI23" s="110" t="n">
        <v>451037.8</v>
      </c>
      <c r="BJ23" s="110" t="n">
        <v>427980.04</v>
      </c>
      <c r="BK23" s="110" t="n">
        <v>23057.76</v>
      </c>
      <c r="BL23" s="110" t="n">
        <v>227125.43</v>
      </c>
      <c r="BM23" s="110" t="n">
        <v>93237.14</v>
      </c>
      <c r="BN23" s="110" t="n">
        <v>93237.14</v>
      </c>
      <c r="BO23" s="110" t="n">
        <v>0</v>
      </c>
      <c r="BP23" s="110" t="n">
        <v>133888.29</v>
      </c>
      <c r="BQ23" s="110" t="n">
        <v>120342.49</v>
      </c>
      <c r="BR23" s="110" t="n">
        <v>13545.8</v>
      </c>
      <c r="BS23" s="110" t="n">
        <v>204672.19</v>
      </c>
      <c r="BT23" s="110" t="n">
        <v>93886.67999999999</v>
      </c>
      <c r="BU23" s="110" t="n">
        <v>93886.67999999999</v>
      </c>
      <c r="BV23" s="110" t="n">
        <v>0</v>
      </c>
      <c r="BW23" s="110" t="n">
        <v>110785.51</v>
      </c>
      <c r="BX23" s="110" t="n">
        <v>108401.55</v>
      </c>
      <c r="BY23" s="110" t="n">
        <v>2383.96</v>
      </c>
      <c r="BZ23" s="110" t="n">
        <v>127231</v>
      </c>
      <c r="CA23" s="110" t="n">
        <v>44861</v>
      </c>
      <c r="CB23" s="110" t="n">
        <v>44861</v>
      </c>
      <c r="CC23" s="110" t="n">
        <v>0</v>
      </c>
      <c r="CD23" s="110" t="n">
        <v>82370</v>
      </c>
      <c r="CE23" s="110" t="n">
        <v>77721.5</v>
      </c>
      <c r="CF23" s="110" t="n">
        <v>4648.5</v>
      </c>
      <c r="CG23" s="110" t="n">
        <v>225827.5</v>
      </c>
      <c r="CH23" s="110" t="n">
        <v>101833.5</v>
      </c>
      <c r="CI23" s="110" t="n">
        <v>101833.5</v>
      </c>
      <c r="CJ23" s="110" t="n">
        <v>0</v>
      </c>
      <c r="CK23" s="110" t="n">
        <v>123994</v>
      </c>
      <c r="CL23" s="110" t="n">
        <v>121514.5</v>
      </c>
      <c r="CM23" s="110" t="n">
        <v>2479.5</v>
      </c>
      <c r="CN23" s="110" t="n">
        <v>0</v>
      </c>
      <c r="CO23" s="110" t="n">
        <v>0</v>
      </c>
      <c r="CP23" s="110" t="n">
        <v>31939.52</v>
      </c>
      <c r="CQ23" s="110" t="n">
        <v>0</v>
      </c>
      <c r="CR23" s="110" t="n">
        <v>0</v>
      </c>
      <c r="CS23" s="110" t="n">
        <v>0</v>
      </c>
      <c r="CT23" s="110" t="n">
        <v>0</v>
      </c>
      <c r="CU23" s="110" t="n">
        <v>0</v>
      </c>
      <c r="CV23" s="111" t="n">
        <v>17</v>
      </c>
      <c r="CW23" s="111" t="n">
        <v>11</v>
      </c>
      <c r="CX23" s="111" t="n">
        <v>11</v>
      </c>
      <c r="CY23" s="111" t="n">
        <v>0</v>
      </c>
      <c r="CZ23" s="111" t="n">
        <v>6</v>
      </c>
      <c r="DA23" s="111" t="n">
        <v>5</v>
      </c>
      <c r="DB23" s="111" t="n">
        <v>1</v>
      </c>
      <c r="DC23" s="111" t="n">
        <v>0</v>
      </c>
      <c r="DD23" s="111" t="n">
        <v>0</v>
      </c>
      <c r="DE23" s="111" t="n">
        <v>0</v>
      </c>
      <c r="DF23" s="111" t="n">
        <v>0</v>
      </c>
      <c r="DG23" s="111" t="n">
        <v>0</v>
      </c>
      <c r="DH23" s="111" t="n">
        <v>0</v>
      </c>
      <c r="DI23" s="111" t="n">
        <v>0</v>
      </c>
      <c r="DJ23" s="111" t="n">
        <v>0</v>
      </c>
      <c r="DK23" s="111" t="n">
        <v>17</v>
      </c>
      <c r="DL23" s="111" t="n">
        <v>11</v>
      </c>
      <c r="DM23" s="111" t="n">
        <v>11</v>
      </c>
      <c r="DN23" s="111" t="n">
        <v>0</v>
      </c>
      <c r="DO23" s="111" t="n">
        <v>6</v>
      </c>
      <c r="DP23" s="111" t="n">
        <v>5</v>
      </c>
      <c r="DQ23" s="111" t="n">
        <v>1</v>
      </c>
      <c r="DR23" s="111" t="n">
        <v>0</v>
      </c>
      <c r="DS23" s="111" t="n">
        <v>0</v>
      </c>
      <c r="DT23" s="111" t="n">
        <v>0</v>
      </c>
      <c r="DU23" s="111" t="n">
        <v>0</v>
      </c>
      <c r="DV23" s="111" t="n">
        <v>0</v>
      </c>
      <c r="DW23" s="111" t="n">
        <v>0</v>
      </c>
      <c r="DX23" s="111" t="n">
        <v>0</v>
      </c>
      <c r="DY23" s="111" t="n">
        <v>0</v>
      </c>
      <c r="DZ23" s="111" t="n">
        <v>0</v>
      </c>
      <c r="EA23" s="111" t="n">
        <v>0</v>
      </c>
      <c r="EB23" s="111" t="n">
        <v>0</v>
      </c>
      <c r="EC23" s="111" t="n">
        <v>0</v>
      </c>
      <c r="ED23" s="111" t="n">
        <v>0</v>
      </c>
      <c r="EE23" s="111" t="n">
        <v>0</v>
      </c>
      <c r="EF23" s="111" t="n">
        <v>0</v>
      </c>
      <c r="EG23" s="111" t="n">
        <v>29</v>
      </c>
      <c r="EH23" s="111" t="n">
        <v>14</v>
      </c>
      <c r="EI23" s="111" t="n">
        <v>14</v>
      </c>
      <c r="EJ23" s="111" t="n">
        <v>0</v>
      </c>
      <c r="EK23" s="111" t="n">
        <v>15</v>
      </c>
      <c r="EL23" s="111" t="n">
        <v>15</v>
      </c>
      <c r="EM23" s="111" t="n">
        <v>0</v>
      </c>
      <c r="EN23" s="111" t="n">
        <v>23</v>
      </c>
      <c r="EO23" s="111" t="n">
        <v>19</v>
      </c>
      <c r="EP23" s="111" t="n">
        <v>0</v>
      </c>
      <c r="EQ23" s="111" t="n">
        <v>4</v>
      </c>
      <c r="ER23" s="111" t="n">
        <v>11</v>
      </c>
      <c r="ES23" s="111" t="n">
        <v>0</v>
      </c>
      <c r="ET23" s="111" t="n">
        <v>0</v>
      </c>
      <c r="EU23" s="111" t="n">
        <v>7</v>
      </c>
      <c r="EV23" s="111" t="n">
        <v>7</v>
      </c>
      <c r="EW23" s="111" t="n">
        <v>0</v>
      </c>
      <c r="EX23" s="111" t="n">
        <v>0</v>
      </c>
      <c r="EY23" s="111" t="n">
        <v>4</v>
      </c>
      <c r="EZ23" s="111" t="n">
        <v>4</v>
      </c>
      <c r="FA23" s="111" t="n">
        <v>0</v>
      </c>
      <c r="FB23" s="111" t="n">
        <v>0</v>
      </c>
    </row>
    <row r="24" ht="19.5" customHeight="1" s="247">
      <c r="A24" s="107" t="n">
        <v>21</v>
      </c>
      <c r="B24" s="107" t="inlineStr">
        <is>
          <t>成人手术</t>
        </is>
      </c>
      <c r="C24" s="107" t="inlineStr">
        <is>
          <t>乳腺外科</t>
        </is>
      </c>
      <c r="D24" s="110" t="n">
        <v>3223655.25</v>
      </c>
      <c r="E24" s="110" t="n">
        <v>1357658</v>
      </c>
      <c r="F24" s="110" t="n">
        <v>1865997.25</v>
      </c>
      <c r="G24" s="110" t="n">
        <v>3635</v>
      </c>
      <c r="H24" s="110" t="n">
        <v>294</v>
      </c>
      <c r="I24" s="110" t="n">
        <v>4982</v>
      </c>
      <c r="J24" s="110" t="n">
        <v>2149</v>
      </c>
      <c r="K24" s="110" t="n">
        <v>0</v>
      </c>
      <c r="L24" s="110" t="n">
        <v>56920</v>
      </c>
      <c r="M24" s="110" t="n">
        <v>531997.75</v>
      </c>
      <c r="N24" s="110" t="n">
        <v>0</v>
      </c>
      <c r="O24" s="110" t="n">
        <v>5698088.29</v>
      </c>
      <c r="P24" s="110" t="n">
        <v>3788342.61</v>
      </c>
      <c r="Q24" s="110" t="n">
        <v>3699547.93</v>
      </c>
      <c r="R24" s="110" t="n">
        <v>88794.67999999999</v>
      </c>
      <c r="S24" s="110" t="n">
        <v>1909745.68</v>
      </c>
      <c r="T24" s="110" t="n">
        <v>1713298.32</v>
      </c>
      <c r="U24" s="110" t="n">
        <v>196447.36</v>
      </c>
      <c r="V24" s="110" t="n">
        <v>2000284.52</v>
      </c>
      <c r="W24" s="110" t="n">
        <v>1679333.78</v>
      </c>
      <c r="X24" s="110" t="n">
        <v>1632190.98</v>
      </c>
      <c r="Y24" s="110" t="n">
        <v>47142.8</v>
      </c>
      <c r="Z24" s="110" t="n">
        <v>320950.74</v>
      </c>
      <c r="AA24" s="110" t="n">
        <v>236710.87</v>
      </c>
      <c r="AB24" s="110" t="n">
        <v>84239.87</v>
      </c>
      <c r="AC24" s="110" t="n">
        <v>635943.52</v>
      </c>
      <c r="AD24" s="110" t="n">
        <v>561436.66</v>
      </c>
      <c r="AE24" s="110" t="n">
        <v>559073.76</v>
      </c>
      <c r="AF24" s="110" t="n">
        <v>2362.9</v>
      </c>
      <c r="AG24" s="110" t="n">
        <v>74506.86</v>
      </c>
      <c r="AH24" s="110" t="n">
        <v>62734.99</v>
      </c>
      <c r="AI24" s="110" t="n">
        <v>11771.87</v>
      </c>
      <c r="AJ24" s="110" t="n">
        <v>6683</v>
      </c>
      <c r="AK24" s="110" t="n">
        <v>5184.12</v>
      </c>
      <c r="AL24" s="110" t="n">
        <v>5106.22</v>
      </c>
      <c r="AM24" s="110" t="n">
        <v>77.90000000000001</v>
      </c>
      <c r="AN24" s="110" t="n">
        <v>1498.88</v>
      </c>
      <c r="AO24" s="110" t="n">
        <v>8.880000000000001</v>
      </c>
      <c r="AP24" s="110" t="n">
        <v>1490</v>
      </c>
      <c r="AQ24" s="110" t="n">
        <v>1156933</v>
      </c>
      <c r="AR24" s="110" t="n">
        <v>957965</v>
      </c>
      <c r="AS24" s="110" t="n">
        <v>921603</v>
      </c>
      <c r="AT24" s="110" t="n">
        <v>36362</v>
      </c>
      <c r="AU24" s="110" t="n">
        <v>198968</v>
      </c>
      <c r="AV24" s="110" t="n">
        <v>142374</v>
      </c>
      <c r="AW24" s="110" t="n">
        <v>56594</v>
      </c>
      <c r="AX24" s="110" t="n">
        <v>200725</v>
      </c>
      <c r="AY24" s="110" t="n">
        <v>154748</v>
      </c>
      <c r="AZ24" s="110" t="n">
        <v>146408</v>
      </c>
      <c r="BA24" s="110" t="n">
        <v>8340</v>
      </c>
      <c r="BB24" s="110" t="n">
        <v>45977</v>
      </c>
      <c r="BC24" s="110" t="n">
        <v>31593</v>
      </c>
      <c r="BD24" s="110" t="n">
        <v>14384</v>
      </c>
      <c r="BE24" s="110" t="n">
        <v>3697803.77</v>
      </c>
      <c r="BF24" s="110" t="n">
        <v>2109008.83</v>
      </c>
      <c r="BG24" s="110" t="n">
        <v>2067356.95</v>
      </c>
      <c r="BH24" s="110" t="n">
        <v>41651.88</v>
      </c>
      <c r="BI24" s="110" t="n">
        <v>1588794.94</v>
      </c>
      <c r="BJ24" s="110" t="n">
        <v>1476587.45</v>
      </c>
      <c r="BK24" s="110" t="n">
        <v>112207.49</v>
      </c>
      <c r="BL24" s="110" t="n">
        <v>1217960.69</v>
      </c>
      <c r="BM24" s="110" t="n">
        <v>689233.15</v>
      </c>
      <c r="BN24" s="110" t="n">
        <v>667835.17</v>
      </c>
      <c r="BO24" s="110" t="n">
        <v>21397.98</v>
      </c>
      <c r="BP24" s="110" t="n">
        <v>528727.54</v>
      </c>
      <c r="BQ24" s="110" t="n">
        <v>515022.94</v>
      </c>
      <c r="BR24" s="110" t="n">
        <v>13704.6</v>
      </c>
      <c r="BS24" s="110" t="n">
        <v>613845.83</v>
      </c>
      <c r="BT24" s="110" t="n">
        <v>343508.68</v>
      </c>
      <c r="BU24" s="110" t="n">
        <v>333187.28</v>
      </c>
      <c r="BV24" s="110" t="n">
        <v>10321.4</v>
      </c>
      <c r="BW24" s="110" t="n">
        <v>270337.15</v>
      </c>
      <c r="BX24" s="110" t="n">
        <v>246646.26</v>
      </c>
      <c r="BY24" s="110" t="n">
        <v>23690.89</v>
      </c>
      <c r="BZ24" s="110" t="n">
        <v>877301</v>
      </c>
      <c r="CA24" s="110" t="n">
        <v>509478</v>
      </c>
      <c r="CB24" s="110" t="n">
        <v>504845</v>
      </c>
      <c r="CC24" s="110" t="n">
        <v>4633</v>
      </c>
      <c r="CD24" s="110" t="n">
        <v>367823</v>
      </c>
      <c r="CE24" s="110" t="n">
        <v>333901</v>
      </c>
      <c r="CF24" s="110" t="n">
        <v>33922</v>
      </c>
      <c r="CG24" s="110" t="n">
        <v>988696.25</v>
      </c>
      <c r="CH24" s="110" t="n">
        <v>566789</v>
      </c>
      <c r="CI24" s="110" t="n">
        <v>561489.5</v>
      </c>
      <c r="CJ24" s="110" t="n">
        <v>5299.5</v>
      </c>
      <c r="CK24" s="110" t="n">
        <v>421907.25</v>
      </c>
      <c r="CL24" s="110" t="n">
        <v>381017.25</v>
      </c>
      <c r="CM24" s="110" t="n">
        <v>40890</v>
      </c>
      <c r="CN24" s="110" t="n">
        <v>-65</v>
      </c>
      <c r="CO24" s="110" t="n">
        <v>811021.9</v>
      </c>
      <c r="CP24" s="110" t="n">
        <v>891218.37</v>
      </c>
      <c r="CQ24" s="110" t="n">
        <v>30604.79</v>
      </c>
      <c r="CR24" s="110" t="n">
        <v>267439.46</v>
      </c>
      <c r="CS24" s="110" t="n">
        <v>0</v>
      </c>
      <c r="CT24" s="110" t="n">
        <v>0</v>
      </c>
      <c r="CU24" s="110" t="n">
        <v>0</v>
      </c>
      <c r="CV24" s="111" t="n">
        <v>3635</v>
      </c>
      <c r="CW24" s="111" t="n">
        <v>2983</v>
      </c>
      <c r="CX24" s="111" t="n">
        <v>2860</v>
      </c>
      <c r="CY24" s="111" t="n">
        <v>123</v>
      </c>
      <c r="CZ24" s="111" t="n">
        <v>652</v>
      </c>
      <c r="DA24" s="111" t="n">
        <v>432</v>
      </c>
      <c r="DB24" s="111" t="n">
        <v>220</v>
      </c>
      <c r="DC24" s="111" t="n">
        <v>1829</v>
      </c>
      <c r="DD24" s="111" t="n">
        <v>7</v>
      </c>
      <c r="DE24" s="111" t="n">
        <v>1542</v>
      </c>
      <c r="DF24" s="111" t="n">
        <v>1488</v>
      </c>
      <c r="DG24" s="111" t="n">
        <v>54</v>
      </c>
      <c r="DH24" s="111" t="n">
        <v>287</v>
      </c>
      <c r="DI24" s="111" t="n">
        <v>194</v>
      </c>
      <c r="DJ24" s="111" t="n">
        <v>93</v>
      </c>
      <c r="DK24" s="111" t="n">
        <v>1525</v>
      </c>
      <c r="DL24" s="111" t="n">
        <v>1235</v>
      </c>
      <c r="DM24" s="111" t="n">
        <v>1178</v>
      </c>
      <c r="DN24" s="111" t="n">
        <v>57</v>
      </c>
      <c r="DO24" s="111" t="n">
        <v>290</v>
      </c>
      <c r="DP24" s="111" t="n">
        <v>183</v>
      </c>
      <c r="DQ24" s="111" t="n">
        <v>107</v>
      </c>
      <c r="DR24" s="111" t="n">
        <v>274</v>
      </c>
      <c r="DS24" s="111" t="n">
        <v>0</v>
      </c>
      <c r="DT24" s="111" t="n">
        <v>199</v>
      </c>
      <c r="DU24" s="111" t="n">
        <v>187</v>
      </c>
      <c r="DV24" s="111" t="n">
        <v>12</v>
      </c>
      <c r="DW24" s="111" t="n">
        <v>75</v>
      </c>
      <c r="DX24" s="111" t="n">
        <v>55</v>
      </c>
      <c r="DY24" s="111" t="n">
        <v>20</v>
      </c>
      <c r="DZ24" s="111" t="n">
        <v>0</v>
      </c>
      <c r="EA24" s="111" t="n">
        <v>0</v>
      </c>
      <c r="EB24" s="111" t="n">
        <v>0</v>
      </c>
      <c r="EC24" s="111" t="n">
        <v>0</v>
      </c>
      <c r="ED24" s="111" t="n">
        <v>0</v>
      </c>
      <c r="EE24" s="111" t="n">
        <v>0</v>
      </c>
      <c r="EF24" s="111" t="n">
        <v>0</v>
      </c>
      <c r="EG24" s="111" t="n">
        <v>294</v>
      </c>
      <c r="EH24" s="111" t="n">
        <v>170</v>
      </c>
      <c r="EI24" s="111" t="n">
        <v>164</v>
      </c>
      <c r="EJ24" s="111" t="n">
        <v>6</v>
      </c>
      <c r="EK24" s="111" t="n">
        <v>124</v>
      </c>
      <c r="EL24" s="111" t="n">
        <v>118</v>
      </c>
      <c r="EM24" s="111" t="n">
        <v>6</v>
      </c>
      <c r="EN24" s="111" t="n">
        <v>285</v>
      </c>
      <c r="EO24" s="111" t="n">
        <v>159</v>
      </c>
      <c r="EP24" s="111" t="n">
        <v>0</v>
      </c>
      <c r="EQ24" s="111" t="n">
        <v>126</v>
      </c>
      <c r="ER24" s="111" t="n">
        <v>0</v>
      </c>
      <c r="ES24" s="111" t="n">
        <v>0</v>
      </c>
      <c r="ET24" s="111" t="n">
        <v>0</v>
      </c>
      <c r="EU24" s="111" t="n">
        <v>125</v>
      </c>
      <c r="EV24" s="111" t="n">
        <v>125</v>
      </c>
      <c r="EW24" s="111" t="n">
        <v>0</v>
      </c>
      <c r="EX24" s="111" t="n">
        <v>0</v>
      </c>
      <c r="EY24" s="111" t="n">
        <v>6</v>
      </c>
      <c r="EZ24" s="111" t="n">
        <v>6</v>
      </c>
      <c r="FA24" s="111" t="n">
        <v>0</v>
      </c>
      <c r="FB24" s="111" t="n">
        <v>61</v>
      </c>
    </row>
    <row r="25" ht="19.5" customHeight="1" s="247">
      <c r="A25" s="107" t="n">
        <v>22</v>
      </c>
      <c r="B25" s="107" t="inlineStr">
        <is>
          <t>成人手术</t>
        </is>
      </c>
      <c r="C25" s="107" t="inlineStr">
        <is>
          <t>介入血管外科</t>
        </is>
      </c>
      <c r="D25" s="110" t="n">
        <v>1541542</v>
      </c>
      <c r="E25" s="110" t="n">
        <v>198213</v>
      </c>
      <c r="F25" s="110" t="n">
        <v>1343329</v>
      </c>
      <c r="G25" s="110" t="n">
        <v>1134</v>
      </c>
      <c r="H25" s="110" t="n">
        <v>251</v>
      </c>
      <c r="I25" s="110" t="n">
        <v>609</v>
      </c>
      <c r="J25" s="110" t="n">
        <v>0</v>
      </c>
      <c r="K25" s="110" t="n">
        <v>0</v>
      </c>
      <c r="L25" s="110" t="n">
        <v>180597</v>
      </c>
      <c r="M25" s="110" t="n">
        <v>135051</v>
      </c>
      <c r="N25" s="110" t="n">
        <v>105</v>
      </c>
      <c r="O25" s="110" t="n">
        <v>8989987.32</v>
      </c>
      <c r="P25" s="110" t="n">
        <v>5865001.72</v>
      </c>
      <c r="Q25" s="110" t="n">
        <v>5835565.15</v>
      </c>
      <c r="R25" s="110" t="n">
        <v>29436.57</v>
      </c>
      <c r="S25" s="110" t="n">
        <v>3124985.6</v>
      </c>
      <c r="T25" s="110" t="n">
        <v>2700900.56</v>
      </c>
      <c r="U25" s="110" t="n">
        <v>424085.04</v>
      </c>
      <c r="V25" s="110" t="n">
        <v>415029.4</v>
      </c>
      <c r="W25" s="110" t="n">
        <v>352749.09</v>
      </c>
      <c r="X25" s="110" t="n">
        <v>341304.17</v>
      </c>
      <c r="Y25" s="110" t="n">
        <v>11444.92</v>
      </c>
      <c r="Z25" s="110" t="n">
        <v>62280.31</v>
      </c>
      <c r="AA25" s="110" t="n">
        <v>44071.51</v>
      </c>
      <c r="AB25" s="110" t="n">
        <v>18208.8</v>
      </c>
      <c r="AC25" s="110" t="n">
        <v>216181.9</v>
      </c>
      <c r="AD25" s="110" t="n">
        <v>194302.09</v>
      </c>
      <c r="AE25" s="110" t="n">
        <v>189775.17</v>
      </c>
      <c r="AF25" s="110" t="n">
        <v>4526.92</v>
      </c>
      <c r="AG25" s="110" t="n">
        <v>21879.81</v>
      </c>
      <c r="AH25" s="110" t="n">
        <v>17473.51</v>
      </c>
      <c r="AI25" s="110" t="n">
        <v>4406.3</v>
      </c>
      <c r="AJ25" s="110" t="n">
        <v>634.5</v>
      </c>
      <c r="AK25" s="110" t="n">
        <v>342</v>
      </c>
      <c r="AL25" s="110" t="n">
        <v>342</v>
      </c>
      <c r="AM25" s="110" t="n">
        <v>0</v>
      </c>
      <c r="AN25" s="110" t="n">
        <v>292.5</v>
      </c>
      <c r="AO25" s="110" t="n">
        <v>0</v>
      </c>
      <c r="AP25" s="110" t="n">
        <v>292.5</v>
      </c>
      <c r="AQ25" s="110" t="n">
        <v>148979</v>
      </c>
      <c r="AR25" s="110" t="n">
        <v>118441</v>
      </c>
      <c r="AS25" s="110" t="n">
        <v>113553</v>
      </c>
      <c r="AT25" s="110" t="n">
        <v>4888</v>
      </c>
      <c r="AU25" s="110" t="n">
        <v>30538</v>
      </c>
      <c r="AV25" s="110" t="n">
        <v>20448</v>
      </c>
      <c r="AW25" s="110" t="n">
        <v>10090</v>
      </c>
      <c r="AX25" s="110" t="n">
        <v>49234</v>
      </c>
      <c r="AY25" s="110" t="n">
        <v>39664</v>
      </c>
      <c r="AZ25" s="110" t="n">
        <v>37634</v>
      </c>
      <c r="BA25" s="110" t="n">
        <v>2030</v>
      </c>
      <c r="BB25" s="110" t="n">
        <v>9570</v>
      </c>
      <c r="BC25" s="110" t="n">
        <v>6150</v>
      </c>
      <c r="BD25" s="110" t="n">
        <v>3420</v>
      </c>
      <c r="BE25" s="110" t="n">
        <v>8574957.92</v>
      </c>
      <c r="BF25" s="110" t="n">
        <v>5512252.63</v>
      </c>
      <c r="BG25" s="110" t="n">
        <v>5494260.98</v>
      </c>
      <c r="BH25" s="110" t="n">
        <v>17991.65</v>
      </c>
      <c r="BI25" s="110" t="n">
        <v>3062705.29</v>
      </c>
      <c r="BJ25" s="110" t="n">
        <v>2656829.05</v>
      </c>
      <c r="BK25" s="110" t="n">
        <v>405876.24</v>
      </c>
      <c r="BL25" s="110" t="n">
        <v>407514.24</v>
      </c>
      <c r="BM25" s="110" t="n">
        <v>251006.95</v>
      </c>
      <c r="BN25" s="110" t="n">
        <v>250274.1</v>
      </c>
      <c r="BO25" s="110" t="n">
        <v>732.85</v>
      </c>
      <c r="BP25" s="110" t="n">
        <v>156507.29</v>
      </c>
      <c r="BQ25" s="110" t="n">
        <v>136837.48</v>
      </c>
      <c r="BR25" s="110" t="n">
        <v>19669.81</v>
      </c>
      <c r="BS25" s="110" t="n">
        <v>6824114.68</v>
      </c>
      <c r="BT25" s="110" t="n">
        <v>4413899.18</v>
      </c>
      <c r="BU25" s="110" t="n">
        <v>4403156.38</v>
      </c>
      <c r="BV25" s="110" t="n">
        <v>10742.8</v>
      </c>
      <c r="BW25" s="110" t="n">
        <v>2410215.5</v>
      </c>
      <c r="BX25" s="110" t="n">
        <v>2099472.57</v>
      </c>
      <c r="BY25" s="110" t="n">
        <v>310742.93</v>
      </c>
      <c r="BZ25" s="110" t="n">
        <v>872069</v>
      </c>
      <c r="CA25" s="110" t="n">
        <v>555883</v>
      </c>
      <c r="CB25" s="110" t="n">
        <v>549673</v>
      </c>
      <c r="CC25" s="110" t="n">
        <v>6210</v>
      </c>
      <c r="CD25" s="110" t="n">
        <v>316186</v>
      </c>
      <c r="CE25" s="110" t="n">
        <v>278615</v>
      </c>
      <c r="CF25" s="110" t="n">
        <v>37571</v>
      </c>
      <c r="CG25" s="110" t="n">
        <v>471260</v>
      </c>
      <c r="CH25" s="110" t="n">
        <v>291463.5</v>
      </c>
      <c r="CI25" s="110" t="n">
        <v>291157.5</v>
      </c>
      <c r="CJ25" s="110" t="n">
        <v>306</v>
      </c>
      <c r="CK25" s="110" t="n">
        <v>179796.5</v>
      </c>
      <c r="CL25" s="110" t="n">
        <v>141904</v>
      </c>
      <c r="CM25" s="110" t="n">
        <v>37892.5</v>
      </c>
      <c r="CN25" s="110" t="n">
        <v>0</v>
      </c>
      <c r="CO25" s="110" t="n">
        <v>125</v>
      </c>
      <c r="CP25" s="110" t="n">
        <v>304717.7</v>
      </c>
      <c r="CQ25" s="110" t="n">
        <v>110186.7</v>
      </c>
      <c r="CR25" s="110" t="n">
        <v>0</v>
      </c>
      <c r="CS25" s="110" t="n">
        <v>0</v>
      </c>
      <c r="CT25" s="110" t="n">
        <v>81150.8</v>
      </c>
      <c r="CU25" s="110" t="n">
        <v>0</v>
      </c>
      <c r="CV25" s="111" t="n">
        <v>1134</v>
      </c>
      <c r="CW25" s="111" t="n">
        <v>931</v>
      </c>
      <c r="CX25" s="111" t="n">
        <v>888</v>
      </c>
      <c r="CY25" s="111" t="n">
        <v>43</v>
      </c>
      <c r="CZ25" s="111" t="n">
        <v>203</v>
      </c>
      <c r="DA25" s="111" t="n">
        <v>133</v>
      </c>
      <c r="DB25" s="111" t="n">
        <v>70</v>
      </c>
      <c r="DC25" s="111" t="n">
        <v>227</v>
      </c>
      <c r="DD25" s="111" t="n">
        <v>0</v>
      </c>
      <c r="DE25" s="111" t="n">
        <v>215</v>
      </c>
      <c r="DF25" s="111" t="n">
        <v>213</v>
      </c>
      <c r="DG25" s="111" t="n">
        <v>2</v>
      </c>
      <c r="DH25" s="111" t="n">
        <v>12</v>
      </c>
      <c r="DI25" s="111" t="n">
        <v>8</v>
      </c>
      <c r="DJ25" s="111" t="n">
        <v>4</v>
      </c>
      <c r="DK25" s="111" t="n">
        <v>907</v>
      </c>
      <c r="DL25" s="111" t="n">
        <v>716</v>
      </c>
      <c r="DM25" s="111" t="n">
        <v>675</v>
      </c>
      <c r="DN25" s="111" t="n">
        <v>41</v>
      </c>
      <c r="DO25" s="111" t="n">
        <v>191</v>
      </c>
      <c r="DP25" s="111" t="n">
        <v>125</v>
      </c>
      <c r="DQ25" s="111" t="n">
        <v>66</v>
      </c>
      <c r="DR25" s="111" t="n">
        <v>0</v>
      </c>
      <c r="DS25" s="111" t="n">
        <v>0</v>
      </c>
      <c r="DT25" s="111" t="n">
        <v>0</v>
      </c>
      <c r="DU25" s="111" t="n">
        <v>0</v>
      </c>
      <c r="DV25" s="111" t="n">
        <v>0</v>
      </c>
      <c r="DW25" s="111" t="n">
        <v>0</v>
      </c>
      <c r="DX25" s="111" t="n">
        <v>0</v>
      </c>
      <c r="DY25" s="111" t="n">
        <v>0</v>
      </c>
      <c r="DZ25" s="111" t="n">
        <v>0</v>
      </c>
      <c r="EA25" s="111" t="n">
        <v>0</v>
      </c>
      <c r="EB25" s="111" t="n">
        <v>0</v>
      </c>
      <c r="EC25" s="111" t="n">
        <v>0</v>
      </c>
      <c r="ED25" s="111" t="n">
        <v>0</v>
      </c>
      <c r="EE25" s="111" t="n">
        <v>0</v>
      </c>
      <c r="EF25" s="111" t="n">
        <v>0</v>
      </c>
      <c r="EG25" s="111" t="n">
        <v>251</v>
      </c>
      <c r="EH25" s="111" t="n">
        <v>166</v>
      </c>
      <c r="EI25" s="111" t="n">
        <v>164</v>
      </c>
      <c r="EJ25" s="111" t="n">
        <v>2</v>
      </c>
      <c r="EK25" s="111" t="n">
        <v>85</v>
      </c>
      <c r="EL25" s="111" t="n">
        <v>75</v>
      </c>
      <c r="EM25" s="111" t="n">
        <v>10</v>
      </c>
      <c r="EN25" s="111" t="n">
        <v>313</v>
      </c>
      <c r="EO25" s="111" t="n">
        <v>99</v>
      </c>
      <c r="EP25" s="111" t="n">
        <v>121</v>
      </c>
      <c r="EQ25" s="111" t="n">
        <v>93</v>
      </c>
      <c r="ER25" s="111" t="n">
        <v>0</v>
      </c>
      <c r="ES25" s="111" t="n">
        <v>0</v>
      </c>
      <c r="ET25" s="111" t="n">
        <v>0</v>
      </c>
      <c r="EU25" s="111" t="n">
        <v>91</v>
      </c>
      <c r="EV25" s="111" t="n">
        <v>0</v>
      </c>
      <c r="EW25" s="111" t="n">
        <v>91</v>
      </c>
      <c r="EX25" s="111" t="n">
        <v>0</v>
      </c>
      <c r="EY25" s="111" t="n">
        <v>8</v>
      </c>
      <c r="EZ25" s="111" t="n">
        <v>0</v>
      </c>
      <c r="FA25" s="111" t="n">
        <v>8</v>
      </c>
      <c r="FB25" s="111" t="n">
        <v>0</v>
      </c>
    </row>
    <row r="26" ht="19.5" customHeight="1" s="247">
      <c r="A26" s="107" t="n">
        <v>23</v>
      </c>
      <c r="B26" s="107" t="inlineStr">
        <is>
          <t>成人手术</t>
        </is>
      </c>
      <c r="C26" s="107" t="inlineStr">
        <is>
          <t>妇科</t>
        </is>
      </c>
      <c r="D26" s="110" t="n">
        <v>5859967.75</v>
      </c>
      <c r="E26" s="110" t="n">
        <v>2413213.5</v>
      </c>
      <c r="F26" s="110" t="n">
        <v>3446754.25</v>
      </c>
      <c r="G26" s="110" t="n">
        <v>7864</v>
      </c>
      <c r="H26" s="110" t="n">
        <v>518</v>
      </c>
      <c r="I26" s="110" t="n">
        <v>41765</v>
      </c>
      <c r="J26" s="110" t="n">
        <v>8484</v>
      </c>
      <c r="K26" s="110" t="n">
        <v>52167.23</v>
      </c>
      <c r="L26" s="110" t="n">
        <v>252524</v>
      </c>
      <c r="M26" s="110" t="n">
        <v>873501.75</v>
      </c>
      <c r="N26" s="110" t="n">
        <v>2229.55</v>
      </c>
      <c r="O26" s="110" t="n">
        <v>9416295</v>
      </c>
      <c r="P26" s="110" t="n">
        <v>6908266.96</v>
      </c>
      <c r="Q26" s="110" t="n">
        <v>6657210.97</v>
      </c>
      <c r="R26" s="110" t="n">
        <v>251055.99</v>
      </c>
      <c r="S26" s="110" t="n">
        <v>2508028.04</v>
      </c>
      <c r="T26" s="110" t="n">
        <v>2213883.39</v>
      </c>
      <c r="U26" s="110" t="n">
        <v>294144.65</v>
      </c>
      <c r="V26" s="110" t="n">
        <v>3361027.8</v>
      </c>
      <c r="W26" s="110" t="n">
        <v>2778103.3</v>
      </c>
      <c r="X26" s="110" t="n">
        <v>2630908.8</v>
      </c>
      <c r="Y26" s="110" t="n">
        <v>147194.5</v>
      </c>
      <c r="Z26" s="110" t="n">
        <v>582924.5</v>
      </c>
      <c r="AA26" s="110" t="n">
        <v>336647.83</v>
      </c>
      <c r="AB26" s="110" t="n">
        <v>246276.67</v>
      </c>
      <c r="AC26" s="110" t="n">
        <v>937537.02</v>
      </c>
      <c r="AD26" s="110" t="n">
        <v>792857.02</v>
      </c>
      <c r="AE26" s="110" t="n">
        <v>769365.52</v>
      </c>
      <c r="AF26" s="110" t="n">
        <v>23491.5</v>
      </c>
      <c r="AG26" s="110" t="n">
        <v>144680</v>
      </c>
      <c r="AH26" s="110" t="n">
        <v>88171.83</v>
      </c>
      <c r="AI26" s="110" t="n">
        <v>56508.17</v>
      </c>
      <c r="AJ26" s="110" t="n">
        <v>10277.28</v>
      </c>
      <c r="AK26" s="110" t="n">
        <v>8315.780000000001</v>
      </c>
      <c r="AL26" s="110" t="n">
        <v>6999.78</v>
      </c>
      <c r="AM26" s="110" t="n">
        <v>1316</v>
      </c>
      <c r="AN26" s="110" t="n">
        <v>1961.5</v>
      </c>
      <c r="AO26" s="110" t="n">
        <v>1586</v>
      </c>
      <c r="AP26" s="110" t="n">
        <v>375.5</v>
      </c>
      <c r="AQ26" s="110" t="n">
        <v>2031170</v>
      </c>
      <c r="AR26" s="110" t="n">
        <v>1668214</v>
      </c>
      <c r="AS26" s="110" t="n">
        <v>1573945</v>
      </c>
      <c r="AT26" s="110" t="n">
        <v>94269</v>
      </c>
      <c r="AU26" s="110" t="n">
        <v>362956</v>
      </c>
      <c r="AV26" s="110" t="n">
        <v>207438</v>
      </c>
      <c r="AW26" s="110" t="n">
        <v>155518</v>
      </c>
      <c r="AX26" s="110" t="n">
        <v>382043.5</v>
      </c>
      <c r="AY26" s="110" t="n">
        <v>308716.5</v>
      </c>
      <c r="AZ26" s="110" t="n">
        <v>280598.5</v>
      </c>
      <c r="BA26" s="110" t="n">
        <v>28118</v>
      </c>
      <c r="BB26" s="110" t="n">
        <v>73327</v>
      </c>
      <c r="BC26" s="110" t="n">
        <v>39452</v>
      </c>
      <c r="BD26" s="110" t="n">
        <v>33875</v>
      </c>
      <c r="BE26" s="110" t="n">
        <v>6055267.2</v>
      </c>
      <c r="BF26" s="110" t="n">
        <v>4130163.66</v>
      </c>
      <c r="BG26" s="110" t="n">
        <v>4026302.17</v>
      </c>
      <c r="BH26" s="110" t="n">
        <v>103861.49</v>
      </c>
      <c r="BI26" s="110" t="n">
        <v>1925103.54</v>
      </c>
      <c r="BJ26" s="110" t="n">
        <v>1877235.56</v>
      </c>
      <c r="BK26" s="110" t="n">
        <v>47867.98</v>
      </c>
      <c r="BL26" s="110" t="n">
        <v>1172910.37</v>
      </c>
      <c r="BM26" s="110" t="n">
        <v>715695.1800000001</v>
      </c>
      <c r="BN26" s="110" t="n">
        <v>700280.39</v>
      </c>
      <c r="BO26" s="110" t="n">
        <v>15414.79</v>
      </c>
      <c r="BP26" s="110" t="n">
        <v>457215.19</v>
      </c>
      <c r="BQ26" s="110" t="n">
        <v>444901.21</v>
      </c>
      <c r="BR26" s="110" t="n">
        <v>12313.98</v>
      </c>
      <c r="BS26" s="110" t="n">
        <v>1435602.58</v>
      </c>
      <c r="BT26" s="110" t="n">
        <v>1067321.98</v>
      </c>
      <c r="BU26" s="110" t="n">
        <v>1047093.78</v>
      </c>
      <c r="BV26" s="110" t="n">
        <v>20228.2</v>
      </c>
      <c r="BW26" s="110" t="n">
        <v>368280.6</v>
      </c>
      <c r="BX26" s="110" t="n">
        <v>356452.6</v>
      </c>
      <c r="BY26" s="110" t="n">
        <v>11828</v>
      </c>
      <c r="BZ26" s="110" t="n">
        <v>1189027.5</v>
      </c>
      <c r="CA26" s="110" t="n">
        <v>765185</v>
      </c>
      <c r="CB26" s="110" t="n">
        <v>751531</v>
      </c>
      <c r="CC26" s="110" t="n">
        <v>13654</v>
      </c>
      <c r="CD26" s="110" t="n">
        <v>423842.5</v>
      </c>
      <c r="CE26" s="110" t="n">
        <v>418831.5</v>
      </c>
      <c r="CF26" s="110" t="n">
        <v>5011</v>
      </c>
      <c r="CG26" s="110" t="n">
        <v>2257726.75</v>
      </c>
      <c r="CH26" s="110" t="n">
        <v>1581961.5</v>
      </c>
      <c r="CI26" s="110" t="n">
        <v>1527397</v>
      </c>
      <c r="CJ26" s="110" t="n">
        <v>54564.5</v>
      </c>
      <c r="CK26" s="110" t="n">
        <v>675765.25</v>
      </c>
      <c r="CL26" s="110" t="n">
        <v>657050.25</v>
      </c>
      <c r="CM26" s="110" t="n">
        <v>18715</v>
      </c>
      <c r="CN26" s="110" t="n">
        <v>80599.67999999999</v>
      </c>
      <c r="CO26" s="110" t="n">
        <v>1402652.82</v>
      </c>
      <c r="CP26" s="110" t="n">
        <v>1344651.17</v>
      </c>
      <c r="CQ26" s="110" t="n">
        <v>207166.25</v>
      </c>
      <c r="CR26" s="110" t="n">
        <v>325842.88</v>
      </c>
      <c r="CS26" s="110" t="n">
        <v>0</v>
      </c>
      <c r="CT26" s="110" t="n">
        <v>46431.77</v>
      </c>
      <c r="CU26" s="110" t="n">
        <v>0</v>
      </c>
      <c r="CV26" s="111" t="n">
        <v>7864</v>
      </c>
      <c r="CW26" s="111" t="n">
        <v>6719</v>
      </c>
      <c r="CX26" s="111" t="n">
        <v>6290</v>
      </c>
      <c r="CY26" s="111" t="n">
        <v>429</v>
      </c>
      <c r="CZ26" s="111" t="n">
        <v>1145</v>
      </c>
      <c r="DA26" s="111" t="n">
        <v>573</v>
      </c>
      <c r="DB26" s="111" t="n">
        <v>572</v>
      </c>
      <c r="DC26" s="111" t="n">
        <v>4930</v>
      </c>
      <c r="DD26" s="111" t="n">
        <v>40</v>
      </c>
      <c r="DE26" s="111" t="n">
        <v>4336</v>
      </c>
      <c r="DF26" s="111" t="n">
        <v>4048</v>
      </c>
      <c r="DG26" s="111" t="n">
        <v>288</v>
      </c>
      <c r="DH26" s="111" t="n">
        <v>594</v>
      </c>
      <c r="DI26" s="111" t="n">
        <v>268</v>
      </c>
      <c r="DJ26" s="111" t="n">
        <v>326</v>
      </c>
      <c r="DK26" s="111" t="n">
        <v>2419</v>
      </c>
      <c r="DL26" s="111" t="n">
        <v>1985</v>
      </c>
      <c r="DM26" s="111" t="n">
        <v>1876</v>
      </c>
      <c r="DN26" s="111" t="n">
        <v>109</v>
      </c>
      <c r="DO26" s="111" t="n">
        <v>434</v>
      </c>
      <c r="DP26" s="111" t="n">
        <v>246</v>
      </c>
      <c r="DQ26" s="111" t="n">
        <v>188</v>
      </c>
      <c r="DR26" s="111" t="n">
        <v>294</v>
      </c>
      <c r="DS26" s="111" t="n">
        <v>0</v>
      </c>
      <c r="DT26" s="111" t="n">
        <v>209</v>
      </c>
      <c r="DU26" s="111" t="n">
        <v>190</v>
      </c>
      <c r="DV26" s="111" t="n">
        <v>19</v>
      </c>
      <c r="DW26" s="111" t="n">
        <v>85</v>
      </c>
      <c r="DX26" s="111" t="n">
        <v>49</v>
      </c>
      <c r="DY26" s="111" t="n">
        <v>36</v>
      </c>
      <c r="DZ26" s="111" t="n">
        <v>181</v>
      </c>
      <c r="EA26" s="111" t="n">
        <v>149</v>
      </c>
      <c r="EB26" s="111" t="n">
        <v>136</v>
      </c>
      <c r="EC26" s="111" t="n">
        <v>13</v>
      </c>
      <c r="ED26" s="111" t="n">
        <v>32</v>
      </c>
      <c r="EE26" s="111" t="n">
        <v>10</v>
      </c>
      <c r="EF26" s="111" t="n">
        <v>22</v>
      </c>
      <c r="EG26" s="111" t="n">
        <v>518</v>
      </c>
      <c r="EH26" s="111" t="n">
        <v>360</v>
      </c>
      <c r="EI26" s="111" t="n">
        <v>347</v>
      </c>
      <c r="EJ26" s="111" t="n">
        <v>13</v>
      </c>
      <c r="EK26" s="111" t="n">
        <v>158</v>
      </c>
      <c r="EL26" s="111" t="n">
        <v>143</v>
      </c>
      <c r="EM26" s="111" t="n">
        <v>15</v>
      </c>
      <c r="EN26" s="111" t="n">
        <v>511</v>
      </c>
      <c r="EO26" s="111" t="n">
        <v>257</v>
      </c>
      <c r="EP26" s="111" t="n">
        <v>0</v>
      </c>
      <c r="EQ26" s="111" t="n">
        <v>254</v>
      </c>
      <c r="ER26" s="111" t="n">
        <v>75</v>
      </c>
      <c r="ES26" s="111" t="n">
        <v>0</v>
      </c>
      <c r="ET26" s="111" t="n">
        <v>0</v>
      </c>
      <c r="EU26" s="111" t="n">
        <v>174</v>
      </c>
      <c r="EV26" s="111" t="n">
        <v>174</v>
      </c>
      <c r="EW26" s="111" t="n">
        <v>0</v>
      </c>
      <c r="EX26" s="111" t="n">
        <v>0</v>
      </c>
      <c r="EY26" s="111" t="n">
        <v>58</v>
      </c>
      <c r="EZ26" s="111" t="n">
        <v>58</v>
      </c>
      <c r="FA26" s="111" t="n">
        <v>0</v>
      </c>
      <c r="FB26" s="111" t="n">
        <v>90</v>
      </c>
    </row>
    <row r="27" ht="19.5" customHeight="1" s="247">
      <c r="A27" s="107" t="n">
        <v>24</v>
      </c>
      <c r="B27" s="107" t="inlineStr">
        <is>
          <t>儿童非手术</t>
        </is>
      </c>
      <c r="C27" s="107" t="inlineStr">
        <is>
          <t>儿内科</t>
        </is>
      </c>
      <c r="D27" s="110" t="n">
        <v>1279032</v>
      </c>
      <c r="E27" s="110" t="n">
        <v>1279032</v>
      </c>
      <c r="F27" s="110" t="n">
        <v>0</v>
      </c>
      <c r="G27" s="110" t="n">
        <v>6331</v>
      </c>
      <c r="H27" s="110" t="n">
        <v>0</v>
      </c>
      <c r="I27" s="110" t="n">
        <v>19070</v>
      </c>
      <c r="J27" s="110" t="n">
        <v>0</v>
      </c>
      <c r="K27" s="110" t="n">
        <v>0</v>
      </c>
      <c r="L27" s="110" t="n">
        <v>0</v>
      </c>
      <c r="M27" s="110" t="n">
        <v>0</v>
      </c>
      <c r="N27" s="110" t="n">
        <v>0</v>
      </c>
      <c r="O27" s="110" t="n">
        <v>2666147.55</v>
      </c>
      <c r="P27" s="110" t="n">
        <v>2498712.69</v>
      </c>
      <c r="Q27" s="110" t="n">
        <v>2323396.19</v>
      </c>
      <c r="R27" s="110" t="n">
        <v>175316.5</v>
      </c>
      <c r="S27" s="110" t="n">
        <v>167434.86</v>
      </c>
      <c r="T27" s="110" t="n">
        <v>45944.23</v>
      </c>
      <c r="U27" s="110" t="n">
        <v>121490.63</v>
      </c>
      <c r="V27" s="110" t="n">
        <v>2666147.55</v>
      </c>
      <c r="W27" s="110" t="n">
        <v>2498712.69</v>
      </c>
      <c r="X27" s="110" t="n">
        <v>2323396.19</v>
      </c>
      <c r="Y27" s="110" t="n">
        <v>175316.5</v>
      </c>
      <c r="Z27" s="110" t="n">
        <v>167434.86</v>
      </c>
      <c r="AA27" s="110" t="n">
        <v>45944.23</v>
      </c>
      <c r="AB27" s="110" t="n">
        <v>121490.63</v>
      </c>
      <c r="AC27" s="110" t="n">
        <v>1324337.43</v>
      </c>
      <c r="AD27" s="110" t="n">
        <v>1237412.29</v>
      </c>
      <c r="AE27" s="110" t="n">
        <v>1149226.05</v>
      </c>
      <c r="AF27" s="110" t="n">
        <v>88186.24000000001</v>
      </c>
      <c r="AG27" s="110" t="n">
        <v>86925.14</v>
      </c>
      <c r="AH27" s="110" t="n">
        <v>22445.45</v>
      </c>
      <c r="AI27" s="110" t="n">
        <v>64479.69</v>
      </c>
      <c r="AJ27" s="110" t="n">
        <v>62778.12</v>
      </c>
      <c r="AK27" s="110" t="n">
        <v>57801.4</v>
      </c>
      <c r="AL27" s="110" t="n">
        <v>53501.14</v>
      </c>
      <c r="AM27" s="110" t="n">
        <v>4300.26</v>
      </c>
      <c r="AN27" s="110" t="n">
        <v>4976.72</v>
      </c>
      <c r="AO27" s="110" t="n">
        <v>1463.78</v>
      </c>
      <c r="AP27" s="110" t="n">
        <v>3512.94</v>
      </c>
      <c r="AQ27" s="110" t="n">
        <v>1088879</v>
      </c>
      <c r="AR27" s="110" t="n">
        <v>1030356</v>
      </c>
      <c r="AS27" s="110" t="n">
        <v>963574</v>
      </c>
      <c r="AT27" s="110" t="n">
        <v>66782</v>
      </c>
      <c r="AU27" s="110" t="n">
        <v>58523</v>
      </c>
      <c r="AV27" s="110" t="n">
        <v>16872</v>
      </c>
      <c r="AW27" s="110" t="n">
        <v>41651</v>
      </c>
      <c r="AX27" s="110" t="n">
        <v>190153</v>
      </c>
      <c r="AY27" s="110" t="n">
        <v>173143</v>
      </c>
      <c r="AZ27" s="110" t="n">
        <v>157095</v>
      </c>
      <c r="BA27" s="110" t="n">
        <v>16048</v>
      </c>
      <c r="BB27" s="110" t="n">
        <v>17010</v>
      </c>
      <c r="BC27" s="110" t="n">
        <v>5163</v>
      </c>
      <c r="BD27" s="110" t="n">
        <v>11847</v>
      </c>
      <c r="BE27" s="110" t="n">
        <v>0</v>
      </c>
      <c r="BF27" s="110" t="n">
        <v>0</v>
      </c>
      <c r="BG27" s="110" t="n">
        <v>0</v>
      </c>
      <c r="BH27" s="110" t="n">
        <v>0</v>
      </c>
      <c r="BI27" s="110" t="n">
        <v>0</v>
      </c>
      <c r="BJ27" s="110" t="n">
        <v>0</v>
      </c>
      <c r="BK27" s="110" t="n">
        <v>0</v>
      </c>
      <c r="BL27" s="110" t="n">
        <v>0</v>
      </c>
      <c r="BM27" s="110" t="n">
        <v>0</v>
      </c>
      <c r="BN27" s="110" t="n">
        <v>0</v>
      </c>
      <c r="BO27" s="110" t="n">
        <v>0</v>
      </c>
      <c r="BP27" s="110" t="n">
        <v>0</v>
      </c>
      <c r="BQ27" s="110" t="n">
        <v>0</v>
      </c>
      <c r="BR27" s="110" t="n">
        <v>0</v>
      </c>
      <c r="BS27" s="110" t="n">
        <v>0</v>
      </c>
      <c r="BT27" s="110" t="n">
        <v>0</v>
      </c>
      <c r="BU27" s="110" t="n">
        <v>0</v>
      </c>
      <c r="BV27" s="110" t="n">
        <v>0</v>
      </c>
      <c r="BW27" s="110" t="n">
        <v>0</v>
      </c>
      <c r="BX27" s="110" t="n">
        <v>0</v>
      </c>
      <c r="BY27" s="110" t="n">
        <v>0</v>
      </c>
      <c r="BZ27" s="110" t="n">
        <v>0</v>
      </c>
      <c r="CA27" s="110" t="n">
        <v>0</v>
      </c>
      <c r="CB27" s="110" t="n">
        <v>0</v>
      </c>
      <c r="CC27" s="110" t="n">
        <v>0</v>
      </c>
      <c r="CD27" s="110" t="n">
        <v>0</v>
      </c>
      <c r="CE27" s="110" t="n">
        <v>0</v>
      </c>
      <c r="CF27" s="110" t="n">
        <v>0</v>
      </c>
      <c r="CG27" s="110" t="n">
        <v>0</v>
      </c>
      <c r="CH27" s="110" t="n">
        <v>0</v>
      </c>
      <c r="CI27" s="110" t="n">
        <v>0</v>
      </c>
      <c r="CJ27" s="110" t="n">
        <v>0</v>
      </c>
      <c r="CK27" s="110" t="n">
        <v>0</v>
      </c>
      <c r="CL27" s="110" t="n">
        <v>0</v>
      </c>
      <c r="CM27" s="110" t="n">
        <v>0</v>
      </c>
      <c r="CN27" s="110" t="n">
        <v>189147.77</v>
      </c>
      <c r="CO27" s="110" t="n">
        <v>2359860.69</v>
      </c>
      <c r="CP27" s="110" t="n">
        <v>48217.72</v>
      </c>
      <c r="CQ27" s="110" t="n">
        <v>1992</v>
      </c>
      <c r="CR27" s="110" t="n">
        <v>66939.37</v>
      </c>
      <c r="CS27" s="110" t="n">
        <v>0</v>
      </c>
      <c r="CT27" s="110" t="n">
        <v>0</v>
      </c>
      <c r="CU27" s="110" t="n">
        <v>0</v>
      </c>
      <c r="CV27" s="111" t="n">
        <v>6331</v>
      </c>
      <c r="CW27" s="111" t="n">
        <v>5844</v>
      </c>
      <c r="CX27" s="111" t="n">
        <v>5311</v>
      </c>
      <c r="CY27" s="111" t="n">
        <v>533</v>
      </c>
      <c r="CZ27" s="111" t="n">
        <v>487</v>
      </c>
      <c r="DA27" s="111" t="n">
        <v>151</v>
      </c>
      <c r="DB27" s="111" t="n">
        <v>336</v>
      </c>
      <c r="DC27" s="111" t="n">
        <v>5799</v>
      </c>
      <c r="DD27" s="111" t="n">
        <v>0</v>
      </c>
      <c r="DE27" s="111" t="n">
        <v>5381</v>
      </c>
      <c r="DF27" s="111" t="n">
        <v>4901</v>
      </c>
      <c r="DG27" s="111" t="n">
        <v>480</v>
      </c>
      <c r="DH27" s="111" t="n">
        <v>418</v>
      </c>
      <c r="DI27" s="111" t="n">
        <v>125</v>
      </c>
      <c r="DJ27" s="111" t="n">
        <v>293</v>
      </c>
      <c r="DK27" s="111" t="n">
        <v>54</v>
      </c>
      <c r="DL27" s="111" t="n">
        <v>50</v>
      </c>
      <c r="DM27" s="111" t="n">
        <v>40</v>
      </c>
      <c r="DN27" s="111" t="n">
        <v>10</v>
      </c>
      <c r="DO27" s="111" t="n">
        <v>4</v>
      </c>
      <c r="DP27" s="111" t="n">
        <v>1</v>
      </c>
      <c r="DQ27" s="111" t="n">
        <v>3</v>
      </c>
      <c r="DR27" s="111" t="n">
        <v>20</v>
      </c>
      <c r="DS27" s="111" t="n">
        <v>0</v>
      </c>
      <c r="DT27" s="111" t="n">
        <v>12</v>
      </c>
      <c r="DU27" s="111" t="n">
        <v>9</v>
      </c>
      <c r="DV27" s="111" t="n">
        <v>3</v>
      </c>
      <c r="DW27" s="111" t="n">
        <v>8</v>
      </c>
      <c r="DX27" s="111" t="n">
        <v>2</v>
      </c>
      <c r="DY27" s="111" t="n">
        <v>6</v>
      </c>
      <c r="DZ27" s="111" t="n">
        <v>458</v>
      </c>
      <c r="EA27" s="111" t="n">
        <v>401</v>
      </c>
      <c r="EB27" s="111" t="n">
        <v>361</v>
      </c>
      <c r="EC27" s="111" t="n">
        <v>40</v>
      </c>
      <c r="ED27" s="111" t="n">
        <v>57</v>
      </c>
      <c r="EE27" s="111" t="n">
        <v>23</v>
      </c>
      <c r="EF27" s="111" t="n">
        <v>34</v>
      </c>
      <c r="EG27" s="111" t="n">
        <v>0</v>
      </c>
      <c r="EH27" s="111" t="n">
        <v>0</v>
      </c>
      <c r="EI27" s="111" t="n">
        <v>0</v>
      </c>
      <c r="EJ27" s="111" t="n">
        <v>0</v>
      </c>
      <c r="EK27" s="111" t="n">
        <v>0</v>
      </c>
      <c r="EL27" s="111" t="n">
        <v>0</v>
      </c>
      <c r="EM27" s="111" t="n">
        <v>0</v>
      </c>
      <c r="EN27" s="111" t="n">
        <v>0</v>
      </c>
      <c r="EO27" s="111" t="n">
        <v>0</v>
      </c>
      <c r="EP27" s="111" t="n">
        <v>0</v>
      </c>
      <c r="EQ27" s="111" t="n">
        <v>0</v>
      </c>
      <c r="ER27" s="111" t="n">
        <v>0</v>
      </c>
      <c r="ES27" s="111" t="n">
        <v>0</v>
      </c>
      <c r="ET27" s="111" t="n">
        <v>0</v>
      </c>
      <c r="EU27" s="111" t="n">
        <v>0</v>
      </c>
      <c r="EV27" s="111" t="n">
        <v>0</v>
      </c>
      <c r="EW27" s="111" t="n">
        <v>0</v>
      </c>
      <c r="EX27" s="111" t="n">
        <v>0</v>
      </c>
      <c r="EY27" s="111" t="n">
        <v>0</v>
      </c>
      <c r="EZ27" s="111" t="n">
        <v>0</v>
      </c>
      <c r="FA27" s="111" t="n">
        <v>0</v>
      </c>
      <c r="FB27" s="111" t="n">
        <v>0</v>
      </c>
    </row>
    <row r="28" ht="19.5" customHeight="1" s="247">
      <c r="A28" s="107" t="n">
        <v>25</v>
      </c>
      <c r="B28" s="107" t="inlineStr">
        <is>
          <t>儿童非手术</t>
        </is>
      </c>
      <c r="C28" s="107" t="inlineStr">
        <is>
          <t>儿消化营养科</t>
        </is>
      </c>
      <c r="D28" s="110" t="n">
        <v>2431986</v>
      </c>
      <c r="E28" s="110" t="n">
        <v>1289135</v>
      </c>
      <c r="F28" s="110" t="n">
        <v>1142851</v>
      </c>
      <c r="G28" s="110" t="n">
        <v>4954</v>
      </c>
      <c r="H28" s="110" t="n">
        <v>134</v>
      </c>
      <c r="I28" s="110" t="n">
        <v>11801</v>
      </c>
      <c r="J28" s="110" t="n">
        <v>0</v>
      </c>
      <c r="K28" s="110" t="n">
        <v>0</v>
      </c>
      <c r="L28" s="110" t="n">
        <v>58764</v>
      </c>
      <c r="M28" s="110" t="n">
        <v>6226</v>
      </c>
      <c r="N28" s="110" t="n">
        <v>0</v>
      </c>
      <c r="O28" s="110" t="n">
        <v>4010986</v>
      </c>
      <c r="P28" s="110" t="n">
        <v>2670681.06</v>
      </c>
      <c r="Q28" s="110" t="n">
        <v>2342284.55</v>
      </c>
      <c r="R28" s="110" t="n">
        <v>328396.51</v>
      </c>
      <c r="S28" s="110" t="n">
        <v>1340304.94</v>
      </c>
      <c r="T28" s="110" t="n">
        <v>1022850.09</v>
      </c>
      <c r="U28" s="110" t="n">
        <v>317454.85</v>
      </c>
      <c r="V28" s="110" t="n">
        <v>2073155.48</v>
      </c>
      <c r="W28" s="110" t="n">
        <v>1826417.34</v>
      </c>
      <c r="X28" s="110" t="n">
        <v>1619612.14</v>
      </c>
      <c r="Y28" s="110" t="n">
        <v>206805.2</v>
      </c>
      <c r="Z28" s="110" t="n">
        <v>246738.14</v>
      </c>
      <c r="AA28" s="110" t="n">
        <v>77476.99000000001</v>
      </c>
      <c r="AB28" s="110" t="n">
        <v>169261.15</v>
      </c>
      <c r="AC28" s="110" t="n">
        <v>746788.5</v>
      </c>
      <c r="AD28" s="110" t="n">
        <v>673121.64</v>
      </c>
      <c r="AE28" s="110" t="n">
        <v>605750</v>
      </c>
      <c r="AF28" s="110" t="n">
        <v>67371.64</v>
      </c>
      <c r="AG28" s="110" t="n">
        <v>73666.86</v>
      </c>
      <c r="AH28" s="110" t="n">
        <v>25650.99</v>
      </c>
      <c r="AI28" s="110" t="n">
        <v>48015.87</v>
      </c>
      <c r="AJ28" s="110" t="n">
        <v>37231.98</v>
      </c>
      <c r="AK28" s="110" t="n">
        <v>32521.7</v>
      </c>
      <c r="AL28" s="110" t="n">
        <v>28915.14</v>
      </c>
      <c r="AM28" s="110" t="n">
        <v>3606.56</v>
      </c>
      <c r="AN28" s="110" t="n">
        <v>4710.28</v>
      </c>
      <c r="AO28" s="110" t="n">
        <v>1835</v>
      </c>
      <c r="AP28" s="110" t="n">
        <v>2875.28</v>
      </c>
      <c r="AQ28" s="110" t="n">
        <v>1019461</v>
      </c>
      <c r="AR28" s="110" t="n">
        <v>894732</v>
      </c>
      <c r="AS28" s="110" t="n">
        <v>793459</v>
      </c>
      <c r="AT28" s="110" t="n">
        <v>101273</v>
      </c>
      <c r="AU28" s="110" t="n">
        <v>124729</v>
      </c>
      <c r="AV28" s="110" t="n">
        <v>36101</v>
      </c>
      <c r="AW28" s="110" t="n">
        <v>88628</v>
      </c>
      <c r="AX28" s="110" t="n">
        <v>269674</v>
      </c>
      <c r="AY28" s="110" t="n">
        <v>226042</v>
      </c>
      <c r="AZ28" s="110" t="n">
        <v>191488</v>
      </c>
      <c r="BA28" s="110" t="n">
        <v>34554</v>
      </c>
      <c r="BB28" s="110" t="n">
        <v>43632</v>
      </c>
      <c r="BC28" s="110" t="n">
        <v>13890</v>
      </c>
      <c r="BD28" s="110" t="n">
        <v>29742</v>
      </c>
      <c r="BE28" s="110" t="n">
        <v>1937830.52</v>
      </c>
      <c r="BF28" s="110" t="n">
        <v>844263.72</v>
      </c>
      <c r="BG28" s="110" t="n">
        <v>722672.41</v>
      </c>
      <c r="BH28" s="110" t="n">
        <v>121591.31</v>
      </c>
      <c r="BI28" s="110" t="n">
        <v>1093566.8</v>
      </c>
      <c r="BJ28" s="110" t="n">
        <v>945373.1</v>
      </c>
      <c r="BK28" s="110" t="n">
        <v>148193.7</v>
      </c>
      <c r="BL28" s="110" t="n">
        <v>574756.72</v>
      </c>
      <c r="BM28" s="110" t="n">
        <v>285483.8</v>
      </c>
      <c r="BN28" s="110" t="n">
        <v>272455.71</v>
      </c>
      <c r="BO28" s="110" t="n">
        <v>13028.09</v>
      </c>
      <c r="BP28" s="110" t="n">
        <v>289272.92</v>
      </c>
      <c r="BQ28" s="110" t="n">
        <v>260498.08</v>
      </c>
      <c r="BR28" s="110" t="n">
        <v>28774.84</v>
      </c>
      <c r="BS28" s="110" t="n">
        <v>220222.8</v>
      </c>
      <c r="BT28" s="110" t="n">
        <v>64262.92</v>
      </c>
      <c r="BU28" s="110" t="n">
        <v>58188.7</v>
      </c>
      <c r="BV28" s="110" t="n">
        <v>6074.22</v>
      </c>
      <c r="BW28" s="110" t="n">
        <v>155959.88</v>
      </c>
      <c r="BX28" s="110" t="n">
        <v>145935.02</v>
      </c>
      <c r="BY28" s="110" t="n">
        <v>10024.86</v>
      </c>
      <c r="BZ28" s="110" t="n">
        <v>676040.5</v>
      </c>
      <c r="CA28" s="110" t="n">
        <v>292365</v>
      </c>
      <c r="CB28" s="110" t="n">
        <v>260898</v>
      </c>
      <c r="CC28" s="110" t="n">
        <v>31467</v>
      </c>
      <c r="CD28" s="110" t="n">
        <v>383675.5</v>
      </c>
      <c r="CE28" s="110" t="n">
        <v>322193.5</v>
      </c>
      <c r="CF28" s="110" t="n">
        <v>61482</v>
      </c>
      <c r="CG28" s="110" t="n">
        <v>466810.5</v>
      </c>
      <c r="CH28" s="110" t="n">
        <v>202152</v>
      </c>
      <c r="CI28" s="110" t="n">
        <v>131130</v>
      </c>
      <c r="CJ28" s="110" t="n">
        <v>71022</v>
      </c>
      <c r="CK28" s="110" t="n">
        <v>264658.5</v>
      </c>
      <c r="CL28" s="110" t="n">
        <v>216746.5</v>
      </c>
      <c r="CM28" s="110" t="n">
        <v>47912</v>
      </c>
      <c r="CN28" s="110" t="n">
        <v>596083.08</v>
      </c>
      <c r="CO28" s="110" t="n">
        <v>446935.12</v>
      </c>
      <c r="CP28" s="110" t="n">
        <v>84923.60000000001</v>
      </c>
      <c r="CQ28" s="110" t="n">
        <v>523050.49</v>
      </c>
      <c r="CR28" s="110" t="n">
        <v>409633.85</v>
      </c>
      <c r="CS28" s="110" t="n">
        <v>12529.34</v>
      </c>
      <c r="CT28" s="110" t="n">
        <v>141614.07</v>
      </c>
      <c r="CU28" s="110" t="n">
        <v>0</v>
      </c>
      <c r="CV28" s="111" t="n">
        <v>4954</v>
      </c>
      <c r="CW28" s="111" t="n">
        <v>4320</v>
      </c>
      <c r="CX28" s="111" t="n">
        <v>3731</v>
      </c>
      <c r="CY28" s="111" t="n">
        <v>589</v>
      </c>
      <c r="CZ28" s="111" t="n">
        <v>634</v>
      </c>
      <c r="DA28" s="111" t="n">
        <v>189</v>
      </c>
      <c r="DB28" s="111" t="n">
        <v>445</v>
      </c>
      <c r="DC28" s="111" t="n">
        <v>2672</v>
      </c>
      <c r="DD28" s="111" t="n">
        <v>63</v>
      </c>
      <c r="DE28" s="111" t="n">
        <v>2335</v>
      </c>
      <c r="DF28" s="111" t="n">
        <v>2022</v>
      </c>
      <c r="DG28" s="111" t="n">
        <v>313</v>
      </c>
      <c r="DH28" s="111" t="n">
        <v>337</v>
      </c>
      <c r="DI28" s="111" t="n">
        <v>97</v>
      </c>
      <c r="DJ28" s="111" t="n">
        <v>240</v>
      </c>
      <c r="DK28" s="111" t="n">
        <v>202</v>
      </c>
      <c r="DL28" s="111" t="n">
        <v>172</v>
      </c>
      <c r="DM28" s="111" t="n">
        <v>146</v>
      </c>
      <c r="DN28" s="111" t="n">
        <v>26</v>
      </c>
      <c r="DO28" s="111" t="n">
        <v>30</v>
      </c>
      <c r="DP28" s="111" t="n">
        <v>12</v>
      </c>
      <c r="DQ28" s="111" t="n">
        <v>18</v>
      </c>
      <c r="DR28" s="111" t="n">
        <v>739</v>
      </c>
      <c r="DS28" s="111" t="n">
        <v>0</v>
      </c>
      <c r="DT28" s="111" t="n">
        <v>619</v>
      </c>
      <c r="DU28" s="111" t="n">
        <v>526</v>
      </c>
      <c r="DV28" s="111" t="n">
        <v>93</v>
      </c>
      <c r="DW28" s="111" t="n">
        <v>120</v>
      </c>
      <c r="DX28" s="111" t="n">
        <v>38</v>
      </c>
      <c r="DY28" s="111" t="n">
        <v>82</v>
      </c>
      <c r="DZ28" s="111" t="n">
        <v>1278</v>
      </c>
      <c r="EA28" s="111" t="n">
        <v>1144</v>
      </c>
      <c r="EB28" s="111" t="n">
        <v>997</v>
      </c>
      <c r="EC28" s="111" t="n">
        <v>147</v>
      </c>
      <c r="ED28" s="111" t="n">
        <v>134</v>
      </c>
      <c r="EE28" s="111" t="n">
        <v>42</v>
      </c>
      <c r="EF28" s="111" t="n">
        <v>92</v>
      </c>
      <c r="EG28" s="111" t="n">
        <v>134</v>
      </c>
      <c r="EH28" s="111" t="n">
        <v>77</v>
      </c>
      <c r="EI28" s="111" t="n">
        <v>68</v>
      </c>
      <c r="EJ28" s="111" t="n">
        <v>9</v>
      </c>
      <c r="EK28" s="111" t="n">
        <v>57</v>
      </c>
      <c r="EL28" s="111" t="n">
        <v>44</v>
      </c>
      <c r="EM28" s="111" t="n">
        <v>13</v>
      </c>
      <c r="EN28" s="111" t="n">
        <v>78</v>
      </c>
      <c r="EO28" s="111" t="n">
        <v>1</v>
      </c>
      <c r="EP28" s="111" t="n">
        <v>0</v>
      </c>
      <c r="EQ28" s="111" t="n">
        <v>77</v>
      </c>
      <c r="ER28" s="111" t="n">
        <v>0</v>
      </c>
      <c r="ES28" s="111" t="n">
        <v>0</v>
      </c>
      <c r="ET28" s="111" t="n">
        <v>0</v>
      </c>
      <c r="EU28" s="111" t="n">
        <v>0</v>
      </c>
      <c r="EV28" s="111" t="n">
        <v>0</v>
      </c>
      <c r="EW28" s="111" t="n">
        <v>0</v>
      </c>
      <c r="EX28" s="111" t="n">
        <v>0</v>
      </c>
      <c r="EY28" s="111" t="n">
        <v>0</v>
      </c>
      <c r="EZ28" s="111" t="n">
        <v>0</v>
      </c>
      <c r="FA28" s="111" t="n">
        <v>0</v>
      </c>
      <c r="FB28" s="111" t="n">
        <v>41</v>
      </c>
    </row>
    <row r="29" ht="19.5" customHeight="1" s="247">
      <c r="A29" s="107" t="n">
        <v>26</v>
      </c>
      <c r="B29" s="107" t="inlineStr">
        <is>
          <t>儿童非手术</t>
        </is>
      </c>
      <c r="C29" s="107" t="inlineStr">
        <is>
          <t>儿呼吸内科</t>
        </is>
      </c>
      <c r="D29" s="110" t="n">
        <v>4804073.5</v>
      </c>
      <c r="E29" s="110" t="n">
        <v>2921533.5</v>
      </c>
      <c r="F29" s="110" t="n">
        <v>1882540</v>
      </c>
      <c r="G29" s="110" t="n">
        <v>8930</v>
      </c>
      <c r="H29" s="110" t="n">
        <v>232</v>
      </c>
      <c r="I29" s="110" t="n">
        <v>30389.5</v>
      </c>
      <c r="J29" s="110" t="n">
        <v>0</v>
      </c>
      <c r="K29" s="110" t="n">
        <v>0</v>
      </c>
      <c r="L29" s="110" t="n">
        <v>82452.5</v>
      </c>
      <c r="M29" s="110" t="n">
        <v>1322</v>
      </c>
      <c r="N29" s="110" t="n">
        <v>0</v>
      </c>
      <c r="O29" s="110" t="n">
        <v>7343389.55</v>
      </c>
      <c r="P29" s="110" t="n">
        <v>6435935.07</v>
      </c>
      <c r="Q29" s="110" t="n">
        <v>5717032.81</v>
      </c>
      <c r="R29" s="110" t="n">
        <v>718902.26</v>
      </c>
      <c r="S29" s="110" t="n">
        <v>907454.48</v>
      </c>
      <c r="T29" s="110" t="n">
        <v>409002.19</v>
      </c>
      <c r="U29" s="110" t="n">
        <v>498452.29</v>
      </c>
      <c r="V29" s="110" t="n">
        <v>5032043.22</v>
      </c>
      <c r="W29" s="110" t="n">
        <v>4484541.74</v>
      </c>
      <c r="X29" s="110" t="n">
        <v>4028802.4</v>
      </c>
      <c r="Y29" s="110" t="n">
        <v>455739.34</v>
      </c>
      <c r="Z29" s="110" t="n">
        <v>547501.48</v>
      </c>
      <c r="AA29" s="110" t="n">
        <v>159575.49</v>
      </c>
      <c r="AB29" s="110" t="n">
        <v>387925.99</v>
      </c>
      <c r="AC29" s="110" t="n">
        <v>1999698.44</v>
      </c>
      <c r="AD29" s="110" t="n">
        <v>1807502.8</v>
      </c>
      <c r="AE29" s="110" t="n">
        <v>1648804.36</v>
      </c>
      <c r="AF29" s="110" t="n">
        <v>158698.44</v>
      </c>
      <c r="AG29" s="110" t="n">
        <v>192195.64</v>
      </c>
      <c r="AH29" s="110" t="n">
        <v>54950.87</v>
      </c>
      <c r="AI29" s="110" t="n">
        <v>137244.77</v>
      </c>
      <c r="AJ29" s="110" t="n">
        <v>110811.28</v>
      </c>
      <c r="AK29" s="110" t="n">
        <v>97170.44</v>
      </c>
      <c r="AL29" s="110" t="n">
        <v>86685.53999999999</v>
      </c>
      <c r="AM29" s="110" t="n">
        <v>10484.9</v>
      </c>
      <c r="AN29" s="110" t="n">
        <v>13640.84</v>
      </c>
      <c r="AO29" s="110" t="n">
        <v>5264.62</v>
      </c>
      <c r="AP29" s="110" t="n">
        <v>8376.219999999999</v>
      </c>
      <c r="AQ29" s="110" t="n">
        <v>1914970</v>
      </c>
      <c r="AR29" s="110" t="n">
        <v>1719095</v>
      </c>
      <c r="AS29" s="110" t="n">
        <v>1557120</v>
      </c>
      <c r="AT29" s="110" t="n">
        <v>161975</v>
      </c>
      <c r="AU29" s="110" t="n">
        <v>195875</v>
      </c>
      <c r="AV29" s="110" t="n">
        <v>56511</v>
      </c>
      <c r="AW29" s="110" t="n">
        <v>139364</v>
      </c>
      <c r="AX29" s="110" t="n">
        <v>1006563.5</v>
      </c>
      <c r="AY29" s="110" t="n">
        <v>860773.5</v>
      </c>
      <c r="AZ29" s="110" t="n">
        <v>736192.5</v>
      </c>
      <c r="BA29" s="110" t="n">
        <v>124581</v>
      </c>
      <c r="BB29" s="110" t="n">
        <v>145790</v>
      </c>
      <c r="BC29" s="110" t="n">
        <v>42849</v>
      </c>
      <c r="BD29" s="110" t="n">
        <v>102941</v>
      </c>
      <c r="BE29" s="110" t="n">
        <v>2311346.33</v>
      </c>
      <c r="BF29" s="110" t="n">
        <v>1951393.33</v>
      </c>
      <c r="BG29" s="110" t="n">
        <v>1688230.41</v>
      </c>
      <c r="BH29" s="110" t="n">
        <v>263162.92</v>
      </c>
      <c r="BI29" s="110" t="n">
        <v>359953</v>
      </c>
      <c r="BJ29" s="110" t="n">
        <v>249426.7</v>
      </c>
      <c r="BK29" s="110" t="n">
        <v>110526.3</v>
      </c>
      <c r="BL29" s="110" t="n">
        <v>324962.9</v>
      </c>
      <c r="BM29" s="110" t="n">
        <v>269009.9</v>
      </c>
      <c r="BN29" s="110" t="n">
        <v>232660.34</v>
      </c>
      <c r="BO29" s="110" t="n">
        <v>36349.56</v>
      </c>
      <c r="BP29" s="110" t="n">
        <v>55953</v>
      </c>
      <c r="BQ29" s="110" t="n">
        <v>44721.9</v>
      </c>
      <c r="BR29" s="110" t="n">
        <v>11231.1</v>
      </c>
      <c r="BS29" s="110" t="n">
        <v>103843.43</v>
      </c>
      <c r="BT29" s="110" t="n">
        <v>85336.92999999999</v>
      </c>
      <c r="BU29" s="110" t="n">
        <v>75949.57000000001</v>
      </c>
      <c r="BV29" s="110" t="n">
        <v>9387.360000000001</v>
      </c>
      <c r="BW29" s="110" t="n">
        <v>18506.5</v>
      </c>
      <c r="BX29" s="110" t="n">
        <v>13648.3</v>
      </c>
      <c r="BY29" s="110" t="n">
        <v>4858.2</v>
      </c>
      <c r="BZ29" s="110" t="n">
        <v>1244881</v>
      </c>
      <c r="CA29" s="110" t="n">
        <v>1028393</v>
      </c>
      <c r="CB29" s="110" t="n">
        <v>952320</v>
      </c>
      <c r="CC29" s="110" t="n">
        <v>76073</v>
      </c>
      <c r="CD29" s="110" t="n">
        <v>216488</v>
      </c>
      <c r="CE29" s="110" t="n">
        <v>147339</v>
      </c>
      <c r="CF29" s="110" t="n">
        <v>69149</v>
      </c>
      <c r="CG29" s="110" t="n">
        <v>637659</v>
      </c>
      <c r="CH29" s="110" t="n">
        <v>568653.5</v>
      </c>
      <c r="CI29" s="110" t="n">
        <v>427300.5</v>
      </c>
      <c r="CJ29" s="110" t="n">
        <v>141353</v>
      </c>
      <c r="CK29" s="110" t="n">
        <v>69005.5</v>
      </c>
      <c r="CL29" s="110" t="n">
        <v>43717.5</v>
      </c>
      <c r="CM29" s="110" t="n">
        <v>25288</v>
      </c>
      <c r="CN29" s="110" t="n">
        <v>448056.7</v>
      </c>
      <c r="CO29" s="110" t="n">
        <v>1599087.31</v>
      </c>
      <c r="CP29" s="110" t="n">
        <v>687461.45</v>
      </c>
      <c r="CQ29" s="110" t="n">
        <v>383259.64</v>
      </c>
      <c r="CR29" s="110" t="n">
        <v>1914123.12</v>
      </c>
      <c r="CS29" s="110" t="n">
        <v>0</v>
      </c>
      <c r="CT29" s="110" t="n">
        <v>159414.23</v>
      </c>
      <c r="CU29" s="110" t="n">
        <v>0</v>
      </c>
      <c r="CV29" s="111" t="n">
        <v>8930</v>
      </c>
      <c r="CW29" s="111" t="n">
        <v>8010</v>
      </c>
      <c r="CX29" s="111" t="n">
        <v>7135</v>
      </c>
      <c r="CY29" s="111" t="n">
        <v>875</v>
      </c>
      <c r="CZ29" s="111" t="n">
        <v>920</v>
      </c>
      <c r="DA29" s="111" t="n">
        <v>269</v>
      </c>
      <c r="DB29" s="111" t="n">
        <v>651</v>
      </c>
      <c r="DC29" s="111" t="n">
        <v>4371</v>
      </c>
      <c r="DD29" s="111" t="n">
        <v>47</v>
      </c>
      <c r="DE29" s="111" t="n">
        <v>3997</v>
      </c>
      <c r="DF29" s="111" t="n">
        <v>3589</v>
      </c>
      <c r="DG29" s="111" t="n">
        <v>408</v>
      </c>
      <c r="DH29" s="111" t="n">
        <v>374</v>
      </c>
      <c r="DI29" s="111" t="n">
        <v>107</v>
      </c>
      <c r="DJ29" s="111" t="n">
        <v>267</v>
      </c>
      <c r="DK29" s="111" t="n">
        <v>1360</v>
      </c>
      <c r="DL29" s="111" t="n">
        <v>1240</v>
      </c>
      <c r="DM29" s="111" t="n">
        <v>1138</v>
      </c>
      <c r="DN29" s="111" t="n">
        <v>102</v>
      </c>
      <c r="DO29" s="111" t="n">
        <v>120</v>
      </c>
      <c r="DP29" s="111" t="n">
        <v>37</v>
      </c>
      <c r="DQ29" s="111" t="n">
        <v>83</v>
      </c>
      <c r="DR29" s="111" t="n">
        <v>2332</v>
      </c>
      <c r="DS29" s="111" t="n">
        <v>3</v>
      </c>
      <c r="DT29" s="111" t="n">
        <v>2009</v>
      </c>
      <c r="DU29" s="111" t="n">
        <v>1754</v>
      </c>
      <c r="DV29" s="111" t="n">
        <v>255</v>
      </c>
      <c r="DW29" s="111" t="n">
        <v>323</v>
      </c>
      <c r="DX29" s="111" t="n">
        <v>96</v>
      </c>
      <c r="DY29" s="111" t="n">
        <v>227</v>
      </c>
      <c r="DZ29" s="111" t="n">
        <v>817</v>
      </c>
      <c r="EA29" s="111" t="n">
        <v>720</v>
      </c>
      <c r="EB29" s="111" t="n">
        <v>616</v>
      </c>
      <c r="EC29" s="111" t="n">
        <v>104</v>
      </c>
      <c r="ED29" s="111" t="n">
        <v>97</v>
      </c>
      <c r="EE29" s="111" t="n">
        <v>29</v>
      </c>
      <c r="EF29" s="111" t="n">
        <v>68</v>
      </c>
      <c r="EG29" s="111" t="n">
        <v>232</v>
      </c>
      <c r="EH29" s="111" t="n">
        <v>191</v>
      </c>
      <c r="EI29" s="111" t="n">
        <v>168</v>
      </c>
      <c r="EJ29" s="111" t="n">
        <v>23</v>
      </c>
      <c r="EK29" s="111" t="n">
        <v>41</v>
      </c>
      <c r="EL29" s="111" t="n">
        <v>28</v>
      </c>
      <c r="EM29" s="111" t="n">
        <v>13</v>
      </c>
      <c r="EN29" s="111" t="n">
        <v>13</v>
      </c>
      <c r="EO29" s="111" t="n">
        <v>0</v>
      </c>
      <c r="EP29" s="111" t="n">
        <v>0</v>
      </c>
      <c r="EQ29" s="111" t="n">
        <v>13</v>
      </c>
      <c r="ER29" s="111" t="n">
        <v>0</v>
      </c>
      <c r="ES29" s="111" t="n">
        <v>0</v>
      </c>
      <c r="ET29" s="111" t="n">
        <v>0</v>
      </c>
      <c r="EU29" s="111" t="n">
        <v>0</v>
      </c>
      <c r="EV29" s="111" t="n">
        <v>0</v>
      </c>
      <c r="EW29" s="111" t="n">
        <v>0</v>
      </c>
      <c r="EX29" s="111" t="n">
        <v>0</v>
      </c>
      <c r="EY29" s="111" t="n">
        <v>0</v>
      </c>
      <c r="EZ29" s="111" t="n">
        <v>0</v>
      </c>
      <c r="FA29" s="111" t="n">
        <v>0</v>
      </c>
      <c r="FB29" s="111" t="n">
        <v>142</v>
      </c>
    </row>
    <row r="30" ht="19.5" customHeight="1" s="247">
      <c r="A30" s="107" t="n">
        <v>27</v>
      </c>
      <c r="B30" s="107" t="inlineStr">
        <is>
          <t>儿童非手术</t>
        </is>
      </c>
      <c r="C30" s="107" t="inlineStr">
        <is>
          <t>儿肾脏内科</t>
        </is>
      </c>
      <c r="D30" s="110" t="n">
        <v>1595871</v>
      </c>
      <c r="E30" s="110" t="n">
        <v>904582</v>
      </c>
      <c r="F30" s="110" t="n">
        <v>691289</v>
      </c>
      <c r="G30" s="110" t="n">
        <v>3404</v>
      </c>
      <c r="H30" s="110" t="n">
        <v>89</v>
      </c>
      <c r="I30" s="110" t="n">
        <v>8686</v>
      </c>
      <c r="J30" s="110" t="n">
        <v>0</v>
      </c>
      <c r="K30" s="110" t="n">
        <v>0</v>
      </c>
      <c r="L30" s="110" t="n">
        <v>10838</v>
      </c>
      <c r="M30" s="110" t="n">
        <v>0</v>
      </c>
      <c r="N30" s="110" t="n">
        <v>0</v>
      </c>
      <c r="O30" s="110" t="n">
        <v>2584290.71</v>
      </c>
      <c r="P30" s="110" t="n">
        <v>1914402.65</v>
      </c>
      <c r="Q30" s="110" t="n">
        <v>1759933.22</v>
      </c>
      <c r="R30" s="110" t="n">
        <v>154469.43</v>
      </c>
      <c r="S30" s="110" t="n">
        <v>669888.0600000001</v>
      </c>
      <c r="T30" s="110" t="n">
        <v>454668.02</v>
      </c>
      <c r="U30" s="110" t="n">
        <v>215220.04</v>
      </c>
      <c r="V30" s="110" t="n">
        <v>1645338.35</v>
      </c>
      <c r="W30" s="110" t="n">
        <v>1391952.59</v>
      </c>
      <c r="X30" s="110" t="n">
        <v>1257842.96</v>
      </c>
      <c r="Y30" s="110" t="n">
        <v>134109.63</v>
      </c>
      <c r="Z30" s="110" t="n">
        <v>253385.76</v>
      </c>
      <c r="AA30" s="110" t="n">
        <v>89936.92</v>
      </c>
      <c r="AB30" s="110" t="n">
        <v>163448.84</v>
      </c>
      <c r="AC30" s="110" t="n">
        <v>714985.4300000001</v>
      </c>
      <c r="AD30" s="110" t="n">
        <v>613514.63</v>
      </c>
      <c r="AE30" s="110" t="n">
        <v>562680.2</v>
      </c>
      <c r="AF30" s="110" t="n">
        <v>50834.43</v>
      </c>
      <c r="AG30" s="110" t="n">
        <v>101470.8</v>
      </c>
      <c r="AH30" s="110" t="n">
        <v>36050.3</v>
      </c>
      <c r="AI30" s="110" t="n">
        <v>65420.5</v>
      </c>
      <c r="AJ30" s="110" t="n">
        <v>25770.92</v>
      </c>
      <c r="AK30" s="110" t="n">
        <v>20783.96</v>
      </c>
      <c r="AL30" s="110" t="n">
        <v>19062.76</v>
      </c>
      <c r="AM30" s="110" t="n">
        <v>1721.2</v>
      </c>
      <c r="AN30" s="110" t="n">
        <v>4986.96</v>
      </c>
      <c r="AO30" s="110" t="n">
        <v>3493.62</v>
      </c>
      <c r="AP30" s="110" t="n">
        <v>1493.34</v>
      </c>
      <c r="AQ30" s="110" t="n">
        <v>654559</v>
      </c>
      <c r="AR30" s="110" t="n">
        <v>559700</v>
      </c>
      <c r="AS30" s="110" t="n">
        <v>502372</v>
      </c>
      <c r="AT30" s="110" t="n">
        <v>57328</v>
      </c>
      <c r="AU30" s="110" t="n">
        <v>94859</v>
      </c>
      <c r="AV30" s="110" t="n">
        <v>33120</v>
      </c>
      <c r="AW30" s="110" t="n">
        <v>61739</v>
      </c>
      <c r="AX30" s="110" t="n">
        <v>250023</v>
      </c>
      <c r="AY30" s="110" t="n">
        <v>197954</v>
      </c>
      <c r="AZ30" s="110" t="n">
        <v>173728</v>
      </c>
      <c r="BA30" s="110" t="n">
        <v>24226</v>
      </c>
      <c r="BB30" s="110" t="n">
        <v>52069</v>
      </c>
      <c r="BC30" s="110" t="n">
        <v>17273</v>
      </c>
      <c r="BD30" s="110" t="n">
        <v>34796</v>
      </c>
      <c r="BE30" s="110" t="n">
        <v>938952.36</v>
      </c>
      <c r="BF30" s="110" t="n">
        <v>522450.06</v>
      </c>
      <c r="BG30" s="110" t="n">
        <v>502090.26</v>
      </c>
      <c r="BH30" s="110" t="n">
        <v>20359.8</v>
      </c>
      <c r="BI30" s="110" t="n">
        <v>416502.3</v>
      </c>
      <c r="BJ30" s="110" t="n">
        <v>364731.1</v>
      </c>
      <c r="BK30" s="110" t="n">
        <v>51771.2</v>
      </c>
      <c r="BL30" s="110" t="n">
        <v>220831.63</v>
      </c>
      <c r="BM30" s="110" t="n">
        <v>122654.58</v>
      </c>
      <c r="BN30" s="110" t="n">
        <v>106845.78</v>
      </c>
      <c r="BO30" s="110" t="n">
        <v>15808.8</v>
      </c>
      <c r="BP30" s="110" t="n">
        <v>98177.05</v>
      </c>
      <c r="BQ30" s="110" t="n">
        <v>72077.19</v>
      </c>
      <c r="BR30" s="110" t="n">
        <v>26099.86</v>
      </c>
      <c r="BS30" s="110" t="n">
        <v>26831.73</v>
      </c>
      <c r="BT30" s="110" t="n">
        <v>15988.48</v>
      </c>
      <c r="BU30" s="110" t="n">
        <v>15845.48</v>
      </c>
      <c r="BV30" s="110" t="n">
        <v>143</v>
      </c>
      <c r="BW30" s="110" t="n">
        <v>10843.25</v>
      </c>
      <c r="BX30" s="110" t="n">
        <v>10401.91</v>
      </c>
      <c r="BY30" s="110" t="n">
        <v>441.34</v>
      </c>
      <c r="BZ30" s="110" t="n">
        <v>475455.5</v>
      </c>
      <c r="CA30" s="110" t="n">
        <v>247007</v>
      </c>
      <c r="CB30" s="110" t="n">
        <v>246871</v>
      </c>
      <c r="CC30" s="110" t="n">
        <v>136</v>
      </c>
      <c r="CD30" s="110" t="n">
        <v>228448.5</v>
      </c>
      <c r="CE30" s="110" t="n">
        <v>213359.5</v>
      </c>
      <c r="CF30" s="110" t="n">
        <v>15089</v>
      </c>
      <c r="CG30" s="110" t="n">
        <v>215833.5</v>
      </c>
      <c r="CH30" s="110" t="n">
        <v>136800</v>
      </c>
      <c r="CI30" s="110" t="n">
        <v>132528</v>
      </c>
      <c r="CJ30" s="110" t="n">
        <v>4272</v>
      </c>
      <c r="CK30" s="110" t="n">
        <v>79033.5</v>
      </c>
      <c r="CL30" s="110" t="n">
        <v>68892.5</v>
      </c>
      <c r="CM30" s="110" t="n">
        <v>10141</v>
      </c>
      <c r="CN30" s="110" t="n">
        <v>351418.56</v>
      </c>
      <c r="CO30" s="110" t="n">
        <v>117834.38</v>
      </c>
      <c r="CP30" s="110" t="n">
        <v>790439.91</v>
      </c>
      <c r="CQ30" s="110" t="n">
        <v>29832.32</v>
      </c>
      <c r="CR30" s="110" t="n">
        <v>355813.18</v>
      </c>
      <c r="CS30" s="110" t="n">
        <v>0</v>
      </c>
      <c r="CT30" s="110" t="n">
        <v>53219.28</v>
      </c>
      <c r="CU30" s="110" t="n">
        <v>0</v>
      </c>
      <c r="CV30" s="111" t="n">
        <v>3404</v>
      </c>
      <c r="CW30" s="111" t="n">
        <v>2869</v>
      </c>
      <c r="CX30" s="111" t="n">
        <v>2524</v>
      </c>
      <c r="CY30" s="111" t="n">
        <v>345</v>
      </c>
      <c r="CZ30" s="111" t="n">
        <v>535</v>
      </c>
      <c r="DA30" s="111" t="n">
        <v>180</v>
      </c>
      <c r="DB30" s="111" t="n">
        <v>355</v>
      </c>
      <c r="DC30" s="111" t="n">
        <v>509</v>
      </c>
      <c r="DD30" s="111" t="n">
        <v>21</v>
      </c>
      <c r="DE30" s="111" t="n">
        <v>452</v>
      </c>
      <c r="DF30" s="111" t="n">
        <v>406</v>
      </c>
      <c r="DG30" s="111" t="n">
        <v>46</v>
      </c>
      <c r="DH30" s="111" t="n">
        <v>57</v>
      </c>
      <c r="DI30" s="111" t="n">
        <v>19</v>
      </c>
      <c r="DJ30" s="111" t="n">
        <v>38</v>
      </c>
      <c r="DK30" s="111" t="n">
        <v>1611</v>
      </c>
      <c r="DL30" s="111" t="n">
        <v>1313</v>
      </c>
      <c r="DM30" s="111" t="n">
        <v>1161</v>
      </c>
      <c r="DN30" s="111" t="n">
        <v>152</v>
      </c>
      <c r="DO30" s="111" t="n">
        <v>298</v>
      </c>
      <c r="DP30" s="111" t="n">
        <v>111</v>
      </c>
      <c r="DQ30" s="111" t="n">
        <v>187</v>
      </c>
      <c r="DR30" s="111" t="n">
        <v>527</v>
      </c>
      <c r="DS30" s="111" t="n">
        <v>0</v>
      </c>
      <c r="DT30" s="111" t="n">
        <v>431</v>
      </c>
      <c r="DU30" s="111" t="n">
        <v>383</v>
      </c>
      <c r="DV30" s="111" t="n">
        <v>48</v>
      </c>
      <c r="DW30" s="111" t="n">
        <v>96</v>
      </c>
      <c r="DX30" s="111" t="n">
        <v>31</v>
      </c>
      <c r="DY30" s="111" t="n">
        <v>65</v>
      </c>
      <c r="DZ30" s="111" t="n">
        <v>736</v>
      </c>
      <c r="EA30" s="111" t="n">
        <v>662</v>
      </c>
      <c r="EB30" s="111" t="n">
        <v>567</v>
      </c>
      <c r="EC30" s="111" t="n">
        <v>95</v>
      </c>
      <c r="ED30" s="111" t="n">
        <v>74</v>
      </c>
      <c r="EE30" s="111" t="n">
        <v>17</v>
      </c>
      <c r="EF30" s="111" t="n">
        <v>57</v>
      </c>
      <c r="EG30" s="111" t="n">
        <v>89</v>
      </c>
      <c r="EH30" s="111" t="n">
        <v>48</v>
      </c>
      <c r="EI30" s="111" t="n">
        <v>46</v>
      </c>
      <c r="EJ30" s="111" t="n">
        <v>2</v>
      </c>
      <c r="EK30" s="111" t="n">
        <v>41</v>
      </c>
      <c r="EL30" s="111" t="n">
        <v>36</v>
      </c>
      <c r="EM30" s="111" t="n">
        <v>5</v>
      </c>
      <c r="EN30" s="111" t="n">
        <v>7</v>
      </c>
      <c r="EO30" s="111" t="n">
        <v>0</v>
      </c>
      <c r="EP30" s="111" t="n">
        <v>0</v>
      </c>
      <c r="EQ30" s="111" t="n">
        <v>7</v>
      </c>
      <c r="ER30" s="111" t="n">
        <v>0</v>
      </c>
      <c r="ES30" s="111" t="n">
        <v>0</v>
      </c>
      <c r="ET30" s="111" t="n">
        <v>0</v>
      </c>
      <c r="EU30" s="111" t="n">
        <v>0</v>
      </c>
      <c r="EV30" s="111" t="n">
        <v>0</v>
      </c>
      <c r="EW30" s="111" t="n">
        <v>0</v>
      </c>
      <c r="EX30" s="111" t="n">
        <v>0</v>
      </c>
      <c r="EY30" s="111" t="n">
        <v>0</v>
      </c>
      <c r="EZ30" s="111" t="n">
        <v>0</v>
      </c>
      <c r="FA30" s="111" t="n">
        <v>0</v>
      </c>
      <c r="FB30" s="111" t="n">
        <v>13</v>
      </c>
    </row>
    <row r="31" ht="19.5" customHeight="1" s="247">
      <c r="A31" s="107" t="n">
        <v>28</v>
      </c>
      <c r="B31" s="107" t="inlineStr">
        <is>
          <t>儿童非手术</t>
        </is>
      </c>
      <c r="C31" s="107" t="inlineStr">
        <is>
          <t>儿血液肿瘤科</t>
        </is>
      </c>
      <c r="D31" s="110" t="n">
        <v>3279989.5</v>
      </c>
      <c r="E31" s="110" t="n">
        <v>1162185</v>
      </c>
      <c r="F31" s="110" t="n">
        <v>2117804.5</v>
      </c>
      <c r="G31" s="110" t="n">
        <v>4273</v>
      </c>
      <c r="H31" s="110" t="n">
        <v>203</v>
      </c>
      <c r="I31" s="110" t="n">
        <v>16581</v>
      </c>
      <c r="J31" s="110" t="n">
        <v>0</v>
      </c>
      <c r="K31" s="110" t="n">
        <v>2961.07</v>
      </c>
      <c r="L31" s="110" t="n">
        <v>200336</v>
      </c>
      <c r="M31" s="110" t="n">
        <v>1299</v>
      </c>
      <c r="N31" s="110" t="n">
        <v>3958.43</v>
      </c>
      <c r="O31" s="110" t="n">
        <v>7413381</v>
      </c>
      <c r="P31" s="110" t="n">
        <v>2219766.64</v>
      </c>
      <c r="Q31" s="110" t="n">
        <v>1981036.48</v>
      </c>
      <c r="R31" s="110" t="n">
        <v>238730.16</v>
      </c>
      <c r="S31" s="110" t="n">
        <v>5193614.36</v>
      </c>
      <c r="T31" s="110" t="n">
        <v>4395391.25</v>
      </c>
      <c r="U31" s="110" t="n">
        <v>798223.11</v>
      </c>
      <c r="V31" s="110" t="n">
        <v>2184806.13</v>
      </c>
      <c r="W31" s="110" t="n">
        <v>1473838.68</v>
      </c>
      <c r="X31" s="110" t="n">
        <v>1302579.72</v>
      </c>
      <c r="Y31" s="110" t="n">
        <v>171258.96</v>
      </c>
      <c r="Z31" s="110" t="n">
        <v>710967.45</v>
      </c>
      <c r="AA31" s="110" t="n">
        <v>360276.78</v>
      </c>
      <c r="AB31" s="110" t="n">
        <v>350690.67</v>
      </c>
      <c r="AC31" s="110" t="n">
        <v>954262.89</v>
      </c>
      <c r="AD31" s="110" t="n">
        <v>698388.16</v>
      </c>
      <c r="AE31" s="110" t="n">
        <v>631482.6800000001</v>
      </c>
      <c r="AF31" s="110" t="n">
        <v>66905.48</v>
      </c>
      <c r="AG31" s="110" t="n">
        <v>255874.73</v>
      </c>
      <c r="AH31" s="110" t="n">
        <v>137545.04</v>
      </c>
      <c r="AI31" s="110" t="n">
        <v>118329.69</v>
      </c>
      <c r="AJ31" s="110" t="n">
        <v>68358.24000000001</v>
      </c>
      <c r="AK31" s="110" t="n">
        <v>44710.52</v>
      </c>
      <c r="AL31" s="110" t="n">
        <v>38752.04</v>
      </c>
      <c r="AM31" s="110" t="n">
        <v>5958.48</v>
      </c>
      <c r="AN31" s="110" t="n">
        <v>23647.72</v>
      </c>
      <c r="AO31" s="110" t="n">
        <v>15008.74</v>
      </c>
      <c r="AP31" s="110" t="n">
        <v>8638.98</v>
      </c>
      <c r="AQ31" s="110" t="n">
        <v>890687</v>
      </c>
      <c r="AR31" s="110" t="n">
        <v>543880</v>
      </c>
      <c r="AS31" s="110" t="n">
        <v>474811</v>
      </c>
      <c r="AT31" s="110" t="n">
        <v>69069</v>
      </c>
      <c r="AU31" s="110" t="n">
        <v>346807</v>
      </c>
      <c r="AV31" s="110" t="n">
        <v>172549</v>
      </c>
      <c r="AW31" s="110" t="n">
        <v>174258</v>
      </c>
      <c r="AX31" s="110" t="n">
        <v>271498</v>
      </c>
      <c r="AY31" s="110" t="n">
        <v>186860</v>
      </c>
      <c r="AZ31" s="110" t="n">
        <v>157534</v>
      </c>
      <c r="BA31" s="110" t="n">
        <v>29326</v>
      </c>
      <c r="BB31" s="110" t="n">
        <v>84638</v>
      </c>
      <c r="BC31" s="110" t="n">
        <v>35174</v>
      </c>
      <c r="BD31" s="110" t="n">
        <v>49464</v>
      </c>
      <c r="BE31" s="110" t="n">
        <v>5228574.87</v>
      </c>
      <c r="BF31" s="110" t="n">
        <v>745927.96</v>
      </c>
      <c r="BG31" s="110" t="n">
        <v>678456.76</v>
      </c>
      <c r="BH31" s="110" t="n">
        <v>67471.2</v>
      </c>
      <c r="BI31" s="110" t="n">
        <v>4482646.91</v>
      </c>
      <c r="BJ31" s="110" t="n">
        <v>4035114.47</v>
      </c>
      <c r="BK31" s="110" t="n">
        <v>447532.44</v>
      </c>
      <c r="BL31" s="110" t="n">
        <v>2923056.6</v>
      </c>
      <c r="BM31" s="110" t="n">
        <v>283961.27</v>
      </c>
      <c r="BN31" s="110" t="n">
        <v>274838.08</v>
      </c>
      <c r="BO31" s="110" t="n">
        <v>9123.190000000001</v>
      </c>
      <c r="BP31" s="110" t="n">
        <v>2639095.33</v>
      </c>
      <c r="BQ31" s="110" t="n">
        <v>2421067.37</v>
      </c>
      <c r="BR31" s="110" t="n">
        <v>218027.96</v>
      </c>
      <c r="BS31" s="110" t="n">
        <v>187713.77</v>
      </c>
      <c r="BT31" s="110" t="n">
        <v>29470.69</v>
      </c>
      <c r="BU31" s="110" t="n">
        <v>24870.68</v>
      </c>
      <c r="BV31" s="110" t="n">
        <v>4600.01</v>
      </c>
      <c r="BW31" s="110" t="n">
        <v>158243.08</v>
      </c>
      <c r="BX31" s="110" t="n">
        <v>145009.1</v>
      </c>
      <c r="BY31" s="110" t="n">
        <v>13233.98</v>
      </c>
      <c r="BZ31" s="110" t="n">
        <v>1202023.5</v>
      </c>
      <c r="CA31" s="110" t="n">
        <v>274300</v>
      </c>
      <c r="CB31" s="110" t="n">
        <v>257131</v>
      </c>
      <c r="CC31" s="110" t="n">
        <v>17169</v>
      </c>
      <c r="CD31" s="110" t="n">
        <v>927723.5</v>
      </c>
      <c r="CE31" s="110" t="n">
        <v>860311.5</v>
      </c>
      <c r="CF31" s="110" t="n">
        <v>67412</v>
      </c>
      <c r="CG31" s="110" t="n">
        <v>915781</v>
      </c>
      <c r="CH31" s="110" t="n">
        <v>158196</v>
      </c>
      <c r="CI31" s="110" t="n">
        <v>121617</v>
      </c>
      <c r="CJ31" s="110" t="n">
        <v>36579</v>
      </c>
      <c r="CK31" s="110" t="n">
        <v>757585</v>
      </c>
      <c r="CL31" s="110" t="n">
        <v>608726.5</v>
      </c>
      <c r="CM31" s="110" t="n">
        <v>148858.5</v>
      </c>
      <c r="CN31" s="110" t="n">
        <v>315253.64</v>
      </c>
      <c r="CO31" s="110" t="n">
        <v>618121.78</v>
      </c>
      <c r="CP31" s="110" t="n">
        <v>561212.4</v>
      </c>
      <c r="CQ31" s="110" t="n">
        <v>208964.66</v>
      </c>
      <c r="CR31" s="110" t="n">
        <v>481253.65</v>
      </c>
      <c r="CS31" s="110" t="n">
        <v>0</v>
      </c>
      <c r="CT31" s="110" t="n">
        <v>262461.57</v>
      </c>
      <c r="CU31" s="110" t="n">
        <v>0</v>
      </c>
      <c r="CV31" s="111" t="n">
        <v>4273</v>
      </c>
      <c r="CW31" s="111" t="n">
        <v>3355</v>
      </c>
      <c r="CX31" s="111" t="n">
        <v>2909</v>
      </c>
      <c r="CY31" s="111" t="n">
        <v>446</v>
      </c>
      <c r="CZ31" s="111" t="n">
        <v>918</v>
      </c>
      <c r="DA31" s="111" t="n">
        <v>441</v>
      </c>
      <c r="DB31" s="111" t="n">
        <v>477</v>
      </c>
      <c r="DC31" s="111" t="n">
        <v>1819</v>
      </c>
      <c r="DD31" s="111" t="n">
        <v>11</v>
      </c>
      <c r="DE31" s="111" t="n">
        <v>1500</v>
      </c>
      <c r="DF31" s="111" t="n">
        <v>1304</v>
      </c>
      <c r="DG31" s="111" t="n">
        <v>196</v>
      </c>
      <c r="DH31" s="111" t="n">
        <v>319</v>
      </c>
      <c r="DI31" s="111" t="n">
        <v>148</v>
      </c>
      <c r="DJ31" s="111" t="n">
        <v>171</v>
      </c>
      <c r="DK31" s="111" t="n">
        <v>867</v>
      </c>
      <c r="DL31" s="111" t="n">
        <v>540</v>
      </c>
      <c r="DM31" s="111" t="n">
        <v>467</v>
      </c>
      <c r="DN31" s="111" t="n">
        <v>73</v>
      </c>
      <c r="DO31" s="111" t="n">
        <v>327</v>
      </c>
      <c r="DP31" s="111" t="n">
        <v>195</v>
      </c>
      <c r="DQ31" s="111" t="n">
        <v>132</v>
      </c>
      <c r="DR31" s="111" t="n">
        <v>629</v>
      </c>
      <c r="DS31" s="111" t="n">
        <v>8</v>
      </c>
      <c r="DT31" s="111" t="n">
        <v>455</v>
      </c>
      <c r="DU31" s="111" t="n">
        <v>390</v>
      </c>
      <c r="DV31" s="111" t="n">
        <v>65</v>
      </c>
      <c r="DW31" s="111" t="n">
        <v>174</v>
      </c>
      <c r="DX31" s="111" t="n">
        <v>65</v>
      </c>
      <c r="DY31" s="111" t="n">
        <v>109</v>
      </c>
      <c r="DZ31" s="111" t="n">
        <v>939</v>
      </c>
      <c r="EA31" s="111" t="n">
        <v>852</v>
      </c>
      <c r="EB31" s="111" t="n">
        <v>741</v>
      </c>
      <c r="EC31" s="111" t="n">
        <v>111</v>
      </c>
      <c r="ED31" s="111" t="n">
        <v>87</v>
      </c>
      <c r="EE31" s="111" t="n">
        <v>33</v>
      </c>
      <c r="EF31" s="111" t="n">
        <v>54</v>
      </c>
      <c r="EG31" s="111" t="n">
        <v>203</v>
      </c>
      <c r="EH31" s="111" t="n">
        <v>42</v>
      </c>
      <c r="EI31" s="111" t="n">
        <v>39</v>
      </c>
      <c r="EJ31" s="111" t="n">
        <v>3</v>
      </c>
      <c r="EK31" s="111" t="n">
        <v>161</v>
      </c>
      <c r="EL31" s="111" t="n">
        <v>139</v>
      </c>
      <c r="EM31" s="111" t="n">
        <v>22</v>
      </c>
      <c r="EN31" s="111" t="n">
        <v>173</v>
      </c>
      <c r="EO31" s="111" t="n">
        <v>0</v>
      </c>
      <c r="EP31" s="111" t="n">
        <v>0</v>
      </c>
      <c r="EQ31" s="111" t="n">
        <v>173</v>
      </c>
      <c r="ER31" s="111" t="n">
        <v>0</v>
      </c>
      <c r="ES31" s="111" t="n">
        <v>0</v>
      </c>
      <c r="ET31" s="111" t="n">
        <v>0</v>
      </c>
      <c r="EU31" s="111" t="n">
        <v>0</v>
      </c>
      <c r="EV31" s="111" t="n">
        <v>0</v>
      </c>
      <c r="EW31" s="111" t="n">
        <v>0</v>
      </c>
      <c r="EX31" s="111" t="n">
        <v>0</v>
      </c>
      <c r="EY31" s="111" t="n">
        <v>0</v>
      </c>
      <c r="EZ31" s="111" t="n">
        <v>0</v>
      </c>
      <c r="FA31" s="111" t="n">
        <v>0</v>
      </c>
      <c r="FB31" s="111" t="n">
        <v>10</v>
      </c>
    </row>
    <row r="32" ht="19.5" customHeight="1" s="247">
      <c r="A32" s="107" t="n">
        <v>29</v>
      </c>
      <c r="B32" s="107" t="inlineStr">
        <is>
          <t>儿童非手术</t>
        </is>
      </c>
      <c r="C32" s="107" t="inlineStr">
        <is>
          <t>儿内分泌遗传科</t>
        </is>
      </c>
      <c r="D32" s="110" t="n">
        <v>3943350</v>
      </c>
      <c r="E32" s="110" t="n">
        <v>3208656</v>
      </c>
      <c r="F32" s="110" t="n">
        <v>734694</v>
      </c>
      <c r="G32" s="110" t="n">
        <v>5811</v>
      </c>
      <c r="H32" s="110" t="n">
        <v>138</v>
      </c>
      <c r="I32" s="110" t="n">
        <v>7235</v>
      </c>
      <c r="J32" s="110" t="n">
        <v>0</v>
      </c>
      <c r="K32" s="110" t="n">
        <v>2877.82</v>
      </c>
      <c r="L32" s="110" t="n">
        <v>15467</v>
      </c>
      <c r="M32" s="110" t="n">
        <v>0</v>
      </c>
      <c r="N32" s="110" t="n">
        <v>0</v>
      </c>
      <c r="O32" s="110" t="n">
        <v>7103244.22</v>
      </c>
      <c r="P32" s="110" t="n">
        <v>5115190.33</v>
      </c>
      <c r="Q32" s="110" t="n">
        <v>4482555.01</v>
      </c>
      <c r="R32" s="110" t="n">
        <v>632635.3199999999</v>
      </c>
      <c r="S32" s="110" t="n">
        <v>1988053.89</v>
      </c>
      <c r="T32" s="110" t="n">
        <v>676506.66</v>
      </c>
      <c r="U32" s="110" t="n">
        <v>1311547.23</v>
      </c>
      <c r="V32" s="110" t="n">
        <v>6152038.07</v>
      </c>
      <c r="W32" s="110" t="n">
        <v>4732907.66</v>
      </c>
      <c r="X32" s="110" t="n">
        <v>4355235.31</v>
      </c>
      <c r="Y32" s="110" t="n">
        <v>377672.35</v>
      </c>
      <c r="Z32" s="110" t="n">
        <v>1419130.41</v>
      </c>
      <c r="AA32" s="110" t="n">
        <v>330749.44</v>
      </c>
      <c r="AB32" s="110" t="n">
        <v>1088380.97</v>
      </c>
      <c r="AC32" s="110" t="n">
        <v>2933284.67</v>
      </c>
      <c r="AD32" s="110" t="n">
        <v>2704993.24</v>
      </c>
      <c r="AE32" s="110" t="n">
        <v>2646869.85</v>
      </c>
      <c r="AF32" s="110" t="n">
        <v>58123.39</v>
      </c>
      <c r="AG32" s="110" t="n">
        <v>228291.43</v>
      </c>
      <c r="AH32" s="110" t="n">
        <v>80009.89999999999</v>
      </c>
      <c r="AI32" s="110" t="n">
        <v>148281.53</v>
      </c>
      <c r="AJ32" s="110" t="n">
        <v>10097.4</v>
      </c>
      <c r="AK32" s="110" t="n">
        <v>9525.42</v>
      </c>
      <c r="AL32" s="110" t="n">
        <v>8896.459999999999</v>
      </c>
      <c r="AM32" s="110" t="n">
        <v>628.96</v>
      </c>
      <c r="AN32" s="110" t="n">
        <v>571.98</v>
      </c>
      <c r="AO32" s="110" t="n">
        <v>219.54</v>
      </c>
      <c r="AP32" s="110" t="n">
        <v>352.44</v>
      </c>
      <c r="AQ32" s="110" t="n">
        <v>2378390</v>
      </c>
      <c r="AR32" s="110" t="n">
        <v>1483357</v>
      </c>
      <c r="AS32" s="110" t="n">
        <v>1240618</v>
      </c>
      <c r="AT32" s="110" t="n">
        <v>242739</v>
      </c>
      <c r="AU32" s="110" t="n">
        <v>895033</v>
      </c>
      <c r="AV32" s="110" t="n">
        <v>179249</v>
      </c>
      <c r="AW32" s="110" t="n">
        <v>715784</v>
      </c>
      <c r="AX32" s="110" t="n">
        <v>830266</v>
      </c>
      <c r="AY32" s="110" t="n">
        <v>535032</v>
      </c>
      <c r="AZ32" s="110" t="n">
        <v>458851</v>
      </c>
      <c r="BA32" s="110" t="n">
        <v>76181</v>
      </c>
      <c r="BB32" s="110" t="n">
        <v>295234</v>
      </c>
      <c r="BC32" s="110" t="n">
        <v>71271</v>
      </c>
      <c r="BD32" s="110" t="n">
        <v>223963</v>
      </c>
      <c r="BE32" s="110" t="n">
        <v>951206.15</v>
      </c>
      <c r="BF32" s="110" t="n">
        <v>382282.67</v>
      </c>
      <c r="BG32" s="110" t="n">
        <v>127319.7</v>
      </c>
      <c r="BH32" s="110" t="n">
        <v>254962.97</v>
      </c>
      <c r="BI32" s="110" t="n">
        <v>568923.48</v>
      </c>
      <c r="BJ32" s="110" t="n">
        <v>345757.22</v>
      </c>
      <c r="BK32" s="110" t="n">
        <v>223166.26</v>
      </c>
      <c r="BL32" s="110" t="n">
        <v>203318.88</v>
      </c>
      <c r="BM32" s="110" t="n">
        <v>143220.23</v>
      </c>
      <c r="BN32" s="110" t="n">
        <v>2028.56</v>
      </c>
      <c r="BO32" s="110" t="n">
        <v>141191.67</v>
      </c>
      <c r="BP32" s="110" t="n">
        <v>60098.65</v>
      </c>
      <c r="BQ32" s="110" t="n">
        <v>57080.18</v>
      </c>
      <c r="BR32" s="110" t="n">
        <v>3018.47</v>
      </c>
      <c r="BS32" s="110" t="n">
        <v>13193.27</v>
      </c>
      <c r="BT32" s="110" t="n">
        <v>4035.94</v>
      </c>
      <c r="BU32" s="110" t="n">
        <v>1742.14</v>
      </c>
      <c r="BV32" s="110" t="n">
        <v>2293.8</v>
      </c>
      <c r="BW32" s="110" t="n">
        <v>9157.33</v>
      </c>
      <c r="BX32" s="110" t="n">
        <v>5651.04</v>
      </c>
      <c r="BY32" s="110" t="n">
        <v>3506.29</v>
      </c>
      <c r="BZ32" s="110" t="n">
        <v>517738.5</v>
      </c>
      <c r="CA32" s="110" t="n">
        <v>181542.5</v>
      </c>
      <c r="CB32" s="110" t="n">
        <v>96392.5</v>
      </c>
      <c r="CC32" s="110" t="n">
        <v>85150</v>
      </c>
      <c r="CD32" s="110" t="n">
        <v>336196</v>
      </c>
      <c r="CE32" s="110" t="n">
        <v>205239</v>
      </c>
      <c r="CF32" s="110" t="n">
        <v>130957</v>
      </c>
      <c r="CG32" s="110" t="n">
        <v>216955.5</v>
      </c>
      <c r="CH32" s="110" t="n">
        <v>53484</v>
      </c>
      <c r="CI32" s="110" t="n">
        <v>27156.5</v>
      </c>
      <c r="CJ32" s="110" t="n">
        <v>26327.5</v>
      </c>
      <c r="CK32" s="110" t="n">
        <v>163471.5</v>
      </c>
      <c r="CL32" s="110" t="n">
        <v>77787</v>
      </c>
      <c r="CM32" s="110" t="n">
        <v>85684.5</v>
      </c>
      <c r="CN32" s="110" t="n">
        <v>245851.07</v>
      </c>
      <c r="CO32" s="110" t="n">
        <v>1428728</v>
      </c>
      <c r="CP32" s="110" t="n">
        <v>1979294.05</v>
      </c>
      <c r="CQ32" s="110" t="n">
        <v>73977.99000000001</v>
      </c>
      <c r="CR32" s="110" t="n">
        <v>2424186.96</v>
      </c>
      <c r="CS32" s="110" t="n">
        <v>0</v>
      </c>
      <c r="CT32" s="110" t="n">
        <v>180970.41</v>
      </c>
      <c r="CU32" s="110" t="n">
        <v>0</v>
      </c>
      <c r="CV32" s="111" t="n">
        <v>5811</v>
      </c>
      <c r="CW32" s="111" t="n">
        <v>4191</v>
      </c>
      <c r="CX32" s="111" t="n">
        <v>3601</v>
      </c>
      <c r="CY32" s="111" t="n">
        <v>590</v>
      </c>
      <c r="CZ32" s="111" t="n">
        <v>1620</v>
      </c>
      <c r="DA32" s="111" t="n">
        <v>342</v>
      </c>
      <c r="DB32" s="111" t="n">
        <v>1278</v>
      </c>
      <c r="DC32" s="111" t="n">
        <v>973</v>
      </c>
      <c r="DD32" s="111" t="n">
        <v>17</v>
      </c>
      <c r="DE32" s="111" t="n">
        <v>791</v>
      </c>
      <c r="DF32" s="111" t="n">
        <v>678</v>
      </c>
      <c r="DG32" s="111" t="n">
        <v>113</v>
      </c>
      <c r="DH32" s="111" t="n">
        <v>182</v>
      </c>
      <c r="DI32" s="111" t="n">
        <v>23</v>
      </c>
      <c r="DJ32" s="111" t="n">
        <v>159</v>
      </c>
      <c r="DK32" s="111" t="n">
        <v>2173</v>
      </c>
      <c r="DL32" s="111" t="n">
        <v>1514</v>
      </c>
      <c r="DM32" s="111" t="n">
        <v>1268</v>
      </c>
      <c r="DN32" s="111" t="n">
        <v>246</v>
      </c>
      <c r="DO32" s="111" t="n">
        <v>659</v>
      </c>
      <c r="DP32" s="111" t="n">
        <v>125</v>
      </c>
      <c r="DQ32" s="111" t="n">
        <v>534</v>
      </c>
      <c r="DR32" s="111" t="n">
        <v>2143</v>
      </c>
      <c r="DS32" s="111" t="n">
        <v>0</v>
      </c>
      <c r="DT32" s="111" t="n">
        <v>1421</v>
      </c>
      <c r="DU32" s="111" t="n">
        <v>1244</v>
      </c>
      <c r="DV32" s="111" t="n">
        <v>177</v>
      </c>
      <c r="DW32" s="111" t="n">
        <v>722</v>
      </c>
      <c r="DX32" s="111" t="n">
        <v>184</v>
      </c>
      <c r="DY32" s="111" t="n">
        <v>538</v>
      </c>
      <c r="DZ32" s="111" t="n">
        <v>505</v>
      </c>
      <c r="EA32" s="111" t="n">
        <v>455</v>
      </c>
      <c r="EB32" s="111" t="n">
        <v>405</v>
      </c>
      <c r="EC32" s="111" t="n">
        <v>50</v>
      </c>
      <c r="ED32" s="111" t="n">
        <v>50</v>
      </c>
      <c r="EE32" s="111" t="n">
        <v>10</v>
      </c>
      <c r="EF32" s="111" t="n">
        <v>40</v>
      </c>
      <c r="EG32" s="111" t="n">
        <v>138</v>
      </c>
      <c r="EH32" s="111" t="n">
        <v>53</v>
      </c>
      <c r="EI32" s="111" t="n">
        <v>18</v>
      </c>
      <c r="EJ32" s="111" t="n">
        <v>35</v>
      </c>
      <c r="EK32" s="111" t="n">
        <v>85</v>
      </c>
      <c r="EL32" s="111" t="n">
        <v>37</v>
      </c>
      <c r="EM32" s="111" t="n">
        <v>48</v>
      </c>
      <c r="EN32" s="111" t="n">
        <v>0</v>
      </c>
      <c r="EO32" s="111" t="n">
        <v>0</v>
      </c>
      <c r="EP32" s="111" t="n">
        <v>0</v>
      </c>
      <c r="EQ32" s="111" t="n">
        <v>0</v>
      </c>
      <c r="ER32" s="111" t="n">
        <v>0</v>
      </c>
      <c r="ES32" s="111" t="n">
        <v>0</v>
      </c>
      <c r="ET32" s="111" t="n">
        <v>0</v>
      </c>
      <c r="EU32" s="111" t="n">
        <v>0</v>
      </c>
      <c r="EV32" s="111" t="n">
        <v>0</v>
      </c>
      <c r="EW32" s="111" t="n">
        <v>0</v>
      </c>
      <c r="EX32" s="111" t="n">
        <v>0</v>
      </c>
      <c r="EY32" s="111" t="n">
        <v>0</v>
      </c>
      <c r="EZ32" s="111" t="n">
        <v>0</v>
      </c>
      <c r="FA32" s="111" t="n">
        <v>0</v>
      </c>
      <c r="FB32" s="111" t="n">
        <v>23</v>
      </c>
    </row>
    <row r="33" ht="19.5" customHeight="1" s="247">
      <c r="A33" s="107" t="n">
        <v>30</v>
      </c>
      <c r="B33" s="107" t="inlineStr">
        <is>
          <t>儿童非手术</t>
        </is>
      </c>
      <c r="C33" s="107" t="inlineStr">
        <is>
          <t>新生儿科</t>
        </is>
      </c>
      <c r="D33" s="110" t="n">
        <v>7014830.3</v>
      </c>
      <c r="E33" s="110" t="n">
        <v>1431545</v>
      </c>
      <c r="F33" s="110" t="n">
        <v>5583285.3</v>
      </c>
      <c r="G33" s="110" t="n">
        <v>5721</v>
      </c>
      <c r="H33" s="110" t="n">
        <v>252</v>
      </c>
      <c r="I33" s="110" t="n">
        <v>18461</v>
      </c>
      <c r="J33" s="110" t="n">
        <v>0</v>
      </c>
      <c r="K33" s="110" t="n">
        <v>0</v>
      </c>
      <c r="L33" s="110" t="n">
        <v>912788.8</v>
      </c>
      <c r="M33" s="110" t="n">
        <v>136602</v>
      </c>
      <c r="N33" s="110" t="n">
        <v>0</v>
      </c>
      <c r="O33" s="110" t="n">
        <v>9358016.9</v>
      </c>
      <c r="P33" s="110" t="n">
        <v>5652091.14</v>
      </c>
      <c r="Q33" s="110" t="n">
        <v>3364101.38</v>
      </c>
      <c r="R33" s="110" t="n">
        <v>2287989.76</v>
      </c>
      <c r="S33" s="110" t="n">
        <v>3705925.76</v>
      </c>
      <c r="T33" s="110" t="n">
        <v>2492565.6</v>
      </c>
      <c r="U33" s="110" t="n">
        <v>1213360.16</v>
      </c>
      <c r="V33" s="110" t="n">
        <v>2517141.12</v>
      </c>
      <c r="W33" s="110" t="n">
        <v>2263910.85</v>
      </c>
      <c r="X33" s="110" t="n">
        <v>1955647.17</v>
      </c>
      <c r="Y33" s="110" t="n">
        <v>308263.68</v>
      </c>
      <c r="Z33" s="110" t="n">
        <v>253230.27</v>
      </c>
      <c r="AA33" s="110" t="n">
        <v>68832.8</v>
      </c>
      <c r="AB33" s="110" t="n">
        <v>184397.47</v>
      </c>
      <c r="AC33" s="110" t="n">
        <v>1031333.72</v>
      </c>
      <c r="AD33" s="110" t="n">
        <v>952111.53</v>
      </c>
      <c r="AE33" s="110" t="n">
        <v>864324.99</v>
      </c>
      <c r="AF33" s="110" t="n">
        <v>87786.53999999999</v>
      </c>
      <c r="AG33" s="110" t="n">
        <v>79222.19</v>
      </c>
      <c r="AH33" s="110" t="n">
        <v>19349.26</v>
      </c>
      <c r="AI33" s="110" t="n">
        <v>59872.93</v>
      </c>
      <c r="AJ33" s="110" t="n">
        <v>54262.4</v>
      </c>
      <c r="AK33" s="110" t="n">
        <v>49485.32</v>
      </c>
      <c r="AL33" s="110" t="n">
        <v>43718.18</v>
      </c>
      <c r="AM33" s="110" t="n">
        <v>5767.14</v>
      </c>
      <c r="AN33" s="110" t="n">
        <v>4777.08</v>
      </c>
      <c r="AO33" s="110" t="n">
        <v>1342.54</v>
      </c>
      <c r="AP33" s="110" t="n">
        <v>3434.54</v>
      </c>
      <c r="AQ33" s="110" t="n">
        <v>1020025</v>
      </c>
      <c r="AR33" s="110" t="n">
        <v>909075</v>
      </c>
      <c r="AS33" s="110" t="n">
        <v>780660</v>
      </c>
      <c r="AT33" s="110" t="n">
        <v>128415</v>
      </c>
      <c r="AU33" s="110" t="n">
        <v>110950</v>
      </c>
      <c r="AV33" s="110" t="n">
        <v>31394</v>
      </c>
      <c r="AW33" s="110" t="n">
        <v>79556</v>
      </c>
      <c r="AX33" s="110" t="n">
        <v>411520</v>
      </c>
      <c r="AY33" s="110" t="n">
        <v>353239</v>
      </c>
      <c r="AZ33" s="110" t="n">
        <v>266944</v>
      </c>
      <c r="BA33" s="110" t="n">
        <v>86295</v>
      </c>
      <c r="BB33" s="110" t="n">
        <v>58281</v>
      </c>
      <c r="BC33" s="110" t="n">
        <v>16747</v>
      </c>
      <c r="BD33" s="110" t="n">
        <v>41534</v>
      </c>
      <c r="BE33" s="110" t="n">
        <v>6840875.78</v>
      </c>
      <c r="BF33" s="110" t="n">
        <v>3388180.29</v>
      </c>
      <c r="BG33" s="110" t="n">
        <v>1408454.21</v>
      </c>
      <c r="BH33" s="110" t="n">
        <v>1979726.08</v>
      </c>
      <c r="BI33" s="110" t="n">
        <v>3452695.49</v>
      </c>
      <c r="BJ33" s="110" t="n">
        <v>2423732.8</v>
      </c>
      <c r="BK33" s="110" t="n">
        <v>1028962.69</v>
      </c>
      <c r="BL33" s="110" t="n">
        <v>772347.1800000001</v>
      </c>
      <c r="BM33" s="110" t="n">
        <v>334972.87</v>
      </c>
      <c r="BN33" s="110" t="n">
        <v>165355.3</v>
      </c>
      <c r="BO33" s="110" t="n">
        <v>169617.57</v>
      </c>
      <c r="BP33" s="110" t="n">
        <v>437374.31</v>
      </c>
      <c r="BQ33" s="110" t="n">
        <v>347216.76</v>
      </c>
      <c r="BR33" s="110" t="n">
        <v>90157.55</v>
      </c>
      <c r="BS33" s="110" t="n">
        <v>485243.3</v>
      </c>
      <c r="BT33" s="110" t="n">
        <v>196563.27</v>
      </c>
      <c r="BU33" s="110" t="n">
        <v>92461.16</v>
      </c>
      <c r="BV33" s="110" t="n">
        <v>104102.11</v>
      </c>
      <c r="BW33" s="110" t="n">
        <v>288680.03</v>
      </c>
      <c r="BX33" s="110" t="n">
        <v>224663.29</v>
      </c>
      <c r="BY33" s="110" t="n">
        <v>64016.74</v>
      </c>
      <c r="BZ33" s="110" t="n">
        <v>2154201</v>
      </c>
      <c r="CA33" s="110" t="n">
        <v>1248125.5</v>
      </c>
      <c r="CB33" s="110" t="n">
        <v>545948</v>
      </c>
      <c r="CC33" s="110" t="n">
        <v>702177.5</v>
      </c>
      <c r="CD33" s="110" t="n">
        <v>906075.5</v>
      </c>
      <c r="CE33" s="110" t="n">
        <v>555413.5</v>
      </c>
      <c r="CF33" s="110" t="n">
        <v>350662</v>
      </c>
      <c r="CG33" s="110" t="n">
        <v>3429084.3</v>
      </c>
      <c r="CH33" s="110" t="n">
        <v>1608518.65</v>
      </c>
      <c r="CI33" s="110" t="n">
        <v>604689.75</v>
      </c>
      <c r="CJ33" s="110" t="n">
        <v>1003828.9</v>
      </c>
      <c r="CK33" s="110" t="n">
        <v>1820565.65</v>
      </c>
      <c r="CL33" s="110" t="n">
        <v>1296439.25</v>
      </c>
      <c r="CM33" s="110" t="n">
        <v>524126.4</v>
      </c>
      <c r="CN33" s="110" t="n">
        <v>423609.32</v>
      </c>
      <c r="CO33" s="110" t="n">
        <v>662150.04</v>
      </c>
      <c r="CP33" s="110" t="n">
        <v>778815.42</v>
      </c>
      <c r="CQ33" s="110" t="n">
        <v>2830</v>
      </c>
      <c r="CR33" s="110" t="n">
        <v>641335.55</v>
      </c>
      <c r="CS33" s="110" t="n">
        <v>8400.790000000001</v>
      </c>
      <c r="CT33" s="110" t="n">
        <v>686889.9</v>
      </c>
      <c r="CU33" s="110" t="n">
        <v>0</v>
      </c>
      <c r="CV33" s="111" t="n">
        <v>5721</v>
      </c>
      <c r="CW33" s="111" t="n">
        <v>5092</v>
      </c>
      <c r="CX33" s="111" t="n">
        <v>4173</v>
      </c>
      <c r="CY33" s="111" t="n">
        <v>919</v>
      </c>
      <c r="CZ33" s="111" t="n">
        <v>629</v>
      </c>
      <c r="DA33" s="111" t="n">
        <v>163</v>
      </c>
      <c r="DB33" s="111" t="n">
        <v>466</v>
      </c>
      <c r="DC33" s="111" t="n">
        <v>1835</v>
      </c>
      <c r="DD33" s="111" t="n">
        <v>281</v>
      </c>
      <c r="DE33" s="111" t="n">
        <v>1669</v>
      </c>
      <c r="DF33" s="111" t="n">
        <v>1469</v>
      </c>
      <c r="DG33" s="111" t="n">
        <v>200</v>
      </c>
      <c r="DH33" s="111" t="n">
        <v>166</v>
      </c>
      <c r="DI33" s="111" t="n">
        <v>49</v>
      </c>
      <c r="DJ33" s="111" t="n">
        <v>117</v>
      </c>
      <c r="DK33" s="111" t="n">
        <v>1552</v>
      </c>
      <c r="DL33" s="111" t="n">
        <v>1393</v>
      </c>
      <c r="DM33" s="111" t="n">
        <v>1133</v>
      </c>
      <c r="DN33" s="111" t="n">
        <v>260</v>
      </c>
      <c r="DO33" s="111" t="n">
        <v>159</v>
      </c>
      <c r="DP33" s="111" t="n">
        <v>45</v>
      </c>
      <c r="DQ33" s="111" t="n">
        <v>114</v>
      </c>
      <c r="DR33" s="111" t="n">
        <v>976</v>
      </c>
      <c r="DS33" s="111" t="n">
        <v>28</v>
      </c>
      <c r="DT33" s="111" t="n">
        <v>844</v>
      </c>
      <c r="DU33" s="111" t="n">
        <v>641</v>
      </c>
      <c r="DV33" s="111" t="n">
        <v>203</v>
      </c>
      <c r="DW33" s="111" t="n">
        <v>132</v>
      </c>
      <c r="DX33" s="111" t="n">
        <v>34</v>
      </c>
      <c r="DY33" s="111" t="n">
        <v>98</v>
      </c>
      <c r="DZ33" s="111" t="n">
        <v>1049</v>
      </c>
      <c r="EA33" s="111" t="n">
        <v>925</v>
      </c>
      <c r="EB33" s="111" t="n">
        <v>789</v>
      </c>
      <c r="EC33" s="111" t="n">
        <v>136</v>
      </c>
      <c r="ED33" s="111" t="n">
        <v>124</v>
      </c>
      <c r="EE33" s="111" t="n">
        <v>34</v>
      </c>
      <c r="EF33" s="111" t="n">
        <v>90</v>
      </c>
      <c r="EG33" s="111" t="n">
        <v>252</v>
      </c>
      <c r="EH33" s="111" t="n">
        <v>163</v>
      </c>
      <c r="EI33" s="111" t="n">
        <v>53</v>
      </c>
      <c r="EJ33" s="111" t="n">
        <v>110</v>
      </c>
      <c r="EK33" s="111" t="n">
        <v>89</v>
      </c>
      <c r="EL33" s="111" t="n">
        <v>41</v>
      </c>
      <c r="EM33" s="111" t="n">
        <v>48</v>
      </c>
      <c r="EN33" s="111" t="n">
        <v>171</v>
      </c>
      <c r="EO33" s="111" t="n">
        <v>0</v>
      </c>
      <c r="EP33" s="111" t="n">
        <v>0</v>
      </c>
      <c r="EQ33" s="111" t="n">
        <v>171</v>
      </c>
      <c r="ER33" s="111" t="n">
        <v>0</v>
      </c>
      <c r="ES33" s="111" t="n">
        <v>0</v>
      </c>
      <c r="ET33" s="111" t="n">
        <v>0</v>
      </c>
      <c r="EU33" s="111" t="n">
        <v>0</v>
      </c>
      <c r="EV33" s="111" t="n">
        <v>0</v>
      </c>
      <c r="EW33" s="111" t="n">
        <v>0</v>
      </c>
      <c r="EX33" s="111" t="n">
        <v>0</v>
      </c>
      <c r="EY33" s="111" t="n">
        <v>0</v>
      </c>
      <c r="EZ33" s="111" t="n">
        <v>0</v>
      </c>
      <c r="FA33" s="111" t="n">
        <v>0</v>
      </c>
      <c r="FB33" s="111" t="n">
        <v>138</v>
      </c>
    </row>
    <row r="34" ht="19.5" customHeight="1" s="247">
      <c r="A34" s="107" t="n">
        <v>31</v>
      </c>
      <c r="B34" s="107" t="inlineStr">
        <is>
          <t>儿童手术</t>
        </is>
      </c>
      <c r="C34" s="107" t="inlineStr">
        <is>
          <t>儿心脏中心</t>
        </is>
      </c>
      <c r="D34" s="110" t="n">
        <v>2780633.5</v>
      </c>
      <c r="E34" s="110" t="n">
        <v>563614</v>
      </c>
      <c r="F34" s="110" t="n">
        <v>2217019.5</v>
      </c>
      <c r="G34" s="110" t="n">
        <v>1398</v>
      </c>
      <c r="H34" s="110" t="n">
        <v>111</v>
      </c>
      <c r="I34" s="110" t="n">
        <v>977</v>
      </c>
      <c r="J34" s="110" t="n">
        <v>0</v>
      </c>
      <c r="K34" s="110" t="n">
        <v>0</v>
      </c>
      <c r="L34" s="110" t="n">
        <v>275477</v>
      </c>
      <c r="M34" s="110" t="n">
        <v>326481.5</v>
      </c>
      <c r="N34" s="110" t="n">
        <v>0</v>
      </c>
      <c r="O34" s="110" t="n">
        <v>4548843.28</v>
      </c>
      <c r="P34" s="110" t="n">
        <v>1343879.24</v>
      </c>
      <c r="Q34" s="110" t="n">
        <v>1047339.1</v>
      </c>
      <c r="R34" s="110" t="n">
        <v>296540.14</v>
      </c>
      <c r="S34" s="110" t="n">
        <v>3204964.04</v>
      </c>
      <c r="T34" s="110" t="n">
        <v>2854878.78</v>
      </c>
      <c r="U34" s="110" t="n">
        <v>350085.26</v>
      </c>
      <c r="V34" s="110" t="n">
        <v>646279.23</v>
      </c>
      <c r="W34" s="110" t="n">
        <v>459372.06</v>
      </c>
      <c r="X34" s="110" t="n">
        <v>358765.35</v>
      </c>
      <c r="Y34" s="110" t="n">
        <v>100606.71</v>
      </c>
      <c r="Z34" s="110" t="n">
        <v>186907.17</v>
      </c>
      <c r="AA34" s="110" t="n">
        <v>43361.57</v>
      </c>
      <c r="AB34" s="110" t="n">
        <v>143545.6</v>
      </c>
      <c r="AC34" s="110" t="n">
        <v>79364.73</v>
      </c>
      <c r="AD34" s="110" t="n">
        <v>71060.10000000001</v>
      </c>
      <c r="AE34" s="110" t="n">
        <v>63914.63</v>
      </c>
      <c r="AF34" s="110" t="n">
        <v>7145.47</v>
      </c>
      <c r="AG34" s="110" t="n">
        <v>8304.629999999999</v>
      </c>
      <c r="AH34" s="110" t="n">
        <v>2093.57</v>
      </c>
      <c r="AI34" s="110" t="n">
        <v>6211.06</v>
      </c>
      <c r="AJ34" s="110" t="n">
        <v>3300.5</v>
      </c>
      <c r="AK34" s="110" t="n">
        <v>2906.96</v>
      </c>
      <c r="AL34" s="110" t="n">
        <v>2520.72</v>
      </c>
      <c r="AM34" s="110" t="n">
        <v>386.24</v>
      </c>
      <c r="AN34" s="110" t="n">
        <v>393.54</v>
      </c>
      <c r="AO34" s="110" t="n">
        <v>38</v>
      </c>
      <c r="AP34" s="110" t="n">
        <v>355.54</v>
      </c>
      <c r="AQ34" s="110" t="n">
        <v>377222</v>
      </c>
      <c r="AR34" s="110" t="n">
        <v>274331</v>
      </c>
      <c r="AS34" s="110" t="n">
        <v>223614</v>
      </c>
      <c r="AT34" s="110" t="n">
        <v>50717</v>
      </c>
      <c r="AU34" s="110" t="n">
        <v>102891</v>
      </c>
      <c r="AV34" s="110" t="n">
        <v>27888</v>
      </c>
      <c r="AW34" s="110" t="n">
        <v>75003</v>
      </c>
      <c r="AX34" s="110" t="n">
        <v>186392</v>
      </c>
      <c r="AY34" s="110" t="n">
        <v>111074</v>
      </c>
      <c r="AZ34" s="110" t="n">
        <v>68716</v>
      </c>
      <c r="BA34" s="110" t="n">
        <v>42358</v>
      </c>
      <c r="BB34" s="110" t="n">
        <v>75318</v>
      </c>
      <c r="BC34" s="110" t="n">
        <v>13342</v>
      </c>
      <c r="BD34" s="110" t="n">
        <v>61976</v>
      </c>
      <c r="BE34" s="110" t="n">
        <v>3902564.05</v>
      </c>
      <c r="BF34" s="110" t="n">
        <v>884507.1800000001</v>
      </c>
      <c r="BG34" s="110" t="n">
        <v>688573.75</v>
      </c>
      <c r="BH34" s="110" t="n">
        <v>195933.43</v>
      </c>
      <c r="BI34" s="110" t="n">
        <v>3018056.87</v>
      </c>
      <c r="BJ34" s="110" t="n">
        <v>2811517.21</v>
      </c>
      <c r="BK34" s="110" t="n">
        <v>206539.66</v>
      </c>
      <c r="BL34" s="110" t="n">
        <v>400301.13</v>
      </c>
      <c r="BM34" s="110" t="n">
        <v>123683.55</v>
      </c>
      <c r="BN34" s="110" t="n">
        <v>98864.25999999999</v>
      </c>
      <c r="BO34" s="110" t="n">
        <v>24819.29</v>
      </c>
      <c r="BP34" s="110" t="n">
        <v>276617.58</v>
      </c>
      <c r="BQ34" s="110" t="n">
        <v>262855.48</v>
      </c>
      <c r="BR34" s="110" t="n">
        <v>13762.1</v>
      </c>
      <c r="BS34" s="110" t="n">
        <v>1285243.42</v>
      </c>
      <c r="BT34" s="110" t="n">
        <v>184833.38</v>
      </c>
      <c r="BU34" s="110" t="n">
        <v>148778.49</v>
      </c>
      <c r="BV34" s="110" t="n">
        <v>36054.89</v>
      </c>
      <c r="BW34" s="110" t="n">
        <v>1100410.04</v>
      </c>
      <c r="BX34" s="110" t="n">
        <v>1030924.98</v>
      </c>
      <c r="BY34" s="110" t="n">
        <v>69485.06</v>
      </c>
      <c r="BZ34" s="110" t="n">
        <v>1026323</v>
      </c>
      <c r="CA34" s="110" t="n">
        <v>294038.5</v>
      </c>
      <c r="CB34" s="110" t="n">
        <v>246612</v>
      </c>
      <c r="CC34" s="110" t="n">
        <v>47426.5</v>
      </c>
      <c r="CD34" s="110" t="n">
        <v>732284.5</v>
      </c>
      <c r="CE34" s="110" t="n">
        <v>676106</v>
      </c>
      <c r="CF34" s="110" t="n">
        <v>56178.5</v>
      </c>
      <c r="CG34" s="110" t="n">
        <v>1190696.5</v>
      </c>
      <c r="CH34" s="110" t="n">
        <v>281951.75</v>
      </c>
      <c r="CI34" s="110" t="n">
        <v>194319</v>
      </c>
      <c r="CJ34" s="110" t="n">
        <v>87632.75</v>
      </c>
      <c r="CK34" s="110" t="n">
        <v>908744.75</v>
      </c>
      <c r="CL34" s="110" t="n">
        <v>841630.75</v>
      </c>
      <c r="CM34" s="110" t="n">
        <v>67114</v>
      </c>
      <c r="CN34" s="110" t="n">
        <v>130</v>
      </c>
      <c r="CO34" s="110" t="n">
        <v>20525.35</v>
      </c>
      <c r="CP34" s="110" t="n">
        <v>337140.81</v>
      </c>
      <c r="CQ34" s="110" t="n">
        <v>23677.92</v>
      </c>
      <c r="CR34" s="110" t="n">
        <v>264845.15</v>
      </c>
      <c r="CS34" s="110" t="n">
        <v>0</v>
      </c>
      <c r="CT34" s="110" t="n">
        <v>46714.67</v>
      </c>
      <c r="CU34" s="110" t="n">
        <v>0</v>
      </c>
      <c r="CV34" s="111" t="n">
        <v>1398</v>
      </c>
      <c r="CW34" s="111" t="n">
        <v>1025</v>
      </c>
      <c r="CX34" s="111" t="n">
        <v>837</v>
      </c>
      <c r="CY34" s="111" t="n">
        <v>188</v>
      </c>
      <c r="CZ34" s="111" t="n">
        <v>373</v>
      </c>
      <c r="DA34" s="111" t="n">
        <v>103</v>
      </c>
      <c r="DB34" s="111" t="n">
        <v>270</v>
      </c>
      <c r="DC34" s="111" t="n">
        <v>135</v>
      </c>
      <c r="DD34" s="111" t="n">
        <v>8</v>
      </c>
      <c r="DE34" s="111" t="n">
        <v>103</v>
      </c>
      <c r="DF34" s="111" t="n">
        <v>94</v>
      </c>
      <c r="DG34" s="111" t="n">
        <v>9</v>
      </c>
      <c r="DH34" s="111" t="n">
        <v>32</v>
      </c>
      <c r="DI34" s="111" t="n">
        <v>6</v>
      </c>
      <c r="DJ34" s="111" t="n">
        <v>26</v>
      </c>
      <c r="DK34" s="111" t="n">
        <v>905</v>
      </c>
      <c r="DL34" s="111" t="n">
        <v>702</v>
      </c>
      <c r="DM34" s="111" t="n">
        <v>601</v>
      </c>
      <c r="DN34" s="111" t="n">
        <v>101</v>
      </c>
      <c r="DO34" s="111" t="n">
        <v>203</v>
      </c>
      <c r="DP34" s="111" t="n">
        <v>73</v>
      </c>
      <c r="DQ34" s="111" t="n">
        <v>130</v>
      </c>
      <c r="DR34" s="111" t="n">
        <v>347</v>
      </c>
      <c r="DS34" s="111" t="n">
        <v>0</v>
      </c>
      <c r="DT34" s="111" t="n">
        <v>212</v>
      </c>
      <c r="DU34" s="111" t="n">
        <v>136</v>
      </c>
      <c r="DV34" s="111" t="n">
        <v>76</v>
      </c>
      <c r="DW34" s="111" t="n">
        <v>135</v>
      </c>
      <c r="DX34" s="111" t="n">
        <v>23</v>
      </c>
      <c r="DY34" s="111" t="n">
        <v>112</v>
      </c>
      <c r="DZ34" s="111" t="n">
        <v>3</v>
      </c>
      <c r="EA34" s="111" t="n">
        <v>2</v>
      </c>
      <c r="EB34" s="111" t="n">
        <v>2</v>
      </c>
      <c r="EC34" s="111" t="n">
        <v>0</v>
      </c>
      <c r="ED34" s="111" t="n">
        <v>1</v>
      </c>
      <c r="EE34" s="111" t="n">
        <v>1</v>
      </c>
      <c r="EF34" s="111" t="n">
        <v>0</v>
      </c>
      <c r="EG34" s="111" t="n">
        <v>111</v>
      </c>
      <c r="EH34" s="111" t="n">
        <v>42</v>
      </c>
      <c r="EI34" s="111" t="n">
        <v>40</v>
      </c>
      <c r="EJ34" s="111" t="n">
        <v>2</v>
      </c>
      <c r="EK34" s="111" t="n">
        <v>69</v>
      </c>
      <c r="EL34" s="111" t="n">
        <v>65</v>
      </c>
      <c r="EM34" s="111" t="n">
        <v>4</v>
      </c>
      <c r="EN34" s="111" t="n">
        <v>72</v>
      </c>
      <c r="EO34" s="111" t="n">
        <v>39</v>
      </c>
      <c r="EP34" s="111" t="n">
        <v>20</v>
      </c>
      <c r="EQ34" s="111" t="n">
        <v>13</v>
      </c>
      <c r="ER34" s="111" t="n">
        <v>1</v>
      </c>
      <c r="ES34" s="111" t="n">
        <v>0</v>
      </c>
      <c r="ET34" s="111" t="n">
        <v>0</v>
      </c>
      <c r="EU34" s="111" t="n">
        <v>19</v>
      </c>
      <c r="EV34" s="111" t="n">
        <v>4</v>
      </c>
      <c r="EW34" s="111" t="n">
        <v>15</v>
      </c>
      <c r="EX34" s="111" t="n">
        <v>0</v>
      </c>
      <c r="EY34" s="111" t="n">
        <v>31</v>
      </c>
      <c r="EZ34" s="111" t="n">
        <v>31</v>
      </c>
      <c r="FA34" s="111" t="n">
        <v>0</v>
      </c>
      <c r="FB34" s="111" t="n">
        <v>32</v>
      </c>
    </row>
    <row r="35" ht="19.5" customHeight="1" s="247">
      <c r="A35" s="107" t="n">
        <v>32</v>
      </c>
      <c r="B35" s="107" t="inlineStr">
        <is>
          <t>儿童非手术</t>
        </is>
      </c>
      <c r="C35" s="107" t="inlineStr">
        <is>
          <t>儿神经内科</t>
        </is>
      </c>
      <c r="D35" s="110" t="n">
        <v>2571422.5</v>
      </c>
      <c r="E35" s="110" t="n">
        <v>1490901</v>
      </c>
      <c r="F35" s="110" t="n">
        <v>1080521.5</v>
      </c>
      <c r="G35" s="110" t="n">
        <v>3673</v>
      </c>
      <c r="H35" s="110" t="n">
        <v>243</v>
      </c>
      <c r="I35" s="110" t="n">
        <v>7649</v>
      </c>
      <c r="J35" s="110" t="n">
        <v>0</v>
      </c>
      <c r="K35" s="110" t="n">
        <v>0</v>
      </c>
      <c r="L35" s="110" t="n">
        <v>36507</v>
      </c>
      <c r="M35" s="110" t="n">
        <v>0</v>
      </c>
      <c r="N35" s="110" t="n">
        <v>266.97</v>
      </c>
      <c r="O35" s="110" t="n">
        <v>4698480.17</v>
      </c>
      <c r="P35" s="110" t="n">
        <v>2419530.69</v>
      </c>
      <c r="Q35" s="110" t="n">
        <v>2110974.64</v>
      </c>
      <c r="R35" s="110" t="n">
        <v>308556.05</v>
      </c>
      <c r="S35" s="110" t="n">
        <v>2278949.48</v>
      </c>
      <c r="T35" s="110" t="n">
        <v>1498778.45</v>
      </c>
      <c r="U35" s="110" t="n">
        <v>780171.03</v>
      </c>
      <c r="V35" s="110" t="n">
        <v>2178365.34</v>
      </c>
      <c r="W35" s="110" t="n">
        <v>1505982.01</v>
      </c>
      <c r="X35" s="110" t="n">
        <v>1327400.89</v>
      </c>
      <c r="Y35" s="110" t="n">
        <v>178581.12</v>
      </c>
      <c r="Z35" s="110" t="n">
        <v>672383.33</v>
      </c>
      <c r="AA35" s="110" t="n">
        <v>171588.37</v>
      </c>
      <c r="AB35" s="110" t="n">
        <v>500794.96</v>
      </c>
      <c r="AC35" s="110" t="n">
        <v>665730.22</v>
      </c>
      <c r="AD35" s="110" t="n">
        <v>505686.13</v>
      </c>
      <c r="AE35" s="110" t="n">
        <v>454771.21</v>
      </c>
      <c r="AF35" s="110" t="n">
        <v>50914.92</v>
      </c>
      <c r="AG35" s="110" t="n">
        <v>160044.09</v>
      </c>
      <c r="AH35" s="110" t="n">
        <v>46775.15</v>
      </c>
      <c r="AI35" s="110" t="n">
        <v>113268.94</v>
      </c>
      <c r="AJ35" s="110" t="n">
        <v>21734.12</v>
      </c>
      <c r="AK35" s="110" t="n">
        <v>19445.88</v>
      </c>
      <c r="AL35" s="110" t="n">
        <v>17037.68</v>
      </c>
      <c r="AM35" s="110" t="n">
        <v>2408.2</v>
      </c>
      <c r="AN35" s="110" t="n">
        <v>2288.24</v>
      </c>
      <c r="AO35" s="110" t="n">
        <v>919.22</v>
      </c>
      <c r="AP35" s="110" t="n">
        <v>1369.02</v>
      </c>
      <c r="AQ35" s="110" t="n">
        <v>991496</v>
      </c>
      <c r="AR35" s="110" t="n">
        <v>682952</v>
      </c>
      <c r="AS35" s="110" t="n">
        <v>603775</v>
      </c>
      <c r="AT35" s="110" t="n">
        <v>79177</v>
      </c>
      <c r="AU35" s="110" t="n">
        <v>308544</v>
      </c>
      <c r="AV35" s="110" t="n">
        <v>79334</v>
      </c>
      <c r="AW35" s="110" t="n">
        <v>229210</v>
      </c>
      <c r="AX35" s="110" t="n">
        <v>499405</v>
      </c>
      <c r="AY35" s="110" t="n">
        <v>297898</v>
      </c>
      <c r="AZ35" s="110" t="n">
        <v>251817</v>
      </c>
      <c r="BA35" s="110" t="n">
        <v>46081</v>
      </c>
      <c r="BB35" s="110" t="n">
        <v>201507</v>
      </c>
      <c r="BC35" s="110" t="n">
        <v>44560</v>
      </c>
      <c r="BD35" s="110" t="n">
        <v>156947</v>
      </c>
      <c r="BE35" s="110" t="n">
        <v>2520114.83</v>
      </c>
      <c r="BF35" s="110" t="n">
        <v>913548.6800000001</v>
      </c>
      <c r="BG35" s="110" t="n">
        <v>783573.75</v>
      </c>
      <c r="BH35" s="110" t="n">
        <v>129974.93</v>
      </c>
      <c r="BI35" s="110" t="n">
        <v>1606566.15</v>
      </c>
      <c r="BJ35" s="110" t="n">
        <v>1327190.08</v>
      </c>
      <c r="BK35" s="110" t="n">
        <v>279376.07</v>
      </c>
      <c r="BL35" s="110" t="n">
        <v>1390129</v>
      </c>
      <c r="BM35" s="110" t="n">
        <v>466967.89</v>
      </c>
      <c r="BN35" s="110" t="n">
        <v>462161.74</v>
      </c>
      <c r="BO35" s="110" t="n">
        <v>4806.15</v>
      </c>
      <c r="BP35" s="110" t="n">
        <v>923161.11</v>
      </c>
      <c r="BQ35" s="110" t="n">
        <v>820092.95</v>
      </c>
      <c r="BR35" s="110" t="n">
        <v>103068.16</v>
      </c>
      <c r="BS35" s="110" t="n">
        <v>49464.33</v>
      </c>
      <c r="BT35" s="110" t="n">
        <v>19651.79</v>
      </c>
      <c r="BU35" s="110" t="n">
        <v>17796.01</v>
      </c>
      <c r="BV35" s="110" t="n">
        <v>1855.78</v>
      </c>
      <c r="BW35" s="110" t="n">
        <v>29812.54</v>
      </c>
      <c r="BX35" s="110" t="n">
        <v>25045.13</v>
      </c>
      <c r="BY35" s="110" t="n">
        <v>4767.41</v>
      </c>
      <c r="BZ35" s="110" t="n">
        <v>546874</v>
      </c>
      <c r="CA35" s="110" t="n">
        <v>193456</v>
      </c>
      <c r="CB35" s="110" t="n">
        <v>169561</v>
      </c>
      <c r="CC35" s="110" t="n">
        <v>23895</v>
      </c>
      <c r="CD35" s="110" t="n">
        <v>353418</v>
      </c>
      <c r="CE35" s="110" t="n">
        <v>286801</v>
      </c>
      <c r="CF35" s="110" t="n">
        <v>66617</v>
      </c>
      <c r="CG35" s="110" t="n">
        <v>533647.5</v>
      </c>
      <c r="CH35" s="110" t="n">
        <v>233473</v>
      </c>
      <c r="CI35" s="110" t="n">
        <v>134055</v>
      </c>
      <c r="CJ35" s="110" t="n">
        <v>99418</v>
      </c>
      <c r="CK35" s="110" t="n">
        <v>300174.5</v>
      </c>
      <c r="CL35" s="110" t="n">
        <v>195251</v>
      </c>
      <c r="CM35" s="110" t="n">
        <v>104923.5</v>
      </c>
      <c r="CN35" s="110" t="n">
        <v>354524.18</v>
      </c>
      <c r="CO35" s="110" t="n">
        <v>180380.34</v>
      </c>
      <c r="CP35" s="110" t="n">
        <v>436558.32</v>
      </c>
      <c r="CQ35" s="110" t="n">
        <v>90771.81</v>
      </c>
      <c r="CR35" s="110" t="n">
        <v>1115071.49</v>
      </c>
      <c r="CS35" s="110" t="n">
        <v>1059.2</v>
      </c>
      <c r="CT35" s="110" t="n">
        <v>259010.6</v>
      </c>
      <c r="CU35" s="110" t="n">
        <v>0</v>
      </c>
      <c r="CV35" s="111" t="n">
        <v>3673</v>
      </c>
      <c r="CW35" s="111" t="n">
        <v>2735</v>
      </c>
      <c r="CX35" s="111" t="n">
        <v>2367</v>
      </c>
      <c r="CY35" s="111" t="n">
        <v>368</v>
      </c>
      <c r="CZ35" s="111" t="n">
        <v>938</v>
      </c>
      <c r="DA35" s="111" t="n">
        <v>236</v>
      </c>
      <c r="DB35" s="111" t="n">
        <v>702</v>
      </c>
      <c r="DC35" s="111" t="n">
        <v>826</v>
      </c>
      <c r="DD35" s="111" t="n">
        <v>95</v>
      </c>
      <c r="DE35" s="111" t="n">
        <v>737</v>
      </c>
      <c r="DF35" s="111" t="n">
        <v>652</v>
      </c>
      <c r="DG35" s="111" t="n">
        <v>85</v>
      </c>
      <c r="DH35" s="111" t="n">
        <v>89</v>
      </c>
      <c r="DI35" s="111" t="n">
        <v>22</v>
      </c>
      <c r="DJ35" s="111" t="n">
        <v>67</v>
      </c>
      <c r="DK35" s="111" t="n">
        <v>898</v>
      </c>
      <c r="DL35" s="111" t="n">
        <v>623</v>
      </c>
      <c r="DM35" s="111" t="n">
        <v>537</v>
      </c>
      <c r="DN35" s="111" t="n">
        <v>86</v>
      </c>
      <c r="DO35" s="111" t="n">
        <v>275</v>
      </c>
      <c r="DP35" s="111" t="n">
        <v>101</v>
      </c>
      <c r="DQ35" s="111" t="n">
        <v>174</v>
      </c>
      <c r="DR35" s="111" t="n">
        <v>1144</v>
      </c>
      <c r="DS35" s="111" t="n">
        <v>29</v>
      </c>
      <c r="DT35" s="111" t="n">
        <v>704</v>
      </c>
      <c r="DU35" s="111" t="n">
        <v>606</v>
      </c>
      <c r="DV35" s="111" t="n">
        <v>98</v>
      </c>
      <c r="DW35" s="111" t="n">
        <v>440</v>
      </c>
      <c r="DX35" s="111" t="n">
        <v>91</v>
      </c>
      <c r="DY35" s="111" t="n">
        <v>349</v>
      </c>
      <c r="DZ35" s="111" t="n">
        <v>681</v>
      </c>
      <c r="EA35" s="111" t="n">
        <v>612</v>
      </c>
      <c r="EB35" s="111" t="n">
        <v>519</v>
      </c>
      <c r="EC35" s="111" t="n">
        <v>93</v>
      </c>
      <c r="ED35" s="111" t="n">
        <v>69</v>
      </c>
      <c r="EE35" s="111" t="n">
        <v>21</v>
      </c>
      <c r="EF35" s="111" t="n">
        <v>48</v>
      </c>
      <c r="EG35" s="111" t="n">
        <v>243</v>
      </c>
      <c r="EH35" s="111" t="n">
        <v>99</v>
      </c>
      <c r="EI35" s="111" t="n">
        <v>77</v>
      </c>
      <c r="EJ35" s="111" t="n">
        <v>22</v>
      </c>
      <c r="EK35" s="111" t="n">
        <v>144</v>
      </c>
      <c r="EL35" s="111" t="n">
        <v>95</v>
      </c>
      <c r="EM35" s="111" t="n">
        <v>49</v>
      </c>
      <c r="EN35" s="111" t="n">
        <v>162</v>
      </c>
      <c r="EO35" s="111" t="n">
        <v>0</v>
      </c>
      <c r="EP35" s="111" t="n">
        <v>0</v>
      </c>
      <c r="EQ35" s="111" t="n">
        <v>162</v>
      </c>
      <c r="ER35" s="111" t="n">
        <v>0</v>
      </c>
      <c r="ES35" s="111" t="n">
        <v>0</v>
      </c>
      <c r="ET35" s="111" t="n">
        <v>0</v>
      </c>
      <c r="EU35" s="111" t="n">
        <v>0</v>
      </c>
      <c r="EV35" s="111" t="n">
        <v>0</v>
      </c>
      <c r="EW35" s="111" t="n">
        <v>0</v>
      </c>
      <c r="EX35" s="111" t="n">
        <v>0</v>
      </c>
      <c r="EY35" s="111" t="n">
        <v>0</v>
      </c>
      <c r="EZ35" s="111" t="n">
        <v>0</v>
      </c>
      <c r="FA35" s="111" t="n">
        <v>0</v>
      </c>
      <c r="FB35" s="111" t="n">
        <v>94</v>
      </c>
    </row>
    <row r="36" ht="19.5" customHeight="1" s="247">
      <c r="A36" s="107" t="n">
        <v>33</v>
      </c>
      <c r="B36" s="107" t="inlineStr">
        <is>
          <t>儿童非手术</t>
        </is>
      </c>
      <c r="C36" s="107" t="inlineStr">
        <is>
          <t>儿感染科</t>
        </is>
      </c>
      <c r="D36" s="110" t="n">
        <v>2644267.5</v>
      </c>
      <c r="E36" s="110" t="n">
        <v>1114638</v>
      </c>
      <c r="F36" s="110" t="n">
        <v>1529629.5</v>
      </c>
      <c r="G36" s="110" t="n">
        <v>4252</v>
      </c>
      <c r="H36" s="110" t="n">
        <v>174</v>
      </c>
      <c r="I36" s="110" t="n">
        <v>15830</v>
      </c>
      <c r="J36" s="110" t="n">
        <v>0</v>
      </c>
      <c r="K36" s="110" t="n">
        <v>0</v>
      </c>
      <c r="L36" s="110" t="n">
        <v>38864</v>
      </c>
      <c r="M36" s="110" t="n">
        <v>667</v>
      </c>
      <c r="N36" s="110" t="n">
        <v>0</v>
      </c>
      <c r="O36" s="110" t="n">
        <v>4023614.09</v>
      </c>
      <c r="P36" s="110" t="n">
        <v>3338979.81</v>
      </c>
      <c r="Q36" s="110" t="n">
        <v>2622200.25</v>
      </c>
      <c r="R36" s="110" t="n">
        <v>716779.5600000001</v>
      </c>
      <c r="S36" s="110" t="n">
        <v>684634.28</v>
      </c>
      <c r="T36" s="110" t="n">
        <v>450926.57</v>
      </c>
      <c r="U36" s="110" t="n">
        <v>233707.71</v>
      </c>
      <c r="V36" s="110" t="n">
        <v>2140312.48</v>
      </c>
      <c r="W36" s="110" t="n">
        <v>1977432.07</v>
      </c>
      <c r="X36" s="110" t="n">
        <v>1734859.23</v>
      </c>
      <c r="Y36" s="110" t="n">
        <v>242572.84</v>
      </c>
      <c r="Z36" s="110" t="n">
        <v>162880.41</v>
      </c>
      <c r="AA36" s="110" t="n">
        <v>52989.69</v>
      </c>
      <c r="AB36" s="110" t="n">
        <v>109890.72</v>
      </c>
      <c r="AC36" s="110" t="n">
        <v>976249.42</v>
      </c>
      <c r="AD36" s="110" t="n">
        <v>916959.45</v>
      </c>
      <c r="AE36" s="110" t="n">
        <v>806539.95</v>
      </c>
      <c r="AF36" s="110" t="n">
        <v>110419.5</v>
      </c>
      <c r="AG36" s="110" t="n">
        <v>59289.97</v>
      </c>
      <c r="AH36" s="110" t="n">
        <v>14490.15</v>
      </c>
      <c r="AI36" s="110" t="n">
        <v>44799.82</v>
      </c>
      <c r="AJ36" s="110" t="n">
        <v>49425.06</v>
      </c>
      <c r="AK36" s="110" t="n">
        <v>44388.62</v>
      </c>
      <c r="AL36" s="110" t="n">
        <v>38963.28</v>
      </c>
      <c r="AM36" s="110" t="n">
        <v>5425.34</v>
      </c>
      <c r="AN36" s="110" t="n">
        <v>5036.44</v>
      </c>
      <c r="AO36" s="110" t="n">
        <v>1531.54</v>
      </c>
      <c r="AP36" s="110" t="n">
        <v>3504.9</v>
      </c>
      <c r="AQ36" s="110" t="n">
        <v>781788</v>
      </c>
      <c r="AR36" s="110" t="n">
        <v>712499</v>
      </c>
      <c r="AS36" s="110" t="n">
        <v>641249</v>
      </c>
      <c r="AT36" s="110" t="n">
        <v>71250</v>
      </c>
      <c r="AU36" s="110" t="n">
        <v>69289</v>
      </c>
      <c r="AV36" s="110" t="n">
        <v>28026</v>
      </c>
      <c r="AW36" s="110" t="n">
        <v>41263</v>
      </c>
      <c r="AX36" s="110" t="n">
        <v>332850</v>
      </c>
      <c r="AY36" s="110" t="n">
        <v>303585</v>
      </c>
      <c r="AZ36" s="110" t="n">
        <v>248107</v>
      </c>
      <c r="BA36" s="110" t="n">
        <v>55478</v>
      </c>
      <c r="BB36" s="110" t="n">
        <v>29265</v>
      </c>
      <c r="BC36" s="110" t="n">
        <v>8942</v>
      </c>
      <c r="BD36" s="110" t="n">
        <v>20323</v>
      </c>
      <c r="BE36" s="110" t="n">
        <v>1883301.61</v>
      </c>
      <c r="BF36" s="110" t="n">
        <v>1361547.74</v>
      </c>
      <c r="BG36" s="110" t="n">
        <v>887341.02</v>
      </c>
      <c r="BH36" s="110" t="n">
        <v>474206.72</v>
      </c>
      <c r="BI36" s="110" t="n">
        <v>521753.87</v>
      </c>
      <c r="BJ36" s="110" t="n">
        <v>397936.88</v>
      </c>
      <c r="BK36" s="110" t="n">
        <v>123816.99</v>
      </c>
      <c r="BL36" s="110" t="n">
        <v>281460.52</v>
      </c>
      <c r="BM36" s="110" t="n">
        <v>162771.17</v>
      </c>
      <c r="BN36" s="110" t="n">
        <v>114908.35</v>
      </c>
      <c r="BO36" s="110" t="n">
        <v>47862.82</v>
      </c>
      <c r="BP36" s="110" t="n">
        <v>118689.35</v>
      </c>
      <c r="BQ36" s="110" t="n">
        <v>94467.98</v>
      </c>
      <c r="BR36" s="110" t="n">
        <v>24221.37</v>
      </c>
      <c r="BS36" s="110" t="n">
        <v>72211.59</v>
      </c>
      <c r="BT36" s="110" t="n">
        <v>51281.07</v>
      </c>
      <c r="BU36" s="110" t="n">
        <v>37580.17</v>
      </c>
      <c r="BV36" s="110" t="n">
        <v>13700.9</v>
      </c>
      <c r="BW36" s="110" t="n">
        <v>20930.52</v>
      </c>
      <c r="BX36" s="110" t="n">
        <v>17829.9</v>
      </c>
      <c r="BY36" s="110" t="n">
        <v>3100.62</v>
      </c>
      <c r="BZ36" s="110" t="n">
        <v>895441</v>
      </c>
      <c r="CA36" s="110" t="n">
        <v>688781</v>
      </c>
      <c r="CB36" s="110" t="n">
        <v>553404</v>
      </c>
      <c r="CC36" s="110" t="n">
        <v>135377</v>
      </c>
      <c r="CD36" s="110" t="n">
        <v>206660</v>
      </c>
      <c r="CE36" s="110" t="n">
        <v>181352</v>
      </c>
      <c r="CF36" s="110" t="n">
        <v>25308</v>
      </c>
      <c r="CG36" s="110" t="n">
        <v>634188.5</v>
      </c>
      <c r="CH36" s="110" t="n">
        <v>458714.5</v>
      </c>
      <c r="CI36" s="110" t="n">
        <v>181448.5</v>
      </c>
      <c r="CJ36" s="110" t="n">
        <v>277266</v>
      </c>
      <c r="CK36" s="110" t="n">
        <v>175474</v>
      </c>
      <c r="CL36" s="110" t="n">
        <v>104287</v>
      </c>
      <c r="CM36" s="110" t="n">
        <v>71187</v>
      </c>
      <c r="CN36" s="110" t="n">
        <v>353085.26</v>
      </c>
      <c r="CO36" s="110" t="n">
        <v>562840.49</v>
      </c>
      <c r="CP36" s="110" t="n">
        <v>382680.6</v>
      </c>
      <c r="CQ36" s="110" t="n">
        <v>5507.69</v>
      </c>
      <c r="CR36" s="110" t="n">
        <v>836454.4399999999</v>
      </c>
      <c r="CS36" s="110" t="n">
        <v>0</v>
      </c>
      <c r="CT36" s="110" t="n">
        <v>505681.39</v>
      </c>
      <c r="CU36" s="110" t="n">
        <v>0</v>
      </c>
      <c r="CV36" s="111" t="n">
        <v>4252</v>
      </c>
      <c r="CW36" s="111" t="n">
        <v>3860</v>
      </c>
      <c r="CX36" s="111" t="n">
        <v>3338</v>
      </c>
      <c r="CY36" s="111" t="n">
        <v>522</v>
      </c>
      <c r="CZ36" s="111" t="n">
        <v>392</v>
      </c>
      <c r="DA36" s="111" t="n">
        <v>110</v>
      </c>
      <c r="DB36" s="111" t="n">
        <v>282</v>
      </c>
      <c r="DC36" s="111" t="n">
        <v>1690</v>
      </c>
      <c r="DD36" s="111" t="n">
        <v>0</v>
      </c>
      <c r="DE36" s="111" t="n">
        <v>1511</v>
      </c>
      <c r="DF36" s="111" t="n">
        <v>1313</v>
      </c>
      <c r="DG36" s="111" t="n">
        <v>198</v>
      </c>
      <c r="DH36" s="111" t="n">
        <v>179</v>
      </c>
      <c r="DI36" s="111" t="n">
        <v>36</v>
      </c>
      <c r="DJ36" s="111" t="n">
        <v>143</v>
      </c>
      <c r="DK36" s="111" t="n">
        <v>803</v>
      </c>
      <c r="DL36" s="111" t="n">
        <v>721</v>
      </c>
      <c r="DM36" s="111" t="n">
        <v>628</v>
      </c>
      <c r="DN36" s="111" t="n">
        <v>93</v>
      </c>
      <c r="DO36" s="111" t="n">
        <v>82</v>
      </c>
      <c r="DP36" s="111" t="n">
        <v>32</v>
      </c>
      <c r="DQ36" s="111" t="n">
        <v>50</v>
      </c>
      <c r="DR36" s="111" t="n">
        <v>1145</v>
      </c>
      <c r="DS36" s="111" t="n">
        <v>0</v>
      </c>
      <c r="DT36" s="111" t="n">
        <v>1069</v>
      </c>
      <c r="DU36" s="111" t="n">
        <v>914</v>
      </c>
      <c r="DV36" s="111" t="n">
        <v>155</v>
      </c>
      <c r="DW36" s="111" t="n">
        <v>76</v>
      </c>
      <c r="DX36" s="111" t="n">
        <v>24</v>
      </c>
      <c r="DY36" s="111" t="n">
        <v>52</v>
      </c>
      <c r="DZ36" s="111" t="n">
        <v>614</v>
      </c>
      <c r="EA36" s="111" t="n">
        <v>559</v>
      </c>
      <c r="EB36" s="111" t="n">
        <v>483</v>
      </c>
      <c r="EC36" s="111" t="n">
        <v>76</v>
      </c>
      <c r="ED36" s="111" t="n">
        <v>55</v>
      </c>
      <c r="EE36" s="111" t="n">
        <v>18</v>
      </c>
      <c r="EF36" s="111" t="n">
        <v>37</v>
      </c>
      <c r="EG36" s="111" t="n">
        <v>174</v>
      </c>
      <c r="EH36" s="111" t="n">
        <v>141</v>
      </c>
      <c r="EI36" s="111" t="n">
        <v>102</v>
      </c>
      <c r="EJ36" s="111" t="n">
        <v>39</v>
      </c>
      <c r="EK36" s="111" t="n">
        <v>33</v>
      </c>
      <c r="EL36" s="111" t="n">
        <v>24</v>
      </c>
      <c r="EM36" s="111" t="n">
        <v>9</v>
      </c>
      <c r="EN36" s="111" t="n">
        <v>7</v>
      </c>
      <c r="EO36" s="111" t="n">
        <v>0</v>
      </c>
      <c r="EP36" s="111" t="n">
        <v>0</v>
      </c>
      <c r="EQ36" s="111" t="n">
        <v>7</v>
      </c>
      <c r="ER36" s="111" t="n">
        <v>0</v>
      </c>
      <c r="ES36" s="111" t="n">
        <v>0</v>
      </c>
      <c r="ET36" s="111" t="n">
        <v>0</v>
      </c>
      <c r="EU36" s="111" t="n">
        <v>0</v>
      </c>
      <c r="EV36" s="111" t="n">
        <v>0</v>
      </c>
      <c r="EW36" s="111" t="n">
        <v>0</v>
      </c>
      <c r="EX36" s="111" t="n">
        <v>0</v>
      </c>
      <c r="EY36" s="111" t="n">
        <v>0</v>
      </c>
      <c r="EZ36" s="111" t="n">
        <v>0</v>
      </c>
      <c r="FA36" s="111" t="n">
        <v>0</v>
      </c>
      <c r="FB36" s="111" t="n">
        <v>23</v>
      </c>
    </row>
    <row r="37" ht="19.5" customHeight="1" s="247">
      <c r="A37" s="107" t="n">
        <v>34</v>
      </c>
      <c r="B37" s="107" t="inlineStr">
        <is>
          <t>儿童非手术</t>
        </is>
      </c>
      <c r="C37" s="107" t="inlineStr">
        <is>
          <t>儿急危重症医学科</t>
        </is>
      </c>
      <c r="D37" s="110" t="n">
        <v>5697225</v>
      </c>
      <c r="E37" s="110" t="n">
        <v>1205357</v>
      </c>
      <c r="F37" s="110" t="n">
        <v>4491868</v>
      </c>
      <c r="G37" s="110" t="n">
        <v>4611</v>
      </c>
      <c r="H37" s="110" t="n">
        <v>16</v>
      </c>
      <c r="I37" s="110" t="n">
        <v>48216</v>
      </c>
      <c r="J37" s="110" t="n">
        <v>0</v>
      </c>
      <c r="K37" s="110" t="n">
        <v>0</v>
      </c>
      <c r="L37" s="110" t="n">
        <v>358865.5</v>
      </c>
      <c r="M37" s="110" t="n">
        <v>1121386</v>
      </c>
      <c r="N37" s="110" t="n">
        <v>2343.38</v>
      </c>
      <c r="O37" s="110" t="n">
        <v>8793097.23</v>
      </c>
      <c r="P37" s="110" t="n">
        <v>3076054.93</v>
      </c>
      <c r="Q37" s="110" t="n">
        <v>2609523.16</v>
      </c>
      <c r="R37" s="110" t="n">
        <v>466531.77</v>
      </c>
      <c r="S37" s="110" t="n">
        <v>5717042.3</v>
      </c>
      <c r="T37" s="110" t="n">
        <v>5093647.25</v>
      </c>
      <c r="U37" s="110" t="n">
        <v>623395.05</v>
      </c>
      <c r="V37" s="110" t="n">
        <v>2220106.54</v>
      </c>
      <c r="W37" s="110" t="n">
        <v>2009332.59</v>
      </c>
      <c r="X37" s="110" t="n">
        <v>1764286.91</v>
      </c>
      <c r="Y37" s="110" t="n">
        <v>245045.68</v>
      </c>
      <c r="Z37" s="110" t="n">
        <v>210773.95</v>
      </c>
      <c r="AA37" s="110" t="n">
        <v>70871.67</v>
      </c>
      <c r="AB37" s="110" t="n">
        <v>139902.28</v>
      </c>
      <c r="AC37" s="110" t="n">
        <v>949324.1800000001</v>
      </c>
      <c r="AD37" s="110" t="n">
        <v>885182.5699999999</v>
      </c>
      <c r="AE37" s="110" t="n">
        <v>810236.05</v>
      </c>
      <c r="AF37" s="110" t="n">
        <v>74946.52</v>
      </c>
      <c r="AG37" s="110" t="n">
        <v>64141.61</v>
      </c>
      <c r="AH37" s="110" t="n">
        <v>22063.07</v>
      </c>
      <c r="AI37" s="110" t="n">
        <v>42078.54</v>
      </c>
      <c r="AJ37" s="110" t="n">
        <v>65425.36</v>
      </c>
      <c r="AK37" s="110" t="n">
        <v>56809.52</v>
      </c>
      <c r="AL37" s="110" t="n">
        <v>48891.36</v>
      </c>
      <c r="AM37" s="110" t="n">
        <v>7918.16</v>
      </c>
      <c r="AN37" s="110" t="n">
        <v>8615.84</v>
      </c>
      <c r="AO37" s="110" t="n">
        <v>4084.6</v>
      </c>
      <c r="AP37" s="110" t="n">
        <v>4531.24</v>
      </c>
      <c r="AQ37" s="110" t="n">
        <v>935909</v>
      </c>
      <c r="AR37" s="110" t="n">
        <v>834938</v>
      </c>
      <c r="AS37" s="110" t="n">
        <v>726967</v>
      </c>
      <c r="AT37" s="110" t="n">
        <v>107971</v>
      </c>
      <c r="AU37" s="110" t="n">
        <v>100971</v>
      </c>
      <c r="AV37" s="110" t="n">
        <v>35121</v>
      </c>
      <c r="AW37" s="110" t="n">
        <v>65850</v>
      </c>
      <c r="AX37" s="110" t="n">
        <v>269448</v>
      </c>
      <c r="AY37" s="110" t="n">
        <v>232402.5</v>
      </c>
      <c r="AZ37" s="110" t="n">
        <v>178192.5</v>
      </c>
      <c r="BA37" s="110" t="n">
        <v>54210</v>
      </c>
      <c r="BB37" s="110" t="n">
        <v>37045.5</v>
      </c>
      <c r="BC37" s="110" t="n">
        <v>9603</v>
      </c>
      <c r="BD37" s="110" t="n">
        <v>27442.5</v>
      </c>
      <c r="BE37" s="110" t="n">
        <v>6572990.69</v>
      </c>
      <c r="BF37" s="110" t="n">
        <v>1066722.34</v>
      </c>
      <c r="BG37" s="110" t="n">
        <v>845236.25</v>
      </c>
      <c r="BH37" s="110" t="n">
        <v>221486.09</v>
      </c>
      <c r="BI37" s="110" t="n">
        <v>5506268.35</v>
      </c>
      <c r="BJ37" s="110" t="n">
        <v>5022775.58</v>
      </c>
      <c r="BK37" s="110" t="n">
        <v>483492.77</v>
      </c>
      <c r="BL37" s="110" t="n">
        <v>789339.95</v>
      </c>
      <c r="BM37" s="110" t="n">
        <v>171859.28</v>
      </c>
      <c r="BN37" s="110" t="n">
        <v>147563.39</v>
      </c>
      <c r="BO37" s="110" t="n">
        <v>24295.89</v>
      </c>
      <c r="BP37" s="110" t="n">
        <v>617480.67</v>
      </c>
      <c r="BQ37" s="110" t="n">
        <v>551334.4</v>
      </c>
      <c r="BR37" s="110" t="n">
        <v>66146.27</v>
      </c>
      <c r="BS37" s="110" t="n">
        <v>1291782.74</v>
      </c>
      <c r="BT37" s="110" t="n">
        <v>178846.81</v>
      </c>
      <c r="BU37" s="110" t="n">
        <v>156142.61</v>
      </c>
      <c r="BV37" s="110" t="n">
        <v>22704.2</v>
      </c>
      <c r="BW37" s="110" t="n">
        <v>1112935.93</v>
      </c>
      <c r="BX37" s="110" t="n">
        <v>1040222.68</v>
      </c>
      <c r="BY37" s="110" t="n">
        <v>72713.25</v>
      </c>
      <c r="BZ37" s="110" t="n">
        <v>1843497.5</v>
      </c>
      <c r="CA37" s="110" t="n">
        <v>329261</v>
      </c>
      <c r="CB37" s="110" t="n">
        <v>278724</v>
      </c>
      <c r="CC37" s="110" t="n">
        <v>50537</v>
      </c>
      <c r="CD37" s="110" t="n">
        <v>1514236.5</v>
      </c>
      <c r="CE37" s="110" t="n">
        <v>1354390.5</v>
      </c>
      <c r="CF37" s="110" t="n">
        <v>159846</v>
      </c>
      <c r="CG37" s="110" t="n">
        <v>2648370.5</v>
      </c>
      <c r="CH37" s="110" t="n">
        <v>386755.25</v>
      </c>
      <c r="CI37" s="110" t="n">
        <v>262806.25</v>
      </c>
      <c r="CJ37" s="110" t="n">
        <v>123949</v>
      </c>
      <c r="CK37" s="110" t="n">
        <v>2261615.25</v>
      </c>
      <c r="CL37" s="110" t="n">
        <v>2076828</v>
      </c>
      <c r="CM37" s="110" t="n">
        <v>184787.25</v>
      </c>
      <c r="CN37" s="110" t="n">
        <v>770039.0699999999</v>
      </c>
      <c r="CO37" s="110" t="n">
        <v>1004187.53</v>
      </c>
      <c r="CP37" s="110" t="n">
        <v>149242.54</v>
      </c>
      <c r="CQ37" s="110" t="n">
        <v>610.75</v>
      </c>
      <c r="CR37" s="110" t="n">
        <v>295510.65</v>
      </c>
      <c r="CS37" s="110" t="n">
        <v>516</v>
      </c>
      <c r="CT37" s="110" t="n">
        <v>122112.62</v>
      </c>
      <c r="CU37" s="110" t="n">
        <v>0</v>
      </c>
      <c r="CV37" s="111" t="n">
        <v>4611</v>
      </c>
      <c r="CW37" s="111" t="n">
        <v>4125</v>
      </c>
      <c r="CX37" s="111" t="n">
        <v>3536</v>
      </c>
      <c r="CY37" s="111" t="n">
        <v>589</v>
      </c>
      <c r="CZ37" s="111" t="n">
        <v>486</v>
      </c>
      <c r="DA37" s="111" t="n">
        <v>149</v>
      </c>
      <c r="DB37" s="111" t="n">
        <v>337</v>
      </c>
      <c r="DC37" s="111" t="n">
        <v>2320</v>
      </c>
      <c r="DD37" s="111" t="n">
        <v>0</v>
      </c>
      <c r="DE37" s="111" t="n">
        <v>2148</v>
      </c>
      <c r="DF37" s="111" t="n">
        <v>1915</v>
      </c>
      <c r="DG37" s="111" t="n">
        <v>233</v>
      </c>
      <c r="DH37" s="111" t="n">
        <v>172</v>
      </c>
      <c r="DI37" s="111" t="n">
        <v>56</v>
      </c>
      <c r="DJ37" s="111" t="n">
        <v>116</v>
      </c>
      <c r="DK37" s="111" t="n">
        <v>324</v>
      </c>
      <c r="DL37" s="111" t="n">
        <v>293</v>
      </c>
      <c r="DM37" s="111" t="n">
        <v>255</v>
      </c>
      <c r="DN37" s="111" t="n">
        <v>38</v>
      </c>
      <c r="DO37" s="111" t="n">
        <v>31</v>
      </c>
      <c r="DP37" s="111" t="n">
        <v>9</v>
      </c>
      <c r="DQ37" s="111" t="n">
        <v>22</v>
      </c>
      <c r="DR37" s="111" t="n">
        <v>388</v>
      </c>
      <c r="DS37" s="111" t="n">
        <v>0</v>
      </c>
      <c r="DT37" s="111" t="n">
        <v>348</v>
      </c>
      <c r="DU37" s="111" t="n">
        <v>280</v>
      </c>
      <c r="DV37" s="111" t="n">
        <v>68</v>
      </c>
      <c r="DW37" s="111" t="n">
        <v>40</v>
      </c>
      <c r="DX37" s="111" t="n">
        <v>9</v>
      </c>
      <c r="DY37" s="111" t="n">
        <v>31</v>
      </c>
      <c r="DZ37" s="111" t="n">
        <v>1579</v>
      </c>
      <c r="EA37" s="111" t="n">
        <v>1336</v>
      </c>
      <c r="EB37" s="111" t="n">
        <v>1086</v>
      </c>
      <c r="EC37" s="111" t="n">
        <v>250</v>
      </c>
      <c r="ED37" s="111" t="n">
        <v>243</v>
      </c>
      <c r="EE37" s="111" t="n">
        <v>75</v>
      </c>
      <c r="EF37" s="111" t="n">
        <v>168</v>
      </c>
      <c r="EG37" s="111" t="n">
        <v>16</v>
      </c>
      <c r="EH37" s="111" t="n">
        <v>12</v>
      </c>
      <c r="EI37" s="111" t="n">
        <v>6</v>
      </c>
      <c r="EJ37" s="111" t="n">
        <v>6</v>
      </c>
      <c r="EK37" s="111" t="n">
        <v>4</v>
      </c>
      <c r="EL37" s="111" t="n">
        <v>3</v>
      </c>
      <c r="EM37" s="111" t="n">
        <v>1</v>
      </c>
      <c r="EN37" s="111" t="n">
        <v>6</v>
      </c>
      <c r="EO37" s="111" t="n">
        <v>0</v>
      </c>
      <c r="EP37" s="111" t="n">
        <v>0</v>
      </c>
      <c r="EQ37" s="111" t="n">
        <v>6</v>
      </c>
      <c r="ER37" s="111" t="n">
        <v>0</v>
      </c>
      <c r="ES37" s="111" t="n">
        <v>0</v>
      </c>
      <c r="ET37" s="111" t="n">
        <v>0</v>
      </c>
      <c r="EU37" s="111" t="n">
        <v>0</v>
      </c>
      <c r="EV37" s="111" t="n">
        <v>0</v>
      </c>
      <c r="EW37" s="111" t="n">
        <v>0</v>
      </c>
      <c r="EX37" s="111" t="n">
        <v>0</v>
      </c>
      <c r="EY37" s="111" t="n">
        <v>0</v>
      </c>
      <c r="EZ37" s="111" t="n">
        <v>0</v>
      </c>
      <c r="FA37" s="111" t="n">
        <v>0</v>
      </c>
      <c r="FB37" s="111" t="n">
        <v>0</v>
      </c>
    </row>
    <row r="38" ht="19.5" customHeight="1" s="247">
      <c r="A38" s="107" t="n">
        <v>35</v>
      </c>
      <c r="B38" s="107" t="inlineStr">
        <is>
          <t>儿童手术</t>
        </is>
      </c>
      <c r="C38" s="107" t="inlineStr">
        <is>
          <t>儿普外科</t>
        </is>
      </c>
      <c r="D38" s="110" t="n">
        <v>2714991</v>
      </c>
      <c r="E38" s="110" t="n">
        <v>588928</v>
      </c>
      <c r="F38" s="110" t="n">
        <v>2126063</v>
      </c>
      <c r="G38" s="110" t="n">
        <v>3490</v>
      </c>
      <c r="H38" s="110" t="n">
        <v>254</v>
      </c>
      <c r="I38" s="110" t="n">
        <v>42631</v>
      </c>
      <c r="J38" s="110" t="n">
        <v>21246</v>
      </c>
      <c r="K38" s="110" t="n">
        <v>0</v>
      </c>
      <c r="L38" s="110" t="n">
        <v>98297</v>
      </c>
      <c r="M38" s="110" t="n">
        <v>368118.5</v>
      </c>
      <c r="N38" s="110" t="n">
        <v>0</v>
      </c>
      <c r="O38" s="110" t="n">
        <v>4080372.79</v>
      </c>
      <c r="P38" s="110" t="n">
        <v>2005392.67</v>
      </c>
      <c r="Q38" s="110" t="n">
        <v>1552396.39</v>
      </c>
      <c r="R38" s="110" t="n">
        <v>452996.28</v>
      </c>
      <c r="S38" s="110" t="n">
        <v>2074980.12</v>
      </c>
      <c r="T38" s="110" t="n">
        <v>1327551.12</v>
      </c>
      <c r="U38" s="110" t="n">
        <v>747429</v>
      </c>
      <c r="V38" s="110" t="n">
        <v>889476.59</v>
      </c>
      <c r="W38" s="110" t="n">
        <v>696083.72</v>
      </c>
      <c r="X38" s="110" t="n">
        <v>580562.26</v>
      </c>
      <c r="Y38" s="110" t="n">
        <v>115521.46</v>
      </c>
      <c r="Z38" s="110" t="n">
        <v>193392.87</v>
      </c>
      <c r="AA38" s="110" t="n">
        <v>60578.32</v>
      </c>
      <c r="AB38" s="110" t="n">
        <v>132814.55</v>
      </c>
      <c r="AC38" s="110" t="n">
        <v>109824.53</v>
      </c>
      <c r="AD38" s="110" t="n">
        <v>94329.06</v>
      </c>
      <c r="AE38" s="110" t="n">
        <v>81957.42</v>
      </c>
      <c r="AF38" s="110" t="n">
        <v>12371.64</v>
      </c>
      <c r="AG38" s="110" t="n">
        <v>15495.47</v>
      </c>
      <c r="AH38" s="110" t="n">
        <v>4522.32</v>
      </c>
      <c r="AI38" s="110" t="n">
        <v>10973.15</v>
      </c>
      <c r="AJ38" s="110" t="n">
        <v>190724.06</v>
      </c>
      <c r="AK38" s="110" t="n">
        <v>176478.66</v>
      </c>
      <c r="AL38" s="110" t="n">
        <v>159756.84</v>
      </c>
      <c r="AM38" s="110" t="n">
        <v>16721.82</v>
      </c>
      <c r="AN38" s="110" t="n">
        <v>14245.4</v>
      </c>
      <c r="AO38" s="110" t="n">
        <v>4743</v>
      </c>
      <c r="AP38" s="110" t="n">
        <v>9502.4</v>
      </c>
      <c r="AQ38" s="110" t="n">
        <v>306635</v>
      </c>
      <c r="AR38" s="110" t="n">
        <v>233249</v>
      </c>
      <c r="AS38" s="110" t="n">
        <v>185817</v>
      </c>
      <c r="AT38" s="110" t="n">
        <v>47432</v>
      </c>
      <c r="AU38" s="110" t="n">
        <v>73386</v>
      </c>
      <c r="AV38" s="110" t="n">
        <v>26816</v>
      </c>
      <c r="AW38" s="110" t="n">
        <v>46570</v>
      </c>
      <c r="AX38" s="110" t="n">
        <v>282293</v>
      </c>
      <c r="AY38" s="110" t="n">
        <v>192027</v>
      </c>
      <c r="AZ38" s="110" t="n">
        <v>153031</v>
      </c>
      <c r="BA38" s="110" t="n">
        <v>38996</v>
      </c>
      <c r="BB38" s="110" t="n">
        <v>90266</v>
      </c>
      <c r="BC38" s="110" t="n">
        <v>24497</v>
      </c>
      <c r="BD38" s="110" t="n">
        <v>65769</v>
      </c>
      <c r="BE38" s="110" t="n">
        <v>3190896.2</v>
      </c>
      <c r="BF38" s="110" t="n">
        <v>1309308.95</v>
      </c>
      <c r="BG38" s="110" t="n">
        <v>971834.13</v>
      </c>
      <c r="BH38" s="110" t="n">
        <v>337474.82</v>
      </c>
      <c r="BI38" s="110" t="n">
        <v>1881587.25</v>
      </c>
      <c r="BJ38" s="110" t="n">
        <v>1266972.8</v>
      </c>
      <c r="BK38" s="110" t="n">
        <v>614614.45</v>
      </c>
      <c r="BL38" s="110" t="n">
        <v>399241.79</v>
      </c>
      <c r="BM38" s="110" t="n">
        <v>144777.8</v>
      </c>
      <c r="BN38" s="110" t="n">
        <v>119275.9</v>
      </c>
      <c r="BO38" s="110" t="n">
        <v>25501.9</v>
      </c>
      <c r="BP38" s="110" t="n">
        <v>254463.99</v>
      </c>
      <c r="BQ38" s="110" t="n">
        <v>214499.9</v>
      </c>
      <c r="BR38" s="110" t="n">
        <v>39964.09</v>
      </c>
      <c r="BS38" s="110" t="n">
        <v>665591.41</v>
      </c>
      <c r="BT38" s="110" t="n">
        <v>319880.65</v>
      </c>
      <c r="BU38" s="110" t="n">
        <v>284477.98</v>
      </c>
      <c r="BV38" s="110" t="n">
        <v>35402.67</v>
      </c>
      <c r="BW38" s="110" t="n">
        <v>345710.76</v>
      </c>
      <c r="BX38" s="110" t="n">
        <v>285379.9</v>
      </c>
      <c r="BY38" s="110" t="n">
        <v>60330.86</v>
      </c>
      <c r="BZ38" s="110" t="n">
        <v>564780</v>
      </c>
      <c r="CA38" s="110" t="n">
        <v>222213</v>
      </c>
      <c r="CB38" s="110" t="n">
        <v>197827</v>
      </c>
      <c r="CC38" s="110" t="n">
        <v>24386</v>
      </c>
      <c r="CD38" s="110" t="n">
        <v>342567</v>
      </c>
      <c r="CE38" s="110" t="n">
        <v>271347</v>
      </c>
      <c r="CF38" s="110" t="n">
        <v>71220</v>
      </c>
      <c r="CG38" s="110" t="n">
        <v>1561283</v>
      </c>
      <c r="CH38" s="110" t="n">
        <v>622437.5</v>
      </c>
      <c r="CI38" s="110" t="n">
        <v>370253.25</v>
      </c>
      <c r="CJ38" s="110" t="n">
        <v>252184.25</v>
      </c>
      <c r="CK38" s="110" t="n">
        <v>938845.5</v>
      </c>
      <c r="CL38" s="110" t="n">
        <v>495746</v>
      </c>
      <c r="CM38" s="110" t="n">
        <v>443099.5</v>
      </c>
      <c r="CN38" s="110" t="n">
        <v>384195.62</v>
      </c>
      <c r="CO38" s="110" t="n">
        <v>226254.2</v>
      </c>
      <c r="CP38" s="110" t="n">
        <v>97214.24000000001</v>
      </c>
      <c r="CQ38" s="110" t="n">
        <v>17211.85</v>
      </c>
      <c r="CR38" s="110" t="n">
        <v>163769.68</v>
      </c>
      <c r="CS38" s="110" t="n">
        <v>816</v>
      </c>
      <c r="CT38" s="110" t="n">
        <v>711682.84</v>
      </c>
      <c r="CU38" s="110" t="n">
        <v>0</v>
      </c>
      <c r="CV38" s="111" t="n">
        <v>3490</v>
      </c>
      <c r="CW38" s="111" t="n">
        <v>2757</v>
      </c>
      <c r="CX38" s="111" t="n">
        <v>2277</v>
      </c>
      <c r="CY38" s="111" t="n">
        <v>480</v>
      </c>
      <c r="CZ38" s="111" t="n">
        <v>733</v>
      </c>
      <c r="DA38" s="111" t="n">
        <v>232</v>
      </c>
      <c r="DB38" s="111" t="n">
        <v>501</v>
      </c>
      <c r="DC38" s="111" t="n">
        <v>1042</v>
      </c>
      <c r="DD38" s="111" t="n">
        <v>3</v>
      </c>
      <c r="DE38" s="111" t="n">
        <v>871</v>
      </c>
      <c r="DF38" s="111" t="n">
        <v>751</v>
      </c>
      <c r="DG38" s="111" t="n">
        <v>120</v>
      </c>
      <c r="DH38" s="111" t="n">
        <v>171</v>
      </c>
      <c r="DI38" s="111" t="n">
        <v>65</v>
      </c>
      <c r="DJ38" s="111" t="n">
        <v>106</v>
      </c>
      <c r="DK38" s="111" t="n">
        <v>474</v>
      </c>
      <c r="DL38" s="111" t="n">
        <v>282</v>
      </c>
      <c r="DM38" s="111" t="n">
        <v>216</v>
      </c>
      <c r="DN38" s="111" t="n">
        <v>66</v>
      </c>
      <c r="DO38" s="111" t="n">
        <v>192</v>
      </c>
      <c r="DP38" s="111" t="n">
        <v>74</v>
      </c>
      <c r="DQ38" s="111" t="n">
        <v>118</v>
      </c>
      <c r="DR38" s="111" t="n">
        <v>339</v>
      </c>
      <c r="DS38" s="111" t="n">
        <v>0</v>
      </c>
      <c r="DT38" s="111" t="n">
        <v>161</v>
      </c>
      <c r="DU38" s="111" t="n">
        <v>115</v>
      </c>
      <c r="DV38" s="111" t="n">
        <v>46</v>
      </c>
      <c r="DW38" s="111" t="n">
        <v>178</v>
      </c>
      <c r="DX38" s="111" t="n">
        <v>41</v>
      </c>
      <c r="DY38" s="111" t="n">
        <v>137</v>
      </c>
      <c r="DZ38" s="111" t="n">
        <v>1632</v>
      </c>
      <c r="EA38" s="111" t="n">
        <v>1442</v>
      </c>
      <c r="EB38" s="111" t="n">
        <v>1195</v>
      </c>
      <c r="EC38" s="111" t="n">
        <v>247</v>
      </c>
      <c r="ED38" s="111" t="n">
        <v>190</v>
      </c>
      <c r="EE38" s="111" t="n">
        <v>52</v>
      </c>
      <c r="EF38" s="111" t="n">
        <v>138</v>
      </c>
      <c r="EG38" s="111" t="n">
        <v>254</v>
      </c>
      <c r="EH38" s="111" t="n">
        <v>118</v>
      </c>
      <c r="EI38" s="111" t="n">
        <v>96</v>
      </c>
      <c r="EJ38" s="111" t="n">
        <v>22</v>
      </c>
      <c r="EK38" s="111" t="n">
        <v>136</v>
      </c>
      <c r="EL38" s="111" t="n">
        <v>96</v>
      </c>
      <c r="EM38" s="111" t="n">
        <v>40</v>
      </c>
      <c r="EN38" s="111" t="n">
        <v>185</v>
      </c>
      <c r="EO38" s="111" t="n">
        <v>160</v>
      </c>
      <c r="EP38" s="111" t="n">
        <v>0</v>
      </c>
      <c r="EQ38" s="111" t="n">
        <v>25</v>
      </c>
      <c r="ER38" s="111" t="n">
        <v>79</v>
      </c>
      <c r="ES38" s="111" t="n">
        <v>0</v>
      </c>
      <c r="ET38" s="111" t="n">
        <v>0</v>
      </c>
      <c r="EU38" s="111" t="n">
        <v>34</v>
      </c>
      <c r="EV38" s="111" t="n">
        <v>34</v>
      </c>
      <c r="EW38" s="111" t="n">
        <v>0</v>
      </c>
      <c r="EX38" s="111" t="n">
        <v>0</v>
      </c>
      <c r="EY38" s="111" t="n">
        <v>26</v>
      </c>
      <c r="EZ38" s="111" t="n">
        <v>26</v>
      </c>
      <c r="FA38" s="111" t="n">
        <v>0</v>
      </c>
      <c r="FB38" s="111" t="n">
        <v>9</v>
      </c>
    </row>
    <row r="39" ht="19.5" customHeight="1" s="247">
      <c r="A39" s="107" t="n">
        <v>36</v>
      </c>
      <c r="B39" s="107" t="inlineStr">
        <is>
          <t>儿童手术</t>
        </is>
      </c>
      <c r="C39" s="107" t="inlineStr">
        <is>
          <t>儿泌尿外科</t>
        </is>
      </c>
      <c r="D39" s="110" t="n">
        <v>1660877.5</v>
      </c>
      <c r="E39" s="110" t="n">
        <v>159838</v>
      </c>
      <c r="F39" s="110" t="n">
        <v>1501039.5</v>
      </c>
      <c r="G39" s="110" t="n">
        <v>1523</v>
      </c>
      <c r="H39" s="110" t="n">
        <v>172</v>
      </c>
      <c r="I39" s="110" t="n">
        <v>643</v>
      </c>
      <c r="J39" s="110" t="n">
        <v>344</v>
      </c>
      <c r="K39" s="110" t="n">
        <v>0</v>
      </c>
      <c r="L39" s="110" t="n">
        <v>42966</v>
      </c>
      <c r="M39" s="110" t="n">
        <v>531244</v>
      </c>
      <c r="N39" s="110" t="n">
        <v>0</v>
      </c>
      <c r="O39" s="110" t="n">
        <v>2355306.24</v>
      </c>
      <c r="P39" s="110" t="n">
        <v>951736.51</v>
      </c>
      <c r="Q39" s="110" t="n">
        <v>542532.33</v>
      </c>
      <c r="R39" s="110" t="n">
        <v>409204.18</v>
      </c>
      <c r="S39" s="110" t="n">
        <v>1403569.73</v>
      </c>
      <c r="T39" s="110" t="n">
        <v>1058833.84</v>
      </c>
      <c r="U39" s="110" t="n">
        <v>344735.89</v>
      </c>
      <c r="V39" s="110" t="n">
        <v>182172.94</v>
      </c>
      <c r="W39" s="110" t="n">
        <v>125321.21</v>
      </c>
      <c r="X39" s="110" t="n">
        <v>104331.01</v>
      </c>
      <c r="Y39" s="110" t="n">
        <v>20990.2</v>
      </c>
      <c r="Z39" s="110" t="n">
        <v>56851.73</v>
      </c>
      <c r="AA39" s="110" t="n">
        <v>19426</v>
      </c>
      <c r="AB39" s="110" t="n">
        <v>37425.73</v>
      </c>
      <c r="AC39" s="110" t="n">
        <v>20371.94</v>
      </c>
      <c r="AD39" s="110" t="n">
        <v>14606.21</v>
      </c>
      <c r="AE39" s="110" t="n">
        <v>11845.01</v>
      </c>
      <c r="AF39" s="110" t="n">
        <v>2761.2</v>
      </c>
      <c r="AG39" s="110" t="n">
        <v>5765.73</v>
      </c>
      <c r="AH39" s="110" t="n">
        <v>2769</v>
      </c>
      <c r="AI39" s="110" t="n">
        <v>2996.73</v>
      </c>
      <c r="AJ39" s="110" t="n">
        <v>1963</v>
      </c>
      <c r="AK39" s="110" t="n">
        <v>1565</v>
      </c>
      <c r="AL39" s="110" t="n">
        <v>1542</v>
      </c>
      <c r="AM39" s="110" t="n">
        <v>23</v>
      </c>
      <c r="AN39" s="110" t="n">
        <v>398</v>
      </c>
      <c r="AO39" s="110" t="n">
        <v>198</v>
      </c>
      <c r="AP39" s="110" t="n">
        <v>200</v>
      </c>
      <c r="AQ39" s="110" t="n">
        <v>54067</v>
      </c>
      <c r="AR39" s="110" t="n">
        <v>39780</v>
      </c>
      <c r="AS39" s="110" t="n">
        <v>33036</v>
      </c>
      <c r="AT39" s="110" t="n">
        <v>6744</v>
      </c>
      <c r="AU39" s="110" t="n">
        <v>14287</v>
      </c>
      <c r="AV39" s="110" t="n">
        <v>5715</v>
      </c>
      <c r="AW39" s="110" t="n">
        <v>8572</v>
      </c>
      <c r="AX39" s="110" t="n">
        <v>105771</v>
      </c>
      <c r="AY39" s="110" t="n">
        <v>69370</v>
      </c>
      <c r="AZ39" s="110" t="n">
        <v>57908</v>
      </c>
      <c r="BA39" s="110" t="n">
        <v>11462</v>
      </c>
      <c r="BB39" s="110" t="n">
        <v>36401</v>
      </c>
      <c r="BC39" s="110" t="n">
        <v>10744</v>
      </c>
      <c r="BD39" s="110" t="n">
        <v>25657</v>
      </c>
      <c r="BE39" s="110" t="n">
        <v>2173133.3</v>
      </c>
      <c r="BF39" s="110" t="n">
        <v>826415.3</v>
      </c>
      <c r="BG39" s="110" t="n">
        <v>438201.32</v>
      </c>
      <c r="BH39" s="110" t="n">
        <v>388213.98</v>
      </c>
      <c r="BI39" s="110" t="n">
        <v>1346718</v>
      </c>
      <c r="BJ39" s="110" t="n">
        <v>1039407.84</v>
      </c>
      <c r="BK39" s="110" t="n">
        <v>307310.16</v>
      </c>
      <c r="BL39" s="110" t="n">
        <v>226898.72</v>
      </c>
      <c r="BM39" s="110" t="n">
        <v>85733.84</v>
      </c>
      <c r="BN39" s="110" t="n">
        <v>57437.06</v>
      </c>
      <c r="BO39" s="110" t="n">
        <v>28296.78</v>
      </c>
      <c r="BP39" s="110" t="n">
        <v>141164.88</v>
      </c>
      <c r="BQ39" s="110" t="n">
        <v>116859.69</v>
      </c>
      <c r="BR39" s="110" t="n">
        <v>24305.19</v>
      </c>
      <c r="BS39" s="110" t="n">
        <v>445195.08</v>
      </c>
      <c r="BT39" s="110" t="n">
        <v>171258.71</v>
      </c>
      <c r="BU39" s="110" t="n">
        <v>111619.26</v>
      </c>
      <c r="BV39" s="110" t="n">
        <v>59639.45</v>
      </c>
      <c r="BW39" s="110" t="n">
        <v>273936.37</v>
      </c>
      <c r="BX39" s="110" t="n">
        <v>221558.9</v>
      </c>
      <c r="BY39" s="110" t="n">
        <v>52377.47</v>
      </c>
      <c r="BZ39" s="110" t="n">
        <v>264235</v>
      </c>
      <c r="CA39" s="110" t="n">
        <v>100855</v>
      </c>
      <c r="CB39" s="110" t="n">
        <v>65865</v>
      </c>
      <c r="CC39" s="110" t="n">
        <v>34990</v>
      </c>
      <c r="CD39" s="110" t="n">
        <v>163380</v>
      </c>
      <c r="CE39" s="110" t="n">
        <v>126794</v>
      </c>
      <c r="CF39" s="110" t="n">
        <v>36586</v>
      </c>
      <c r="CG39" s="110" t="n">
        <v>1236804.5</v>
      </c>
      <c r="CH39" s="110" t="n">
        <v>468567.75</v>
      </c>
      <c r="CI39" s="110" t="n">
        <v>203280</v>
      </c>
      <c r="CJ39" s="110" t="n">
        <v>265287.75</v>
      </c>
      <c r="CK39" s="110" t="n">
        <v>768236.75</v>
      </c>
      <c r="CL39" s="110" t="n">
        <v>574195.25</v>
      </c>
      <c r="CM39" s="110" t="n">
        <v>194041.5</v>
      </c>
      <c r="CN39" s="110" t="n">
        <v>0</v>
      </c>
      <c r="CO39" s="110" t="n">
        <v>55794.81</v>
      </c>
      <c r="CP39" s="110" t="n">
        <v>40884.35</v>
      </c>
      <c r="CQ39" s="110" t="n">
        <v>8170.02</v>
      </c>
      <c r="CR39" s="110" t="n">
        <v>77323.75999999999</v>
      </c>
      <c r="CS39" s="110" t="n">
        <v>0</v>
      </c>
      <c r="CT39" s="110" t="n">
        <v>516532.44</v>
      </c>
      <c r="CU39" s="110" t="n">
        <v>0</v>
      </c>
      <c r="CV39" s="111" t="n">
        <v>1523</v>
      </c>
      <c r="CW39" s="111" t="n">
        <v>1128</v>
      </c>
      <c r="CX39" s="111" t="n">
        <v>958</v>
      </c>
      <c r="CY39" s="111" t="n">
        <v>170</v>
      </c>
      <c r="CZ39" s="111" t="n">
        <v>395</v>
      </c>
      <c r="DA39" s="111" t="n">
        <v>121</v>
      </c>
      <c r="DB39" s="111" t="n">
        <v>274</v>
      </c>
      <c r="DC39" s="111" t="n">
        <v>837</v>
      </c>
      <c r="DD39" s="111" t="n">
        <v>10</v>
      </c>
      <c r="DE39" s="111" t="n">
        <v>685</v>
      </c>
      <c r="DF39" s="111" t="n">
        <v>590</v>
      </c>
      <c r="DG39" s="111" t="n">
        <v>95</v>
      </c>
      <c r="DH39" s="111" t="n">
        <v>152</v>
      </c>
      <c r="DI39" s="111" t="n">
        <v>47</v>
      </c>
      <c r="DJ39" s="111" t="n">
        <v>105</v>
      </c>
      <c r="DK39" s="111" t="n">
        <v>450</v>
      </c>
      <c r="DL39" s="111" t="n">
        <v>304</v>
      </c>
      <c r="DM39" s="111" t="n">
        <v>254</v>
      </c>
      <c r="DN39" s="111" t="n">
        <v>50</v>
      </c>
      <c r="DO39" s="111" t="n">
        <v>146</v>
      </c>
      <c r="DP39" s="111" t="n">
        <v>45</v>
      </c>
      <c r="DQ39" s="111" t="n">
        <v>101</v>
      </c>
      <c r="DR39" s="111" t="n">
        <v>210</v>
      </c>
      <c r="DS39" s="111" t="n">
        <v>0</v>
      </c>
      <c r="DT39" s="111" t="n">
        <v>127</v>
      </c>
      <c r="DU39" s="111" t="n">
        <v>106</v>
      </c>
      <c r="DV39" s="111" t="n">
        <v>21</v>
      </c>
      <c r="DW39" s="111" t="n">
        <v>83</v>
      </c>
      <c r="DX39" s="111" t="n">
        <v>24</v>
      </c>
      <c r="DY39" s="111" t="n">
        <v>59</v>
      </c>
      <c r="DZ39" s="111" t="n">
        <v>16</v>
      </c>
      <c r="EA39" s="111" t="n">
        <v>6</v>
      </c>
      <c r="EB39" s="111" t="n">
        <v>5</v>
      </c>
      <c r="EC39" s="111" t="n">
        <v>1</v>
      </c>
      <c r="ED39" s="111" t="n">
        <v>10</v>
      </c>
      <c r="EE39" s="111" t="n">
        <v>5</v>
      </c>
      <c r="EF39" s="111" t="n">
        <v>5</v>
      </c>
      <c r="EG39" s="111" t="n">
        <v>172</v>
      </c>
      <c r="EH39" s="111" t="n">
        <v>81</v>
      </c>
      <c r="EI39" s="111" t="n">
        <v>56</v>
      </c>
      <c r="EJ39" s="111" t="n">
        <v>25</v>
      </c>
      <c r="EK39" s="111" t="n">
        <v>91</v>
      </c>
      <c r="EL39" s="111" t="n">
        <v>70</v>
      </c>
      <c r="EM39" s="111" t="n">
        <v>21</v>
      </c>
      <c r="EN39" s="111" t="n">
        <v>162</v>
      </c>
      <c r="EO39" s="111" t="n">
        <v>115</v>
      </c>
      <c r="EP39" s="111" t="n">
        <v>0</v>
      </c>
      <c r="EQ39" s="111" t="n">
        <v>47</v>
      </c>
      <c r="ER39" s="111" t="n">
        <v>38</v>
      </c>
      <c r="ES39" s="111" t="n">
        <v>0</v>
      </c>
      <c r="ET39" s="111" t="n">
        <v>0</v>
      </c>
      <c r="EU39" s="111" t="n">
        <v>42</v>
      </c>
      <c r="EV39" s="111" t="n">
        <v>42</v>
      </c>
      <c r="EW39" s="111" t="n">
        <v>0</v>
      </c>
      <c r="EX39" s="111" t="n">
        <v>0</v>
      </c>
      <c r="EY39" s="111" t="n">
        <v>15</v>
      </c>
      <c r="EZ39" s="111" t="n">
        <v>15</v>
      </c>
      <c r="FA39" s="111" t="n">
        <v>0</v>
      </c>
      <c r="FB39" s="111" t="n">
        <v>14</v>
      </c>
    </row>
    <row r="40" ht="19.5" customHeight="1" s="247">
      <c r="A40" s="107" t="n">
        <v>37</v>
      </c>
      <c r="B40" s="107" t="inlineStr">
        <is>
          <t>儿童手术</t>
        </is>
      </c>
      <c r="C40" s="107" t="inlineStr">
        <is>
          <t>儿骨科</t>
        </is>
      </c>
      <c r="D40" s="110" t="n">
        <v>3740515.5</v>
      </c>
      <c r="E40" s="110" t="n">
        <v>1236899</v>
      </c>
      <c r="F40" s="110" t="n">
        <v>2503616.5</v>
      </c>
      <c r="G40" s="110" t="n">
        <v>6518</v>
      </c>
      <c r="H40" s="110" t="n">
        <v>238</v>
      </c>
      <c r="I40" s="110" t="n">
        <v>47460</v>
      </c>
      <c r="J40" s="110" t="n">
        <v>78934</v>
      </c>
      <c r="K40" s="110" t="n">
        <v>0</v>
      </c>
      <c r="L40" s="110" t="n">
        <v>167889</v>
      </c>
      <c r="M40" s="110" t="n">
        <v>1196532.5</v>
      </c>
      <c r="N40" s="110" t="n">
        <v>0</v>
      </c>
      <c r="O40" s="110" t="n">
        <v>9325871.32</v>
      </c>
      <c r="P40" s="110" t="n">
        <v>4504706.55</v>
      </c>
      <c r="Q40" s="110" t="n">
        <v>4099674.04</v>
      </c>
      <c r="R40" s="110" t="n">
        <v>405032.51</v>
      </c>
      <c r="S40" s="110" t="n">
        <v>4821164.77</v>
      </c>
      <c r="T40" s="110" t="n">
        <v>3814011.06</v>
      </c>
      <c r="U40" s="110" t="n">
        <v>1007153.71</v>
      </c>
      <c r="V40" s="110" t="n">
        <v>2069850.55</v>
      </c>
      <c r="W40" s="110" t="n">
        <v>1659596.34</v>
      </c>
      <c r="X40" s="110" t="n">
        <v>1435549.44</v>
      </c>
      <c r="Y40" s="110" t="n">
        <v>224046.9</v>
      </c>
      <c r="Z40" s="110" t="n">
        <v>410254.21</v>
      </c>
      <c r="AA40" s="110" t="n">
        <v>120526.58</v>
      </c>
      <c r="AB40" s="110" t="n">
        <v>289727.63</v>
      </c>
      <c r="AC40" s="110" t="n">
        <v>100155.56</v>
      </c>
      <c r="AD40" s="110" t="n">
        <v>86821.86</v>
      </c>
      <c r="AE40" s="110" t="n">
        <v>72789.17</v>
      </c>
      <c r="AF40" s="110" t="n">
        <v>14032.69</v>
      </c>
      <c r="AG40" s="110" t="n">
        <v>13333.7</v>
      </c>
      <c r="AH40" s="110" t="n">
        <v>2614.08</v>
      </c>
      <c r="AI40" s="110" t="n">
        <v>10719.62</v>
      </c>
      <c r="AJ40" s="110" t="n">
        <v>732795.99</v>
      </c>
      <c r="AK40" s="110" t="n">
        <v>687353.48</v>
      </c>
      <c r="AL40" s="110" t="n">
        <v>625031.27</v>
      </c>
      <c r="AM40" s="110" t="n">
        <v>62322.21</v>
      </c>
      <c r="AN40" s="110" t="n">
        <v>45442.51</v>
      </c>
      <c r="AO40" s="110" t="n">
        <v>7887.5</v>
      </c>
      <c r="AP40" s="110" t="n">
        <v>37555.01</v>
      </c>
      <c r="AQ40" s="110" t="n">
        <v>682121</v>
      </c>
      <c r="AR40" s="110" t="n">
        <v>516156</v>
      </c>
      <c r="AS40" s="110" t="n">
        <v>435546</v>
      </c>
      <c r="AT40" s="110" t="n">
        <v>80610</v>
      </c>
      <c r="AU40" s="110" t="n">
        <v>165965</v>
      </c>
      <c r="AV40" s="110" t="n">
        <v>49510</v>
      </c>
      <c r="AW40" s="110" t="n">
        <v>116455</v>
      </c>
      <c r="AX40" s="110" t="n">
        <v>554778</v>
      </c>
      <c r="AY40" s="110" t="n">
        <v>369265</v>
      </c>
      <c r="AZ40" s="110" t="n">
        <v>302183</v>
      </c>
      <c r="BA40" s="110" t="n">
        <v>67082</v>
      </c>
      <c r="BB40" s="110" t="n">
        <v>185513</v>
      </c>
      <c r="BC40" s="110" t="n">
        <v>60515</v>
      </c>
      <c r="BD40" s="110" t="n">
        <v>124998</v>
      </c>
      <c r="BE40" s="110" t="n">
        <v>7256020.77</v>
      </c>
      <c r="BF40" s="110" t="n">
        <v>2845110.21</v>
      </c>
      <c r="BG40" s="110" t="n">
        <v>2664124.6</v>
      </c>
      <c r="BH40" s="110" t="n">
        <v>180985.61</v>
      </c>
      <c r="BI40" s="110" t="n">
        <v>4410910.56</v>
      </c>
      <c r="BJ40" s="110" t="n">
        <v>3693484.48</v>
      </c>
      <c r="BK40" s="110" t="n">
        <v>717426.08</v>
      </c>
      <c r="BL40" s="110" t="n">
        <v>472262.14</v>
      </c>
      <c r="BM40" s="110" t="n">
        <v>177661.43</v>
      </c>
      <c r="BN40" s="110" t="n">
        <v>165961.65</v>
      </c>
      <c r="BO40" s="110" t="n">
        <v>11699.78</v>
      </c>
      <c r="BP40" s="110" t="n">
        <v>294600.71</v>
      </c>
      <c r="BQ40" s="110" t="n">
        <v>249428.84</v>
      </c>
      <c r="BR40" s="110" t="n">
        <v>45171.87</v>
      </c>
      <c r="BS40" s="110" t="n">
        <v>4280142.13</v>
      </c>
      <c r="BT40" s="110" t="n">
        <v>1722443.53</v>
      </c>
      <c r="BU40" s="110" t="n">
        <v>1632195.7</v>
      </c>
      <c r="BV40" s="110" t="n">
        <v>90247.83</v>
      </c>
      <c r="BW40" s="110" t="n">
        <v>2557698.6</v>
      </c>
      <c r="BX40" s="110" t="n">
        <v>2228865.14</v>
      </c>
      <c r="BY40" s="110" t="n">
        <v>328833.46</v>
      </c>
      <c r="BZ40" s="110" t="n">
        <v>471089</v>
      </c>
      <c r="CA40" s="110" t="n">
        <v>153797</v>
      </c>
      <c r="CB40" s="110" t="n">
        <v>143931</v>
      </c>
      <c r="CC40" s="110" t="n">
        <v>9866</v>
      </c>
      <c r="CD40" s="110" t="n">
        <v>317292</v>
      </c>
      <c r="CE40" s="110" t="n">
        <v>251984</v>
      </c>
      <c r="CF40" s="110" t="n">
        <v>65308</v>
      </c>
      <c r="CG40" s="110" t="n">
        <v>2032527.5</v>
      </c>
      <c r="CH40" s="110" t="n">
        <v>791208.25</v>
      </c>
      <c r="CI40" s="110" t="n">
        <v>722036.25</v>
      </c>
      <c r="CJ40" s="110" t="n">
        <v>69172</v>
      </c>
      <c r="CK40" s="110" t="n">
        <v>1241319.25</v>
      </c>
      <c r="CL40" s="110" t="n">
        <v>963206.5</v>
      </c>
      <c r="CM40" s="110" t="n">
        <v>278112.75</v>
      </c>
      <c r="CN40" s="110" t="n">
        <v>1127861.09</v>
      </c>
      <c r="CO40" s="110" t="n">
        <v>221769.87</v>
      </c>
      <c r="CP40" s="110" t="n">
        <v>304690.52</v>
      </c>
      <c r="CQ40" s="110" t="n">
        <v>45027.38</v>
      </c>
      <c r="CR40" s="110" t="n">
        <v>370446.69</v>
      </c>
      <c r="CS40" s="110" t="n">
        <v>0</v>
      </c>
      <c r="CT40" s="110" t="n">
        <v>167283.21</v>
      </c>
      <c r="CU40" s="110" t="n">
        <v>0</v>
      </c>
      <c r="CV40" s="111" t="n">
        <v>6518</v>
      </c>
      <c r="CW40" s="111" t="n">
        <v>5358</v>
      </c>
      <c r="CX40" s="111" t="n">
        <v>4518</v>
      </c>
      <c r="CY40" s="111" t="n">
        <v>840</v>
      </c>
      <c r="CZ40" s="111" t="n">
        <v>1160</v>
      </c>
      <c r="DA40" s="111" t="n">
        <v>330</v>
      </c>
      <c r="DB40" s="111" t="n">
        <v>830</v>
      </c>
      <c r="DC40" s="111" t="n">
        <v>1226</v>
      </c>
      <c r="DD40" s="111" t="n">
        <v>6</v>
      </c>
      <c r="DE40" s="111" t="n">
        <v>1112</v>
      </c>
      <c r="DF40" s="111" t="n">
        <v>963</v>
      </c>
      <c r="DG40" s="111" t="n">
        <v>149</v>
      </c>
      <c r="DH40" s="111" t="n">
        <v>114</v>
      </c>
      <c r="DI40" s="111" t="n">
        <v>25</v>
      </c>
      <c r="DJ40" s="111" t="n">
        <v>89</v>
      </c>
      <c r="DK40" s="111" t="n">
        <v>1578</v>
      </c>
      <c r="DL40" s="111" t="n">
        <v>1060</v>
      </c>
      <c r="DM40" s="111" t="n">
        <v>850</v>
      </c>
      <c r="DN40" s="111" t="n">
        <v>210</v>
      </c>
      <c r="DO40" s="111" t="n">
        <v>518</v>
      </c>
      <c r="DP40" s="111" t="n">
        <v>188</v>
      </c>
      <c r="DQ40" s="111" t="n">
        <v>330</v>
      </c>
      <c r="DR40" s="111" t="n">
        <v>502</v>
      </c>
      <c r="DS40" s="111" t="n">
        <v>0</v>
      </c>
      <c r="DT40" s="111" t="n">
        <v>322</v>
      </c>
      <c r="DU40" s="111" t="n">
        <v>248</v>
      </c>
      <c r="DV40" s="111" t="n">
        <v>74</v>
      </c>
      <c r="DW40" s="111" t="n">
        <v>180</v>
      </c>
      <c r="DX40" s="111" t="n">
        <v>53</v>
      </c>
      <c r="DY40" s="111" t="n">
        <v>127</v>
      </c>
      <c r="DZ40" s="111" t="n">
        <v>3206</v>
      </c>
      <c r="EA40" s="111" t="n">
        <v>2860</v>
      </c>
      <c r="EB40" s="111" t="n">
        <v>2454</v>
      </c>
      <c r="EC40" s="111" t="n">
        <v>406</v>
      </c>
      <c r="ED40" s="111" t="n">
        <v>346</v>
      </c>
      <c r="EE40" s="111" t="n">
        <v>64</v>
      </c>
      <c r="EF40" s="111" t="n">
        <v>282</v>
      </c>
      <c r="EG40" s="111" t="n">
        <v>238</v>
      </c>
      <c r="EH40" s="111" t="n">
        <v>113</v>
      </c>
      <c r="EI40" s="111" t="n">
        <v>103</v>
      </c>
      <c r="EJ40" s="111" t="n">
        <v>10</v>
      </c>
      <c r="EK40" s="111" t="n">
        <v>125</v>
      </c>
      <c r="EL40" s="111" t="n">
        <v>98</v>
      </c>
      <c r="EM40" s="111" t="n">
        <v>27</v>
      </c>
      <c r="EN40" s="111" t="n">
        <v>214</v>
      </c>
      <c r="EO40" s="111" t="n">
        <v>212</v>
      </c>
      <c r="EP40" s="111" t="n">
        <v>0</v>
      </c>
      <c r="EQ40" s="111" t="n">
        <v>2</v>
      </c>
      <c r="ER40" s="111" t="n">
        <v>9</v>
      </c>
      <c r="ES40" s="111" t="n">
        <v>0</v>
      </c>
      <c r="ET40" s="111" t="n">
        <v>0</v>
      </c>
      <c r="EU40" s="111" t="n">
        <v>123</v>
      </c>
      <c r="EV40" s="111" t="n">
        <v>123</v>
      </c>
      <c r="EW40" s="111" t="n">
        <v>0</v>
      </c>
      <c r="EX40" s="111" t="n">
        <v>0</v>
      </c>
      <c r="EY40" s="111" t="n">
        <v>14</v>
      </c>
      <c r="EZ40" s="111" t="n">
        <v>14</v>
      </c>
      <c r="FA40" s="111" t="n">
        <v>0</v>
      </c>
      <c r="FB40" s="111" t="n">
        <v>15</v>
      </c>
    </row>
    <row r="41" ht="19.5" customHeight="1" s="247">
      <c r="A41" s="107" t="n">
        <v>38</v>
      </c>
      <c r="B41" s="107" t="inlineStr">
        <is>
          <t>儿童手术</t>
        </is>
      </c>
      <c r="C41" s="107" t="inlineStr">
        <is>
          <t>儿神经外科</t>
        </is>
      </c>
      <c r="D41" s="110" t="n">
        <v>3354098.75</v>
      </c>
      <c r="E41" s="110" t="n">
        <v>838199</v>
      </c>
      <c r="F41" s="110" t="n">
        <v>2515899.75</v>
      </c>
      <c r="G41" s="110" t="n">
        <v>4012</v>
      </c>
      <c r="H41" s="110" t="n">
        <v>235</v>
      </c>
      <c r="I41" s="110" t="n">
        <v>12699</v>
      </c>
      <c r="J41" s="110" t="n">
        <v>0</v>
      </c>
      <c r="K41" s="110" t="n">
        <v>0</v>
      </c>
      <c r="L41" s="110" t="n">
        <v>133380</v>
      </c>
      <c r="M41" s="110" t="n">
        <v>533287.75</v>
      </c>
      <c r="N41" s="110" t="n">
        <v>0</v>
      </c>
      <c r="O41" s="110" t="n">
        <v>9540495.289999999</v>
      </c>
      <c r="P41" s="110" t="n">
        <v>1256508.99</v>
      </c>
      <c r="Q41" s="110" t="n">
        <v>937540.0600000001</v>
      </c>
      <c r="R41" s="110" t="n">
        <v>318968.93</v>
      </c>
      <c r="S41" s="110" t="n">
        <v>8283986.3</v>
      </c>
      <c r="T41" s="110" t="n">
        <v>7192639.23</v>
      </c>
      <c r="U41" s="110" t="n">
        <v>1091347.07</v>
      </c>
      <c r="V41" s="110" t="n">
        <v>953244.38</v>
      </c>
      <c r="W41" s="110" t="n">
        <v>402255.61</v>
      </c>
      <c r="X41" s="110" t="n">
        <v>299289.27</v>
      </c>
      <c r="Y41" s="110" t="n">
        <v>102966.34</v>
      </c>
      <c r="Z41" s="110" t="n">
        <v>550988.77</v>
      </c>
      <c r="AA41" s="110" t="n">
        <v>154017.26</v>
      </c>
      <c r="AB41" s="110" t="n">
        <v>396971.51</v>
      </c>
      <c r="AC41" s="110" t="n">
        <v>36219.55</v>
      </c>
      <c r="AD41" s="110" t="n">
        <v>26030.89</v>
      </c>
      <c r="AE41" s="110" t="n">
        <v>20346.91</v>
      </c>
      <c r="AF41" s="110" t="n">
        <v>5683.98</v>
      </c>
      <c r="AG41" s="110" t="n">
        <v>10188.66</v>
      </c>
      <c r="AH41" s="110" t="n">
        <v>3102.09</v>
      </c>
      <c r="AI41" s="110" t="n">
        <v>7086.57</v>
      </c>
      <c r="AJ41" s="110" t="n">
        <v>78825.83</v>
      </c>
      <c r="AK41" s="110" t="n">
        <v>64467.72</v>
      </c>
      <c r="AL41" s="110" t="n">
        <v>50764.36</v>
      </c>
      <c r="AM41" s="110" t="n">
        <v>13703.36</v>
      </c>
      <c r="AN41" s="110" t="n">
        <v>14358.11</v>
      </c>
      <c r="AO41" s="110" t="n">
        <v>1551.17</v>
      </c>
      <c r="AP41" s="110" t="n">
        <v>12806.94</v>
      </c>
      <c r="AQ41" s="110" t="n">
        <v>495311</v>
      </c>
      <c r="AR41" s="110" t="n">
        <v>194220</v>
      </c>
      <c r="AS41" s="110" t="n">
        <v>146251</v>
      </c>
      <c r="AT41" s="110" t="n">
        <v>47969</v>
      </c>
      <c r="AU41" s="110" t="n">
        <v>301091</v>
      </c>
      <c r="AV41" s="110" t="n">
        <v>93733</v>
      </c>
      <c r="AW41" s="110" t="n">
        <v>207358</v>
      </c>
      <c r="AX41" s="110" t="n">
        <v>342888</v>
      </c>
      <c r="AY41" s="110" t="n">
        <v>117537</v>
      </c>
      <c r="AZ41" s="110" t="n">
        <v>81927</v>
      </c>
      <c r="BA41" s="110" t="n">
        <v>35610</v>
      </c>
      <c r="BB41" s="110" t="n">
        <v>225351</v>
      </c>
      <c r="BC41" s="110" t="n">
        <v>55631</v>
      </c>
      <c r="BD41" s="110" t="n">
        <v>169720</v>
      </c>
      <c r="BE41" s="110" t="n">
        <v>8587250.91</v>
      </c>
      <c r="BF41" s="110" t="n">
        <v>854253.38</v>
      </c>
      <c r="BG41" s="110" t="n">
        <v>638250.79</v>
      </c>
      <c r="BH41" s="110" t="n">
        <v>216002.59</v>
      </c>
      <c r="BI41" s="110" t="n">
        <v>7732997.53</v>
      </c>
      <c r="BJ41" s="110" t="n">
        <v>7038621.97</v>
      </c>
      <c r="BK41" s="110" t="n">
        <v>694375.5600000001</v>
      </c>
      <c r="BL41" s="110" t="n">
        <v>906393.39</v>
      </c>
      <c r="BM41" s="110" t="n">
        <v>69780.62</v>
      </c>
      <c r="BN41" s="110" t="n">
        <v>53200.43</v>
      </c>
      <c r="BO41" s="110" t="n">
        <v>16580.19</v>
      </c>
      <c r="BP41" s="110" t="n">
        <v>836612.77</v>
      </c>
      <c r="BQ41" s="110" t="n">
        <v>778527.92</v>
      </c>
      <c r="BR41" s="110" t="n">
        <v>58084.85</v>
      </c>
      <c r="BS41" s="110" t="n">
        <v>5164957.77</v>
      </c>
      <c r="BT41" s="110" t="n">
        <v>523864.51</v>
      </c>
      <c r="BU41" s="110" t="n">
        <v>454992.86</v>
      </c>
      <c r="BV41" s="110" t="n">
        <v>68871.64999999999</v>
      </c>
      <c r="BW41" s="110" t="n">
        <v>4641093.26</v>
      </c>
      <c r="BX41" s="110" t="n">
        <v>4357179.05</v>
      </c>
      <c r="BY41" s="110" t="n">
        <v>283914.21</v>
      </c>
      <c r="BZ41" s="110" t="n">
        <v>759496</v>
      </c>
      <c r="CA41" s="110" t="n">
        <v>52044</v>
      </c>
      <c r="CB41" s="110" t="n">
        <v>34649</v>
      </c>
      <c r="CC41" s="110" t="n">
        <v>17395</v>
      </c>
      <c r="CD41" s="110" t="n">
        <v>707452</v>
      </c>
      <c r="CE41" s="110" t="n">
        <v>658624</v>
      </c>
      <c r="CF41" s="110" t="n">
        <v>48828</v>
      </c>
      <c r="CG41" s="110" t="n">
        <v>1756403.75</v>
      </c>
      <c r="CH41" s="110" t="n">
        <v>208564.25</v>
      </c>
      <c r="CI41" s="110" t="n">
        <v>95408.5</v>
      </c>
      <c r="CJ41" s="110" t="n">
        <v>113155.75</v>
      </c>
      <c r="CK41" s="110" t="n">
        <v>1547839.5</v>
      </c>
      <c r="CL41" s="110" t="n">
        <v>1244291</v>
      </c>
      <c r="CM41" s="110" t="n">
        <v>303548.5</v>
      </c>
      <c r="CN41" s="110" t="n">
        <v>267060.28</v>
      </c>
      <c r="CO41" s="110" t="n">
        <v>93518.38</v>
      </c>
      <c r="CP41" s="110" t="n">
        <v>286511.07</v>
      </c>
      <c r="CQ41" s="110" t="n">
        <v>18350.26</v>
      </c>
      <c r="CR41" s="110" t="n">
        <v>288180.39</v>
      </c>
      <c r="CS41" s="110" t="n">
        <v>0</v>
      </c>
      <c r="CT41" s="110" t="n">
        <v>472128.55</v>
      </c>
      <c r="CU41" s="110" t="n">
        <v>0</v>
      </c>
      <c r="CV41" s="111" t="n">
        <v>4012</v>
      </c>
      <c r="CW41" s="111" t="n">
        <v>2012</v>
      </c>
      <c r="CX41" s="111" t="n">
        <v>1504</v>
      </c>
      <c r="CY41" s="111" t="n">
        <v>508</v>
      </c>
      <c r="CZ41" s="111" t="n">
        <v>2000</v>
      </c>
      <c r="DA41" s="111" t="n">
        <v>554</v>
      </c>
      <c r="DB41" s="111" t="n">
        <v>1446</v>
      </c>
      <c r="DC41" s="111" t="n">
        <v>541</v>
      </c>
      <c r="DD41" s="111" t="n">
        <v>10</v>
      </c>
      <c r="DE41" s="111" t="n">
        <v>352</v>
      </c>
      <c r="DF41" s="111" t="n">
        <v>270</v>
      </c>
      <c r="DG41" s="111" t="n">
        <v>82</v>
      </c>
      <c r="DH41" s="111" t="n">
        <v>189</v>
      </c>
      <c r="DI41" s="111" t="n">
        <v>59</v>
      </c>
      <c r="DJ41" s="111" t="n">
        <v>130</v>
      </c>
      <c r="DK41" s="111" t="n">
        <v>1662</v>
      </c>
      <c r="DL41" s="111" t="n">
        <v>568</v>
      </c>
      <c r="DM41" s="111" t="n">
        <v>414</v>
      </c>
      <c r="DN41" s="111" t="n">
        <v>154</v>
      </c>
      <c r="DO41" s="111" t="n">
        <v>1094</v>
      </c>
      <c r="DP41" s="111" t="n">
        <v>306</v>
      </c>
      <c r="DQ41" s="111" t="n">
        <v>788</v>
      </c>
      <c r="DR41" s="111" t="n">
        <v>580</v>
      </c>
      <c r="DS41" s="111" t="n">
        <v>0</v>
      </c>
      <c r="DT41" s="111" t="n">
        <v>126</v>
      </c>
      <c r="DU41" s="111" t="n">
        <v>80</v>
      </c>
      <c r="DV41" s="111" t="n">
        <v>46</v>
      </c>
      <c r="DW41" s="111" t="n">
        <v>454</v>
      </c>
      <c r="DX41" s="111" t="n">
        <v>107</v>
      </c>
      <c r="DY41" s="111" t="n">
        <v>347</v>
      </c>
      <c r="DZ41" s="111" t="n">
        <v>1219</v>
      </c>
      <c r="EA41" s="111" t="n">
        <v>962</v>
      </c>
      <c r="EB41" s="111" t="n">
        <v>738</v>
      </c>
      <c r="EC41" s="111" t="n">
        <v>224</v>
      </c>
      <c r="ED41" s="111" t="n">
        <v>257</v>
      </c>
      <c r="EE41" s="111" t="n">
        <v>82</v>
      </c>
      <c r="EF41" s="111" t="n">
        <v>175</v>
      </c>
      <c r="EG41" s="111" t="n">
        <v>235</v>
      </c>
      <c r="EH41" s="111" t="n">
        <v>33</v>
      </c>
      <c r="EI41" s="111" t="n">
        <v>20</v>
      </c>
      <c r="EJ41" s="111" t="n">
        <v>13</v>
      </c>
      <c r="EK41" s="111" t="n">
        <v>202</v>
      </c>
      <c r="EL41" s="111" t="n">
        <v>178</v>
      </c>
      <c r="EM41" s="111" t="n">
        <v>24</v>
      </c>
      <c r="EN41" s="111" t="n">
        <v>223</v>
      </c>
      <c r="EO41" s="111" t="n">
        <v>193</v>
      </c>
      <c r="EP41" s="111" t="n">
        <v>0</v>
      </c>
      <c r="EQ41" s="111" t="n">
        <v>30</v>
      </c>
      <c r="ER41" s="111" t="n">
        <v>109</v>
      </c>
      <c r="ES41" s="111" t="n">
        <v>0</v>
      </c>
      <c r="ET41" s="111" t="n">
        <v>0</v>
      </c>
      <c r="EU41" s="111" t="n">
        <v>39</v>
      </c>
      <c r="EV41" s="111" t="n">
        <v>39</v>
      </c>
      <c r="EW41" s="111" t="n">
        <v>0</v>
      </c>
      <c r="EX41" s="111" t="n">
        <v>0</v>
      </c>
      <c r="EY41" s="111" t="n">
        <v>126</v>
      </c>
      <c r="EZ41" s="111" t="n">
        <v>126</v>
      </c>
      <c r="FA41" s="111" t="n">
        <v>0</v>
      </c>
      <c r="FB41" s="111" t="n">
        <v>15</v>
      </c>
    </row>
    <row r="42" ht="19.5" customHeight="1" s="247">
      <c r="A42" s="107" t="n">
        <v>39</v>
      </c>
      <c r="B42" s="107" t="inlineStr">
        <is>
          <t>儿童非手术</t>
        </is>
      </c>
      <c r="C42" s="107" t="inlineStr">
        <is>
          <t>发育行为儿童保健科</t>
        </is>
      </c>
      <c r="D42" s="110" t="n">
        <v>3004618</v>
      </c>
      <c r="E42" s="110" t="n">
        <v>3004618</v>
      </c>
      <c r="F42" s="110" t="n">
        <v>0</v>
      </c>
      <c r="G42" s="110" t="n">
        <v>9263</v>
      </c>
      <c r="H42" s="110" t="n">
        <v>0</v>
      </c>
      <c r="I42" s="110" t="n">
        <v>530265</v>
      </c>
      <c r="J42" s="110" t="n">
        <v>0</v>
      </c>
      <c r="K42" s="110" t="n">
        <v>0</v>
      </c>
      <c r="L42" s="110" t="n">
        <v>0</v>
      </c>
      <c r="M42" s="110" t="n">
        <v>0</v>
      </c>
      <c r="N42" s="110" t="n">
        <v>0</v>
      </c>
      <c r="O42" s="110" t="n">
        <v>4290051.35</v>
      </c>
      <c r="P42" s="110" t="n">
        <v>3313058.97</v>
      </c>
      <c r="Q42" s="110" t="n">
        <v>2885280.59</v>
      </c>
      <c r="R42" s="110" t="n">
        <v>427778.38</v>
      </c>
      <c r="S42" s="110" t="n">
        <v>976992.38</v>
      </c>
      <c r="T42" s="110" t="n">
        <v>304859.9</v>
      </c>
      <c r="U42" s="110" t="n">
        <v>672132.48</v>
      </c>
      <c r="V42" s="110" t="n">
        <v>4290051.35</v>
      </c>
      <c r="W42" s="110" t="n">
        <v>3313058.97</v>
      </c>
      <c r="X42" s="110" t="n">
        <v>2885280.59</v>
      </c>
      <c r="Y42" s="110" t="n">
        <v>427778.38</v>
      </c>
      <c r="Z42" s="110" t="n">
        <v>976992.38</v>
      </c>
      <c r="AA42" s="110" t="n">
        <v>304859.9</v>
      </c>
      <c r="AB42" s="110" t="n">
        <v>672132.48</v>
      </c>
      <c r="AC42" s="110" t="n">
        <v>1285431.15</v>
      </c>
      <c r="AD42" s="110" t="n">
        <v>1126076.97</v>
      </c>
      <c r="AE42" s="110" t="n">
        <v>1066764.59</v>
      </c>
      <c r="AF42" s="110" t="n">
        <v>59312.38</v>
      </c>
      <c r="AG42" s="110" t="n">
        <v>159354.18</v>
      </c>
      <c r="AH42" s="110" t="n">
        <v>46835.4</v>
      </c>
      <c r="AI42" s="110" t="n">
        <v>112518.78</v>
      </c>
      <c r="AJ42" s="110" t="n">
        <v>2.2</v>
      </c>
      <c r="AK42" s="110" t="n">
        <v>0</v>
      </c>
      <c r="AL42" s="110" t="n">
        <v>0</v>
      </c>
      <c r="AM42" s="110" t="n">
        <v>0</v>
      </c>
      <c r="AN42" s="110" t="n">
        <v>2.2</v>
      </c>
      <c r="AO42" s="110" t="n">
        <v>0</v>
      </c>
      <c r="AP42" s="110" t="n">
        <v>2.2</v>
      </c>
      <c r="AQ42" s="110" t="n">
        <v>1757143</v>
      </c>
      <c r="AR42" s="110" t="n">
        <v>1266947</v>
      </c>
      <c r="AS42" s="110" t="n">
        <v>1054175</v>
      </c>
      <c r="AT42" s="110" t="n">
        <v>212772</v>
      </c>
      <c r="AU42" s="110" t="n">
        <v>490196</v>
      </c>
      <c r="AV42" s="110" t="n">
        <v>158101</v>
      </c>
      <c r="AW42" s="110" t="n">
        <v>332095</v>
      </c>
      <c r="AX42" s="110" t="n">
        <v>1247475</v>
      </c>
      <c r="AY42" s="110" t="n">
        <v>920035</v>
      </c>
      <c r="AZ42" s="110" t="n">
        <v>764341</v>
      </c>
      <c r="BA42" s="110" t="n">
        <v>155694</v>
      </c>
      <c r="BB42" s="110" t="n">
        <v>327440</v>
      </c>
      <c r="BC42" s="110" t="n">
        <v>99923.5</v>
      </c>
      <c r="BD42" s="110" t="n">
        <v>227516.5</v>
      </c>
      <c r="BE42" s="110" t="n">
        <v>0</v>
      </c>
      <c r="BF42" s="110" t="n">
        <v>0</v>
      </c>
      <c r="BG42" s="110" t="n">
        <v>0</v>
      </c>
      <c r="BH42" s="110" t="n">
        <v>0</v>
      </c>
      <c r="BI42" s="110" t="n">
        <v>0</v>
      </c>
      <c r="BJ42" s="110" t="n">
        <v>0</v>
      </c>
      <c r="BK42" s="110" t="n">
        <v>0</v>
      </c>
      <c r="BL42" s="110" t="n">
        <v>0</v>
      </c>
      <c r="BM42" s="110" t="n">
        <v>0</v>
      </c>
      <c r="BN42" s="110" t="n">
        <v>0</v>
      </c>
      <c r="BO42" s="110" t="n">
        <v>0</v>
      </c>
      <c r="BP42" s="110" t="n">
        <v>0</v>
      </c>
      <c r="BQ42" s="110" t="n">
        <v>0</v>
      </c>
      <c r="BR42" s="110" t="n">
        <v>0</v>
      </c>
      <c r="BS42" s="110" t="n">
        <v>0</v>
      </c>
      <c r="BT42" s="110" t="n">
        <v>0</v>
      </c>
      <c r="BU42" s="110" t="n">
        <v>0</v>
      </c>
      <c r="BV42" s="110" t="n">
        <v>0</v>
      </c>
      <c r="BW42" s="110" t="n">
        <v>0</v>
      </c>
      <c r="BX42" s="110" t="n">
        <v>0</v>
      </c>
      <c r="BY42" s="110" t="n">
        <v>0</v>
      </c>
      <c r="BZ42" s="110" t="n">
        <v>0</v>
      </c>
      <c r="CA42" s="110" t="n">
        <v>0</v>
      </c>
      <c r="CB42" s="110" t="n">
        <v>0</v>
      </c>
      <c r="CC42" s="110" t="n">
        <v>0</v>
      </c>
      <c r="CD42" s="110" t="n">
        <v>0</v>
      </c>
      <c r="CE42" s="110" t="n">
        <v>0</v>
      </c>
      <c r="CF42" s="110" t="n">
        <v>0</v>
      </c>
      <c r="CG42" s="110" t="n">
        <v>0</v>
      </c>
      <c r="CH42" s="110" t="n">
        <v>0</v>
      </c>
      <c r="CI42" s="110" t="n">
        <v>0</v>
      </c>
      <c r="CJ42" s="110" t="n">
        <v>0</v>
      </c>
      <c r="CK42" s="110" t="n">
        <v>0</v>
      </c>
      <c r="CL42" s="110" t="n">
        <v>0</v>
      </c>
      <c r="CM42" s="110" t="n">
        <v>0</v>
      </c>
      <c r="CN42" s="110" t="n">
        <v>0</v>
      </c>
      <c r="CO42" s="110" t="n">
        <v>1686281.32</v>
      </c>
      <c r="CP42" s="110" t="n">
        <v>988722.26</v>
      </c>
      <c r="CQ42" s="110" t="n">
        <v>429600.11</v>
      </c>
      <c r="CR42" s="110" t="n">
        <v>1126220.53</v>
      </c>
      <c r="CS42" s="110" t="n">
        <v>59227.13</v>
      </c>
      <c r="CT42" s="110" t="n">
        <v>0</v>
      </c>
      <c r="CU42" s="110" t="n">
        <v>0</v>
      </c>
      <c r="CV42" s="111" t="n">
        <v>9263</v>
      </c>
      <c r="CW42" s="111" t="n">
        <v>7828</v>
      </c>
      <c r="CX42" s="111" t="n">
        <v>6634</v>
      </c>
      <c r="CY42" s="111" t="n">
        <v>1194</v>
      </c>
      <c r="CZ42" s="111" t="n">
        <v>1435</v>
      </c>
      <c r="DA42" s="111" t="n">
        <v>395</v>
      </c>
      <c r="DB42" s="111" t="n">
        <v>1040</v>
      </c>
      <c r="DC42" s="111" t="n">
        <v>5786</v>
      </c>
      <c r="DD42" s="111" t="n">
        <v>91</v>
      </c>
      <c r="DE42" s="111" t="n">
        <v>5159</v>
      </c>
      <c r="DF42" s="111" t="n">
        <v>4417</v>
      </c>
      <c r="DG42" s="111" t="n">
        <v>742</v>
      </c>
      <c r="DH42" s="111" t="n">
        <v>627</v>
      </c>
      <c r="DI42" s="111" t="n">
        <v>165</v>
      </c>
      <c r="DJ42" s="111" t="n">
        <v>462</v>
      </c>
      <c r="DK42" s="111" t="n">
        <v>2055</v>
      </c>
      <c r="DL42" s="111" t="n">
        <v>1698</v>
      </c>
      <c r="DM42" s="111" t="n">
        <v>1461</v>
      </c>
      <c r="DN42" s="111" t="n">
        <v>237</v>
      </c>
      <c r="DO42" s="111" t="n">
        <v>357</v>
      </c>
      <c r="DP42" s="111" t="n">
        <v>113</v>
      </c>
      <c r="DQ42" s="111" t="n">
        <v>244</v>
      </c>
      <c r="DR42" s="111" t="n">
        <v>1331</v>
      </c>
      <c r="DS42" s="111" t="n">
        <v>0</v>
      </c>
      <c r="DT42" s="111" t="n">
        <v>904</v>
      </c>
      <c r="DU42" s="111" t="n">
        <v>696</v>
      </c>
      <c r="DV42" s="111" t="n">
        <v>208</v>
      </c>
      <c r="DW42" s="111" t="n">
        <v>427</v>
      </c>
      <c r="DX42" s="111" t="n">
        <v>117</v>
      </c>
      <c r="DY42" s="111" t="n">
        <v>310</v>
      </c>
      <c r="DZ42" s="111" t="n">
        <v>0</v>
      </c>
      <c r="EA42" s="111" t="n">
        <v>0</v>
      </c>
      <c r="EB42" s="111" t="n">
        <v>0</v>
      </c>
      <c r="EC42" s="111" t="n">
        <v>0</v>
      </c>
      <c r="ED42" s="111" t="n">
        <v>0</v>
      </c>
      <c r="EE42" s="111" t="n">
        <v>0</v>
      </c>
      <c r="EF42" s="111" t="n">
        <v>0</v>
      </c>
      <c r="EG42" s="111" t="n">
        <v>0</v>
      </c>
      <c r="EH42" s="111" t="n">
        <v>0</v>
      </c>
      <c r="EI42" s="111" t="n">
        <v>0</v>
      </c>
      <c r="EJ42" s="111" t="n">
        <v>0</v>
      </c>
      <c r="EK42" s="111" t="n">
        <v>0</v>
      </c>
      <c r="EL42" s="111" t="n">
        <v>0</v>
      </c>
      <c r="EM42" s="111" t="n">
        <v>0</v>
      </c>
      <c r="EN42" s="111" t="n">
        <v>0</v>
      </c>
      <c r="EO42" s="111" t="n">
        <v>0</v>
      </c>
      <c r="EP42" s="111" t="n">
        <v>0</v>
      </c>
      <c r="EQ42" s="111" t="n">
        <v>0</v>
      </c>
      <c r="ER42" s="111" t="n">
        <v>0</v>
      </c>
      <c r="ES42" s="111" t="n">
        <v>0</v>
      </c>
      <c r="ET42" s="111" t="n">
        <v>0</v>
      </c>
      <c r="EU42" s="111" t="n">
        <v>0</v>
      </c>
      <c r="EV42" s="111" t="n">
        <v>0</v>
      </c>
      <c r="EW42" s="111" t="n">
        <v>0</v>
      </c>
      <c r="EX42" s="111" t="n">
        <v>0</v>
      </c>
      <c r="EY42" s="111" t="n">
        <v>0</v>
      </c>
      <c r="EZ42" s="111" t="n">
        <v>0</v>
      </c>
      <c r="FA42" s="111" t="n">
        <v>0</v>
      </c>
      <c r="FB42" s="111" t="n">
        <v>0</v>
      </c>
    </row>
    <row r="43" ht="19.5" customHeight="1" s="247">
      <c r="A43" s="107" t="n">
        <v>40</v>
      </c>
      <c r="B43" s="107" t="inlineStr">
        <is>
          <t>成人手术</t>
        </is>
      </c>
      <c r="C43" s="107" t="inlineStr">
        <is>
          <t>眼科</t>
        </is>
      </c>
      <c r="D43" s="110" t="n">
        <v>9640732.630000001</v>
      </c>
      <c r="E43" s="110" t="n">
        <v>4689415.88</v>
      </c>
      <c r="F43" s="110" t="n">
        <v>4951316.75</v>
      </c>
      <c r="G43" s="110" t="n">
        <v>18520</v>
      </c>
      <c r="H43" s="110" t="n">
        <v>717</v>
      </c>
      <c r="I43" s="110" t="n">
        <v>420102</v>
      </c>
      <c r="J43" s="110" t="n">
        <v>116091</v>
      </c>
      <c r="K43" s="110" t="n">
        <v>7055.87</v>
      </c>
      <c r="L43" s="110" t="n">
        <v>76709</v>
      </c>
      <c r="M43" s="110" t="n">
        <v>2470041.75</v>
      </c>
      <c r="N43" s="110" t="n">
        <v>0</v>
      </c>
      <c r="O43" s="110" t="n">
        <v>14199395.8</v>
      </c>
      <c r="P43" s="110" t="n">
        <v>8369251.47</v>
      </c>
      <c r="Q43" s="110" t="n">
        <v>7355651.1</v>
      </c>
      <c r="R43" s="110" t="n">
        <v>1013600.37</v>
      </c>
      <c r="S43" s="110" t="n">
        <v>5830144.33</v>
      </c>
      <c r="T43" s="110" t="n">
        <v>2438123.38</v>
      </c>
      <c r="U43" s="110" t="n">
        <v>3392020.95</v>
      </c>
      <c r="V43" s="110" t="n">
        <v>6820241.56</v>
      </c>
      <c r="W43" s="110" t="n">
        <v>4768475.62</v>
      </c>
      <c r="X43" s="110" t="n">
        <v>4476006.63</v>
      </c>
      <c r="Y43" s="110" t="n">
        <v>292468.99</v>
      </c>
      <c r="Z43" s="110" t="n">
        <v>2051765.94</v>
      </c>
      <c r="AA43" s="110" t="n">
        <v>954331.0699999999</v>
      </c>
      <c r="AB43" s="110" t="n">
        <v>1097434.87</v>
      </c>
      <c r="AC43" s="110" t="n">
        <v>2128505.43</v>
      </c>
      <c r="AD43" s="110" t="n">
        <v>1696136.79</v>
      </c>
      <c r="AE43" s="110" t="n">
        <v>1640676.3</v>
      </c>
      <c r="AF43" s="110" t="n">
        <v>55460.49</v>
      </c>
      <c r="AG43" s="110" t="n">
        <v>432368.64</v>
      </c>
      <c r="AH43" s="110" t="n">
        <v>256618.07</v>
      </c>
      <c r="AI43" s="110" t="n">
        <v>175750.57</v>
      </c>
      <c r="AJ43" s="110" t="n">
        <v>2320.25</v>
      </c>
      <c r="AK43" s="110" t="n">
        <v>1808.95</v>
      </c>
      <c r="AL43" s="110" t="n">
        <v>1715.45</v>
      </c>
      <c r="AM43" s="110" t="n">
        <v>93.5</v>
      </c>
      <c r="AN43" s="110" t="n">
        <v>511.3</v>
      </c>
      <c r="AO43" s="110" t="n">
        <v>287</v>
      </c>
      <c r="AP43" s="110" t="n">
        <v>224.3</v>
      </c>
      <c r="AQ43" s="110" t="n">
        <v>2869186</v>
      </c>
      <c r="AR43" s="110" t="n">
        <v>1961631</v>
      </c>
      <c r="AS43" s="110" t="n">
        <v>1834933</v>
      </c>
      <c r="AT43" s="110" t="n">
        <v>126698</v>
      </c>
      <c r="AU43" s="110" t="n">
        <v>907555</v>
      </c>
      <c r="AV43" s="110" t="n">
        <v>398627</v>
      </c>
      <c r="AW43" s="110" t="n">
        <v>508928</v>
      </c>
      <c r="AX43" s="110" t="n">
        <v>1820229.88</v>
      </c>
      <c r="AY43" s="110" t="n">
        <v>1108898.88</v>
      </c>
      <c r="AZ43" s="110" t="n">
        <v>998681.88</v>
      </c>
      <c r="BA43" s="110" t="n">
        <v>110217</v>
      </c>
      <c r="BB43" s="110" t="n">
        <v>711331</v>
      </c>
      <c r="BC43" s="110" t="n">
        <v>298799</v>
      </c>
      <c r="BD43" s="110" t="n">
        <v>412532</v>
      </c>
      <c r="BE43" s="110" t="n">
        <v>7379154.24</v>
      </c>
      <c r="BF43" s="110" t="n">
        <v>3600775.85</v>
      </c>
      <c r="BG43" s="110" t="n">
        <v>2879644.47</v>
      </c>
      <c r="BH43" s="110" t="n">
        <v>721131.38</v>
      </c>
      <c r="BI43" s="110" t="n">
        <v>3778378.39</v>
      </c>
      <c r="BJ43" s="110" t="n">
        <v>1483792.31</v>
      </c>
      <c r="BK43" s="110" t="n">
        <v>2294586.08</v>
      </c>
      <c r="BL43" s="110" t="n">
        <v>337580.81</v>
      </c>
      <c r="BM43" s="110" t="n">
        <v>113006.09</v>
      </c>
      <c r="BN43" s="110" t="n">
        <v>69496.49000000001</v>
      </c>
      <c r="BO43" s="110" t="n">
        <v>43509.6</v>
      </c>
      <c r="BP43" s="110" t="n">
        <v>224574.72</v>
      </c>
      <c r="BQ43" s="110" t="n">
        <v>90560.44</v>
      </c>
      <c r="BR43" s="110" t="n">
        <v>134014.28</v>
      </c>
      <c r="BS43" s="110" t="n">
        <v>2090256.68</v>
      </c>
      <c r="BT43" s="110" t="n">
        <v>1140944.01</v>
      </c>
      <c r="BU43" s="110" t="n">
        <v>978572.48</v>
      </c>
      <c r="BV43" s="110" t="n">
        <v>162371.53</v>
      </c>
      <c r="BW43" s="110" t="n">
        <v>949312.67</v>
      </c>
      <c r="BX43" s="110" t="n">
        <v>492620.62</v>
      </c>
      <c r="BY43" s="110" t="n">
        <v>456692.05</v>
      </c>
      <c r="BZ43" s="110" t="n">
        <v>48754</v>
      </c>
      <c r="CA43" s="110" t="n">
        <v>18812.5</v>
      </c>
      <c r="CB43" s="110" t="n">
        <v>4830.5</v>
      </c>
      <c r="CC43" s="110" t="n">
        <v>13982</v>
      </c>
      <c r="CD43" s="110" t="n">
        <v>29941.5</v>
      </c>
      <c r="CE43" s="110" t="n">
        <v>13697</v>
      </c>
      <c r="CF43" s="110" t="n">
        <v>16244.5</v>
      </c>
      <c r="CG43" s="110" t="n">
        <v>4902562.75</v>
      </c>
      <c r="CH43" s="110" t="n">
        <v>2328013.25</v>
      </c>
      <c r="CI43" s="110" t="n">
        <v>1826745</v>
      </c>
      <c r="CJ43" s="110" t="n">
        <v>501268.25</v>
      </c>
      <c r="CK43" s="110" t="n">
        <v>2574549.5</v>
      </c>
      <c r="CL43" s="110" t="n">
        <v>886914.25</v>
      </c>
      <c r="CM43" s="110" t="n">
        <v>1687635.25</v>
      </c>
      <c r="CN43" s="110" t="n">
        <v>223010.52</v>
      </c>
      <c r="CO43" s="110" t="n">
        <v>2088155.7</v>
      </c>
      <c r="CP43" s="110" t="n">
        <v>2896430.44</v>
      </c>
      <c r="CQ43" s="110" t="n">
        <v>180809.78</v>
      </c>
      <c r="CR43" s="110" t="n">
        <v>1413026.24</v>
      </c>
      <c r="CS43" s="110" t="n">
        <v>18848.88</v>
      </c>
      <c r="CT43" s="110" t="n">
        <v>2359217.04</v>
      </c>
      <c r="CU43" s="110" t="n">
        <v>0</v>
      </c>
      <c r="CV43" s="111" t="n">
        <v>18520</v>
      </c>
      <c r="CW43" s="111" t="n">
        <v>14852</v>
      </c>
      <c r="CX43" s="111" t="n">
        <v>13833</v>
      </c>
      <c r="CY43" s="111" t="n">
        <v>1019</v>
      </c>
      <c r="CZ43" s="111" t="n">
        <v>3668</v>
      </c>
      <c r="DA43" s="111" t="n">
        <v>1506</v>
      </c>
      <c r="DB43" s="111" t="n">
        <v>2162</v>
      </c>
      <c r="DC43" s="111" t="n">
        <v>9403</v>
      </c>
      <c r="DD43" s="111" t="n">
        <v>0</v>
      </c>
      <c r="DE43" s="111" t="n">
        <v>8234</v>
      </c>
      <c r="DF43" s="111" t="n">
        <v>7792</v>
      </c>
      <c r="DG43" s="111" t="n">
        <v>442</v>
      </c>
      <c r="DH43" s="111" t="n">
        <v>1169</v>
      </c>
      <c r="DI43" s="111" t="n">
        <v>467</v>
      </c>
      <c r="DJ43" s="111" t="n">
        <v>702</v>
      </c>
      <c r="DK43" s="111" t="n">
        <v>5701</v>
      </c>
      <c r="DL43" s="111" t="n">
        <v>4401</v>
      </c>
      <c r="DM43" s="111" t="n">
        <v>4073</v>
      </c>
      <c r="DN43" s="111" t="n">
        <v>328</v>
      </c>
      <c r="DO43" s="111" t="n">
        <v>1300</v>
      </c>
      <c r="DP43" s="111" t="n">
        <v>635</v>
      </c>
      <c r="DQ43" s="111" t="n">
        <v>665</v>
      </c>
      <c r="DR43" s="111" t="n">
        <v>1713</v>
      </c>
      <c r="DS43" s="111" t="n">
        <v>0</v>
      </c>
      <c r="DT43" s="111" t="n">
        <v>756</v>
      </c>
      <c r="DU43" s="111" t="n">
        <v>643</v>
      </c>
      <c r="DV43" s="111" t="n">
        <v>113</v>
      </c>
      <c r="DW43" s="111" t="n">
        <v>957</v>
      </c>
      <c r="DX43" s="111" t="n">
        <v>339</v>
      </c>
      <c r="DY43" s="111" t="n">
        <v>618</v>
      </c>
      <c r="DZ43" s="111" t="n">
        <v>1703</v>
      </c>
      <c r="EA43" s="111" t="n">
        <v>1461</v>
      </c>
      <c r="EB43" s="111" t="n">
        <v>1325</v>
      </c>
      <c r="EC43" s="111" t="n">
        <v>136</v>
      </c>
      <c r="ED43" s="111" t="n">
        <v>242</v>
      </c>
      <c r="EE43" s="111" t="n">
        <v>65</v>
      </c>
      <c r="EF43" s="111" t="n">
        <v>177</v>
      </c>
      <c r="EG43" s="111" t="n">
        <v>717</v>
      </c>
      <c r="EH43" s="111" t="n">
        <v>423</v>
      </c>
      <c r="EI43" s="111" t="n">
        <v>375</v>
      </c>
      <c r="EJ43" s="111" t="n">
        <v>48</v>
      </c>
      <c r="EK43" s="111" t="n">
        <v>294</v>
      </c>
      <c r="EL43" s="111" t="n">
        <v>171</v>
      </c>
      <c r="EM43" s="111" t="n">
        <v>123</v>
      </c>
      <c r="EN43" s="111" t="n">
        <v>728</v>
      </c>
      <c r="EO43" s="111" t="n">
        <v>711</v>
      </c>
      <c r="EP43" s="111" t="n">
        <v>0</v>
      </c>
      <c r="EQ43" s="111" t="n">
        <v>17</v>
      </c>
      <c r="ER43" s="111" t="n">
        <v>0</v>
      </c>
      <c r="ES43" s="111" t="n">
        <v>0</v>
      </c>
      <c r="ET43" s="111" t="n">
        <v>0</v>
      </c>
      <c r="EU43" s="111" t="n">
        <v>138</v>
      </c>
      <c r="EV43" s="111" t="n">
        <v>137</v>
      </c>
      <c r="EW43" s="111" t="n">
        <v>0</v>
      </c>
      <c r="EX43" s="111" t="n">
        <v>1</v>
      </c>
      <c r="EY43" s="111" t="n">
        <v>186</v>
      </c>
      <c r="EZ43" s="111" t="n">
        <v>186</v>
      </c>
      <c r="FA43" s="111" t="n">
        <v>0</v>
      </c>
      <c r="FB43" s="111" t="n">
        <v>0</v>
      </c>
    </row>
    <row r="44" ht="19.5" customHeight="1" s="247">
      <c r="A44" s="107" t="n">
        <v>41</v>
      </c>
      <c r="B44" s="107" t="inlineStr">
        <is>
          <t>成人手术</t>
        </is>
      </c>
      <c r="C44" s="107" t="inlineStr">
        <is>
          <t>耳鼻咽喉-头颈外科</t>
        </is>
      </c>
      <c r="D44" s="110" t="n">
        <v>6710691.75</v>
      </c>
      <c r="E44" s="110" t="n">
        <v>2570069</v>
      </c>
      <c r="F44" s="110" t="n">
        <v>4140622.75</v>
      </c>
      <c r="G44" s="110" t="n">
        <v>15737</v>
      </c>
      <c r="H44" s="110" t="n">
        <v>422</v>
      </c>
      <c r="I44" s="110" t="n">
        <v>314498</v>
      </c>
      <c r="J44" s="110" t="n">
        <v>37387</v>
      </c>
      <c r="K44" s="110" t="n">
        <v>36247.46</v>
      </c>
      <c r="L44" s="110" t="n">
        <v>103790.5</v>
      </c>
      <c r="M44" s="110" t="n">
        <v>1532687.25</v>
      </c>
      <c r="N44" s="110" t="n">
        <v>0</v>
      </c>
      <c r="O44" s="110" t="n">
        <v>11932295.59</v>
      </c>
      <c r="P44" s="110" t="n">
        <v>8085467.37</v>
      </c>
      <c r="Q44" s="110" t="n">
        <v>7512010.46</v>
      </c>
      <c r="R44" s="110" t="n">
        <v>573456.91</v>
      </c>
      <c r="S44" s="110" t="n">
        <v>3846828.22</v>
      </c>
      <c r="T44" s="110" t="n">
        <v>3188197.98</v>
      </c>
      <c r="U44" s="110" t="n">
        <v>658630.24</v>
      </c>
      <c r="V44" s="110" t="n">
        <v>4929779.78</v>
      </c>
      <c r="W44" s="110" t="n">
        <v>4175516.61</v>
      </c>
      <c r="X44" s="110" t="n">
        <v>3878494.48</v>
      </c>
      <c r="Y44" s="110" t="n">
        <v>297022.13</v>
      </c>
      <c r="Z44" s="110" t="n">
        <v>754263.17</v>
      </c>
      <c r="AA44" s="110" t="n">
        <v>333551.3</v>
      </c>
      <c r="AB44" s="110" t="n">
        <v>420711.87</v>
      </c>
      <c r="AC44" s="110" t="n">
        <v>2290409.76</v>
      </c>
      <c r="AD44" s="110" t="n">
        <v>2019003.88</v>
      </c>
      <c r="AE44" s="110" t="n">
        <v>1906240.46</v>
      </c>
      <c r="AF44" s="110" t="n">
        <v>112763.42</v>
      </c>
      <c r="AG44" s="110" t="n">
        <v>271405.88</v>
      </c>
      <c r="AH44" s="110" t="n">
        <v>116555.4</v>
      </c>
      <c r="AI44" s="110" t="n">
        <v>154850.48</v>
      </c>
      <c r="AJ44" s="110" t="n">
        <v>69301.02</v>
      </c>
      <c r="AK44" s="110" t="n">
        <v>60736.73</v>
      </c>
      <c r="AL44" s="110" t="n">
        <v>56698.02</v>
      </c>
      <c r="AM44" s="110" t="n">
        <v>4038.71</v>
      </c>
      <c r="AN44" s="110" t="n">
        <v>8564.290000000001</v>
      </c>
      <c r="AO44" s="110" t="n">
        <v>4506.9</v>
      </c>
      <c r="AP44" s="110" t="n">
        <v>4057.39</v>
      </c>
      <c r="AQ44" s="110" t="n">
        <v>1465203</v>
      </c>
      <c r="AR44" s="110" t="n">
        <v>1182510</v>
      </c>
      <c r="AS44" s="110" t="n">
        <v>1085507</v>
      </c>
      <c r="AT44" s="110" t="n">
        <v>97003</v>
      </c>
      <c r="AU44" s="110" t="n">
        <v>282693</v>
      </c>
      <c r="AV44" s="110" t="n">
        <v>126297</v>
      </c>
      <c r="AW44" s="110" t="n">
        <v>156396</v>
      </c>
      <c r="AX44" s="110" t="n">
        <v>1104866</v>
      </c>
      <c r="AY44" s="110" t="n">
        <v>913266</v>
      </c>
      <c r="AZ44" s="110" t="n">
        <v>830049</v>
      </c>
      <c r="BA44" s="110" t="n">
        <v>83217</v>
      </c>
      <c r="BB44" s="110" t="n">
        <v>191600</v>
      </c>
      <c r="BC44" s="110" t="n">
        <v>86192</v>
      </c>
      <c r="BD44" s="110" t="n">
        <v>105408</v>
      </c>
      <c r="BE44" s="110" t="n">
        <v>7002515.81</v>
      </c>
      <c r="BF44" s="110" t="n">
        <v>3909950.76</v>
      </c>
      <c r="BG44" s="110" t="n">
        <v>3633515.98</v>
      </c>
      <c r="BH44" s="110" t="n">
        <v>276434.78</v>
      </c>
      <c r="BI44" s="110" t="n">
        <v>3092565.05</v>
      </c>
      <c r="BJ44" s="110" t="n">
        <v>2854646.68</v>
      </c>
      <c r="BK44" s="110" t="n">
        <v>237918.37</v>
      </c>
      <c r="BL44" s="110" t="n">
        <v>1050072.19</v>
      </c>
      <c r="BM44" s="110" t="n">
        <v>578233.88</v>
      </c>
      <c r="BN44" s="110" t="n">
        <v>553653.26</v>
      </c>
      <c r="BO44" s="110" t="n">
        <v>24580.62</v>
      </c>
      <c r="BP44" s="110" t="n">
        <v>471838.31</v>
      </c>
      <c r="BQ44" s="110" t="n">
        <v>444019.23</v>
      </c>
      <c r="BR44" s="110" t="n">
        <v>27819.08</v>
      </c>
      <c r="BS44" s="110" t="n">
        <v>1811820.87</v>
      </c>
      <c r="BT44" s="110" t="n">
        <v>1001381.88</v>
      </c>
      <c r="BU44" s="110" t="n">
        <v>958983.47</v>
      </c>
      <c r="BV44" s="110" t="n">
        <v>42398.41</v>
      </c>
      <c r="BW44" s="110" t="n">
        <v>810438.99</v>
      </c>
      <c r="BX44" s="110" t="n">
        <v>757486.7</v>
      </c>
      <c r="BY44" s="110" t="n">
        <v>52952.29</v>
      </c>
      <c r="BZ44" s="110" t="n">
        <v>1229652</v>
      </c>
      <c r="CA44" s="110" t="n">
        <v>700233</v>
      </c>
      <c r="CB44" s="110" t="n">
        <v>668726</v>
      </c>
      <c r="CC44" s="110" t="n">
        <v>31507</v>
      </c>
      <c r="CD44" s="110" t="n">
        <v>529419</v>
      </c>
      <c r="CE44" s="110" t="n">
        <v>499012</v>
      </c>
      <c r="CF44" s="110" t="n">
        <v>30407</v>
      </c>
      <c r="CG44" s="110" t="n">
        <v>2910970.75</v>
      </c>
      <c r="CH44" s="110" t="n">
        <v>1630102</v>
      </c>
      <c r="CI44" s="110" t="n">
        <v>1452153.25</v>
      </c>
      <c r="CJ44" s="110" t="n">
        <v>177948.75</v>
      </c>
      <c r="CK44" s="110" t="n">
        <v>1280868.75</v>
      </c>
      <c r="CL44" s="110" t="n">
        <v>1154128.75</v>
      </c>
      <c r="CM44" s="110" t="n">
        <v>126740</v>
      </c>
      <c r="CN44" s="110" t="n">
        <v>533666.1800000001</v>
      </c>
      <c r="CO44" s="110" t="n">
        <v>1473356.93</v>
      </c>
      <c r="CP44" s="110" t="n">
        <v>1107403.95</v>
      </c>
      <c r="CQ44" s="110" t="n">
        <v>1218970.4</v>
      </c>
      <c r="CR44" s="110" t="n">
        <v>596382.3199999999</v>
      </c>
      <c r="CS44" s="110" t="n">
        <v>0</v>
      </c>
      <c r="CT44" s="110" t="n">
        <v>308221.93</v>
      </c>
      <c r="CU44" s="110" t="n">
        <v>0</v>
      </c>
      <c r="CV44" s="111" t="n">
        <v>15737</v>
      </c>
      <c r="CW44" s="111" t="n">
        <v>13633</v>
      </c>
      <c r="CX44" s="111" t="n">
        <v>12569</v>
      </c>
      <c r="CY44" s="111" t="n">
        <v>1064</v>
      </c>
      <c r="CZ44" s="111" t="n">
        <v>2104</v>
      </c>
      <c r="DA44" s="111" t="n">
        <v>896</v>
      </c>
      <c r="DB44" s="111" t="n">
        <v>1208</v>
      </c>
      <c r="DC44" s="111" t="n">
        <v>8395</v>
      </c>
      <c r="DD44" s="111" t="n">
        <v>58</v>
      </c>
      <c r="DE44" s="111" t="n">
        <v>7553</v>
      </c>
      <c r="DF44" s="111" t="n">
        <v>7074</v>
      </c>
      <c r="DG44" s="111" t="n">
        <v>479</v>
      </c>
      <c r="DH44" s="111" t="n">
        <v>842</v>
      </c>
      <c r="DI44" s="111" t="n">
        <v>380</v>
      </c>
      <c r="DJ44" s="111" t="n">
        <v>462</v>
      </c>
      <c r="DK44" s="111" t="n">
        <v>3402</v>
      </c>
      <c r="DL44" s="111" t="n">
        <v>2687</v>
      </c>
      <c r="DM44" s="111" t="n">
        <v>2440</v>
      </c>
      <c r="DN44" s="111" t="n">
        <v>247</v>
      </c>
      <c r="DO44" s="111" t="n">
        <v>715</v>
      </c>
      <c r="DP44" s="111" t="n">
        <v>340</v>
      </c>
      <c r="DQ44" s="111" t="n">
        <v>375</v>
      </c>
      <c r="DR44" s="111" t="n">
        <v>1074</v>
      </c>
      <c r="DS44" s="111" t="n">
        <v>0</v>
      </c>
      <c r="DT44" s="111" t="n">
        <v>831</v>
      </c>
      <c r="DU44" s="111" t="n">
        <v>718</v>
      </c>
      <c r="DV44" s="111" t="n">
        <v>113</v>
      </c>
      <c r="DW44" s="111" t="n">
        <v>243</v>
      </c>
      <c r="DX44" s="111" t="n">
        <v>73</v>
      </c>
      <c r="DY44" s="111" t="n">
        <v>170</v>
      </c>
      <c r="DZ44" s="111" t="n">
        <v>2808</v>
      </c>
      <c r="EA44" s="111" t="n">
        <v>2512</v>
      </c>
      <c r="EB44" s="111" t="n">
        <v>2291</v>
      </c>
      <c r="EC44" s="111" t="n">
        <v>221</v>
      </c>
      <c r="ED44" s="111" t="n">
        <v>296</v>
      </c>
      <c r="EE44" s="111" t="n">
        <v>103</v>
      </c>
      <c r="EF44" s="111" t="n">
        <v>193</v>
      </c>
      <c r="EG44" s="111" t="n">
        <v>422</v>
      </c>
      <c r="EH44" s="111" t="n">
        <v>254</v>
      </c>
      <c r="EI44" s="111" t="n">
        <v>239</v>
      </c>
      <c r="EJ44" s="111" t="n">
        <v>15</v>
      </c>
      <c r="EK44" s="111" t="n">
        <v>168</v>
      </c>
      <c r="EL44" s="111" t="n">
        <v>155</v>
      </c>
      <c r="EM44" s="111" t="n">
        <v>13</v>
      </c>
      <c r="EN44" s="111" t="n">
        <v>417</v>
      </c>
      <c r="EO44" s="111" t="n">
        <v>392</v>
      </c>
      <c r="EP44" s="111" t="n">
        <v>0</v>
      </c>
      <c r="EQ44" s="111" t="n">
        <v>25</v>
      </c>
      <c r="ER44" s="111" t="n">
        <v>1</v>
      </c>
      <c r="ES44" s="111" t="n">
        <v>0</v>
      </c>
      <c r="ET44" s="111" t="n">
        <v>0</v>
      </c>
      <c r="EU44" s="111" t="n">
        <v>299</v>
      </c>
      <c r="EV44" s="111" t="n">
        <v>299</v>
      </c>
      <c r="EW44" s="111" t="n">
        <v>0</v>
      </c>
      <c r="EX44" s="111" t="n">
        <v>0</v>
      </c>
      <c r="EY44" s="111" t="n">
        <v>28</v>
      </c>
      <c r="EZ44" s="111" t="n">
        <v>28</v>
      </c>
      <c r="FA44" s="111" t="n">
        <v>0</v>
      </c>
      <c r="FB44" s="111" t="n">
        <v>0</v>
      </c>
    </row>
    <row r="45" ht="19.5" customHeight="1" s="247">
      <c r="A45" s="107" t="n">
        <v>42</v>
      </c>
      <c r="B45" s="107" t="inlineStr">
        <is>
          <t>成人非手术</t>
        </is>
      </c>
      <c r="C45" s="107" t="inlineStr">
        <is>
          <t>口腔科</t>
        </is>
      </c>
      <c r="D45" s="110" t="n">
        <v>4219969.75</v>
      </c>
      <c r="E45" s="110" t="n">
        <v>4141674.5</v>
      </c>
      <c r="F45" s="110" t="n">
        <v>78295.25</v>
      </c>
      <c r="G45" s="110" t="n">
        <v>9121</v>
      </c>
      <c r="H45" s="110" t="n">
        <v>6</v>
      </c>
      <c r="I45" s="110" t="n">
        <v>2443599</v>
      </c>
      <c r="J45" s="110" t="n">
        <v>816207.5</v>
      </c>
      <c r="K45" s="110" t="n">
        <v>0</v>
      </c>
      <c r="L45" s="110" t="n">
        <v>26445</v>
      </c>
      <c r="M45" s="110" t="n">
        <v>1787.25</v>
      </c>
      <c r="N45" s="110" t="n">
        <v>0</v>
      </c>
      <c r="O45" s="110" t="n">
        <v>4597137.18</v>
      </c>
      <c r="P45" s="110" t="n">
        <v>3819758.57</v>
      </c>
      <c r="Q45" s="110" t="n">
        <v>2354589.88</v>
      </c>
      <c r="R45" s="110" t="n">
        <v>1465168.69</v>
      </c>
      <c r="S45" s="110" t="n">
        <v>777378.61</v>
      </c>
      <c r="T45" s="110" t="n">
        <v>147570.13</v>
      </c>
      <c r="U45" s="110" t="n">
        <v>629808.48</v>
      </c>
      <c r="V45" s="110" t="n">
        <v>4504503.56</v>
      </c>
      <c r="W45" s="110" t="n">
        <v>3727124.95</v>
      </c>
      <c r="X45" s="110" t="n">
        <v>2354589.88</v>
      </c>
      <c r="Y45" s="110" t="n">
        <v>1372535.07</v>
      </c>
      <c r="Z45" s="110" t="n">
        <v>777378.61</v>
      </c>
      <c r="AA45" s="110" t="n">
        <v>147570.13</v>
      </c>
      <c r="AB45" s="110" t="n">
        <v>629808.48</v>
      </c>
      <c r="AC45" s="110" t="n">
        <v>156913.16</v>
      </c>
      <c r="AD45" s="110" t="n">
        <v>131780.05</v>
      </c>
      <c r="AE45" s="110" t="n">
        <v>122707.93</v>
      </c>
      <c r="AF45" s="110" t="n">
        <v>9072.120000000001</v>
      </c>
      <c r="AG45" s="110" t="n">
        <v>25133.11</v>
      </c>
      <c r="AH45" s="110" t="n">
        <v>9805.43</v>
      </c>
      <c r="AI45" s="110" t="n">
        <v>15327.68</v>
      </c>
      <c r="AJ45" s="110" t="n">
        <v>205915.9</v>
      </c>
      <c r="AK45" s="110" t="n">
        <v>174835.9</v>
      </c>
      <c r="AL45" s="110" t="n">
        <v>17822.95</v>
      </c>
      <c r="AM45" s="110" t="n">
        <v>157012.95</v>
      </c>
      <c r="AN45" s="110" t="n">
        <v>31080</v>
      </c>
      <c r="AO45" s="110" t="n">
        <v>1407.7</v>
      </c>
      <c r="AP45" s="110" t="n">
        <v>29672.3</v>
      </c>
      <c r="AQ45" s="110" t="n">
        <v>362085</v>
      </c>
      <c r="AR45" s="110" t="n">
        <v>332425</v>
      </c>
      <c r="AS45" s="110" t="n">
        <v>274670</v>
      </c>
      <c r="AT45" s="110" t="n">
        <v>57755</v>
      </c>
      <c r="AU45" s="110" t="n">
        <v>29660</v>
      </c>
      <c r="AV45" s="110" t="n">
        <v>13465</v>
      </c>
      <c r="AW45" s="110" t="n">
        <v>16195</v>
      </c>
      <c r="AX45" s="110" t="n">
        <v>3779589.5</v>
      </c>
      <c r="AY45" s="110" t="n">
        <v>3088084</v>
      </c>
      <c r="AZ45" s="110" t="n">
        <v>1939389</v>
      </c>
      <c r="BA45" s="110" t="n">
        <v>1148695</v>
      </c>
      <c r="BB45" s="110" t="n">
        <v>691505.5</v>
      </c>
      <c r="BC45" s="110" t="n">
        <v>122892</v>
      </c>
      <c r="BD45" s="110" t="n">
        <v>568613.5</v>
      </c>
      <c r="BE45" s="110" t="n">
        <v>92633.62</v>
      </c>
      <c r="BF45" s="110" t="n">
        <v>92633.62</v>
      </c>
      <c r="BG45" s="110" t="n">
        <v>0</v>
      </c>
      <c r="BH45" s="110" t="n">
        <v>92633.62</v>
      </c>
      <c r="BI45" s="110" t="n">
        <v>0</v>
      </c>
      <c r="BJ45" s="110" t="n">
        <v>0</v>
      </c>
      <c r="BK45" s="110" t="n">
        <v>0</v>
      </c>
      <c r="BL45" s="110" t="n">
        <v>6686.4</v>
      </c>
      <c r="BM45" s="110" t="n">
        <v>6686.4</v>
      </c>
      <c r="BN45" s="110" t="n">
        <v>0</v>
      </c>
      <c r="BO45" s="110" t="n">
        <v>6686.4</v>
      </c>
      <c r="BP45" s="110" t="n">
        <v>0</v>
      </c>
      <c r="BQ45" s="110" t="n">
        <v>0</v>
      </c>
      <c r="BR45" s="110" t="n">
        <v>0</v>
      </c>
      <c r="BS45" s="110" t="n">
        <v>7651.97</v>
      </c>
      <c r="BT45" s="110" t="n">
        <v>7651.97</v>
      </c>
      <c r="BU45" s="110" t="n">
        <v>0</v>
      </c>
      <c r="BV45" s="110" t="n">
        <v>7651.97</v>
      </c>
      <c r="BW45" s="110" t="n">
        <v>0</v>
      </c>
      <c r="BX45" s="110" t="n">
        <v>0</v>
      </c>
      <c r="BY45" s="110" t="n">
        <v>0</v>
      </c>
      <c r="BZ45" s="110" t="n">
        <v>673</v>
      </c>
      <c r="CA45" s="110" t="n">
        <v>673</v>
      </c>
      <c r="CB45" s="110" t="n">
        <v>0</v>
      </c>
      <c r="CC45" s="110" t="n">
        <v>673</v>
      </c>
      <c r="CD45" s="110" t="n">
        <v>0</v>
      </c>
      <c r="CE45" s="110" t="n">
        <v>0</v>
      </c>
      <c r="CF45" s="110" t="n">
        <v>0</v>
      </c>
      <c r="CG45" s="110" t="n">
        <v>77622.25</v>
      </c>
      <c r="CH45" s="110" t="n">
        <v>77622.25</v>
      </c>
      <c r="CI45" s="110" t="n">
        <v>0</v>
      </c>
      <c r="CJ45" s="110" t="n">
        <v>77622.25</v>
      </c>
      <c r="CK45" s="110" t="n">
        <v>0</v>
      </c>
      <c r="CL45" s="110" t="n">
        <v>0</v>
      </c>
      <c r="CM45" s="110" t="n">
        <v>0</v>
      </c>
      <c r="CN45" s="110" t="n">
        <v>-100</v>
      </c>
      <c r="CO45" s="110" t="n">
        <v>2020783.79</v>
      </c>
      <c r="CP45" s="110" t="n">
        <v>605778.08</v>
      </c>
      <c r="CQ45" s="110" t="n">
        <v>1266085.72</v>
      </c>
      <c r="CR45" s="110" t="n">
        <v>587978.78</v>
      </c>
      <c r="CS45" s="110" t="n">
        <v>23877.19</v>
      </c>
      <c r="CT45" s="110" t="n">
        <v>92633.62</v>
      </c>
      <c r="CU45" s="110" t="n">
        <v>0</v>
      </c>
      <c r="CV45" s="111" t="n">
        <v>9121</v>
      </c>
      <c r="CW45" s="111" t="n">
        <v>7963</v>
      </c>
      <c r="CX45" s="111" t="n">
        <v>6393</v>
      </c>
      <c r="CY45" s="111" t="n">
        <v>1570</v>
      </c>
      <c r="CZ45" s="111" t="n">
        <v>1158</v>
      </c>
      <c r="DA45" s="111" t="n">
        <v>365</v>
      </c>
      <c r="DB45" s="111" t="n">
        <v>793</v>
      </c>
      <c r="DC45" s="111" t="n">
        <v>6952</v>
      </c>
      <c r="DD45" s="111" t="n">
        <v>8</v>
      </c>
      <c r="DE45" s="111" t="n">
        <v>6321</v>
      </c>
      <c r="DF45" s="111" t="n">
        <v>5189</v>
      </c>
      <c r="DG45" s="111" t="n">
        <v>1132</v>
      </c>
      <c r="DH45" s="111" t="n">
        <v>631</v>
      </c>
      <c r="DI45" s="111" t="n">
        <v>238</v>
      </c>
      <c r="DJ45" s="111" t="n">
        <v>393</v>
      </c>
      <c r="DK45" s="111" t="n">
        <v>1243</v>
      </c>
      <c r="DL45" s="111" t="n">
        <v>1084</v>
      </c>
      <c r="DM45" s="111" t="n">
        <v>805</v>
      </c>
      <c r="DN45" s="111" t="n">
        <v>279</v>
      </c>
      <c r="DO45" s="111" t="n">
        <v>159</v>
      </c>
      <c r="DP45" s="111" t="n">
        <v>62</v>
      </c>
      <c r="DQ45" s="111" t="n">
        <v>97</v>
      </c>
      <c r="DR45" s="111" t="n">
        <v>918</v>
      </c>
      <c r="DS45" s="111" t="n">
        <v>0</v>
      </c>
      <c r="DT45" s="111" t="n">
        <v>555</v>
      </c>
      <c r="DU45" s="111" t="n">
        <v>397</v>
      </c>
      <c r="DV45" s="111" t="n">
        <v>158</v>
      </c>
      <c r="DW45" s="111" t="n">
        <v>363</v>
      </c>
      <c r="DX45" s="111" t="n">
        <v>65</v>
      </c>
      <c r="DY45" s="111" t="n">
        <v>298</v>
      </c>
      <c r="DZ45" s="111" t="n">
        <v>0</v>
      </c>
      <c r="EA45" s="111" t="n">
        <v>0</v>
      </c>
      <c r="EB45" s="111" t="n">
        <v>0</v>
      </c>
      <c r="EC45" s="111" t="n">
        <v>0</v>
      </c>
      <c r="ED45" s="111" t="n">
        <v>0</v>
      </c>
      <c r="EE45" s="111" t="n">
        <v>0</v>
      </c>
      <c r="EF45" s="111" t="n">
        <v>0</v>
      </c>
      <c r="EG45" s="111" t="n">
        <v>6</v>
      </c>
      <c r="EH45" s="111" t="n">
        <v>6</v>
      </c>
      <c r="EI45" s="111" t="n">
        <v>0</v>
      </c>
      <c r="EJ45" s="111" t="n">
        <v>6</v>
      </c>
      <c r="EK45" s="111" t="n">
        <v>0</v>
      </c>
      <c r="EL45" s="111" t="n">
        <v>0</v>
      </c>
      <c r="EM45" s="111" t="n">
        <v>0</v>
      </c>
      <c r="EN45" s="111" t="n">
        <v>11</v>
      </c>
      <c r="EO45" s="111" t="n">
        <v>2</v>
      </c>
      <c r="EP45" s="111" t="n">
        <v>0</v>
      </c>
      <c r="EQ45" s="111" t="n">
        <v>9</v>
      </c>
      <c r="ER45" s="111" t="n">
        <v>0</v>
      </c>
      <c r="ES45" s="111" t="n">
        <v>0</v>
      </c>
      <c r="ET45" s="111" t="n">
        <v>0</v>
      </c>
      <c r="EU45" s="111" t="n">
        <v>0</v>
      </c>
      <c r="EV45" s="111" t="n">
        <v>0</v>
      </c>
      <c r="EW45" s="111" t="n">
        <v>0</v>
      </c>
      <c r="EX45" s="111" t="n">
        <v>0</v>
      </c>
      <c r="EY45" s="111" t="n">
        <v>0</v>
      </c>
      <c r="EZ45" s="111" t="n">
        <v>0</v>
      </c>
      <c r="FA45" s="111" t="n">
        <v>0</v>
      </c>
      <c r="FB45" s="111" t="n">
        <v>0</v>
      </c>
    </row>
    <row r="46" ht="19.5" customHeight="1" s="247">
      <c r="A46" s="107" t="n">
        <v>43</v>
      </c>
      <c r="B46" s="107" t="inlineStr">
        <is>
          <t>成人非手术</t>
        </is>
      </c>
      <c r="C46" s="107" t="inlineStr">
        <is>
          <t>皮肤疾病诊治中心</t>
        </is>
      </c>
      <c r="D46" s="110" t="n">
        <v>8857494.4</v>
      </c>
      <c r="E46" s="110" t="n">
        <v>7980379.9</v>
      </c>
      <c r="F46" s="110" t="n">
        <v>877114.5</v>
      </c>
      <c r="G46" s="110" t="n">
        <v>41452</v>
      </c>
      <c r="H46" s="110" t="n">
        <v>121</v>
      </c>
      <c r="I46" s="110" t="n">
        <v>2194274.9</v>
      </c>
      <c r="J46" s="110" t="n">
        <v>1246795</v>
      </c>
      <c r="K46" s="110" t="n">
        <v>10525.65</v>
      </c>
      <c r="L46" s="110" t="n">
        <v>37051</v>
      </c>
      <c r="M46" s="110" t="n">
        <v>192262</v>
      </c>
      <c r="N46" s="110" t="n">
        <v>164.85</v>
      </c>
      <c r="O46" s="110" t="n">
        <v>13032825.43</v>
      </c>
      <c r="P46" s="110" t="n">
        <v>10881106.08</v>
      </c>
      <c r="Q46" s="110" t="n">
        <v>9187086.310000001</v>
      </c>
      <c r="R46" s="110" t="n">
        <v>1694019.77</v>
      </c>
      <c r="S46" s="110" t="n">
        <v>2151719.35</v>
      </c>
      <c r="T46" s="110" t="n">
        <v>928017.1800000001</v>
      </c>
      <c r="U46" s="110" t="n">
        <v>1223702.17</v>
      </c>
      <c r="V46" s="110" t="n">
        <v>11954794.34</v>
      </c>
      <c r="W46" s="110" t="n">
        <v>10219916.98</v>
      </c>
      <c r="X46" s="110" t="n">
        <v>8723822.93</v>
      </c>
      <c r="Y46" s="110" t="n">
        <v>1496094.05</v>
      </c>
      <c r="Z46" s="110" t="n">
        <v>1734877.36</v>
      </c>
      <c r="AA46" s="110" t="n">
        <v>655150.84</v>
      </c>
      <c r="AB46" s="110" t="n">
        <v>1079726.52</v>
      </c>
      <c r="AC46" s="110" t="n">
        <v>3787109.17</v>
      </c>
      <c r="AD46" s="110" t="n">
        <v>3352564.01</v>
      </c>
      <c r="AE46" s="110" t="n">
        <v>3105340.01</v>
      </c>
      <c r="AF46" s="110" t="n">
        <v>247224</v>
      </c>
      <c r="AG46" s="110" t="n">
        <v>434545.16</v>
      </c>
      <c r="AH46" s="110" t="n">
        <v>180187.55</v>
      </c>
      <c r="AI46" s="110" t="n">
        <v>254357.61</v>
      </c>
      <c r="AJ46" s="110" t="n">
        <v>187305.27</v>
      </c>
      <c r="AK46" s="110" t="n">
        <v>166260.22</v>
      </c>
      <c r="AL46" s="110" t="n">
        <v>149444.02</v>
      </c>
      <c r="AM46" s="110" t="n">
        <v>16816.2</v>
      </c>
      <c r="AN46" s="110" t="n">
        <v>21045.05</v>
      </c>
      <c r="AO46" s="110" t="n">
        <v>7661.99</v>
      </c>
      <c r="AP46" s="110" t="n">
        <v>13383.06</v>
      </c>
      <c r="AQ46" s="110" t="n">
        <v>2035614</v>
      </c>
      <c r="AR46" s="110" t="n">
        <v>1694044</v>
      </c>
      <c r="AS46" s="110" t="n">
        <v>1543441</v>
      </c>
      <c r="AT46" s="110" t="n">
        <v>150603</v>
      </c>
      <c r="AU46" s="110" t="n">
        <v>341570</v>
      </c>
      <c r="AV46" s="110" t="n">
        <v>162914</v>
      </c>
      <c r="AW46" s="110" t="n">
        <v>178656</v>
      </c>
      <c r="AX46" s="110" t="n">
        <v>5944765.9</v>
      </c>
      <c r="AY46" s="110" t="n">
        <v>5007048.75</v>
      </c>
      <c r="AZ46" s="110" t="n">
        <v>3925597.9</v>
      </c>
      <c r="BA46" s="110" t="n">
        <v>1081450.85</v>
      </c>
      <c r="BB46" s="110" t="n">
        <v>937717.15</v>
      </c>
      <c r="BC46" s="110" t="n">
        <v>304387.3</v>
      </c>
      <c r="BD46" s="110" t="n">
        <v>633329.85</v>
      </c>
      <c r="BE46" s="110" t="n">
        <v>1078031.09</v>
      </c>
      <c r="BF46" s="110" t="n">
        <v>661189.1</v>
      </c>
      <c r="BG46" s="110" t="n">
        <v>463263.38</v>
      </c>
      <c r="BH46" s="110" t="n">
        <v>197925.72</v>
      </c>
      <c r="BI46" s="110" t="n">
        <v>416841.99</v>
      </c>
      <c r="BJ46" s="110" t="n">
        <v>272866.34</v>
      </c>
      <c r="BK46" s="110" t="n">
        <v>143975.65</v>
      </c>
      <c r="BL46" s="110" t="n">
        <v>142679.22</v>
      </c>
      <c r="BM46" s="110" t="n">
        <v>52093.21</v>
      </c>
      <c r="BN46" s="110" t="n">
        <v>45020.34</v>
      </c>
      <c r="BO46" s="110" t="n">
        <v>7072.87</v>
      </c>
      <c r="BP46" s="110" t="n">
        <v>90586.00999999999</v>
      </c>
      <c r="BQ46" s="110" t="n">
        <v>67222.49000000001</v>
      </c>
      <c r="BR46" s="110" t="n">
        <v>23363.52</v>
      </c>
      <c r="BS46" s="110" t="n">
        <v>58237.37</v>
      </c>
      <c r="BT46" s="110" t="n">
        <v>35948.64</v>
      </c>
      <c r="BU46" s="110" t="n">
        <v>24806.79</v>
      </c>
      <c r="BV46" s="110" t="n">
        <v>11141.85</v>
      </c>
      <c r="BW46" s="110" t="n">
        <v>22288.73</v>
      </c>
      <c r="BX46" s="110" t="n">
        <v>10602.6</v>
      </c>
      <c r="BY46" s="110" t="n">
        <v>11686.13</v>
      </c>
      <c r="BZ46" s="110" t="n">
        <v>337776</v>
      </c>
      <c r="CA46" s="110" t="n">
        <v>213906</v>
      </c>
      <c r="CB46" s="110" t="n">
        <v>189420</v>
      </c>
      <c r="CC46" s="110" t="n">
        <v>24486</v>
      </c>
      <c r="CD46" s="110" t="n">
        <v>123870</v>
      </c>
      <c r="CE46" s="110" t="n">
        <v>100898</v>
      </c>
      <c r="CF46" s="110" t="n">
        <v>22972</v>
      </c>
      <c r="CG46" s="110" t="n">
        <v>539338.5</v>
      </c>
      <c r="CH46" s="110" t="n">
        <v>359241.25</v>
      </c>
      <c r="CI46" s="110" t="n">
        <v>204016.25</v>
      </c>
      <c r="CJ46" s="110" t="n">
        <v>155225</v>
      </c>
      <c r="CK46" s="110" t="n">
        <v>180097.25</v>
      </c>
      <c r="CL46" s="110" t="n">
        <v>94143.25</v>
      </c>
      <c r="CM46" s="110" t="n">
        <v>85954</v>
      </c>
      <c r="CN46" s="110" t="n">
        <v>425445.58</v>
      </c>
      <c r="CO46" s="110" t="n">
        <v>4506236.59</v>
      </c>
      <c r="CP46" s="110" t="n">
        <v>1210085.27</v>
      </c>
      <c r="CQ46" s="110" t="n">
        <v>1788389.25</v>
      </c>
      <c r="CR46" s="110" t="n">
        <v>4010733.35</v>
      </c>
      <c r="CS46" s="110" t="n">
        <v>13799.3</v>
      </c>
      <c r="CT46" s="110" t="n">
        <v>190576.79</v>
      </c>
      <c r="CU46" s="110" t="n">
        <v>0</v>
      </c>
      <c r="CV46" s="111" t="n">
        <v>41452</v>
      </c>
      <c r="CW46" s="111" t="n">
        <v>35993</v>
      </c>
      <c r="CX46" s="111" t="n">
        <v>31741</v>
      </c>
      <c r="CY46" s="111" t="n">
        <v>4252</v>
      </c>
      <c r="CZ46" s="111" t="n">
        <v>5459</v>
      </c>
      <c r="DA46" s="111" t="n">
        <v>1984</v>
      </c>
      <c r="DB46" s="111" t="n">
        <v>3475</v>
      </c>
      <c r="DC46" s="111" t="n">
        <v>23832</v>
      </c>
      <c r="DD46" s="111" t="n">
        <v>1770</v>
      </c>
      <c r="DE46" s="111" t="n">
        <v>21295</v>
      </c>
      <c r="DF46" s="111" t="n">
        <v>19217</v>
      </c>
      <c r="DG46" s="111" t="n">
        <v>2078</v>
      </c>
      <c r="DH46" s="111" t="n">
        <v>2537</v>
      </c>
      <c r="DI46" s="111" t="n">
        <v>1018</v>
      </c>
      <c r="DJ46" s="111" t="n">
        <v>1519</v>
      </c>
      <c r="DK46" s="111" t="n">
        <v>2733</v>
      </c>
      <c r="DL46" s="111" t="n">
        <v>2303</v>
      </c>
      <c r="DM46" s="111" t="n">
        <v>1902</v>
      </c>
      <c r="DN46" s="111" t="n">
        <v>401</v>
      </c>
      <c r="DO46" s="111" t="n">
        <v>430</v>
      </c>
      <c r="DP46" s="111" t="n">
        <v>161</v>
      </c>
      <c r="DQ46" s="111" t="n">
        <v>269</v>
      </c>
      <c r="DR46" s="111" t="n">
        <v>9080</v>
      </c>
      <c r="DS46" s="111" t="n">
        <v>17</v>
      </c>
      <c r="DT46" s="111" t="n">
        <v>7382</v>
      </c>
      <c r="DU46" s="111" t="n">
        <v>6306</v>
      </c>
      <c r="DV46" s="111" t="n">
        <v>1076</v>
      </c>
      <c r="DW46" s="111" t="n">
        <v>1698</v>
      </c>
      <c r="DX46" s="111" t="n">
        <v>621</v>
      </c>
      <c r="DY46" s="111" t="n">
        <v>1077</v>
      </c>
      <c r="DZ46" s="111" t="n">
        <v>4020</v>
      </c>
      <c r="EA46" s="111" t="n">
        <v>3537</v>
      </c>
      <c r="EB46" s="111" t="n">
        <v>3286</v>
      </c>
      <c r="EC46" s="111" t="n">
        <v>251</v>
      </c>
      <c r="ED46" s="111" t="n">
        <v>483</v>
      </c>
      <c r="EE46" s="111" t="n">
        <v>162</v>
      </c>
      <c r="EF46" s="111" t="n">
        <v>321</v>
      </c>
      <c r="EG46" s="111" t="n">
        <v>121</v>
      </c>
      <c r="EH46" s="111" t="n">
        <v>77</v>
      </c>
      <c r="EI46" s="111" t="n">
        <v>55</v>
      </c>
      <c r="EJ46" s="111" t="n">
        <v>22</v>
      </c>
      <c r="EK46" s="111" t="n">
        <v>44</v>
      </c>
      <c r="EL46" s="111" t="n">
        <v>25</v>
      </c>
      <c r="EM46" s="111" t="n">
        <v>19</v>
      </c>
      <c r="EN46" s="111" t="n">
        <v>98</v>
      </c>
      <c r="EO46" s="111" t="n">
        <v>82</v>
      </c>
      <c r="EP46" s="111" t="n">
        <v>0</v>
      </c>
      <c r="EQ46" s="111" t="n">
        <v>16</v>
      </c>
      <c r="ER46" s="111" t="n">
        <v>0</v>
      </c>
      <c r="ES46" s="111" t="n">
        <v>0</v>
      </c>
      <c r="ET46" s="111" t="n">
        <v>0</v>
      </c>
      <c r="EU46" s="111" t="n">
        <v>6</v>
      </c>
      <c r="EV46" s="111" t="n">
        <v>6</v>
      </c>
      <c r="EW46" s="111" t="n">
        <v>0</v>
      </c>
      <c r="EX46" s="111" t="n">
        <v>0</v>
      </c>
      <c r="EY46" s="111" t="n">
        <v>0</v>
      </c>
      <c r="EZ46" s="111" t="n">
        <v>0</v>
      </c>
      <c r="FA46" s="111" t="n">
        <v>0</v>
      </c>
      <c r="FB46" s="111" t="n">
        <v>0</v>
      </c>
    </row>
    <row r="47" ht="19.5" customHeight="1" s="247">
      <c r="A47" s="107" t="n">
        <v>44</v>
      </c>
      <c r="B47" s="107" t="inlineStr">
        <is>
          <t>成人非手术</t>
        </is>
      </c>
      <c r="C47" s="107" t="inlineStr">
        <is>
          <t>临床心理科</t>
        </is>
      </c>
      <c r="D47" s="110" t="n">
        <v>1579985.5</v>
      </c>
      <c r="E47" s="110" t="n">
        <v>1579985.5</v>
      </c>
      <c r="F47" s="110" t="n">
        <v>0</v>
      </c>
      <c r="G47" s="110" t="n">
        <v>4914</v>
      </c>
      <c r="H47" s="110" t="n">
        <v>0</v>
      </c>
      <c r="I47" s="110" t="n">
        <v>796088</v>
      </c>
      <c r="J47" s="110" t="n">
        <v>0</v>
      </c>
      <c r="K47" s="110" t="n">
        <v>2751.34</v>
      </c>
      <c r="L47" s="110" t="n">
        <v>0</v>
      </c>
      <c r="M47" s="110" t="n">
        <v>0</v>
      </c>
      <c r="N47" s="110" t="n">
        <v>0</v>
      </c>
      <c r="O47" s="110" t="n">
        <v>2707025.31</v>
      </c>
      <c r="P47" s="110" t="n">
        <v>2423414.92</v>
      </c>
      <c r="Q47" s="110" t="n">
        <v>2296411.38</v>
      </c>
      <c r="R47" s="110" t="n">
        <v>127003.54</v>
      </c>
      <c r="S47" s="110" t="n">
        <v>283610.39</v>
      </c>
      <c r="T47" s="110" t="n">
        <v>108629.16</v>
      </c>
      <c r="U47" s="110" t="n">
        <v>174981.23</v>
      </c>
      <c r="V47" s="110" t="n">
        <v>2707025.31</v>
      </c>
      <c r="W47" s="110" t="n">
        <v>2423414.92</v>
      </c>
      <c r="X47" s="110" t="n">
        <v>2296411.38</v>
      </c>
      <c r="Y47" s="110" t="n">
        <v>127003.54</v>
      </c>
      <c r="Z47" s="110" t="n">
        <v>283610.39</v>
      </c>
      <c r="AA47" s="110" t="n">
        <v>108629.16</v>
      </c>
      <c r="AB47" s="110" t="n">
        <v>174981.23</v>
      </c>
      <c r="AC47" s="110" t="n">
        <v>1127039.81</v>
      </c>
      <c r="AD47" s="110" t="n">
        <v>1038982.42</v>
      </c>
      <c r="AE47" s="110" t="n">
        <v>994911.88</v>
      </c>
      <c r="AF47" s="110" t="n">
        <v>44070.54</v>
      </c>
      <c r="AG47" s="110" t="n">
        <v>88057.39</v>
      </c>
      <c r="AH47" s="110" t="n">
        <v>35781.16</v>
      </c>
      <c r="AI47" s="110" t="n">
        <v>52276.23</v>
      </c>
      <c r="AJ47" s="110" t="n">
        <v>0</v>
      </c>
      <c r="AK47" s="110" t="n">
        <v>0</v>
      </c>
      <c r="AL47" s="110" t="n">
        <v>0</v>
      </c>
      <c r="AM47" s="110" t="n">
        <v>0</v>
      </c>
      <c r="AN47" s="110" t="n">
        <v>0</v>
      </c>
      <c r="AO47" s="110" t="n">
        <v>0</v>
      </c>
      <c r="AP47" s="110" t="n">
        <v>0</v>
      </c>
      <c r="AQ47" s="110" t="n">
        <v>571249</v>
      </c>
      <c r="AR47" s="110" t="n">
        <v>508174</v>
      </c>
      <c r="AS47" s="110" t="n">
        <v>476978</v>
      </c>
      <c r="AT47" s="110" t="n">
        <v>31196</v>
      </c>
      <c r="AU47" s="110" t="n">
        <v>63075</v>
      </c>
      <c r="AV47" s="110" t="n">
        <v>23112</v>
      </c>
      <c r="AW47" s="110" t="n">
        <v>39963</v>
      </c>
      <c r="AX47" s="110" t="n">
        <v>1008736.5</v>
      </c>
      <c r="AY47" s="110" t="n">
        <v>876258.5</v>
      </c>
      <c r="AZ47" s="110" t="n">
        <v>824521.5</v>
      </c>
      <c r="BA47" s="110" t="n">
        <v>51737</v>
      </c>
      <c r="BB47" s="110" t="n">
        <v>132478</v>
      </c>
      <c r="BC47" s="110" t="n">
        <v>49736</v>
      </c>
      <c r="BD47" s="110" t="n">
        <v>82742</v>
      </c>
      <c r="BE47" s="110" t="n">
        <v>0</v>
      </c>
      <c r="BF47" s="110" t="n">
        <v>0</v>
      </c>
      <c r="BG47" s="110" t="n">
        <v>0</v>
      </c>
      <c r="BH47" s="110" t="n">
        <v>0</v>
      </c>
      <c r="BI47" s="110" t="n">
        <v>0</v>
      </c>
      <c r="BJ47" s="110" t="n">
        <v>0</v>
      </c>
      <c r="BK47" s="110" t="n">
        <v>0</v>
      </c>
      <c r="BL47" s="110" t="n">
        <v>0</v>
      </c>
      <c r="BM47" s="110" t="n">
        <v>0</v>
      </c>
      <c r="BN47" s="110" t="n">
        <v>0</v>
      </c>
      <c r="BO47" s="110" t="n">
        <v>0</v>
      </c>
      <c r="BP47" s="110" t="n">
        <v>0</v>
      </c>
      <c r="BQ47" s="110" t="n">
        <v>0</v>
      </c>
      <c r="BR47" s="110" t="n">
        <v>0</v>
      </c>
      <c r="BS47" s="110" t="n">
        <v>0</v>
      </c>
      <c r="BT47" s="110" t="n">
        <v>0</v>
      </c>
      <c r="BU47" s="110" t="n">
        <v>0</v>
      </c>
      <c r="BV47" s="110" t="n">
        <v>0</v>
      </c>
      <c r="BW47" s="110" t="n">
        <v>0</v>
      </c>
      <c r="BX47" s="110" t="n">
        <v>0</v>
      </c>
      <c r="BY47" s="110" t="n">
        <v>0</v>
      </c>
      <c r="BZ47" s="110" t="n">
        <v>0</v>
      </c>
      <c r="CA47" s="110" t="n">
        <v>0</v>
      </c>
      <c r="CB47" s="110" t="n">
        <v>0</v>
      </c>
      <c r="CC47" s="110" t="n">
        <v>0</v>
      </c>
      <c r="CD47" s="110" t="n">
        <v>0</v>
      </c>
      <c r="CE47" s="110" t="n">
        <v>0</v>
      </c>
      <c r="CF47" s="110" t="n">
        <v>0</v>
      </c>
      <c r="CG47" s="110" t="n">
        <v>0</v>
      </c>
      <c r="CH47" s="110" t="n">
        <v>0</v>
      </c>
      <c r="CI47" s="110" t="n">
        <v>0</v>
      </c>
      <c r="CJ47" s="110" t="n">
        <v>0</v>
      </c>
      <c r="CK47" s="110" t="n">
        <v>0</v>
      </c>
      <c r="CL47" s="110" t="n">
        <v>0</v>
      </c>
      <c r="CM47" s="110" t="n">
        <v>0</v>
      </c>
      <c r="CN47" s="110" t="n">
        <v>25</v>
      </c>
      <c r="CO47" s="110" t="n">
        <v>1752654.67</v>
      </c>
      <c r="CP47" s="110" t="n">
        <v>50534.52</v>
      </c>
      <c r="CQ47" s="110" t="n">
        <v>711092.42</v>
      </c>
      <c r="CR47" s="110" t="n">
        <v>192743.7</v>
      </c>
      <c r="CS47" s="110" t="n">
        <v>0</v>
      </c>
      <c r="CT47" s="110" t="n">
        <v>0</v>
      </c>
      <c r="CU47" s="110" t="n">
        <v>0</v>
      </c>
      <c r="CV47" s="111" t="n">
        <v>4914</v>
      </c>
      <c r="CW47" s="111" t="n">
        <v>4433</v>
      </c>
      <c r="CX47" s="111" t="n">
        <v>4142</v>
      </c>
      <c r="CY47" s="111" t="n">
        <v>291</v>
      </c>
      <c r="CZ47" s="111" t="n">
        <v>481</v>
      </c>
      <c r="DA47" s="111" t="n">
        <v>183</v>
      </c>
      <c r="DB47" s="111" t="n">
        <v>298</v>
      </c>
      <c r="DC47" s="111" t="n">
        <v>4610</v>
      </c>
      <c r="DD47" s="111" t="n">
        <v>0</v>
      </c>
      <c r="DE47" s="111" t="n">
        <v>4210</v>
      </c>
      <c r="DF47" s="111" t="n">
        <v>3938</v>
      </c>
      <c r="DG47" s="111" t="n">
        <v>272</v>
      </c>
      <c r="DH47" s="111" t="n">
        <v>400</v>
      </c>
      <c r="DI47" s="111" t="n">
        <v>149</v>
      </c>
      <c r="DJ47" s="111" t="n">
        <v>251</v>
      </c>
      <c r="DK47" s="111" t="n">
        <v>78</v>
      </c>
      <c r="DL47" s="111" t="n">
        <v>70</v>
      </c>
      <c r="DM47" s="111" t="n">
        <v>68</v>
      </c>
      <c r="DN47" s="111" t="n">
        <v>2</v>
      </c>
      <c r="DO47" s="111" t="n">
        <v>8</v>
      </c>
      <c r="DP47" s="111" t="n">
        <v>3</v>
      </c>
      <c r="DQ47" s="111" t="n">
        <v>5</v>
      </c>
      <c r="DR47" s="111" t="n">
        <v>226</v>
      </c>
      <c r="DS47" s="111" t="n">
        <v>0</v>
      </c>
      <c r="DT47" s="111" t="n">
        <v>153</v>
      </c>
      <c r="DU47" s="111" t="n">
        <v>136</v>
      </c>
      <c r="DV47" s="111" t="n">
        <v>17</v>
      </c>
      <c r="DW47" s="111" t="n">
        <v>73</v>
      </c>
      <c r="DX47" s="111" t="n">
        <v>31</v>
      </c>
      <c r="DY47" s="111" t="n">
        <v>42</v>
      </c>
      <c r="DZ47" s="111" t="n">
        <v>0</v>
      </c>
      <c r="EA47" s="111" t="n">
        <v>0</v>
      </c>
      <c r="EB47" s="111" t="n">
        <v>0</v>
      </c>
      <c r="EC47" s="111" t="n">
        <v>0</v>
      </c>
      <c r="ED47" s="111" t="n">
        <v>0</v>
      </c>
      <c r="EE47" s="111" t="n">
        <v>0</v>
      </c>
      <c r="EF47" s="111" t="n">
        <v>0</v>
      </c>
      <c r="EG47" s="111" t="n">
        <v>0</v>
      </c>
      <c r="EH47" s="111" t="n">
        <v>0</v>
      </c>
      <c r="EI47" s="111" t="n">
        <v>0</v>
      </c>
      <c r="EJ47" s="111" t="n">
        <v>0</v>
      </c>
      <c r="EK47" s="111" t="n">
        <v>0</v>
      </c>
      <c r="EL47" s="111" t="n">
        <v>0</v>
      </c>
      <c r="EM47" s="111" t="n">
        <v>0</v>
      </c>
      <c r="EN47" s="111" t="n">
        <v>0</v>
      </c>
      <c r="EO47" s="111" t="n">
        <v>0</v>
      </c>
      <c r="EP47" s="111" t="n">
        <v>0</v>
      </c>
      <c r="EQ47" s="111" t="n">
        <v>0</v>
      </c>
      <c r="ER47" s="111" t="n">
        <v>0</v>
      </c>
      <c r="ES47" s="111" t="n">
        <v>0</v>
      </c>
      <c r="ET47" s="111" t="n">
        <v>0</v>
      </c>
      <c r="EU47" s="111" t="n">
        <v>0</v>
      </c>
      <c r="EV47" s="111" t="n">
        <v>0</v>
      </c>
      <c r="EW47" s="111" t="n">
        <v>0</v>
      </c>
      <c r="EX47" s="111" t="n">
        <v>0</v>
      </c>
      <c r="EY47" s="111" t="n">
        <v>0</v>
      </c>
      <c r="EZ47" s="111" t="n">
        <v>0</v>
      </c>
      <c r="FA47" s="111" t="n">
        <v>0</v>
      </c>
      <c r="FB47" s="111" t="n">
        <v>0</v>
      </c>
    </row>
    <row r="48" ht="19.5" customHeight="1" s="247">
      <c r="A48" s="107" t="n">
        <v>45</v>
      </c>
      <c r="B48" s="107" t="inlineStr">
        <is>
          <t>成人非手术</t>
        </is>
      </c>
      <c r="C48" s="107" t="inlineStr">
        <is>
          <t>肿瘤内科</t>
        </is>
      </c>
      <c r="D48" s="110" t="n">
        <v>8598150</v>
      </c>
      <c r="E48" s="110" t="n">
        <v>3522760</v>
      </c>
      <c r="F48" s="110" t="n">
        <v>5075390</v>
      </c>
      <c r="G48" s="110" t="n">
        <v>4367</v>
      </c>
      <c r="H48" s="110" t="n">
        <v>1041</v>
      </c>
      <c r="I48" s="110" t="n">
        <v>2499851</v>
      </c>
      <c r="J48" s="110" t="n">
        <v>0</v>
      </c>
      <c r="K48" s="110" t="n">
        <v>3998.26</v>
      </c>
      <c r="L48" s="110" t="n">
        <v>3488488.5</v>
      </c>
      <c r="M48" s="110" t="n">
        <v>1677</v>
      </c>
      <c r="N48" s="110" t="n">
        <v>6575.51</v>
      </c>
      <c r="O48" s="110" t="n">
        <v>17547622.9</v>
      </c>
      <c r="P48" s="110" t="n">
        <v>8730438.699999999</v>
      </c>
      <c r="Q48" s="110" t="n">
        <v>8443179.140000001</v>
      </c>
      <c r="R48" s="110" t="n">
        <v>287259.56</v>
      </c>
      <c r="S48" s="110" t="n">
        <v>8817184.199999999</v>
      </c>
      <c r="T48" s="110" t="n">
        <v>8585988.630000001</v>
      </c>
      <c r="U48" s="110" t="n">
        <v>231195.57</v>
      </c>
      <c r="V48" s="110" t="n">
        <v>5553314.31</v>
      </c>
      <c r="W48" s="110" t="n">
        <v>4174876.83</v>
      </c>
      <c r="X48" s="110" t="n">
        <v>4082931.75</v>
      </c>
      <c r="Y48" s="110" t="n">
        <v>91945.08</v>
      </c>
      <c r="Z48" s="110" t="n">
        <v>1378437.48</v>
      </c>
      <c r="AA48" s="110" t="n">
        <v>1302431.09</v>
      </c>
      <c r="AB48" s="110" t="n">
        <v>76006.39</v>
      </c>
      <c r="AC48" s="110" t="n">
        <v>1957642.53</v>
      </c>
      <c r="AD48" s="110" t="n">
        <v>1641663.28</v>
      </c>
      <c r="AE48" s="110" t="n">
        <v>1593092.42</v>
      </c>
      <c r="AF48" s="110" t="n">
        <v>48570.86</v>
      </c>
      <c r="AG48" s="110" t="n">
        <v>315979.25</v>
      </c>
      <c r="AH48" s="110" t="n">
        <v>285087.36</v>
      </c>
      <c r="AI48" s="110" t="n">
        <v>30891.89</v>
      </c>
      <c r="AJ48" s="110" t="n">
        <v>72911.78</v>
      </c>
      <c r="AK48" s="110" t="n">
        <v>51650.55</v>
      </c>
      <c r="AL48" s="110" t="n">
        <v>48605.33</v>
      </c>
      <c r="AM48" s="110" t="n">
        <v>3045.22</v>
      </c>
      <c r="AN48" s="110" t="n">
        <v>21261.23</v>
      </c>
      <c r="AO48" s="110" t="n">
        <v>17992.73</v>
      </c>
      <c r="AP48" s="110" t="n">
        <v>3268.5</v>
      </c>
      <c r="AQ48" s="110" t="n">
        <v>808896</v>
      </c>
      <c r="AR48" s="110" t="n">
        <v>584803</v>
      </c>
      <c r="AS48" s="110" t="n">
        <v>565324</v>
      </c>
      <c r="AT48" s="110" t="n">
        <v>19479</v>
      </c>
      <c r="AU48" s="110" t="n">
        <v>224093</v>
      </c>
      <c r="AV48" s="110" t="n">
        <v>170855</v>
      </c>
      <c r="AW48" s="110" t="n">
        <v>53238</v>
      </c>
      <c r="AX48" s="110" t="n">
        <v>2713864</v>
      </c>
      <c r="AY48" s="110" t="n">
        <v>1896760</v>
      </c>
      <c r="AZ48" s="110" t="n">
        <v>1875910</v>
      </c>
      <c r="BA48" s="110" t="n">
        <v>20850</v>
      </c>
      <c r="BB48" s="110" t="n">
        <v>817104</v>
      </c>
      <c r="BC48" s="110" t="n">
        <v>828496</v>
      </c>
      <c r="BD48" s="110" t="n">
        <v>-11392</v>
      </c>
      <c r="BE48" s="110" t="n">
        <v>11994308.59</v>
      </c>
      <c r="BF48" s="110" t="n">
        <v>4555561.87</v>
      </c>
      <c r="BG48" s="110" t="n">
        <v>4360247.39</v>
      </c>
      <c r="BH48" s="110" t="n">
        <v>195314.48</v>
      </c>
      <c r="BI48" s="110" t="n">
        <v>7438746.72</v>
      </c>
      <c r="BJ48" s="110" t="n">
        <v>7283557.54</v>
      </c>
      <c r="BK48" s="110" t="n">
        <v>155189.18</v>
      </c>
      <c r="BL48" s="110" t="n">
        <v>6576933.42</v>
      </c>
      <c r="BM48" s="110" t="n">
        <v>3280497.39</v>
      </c>
      <c r="BN48" s="110" t="n">
        <v>3177293.8</v>
      </c>
      <c r="BO48" s="110" t="n">
        <v>103203.59</v>
      </c>
      <c r="BP48" s="110" t="n">
        <v>3296436.03</v>
      </c>
      <c r="BQ48" s="110" t="n">
        <v>3233941.74</v>
      </c>
      <c r="BR48" s="110" t="n">
        <v>62494.29</v>
      </c>
      <c r="BS48" s="110" t="n">
        <v>341985.17</v>
      </c>
      <c r="BT48" s="110" t="n">
        <v>152918.98</v>
      </c>
      <c r="BU48" s="110" t="n">
        <v>151155.59</v>
      </c>
      <c r="BV48" s="110" t="n">
        <v>1763.39</v>
      </c>
      <c r="BW48" s="110" t="n">
        <v>189066.19</v>
      </c>
      <c r="BX48" s="110" t="n">
        <v>184795.8</v>
      </c>
      <c r="BY48" s="110" t="n">
        <v>4270.39</v>
      </c>
      <c r="BZ48" s="110" t="n">
        <v>1136179</v>
      </c>
      <c r="CA48" s="110" t="n">
        <v>431622</v>
      </c>
      <c r="CB48" s="110" t="n">
        <v>421275</v>
      </c>
      <c r="CC48" s="110" t="n">
        <v>10347</v>
      </c>
      <c r="CD48" s="110" t="n">
        <v>704557</v>
      </c>
      <c r="CE48" s="110" t="n">
        <v>676410</v>
      </c>
      <c r="CF48" s="110" t="n">
        <v>28147</v>
      </c>
      <c r="CG48" s="110" t="n">
        <v>3939211</v>
      </c>
      <c r="CH48" s="110" t="n">
        <v>690523.5</v>
      </c>
      <c r="CI48" s="110" t="n">
        <v>610523</v>
      </c>
      <c r="CJ48" s="110" t="n">
        <v>80000.5</v>
      </c>
      <c r="CK48" s="110" t="n">
        <v>3248687.5</v>
      </c>
      <c r="CL48" s="110" t="n">
        <v>3188410</v>
      </c>
      <c r="CM48" s="110" t="n">
        <v>60277.5</v>
      </c>
      <c r="CN48" s="110" t="n">
        <v>210</v>
      </c>
      <c r="CO48" s="110" t="n">
        <v>3612228.15</v>
      </c>
      <c r="CP48" s="110" t="n">
        <v>1674131.92</v>
      </c>
      <c r="CQ48" s="110" t="n">
        <v>96188.34</v>
      </c>
      <c r="CR48" s="110" t="n">
        <v>79399.56</v>
      </c>
      <c r="CS48" s="110" t="n">
        <v>91156.34</v>
      </c>
      <c r="CT48" s="110" t="n">
        <v>187654.22</v>
      </c>
      <c r="CU48" s="110" t="n">
        <v>0</v>
      </c>
      <c r="CV48" s="111" t="n">
        <v>4367</v>
      </c>
      <c r="CW48" s="111" t="n">
        <v>2820</v>
      </c>
      <c r="CX48" s="111" t="n">
        <v>2708</v>
      </c>
      <c r="CY48" s="111" t="n">
        <v>112</v>
      </c>
      <c r="CZ48" s="111" t="n">
        <v>1547</v>
      </c>
      <c r="DA48" s="111" t="n">
        <v>1249</v>
      </c>
      <c r="DB48" s="111" t="n">
        <v>298</v>
      </c>
      <c r="DC48" s="111" t="n">
        <v>3116</v>
      </c>
      <c r="DD48" s="111" t="n">
        <v>0</v>
      </c>
      <c r="DE48" s="111" t="n">
        <v>1927</v>
      </c>
      <c r="DF48" s="111" t="n">
        <v>1872</v>
      </c>
      <c r="DG48" s="111" t="n">
        <v>55</v>
      </c>
      <c r="DH48" s="111" t="n">
        <v>1189</v>
      </c>
      <c r="DI48" s="111" t="n">
        <v>1017</v>
      </c>
      <c r="DJ48" s="111" t="n">
        <v>172</v>
      </c>
      <c r="DK48" s="111" t="n">
        <v>1089</v>
      </c>
      <c r="DL48" s="111" t="n">
        <v>813</v>
      </c>
      <c r="DM48" s="111" t="n">
        <v>791</v>
      </c>
      <c r="DN48" s="111" t="n">
        <v>22</v>
      </c>
      <c r="DO48" s="111" t="n">
        <v>276</v>
      </c>
      <c r="DP48" s="111" t="n">
        <v>202</v>
      </c>
      <c r="DQ48" s="111" t="n">
        <v>74</v>
      </c>
      <c r="DR48" s="111" t="n">
        <v>162</v>
      </c>
      <c r="DS48" s="111" t="n">
        <v>0</v>
      </c>
      <c r="DT48" s="111" t="n">
        <v>80</v>
      </c>
      <c r="DU48" s="111" t="n">
        <v>45</v>
      </c>
      <c r="DV48" s="111" t="n">
        <v>35</v>
      </c>
      <c r="DW48" s="111" t="n">
        <v>82</v>
      </c>
      <c r="DX48" s="111" t="n">
        <v>30</v>
      </c>
      <c r="DY48" s="111" t="n">
        <v>52</v>
      </c>
      <c r="DZ48" s="111" t="n">
        <v>0</v>
      </c>
      <c r="EA48" s="111" t="n">
        <v>0</v>
      </c>
      <c r="EB48" s="111" t="n">
        <v>0</v>
      </c>
      <c r="EC48" s="111" t="n">
        <v>0</v>
      </c>
      <c r="ED48" s="111" t="n">
        <v>0</v>
      </c>
      <c r="EE48" s="111" t="n">
        <v>0</v>
      </c>
      <c r="EF48" s="111" t="n">
        <v>0</v>
      </c>
      <c r="EG48" s="111" t="n">
        <v>1041</v>
      </c>
      <c r="EH48" s="111" t="n">
        <v>476</v>
      </c>
      <c r="EI48" s="111" t="n">
        <v>469</v>
      </c>
      <c r="EJ48" s="111" t="n">
        <v>7</v>
      </c>
      <c r="EK48" s="111" t="n">
        <v>565</v>
      </c>
      <c r="EL48" s="111" t="n">
        <v>552</v>
      </c>
      <c r="EM48" s="111" t="n">
        <v>13</v>
      </c>
      <c r="EN48" s="111" t="n">
        <v>740</v>
      </c>
      <c r="EO48" s="111" t="n">
        <v>0</v>
      </c>
      <c r="EP48" s="111" t="n">
        <v>0</v>
      </c>
      <c r="EQ48" s="111" t="n">
        <v>740</v>
      </c>
      <c r="ER48" s="111" t="n">
        <v>0</v>
      </c>
      <c r="ES48" s="111" t="n">
        <v>0</v>
      </c>
      <c r="ET48" s="111" t="n">
        <v>0</v>
      </c>
      <c r="EU48" s="111" t="n">
        <v>0</v>
      </c>
      <c r="EV48" s="111" t="n">
        <v>0</v>
      </c>
      <c r="EW48" s="111" t="n">
        <v>0</v>
      </c>
      <c r="EX48" s="111" t="n">
        <v>0</v>
      </c>
      <c r="EY48" s="111" t="n">
        <v>0</v>
      </c>
      <c r="EZ48" s="111" t="n">
        <v>0</v>
      </c>
      <c r="FA48" s="111" t="n">
        <v>0</v>
      </c>
      <c r="FB48" s="111" t="n">
        <v>0</v>
      </c>
    </row>
    <row r="49" ht="19.5" customHeight="1" s="247">
      <c r="A49" s="107" t="n">
        <v>46</v>
      </c>
      <c r="B49" s="107" t="inlineStr">
        <is>
          <t>成人非手术</t>
        </is>
      </c>
      <c r="C49" s="107" t="inlineStr">
        <is>
          <t>急诊医学科</t>
        </is>
      </c>
      <c r="D49" s="110" t="n">
        <v>9308095.65</v>
      </c>
      <c r="E49" s="110" t="n">
        <v>7122104</v>
      </c>
      <c r="F49" s="110" t="n">
        <v>2185991.65</v>
      </c>
      <c r="G49" s="110" t="n">
        <v>16137</v>
      </c>
      <c r="H49" s="110" t="n">
        <v>165</v>
      </c>
      <c r="I49" s="110" t="n">
        <v>389652</v>
      </c>
      <c r="J49" s="110" t="n">
        <v>4496</v>
      </c>
      <c r="K49" s="110" t="n">
        <v>0</v>
      </c>
      <c r="L49" s="110" t="n">
        <v>225053</v>
      </c>
      <c r="M49" s="110" t="n">
        <v>20608.75</v>
      </c>
      <c r="N49" s="110" t="n">
        <v>1498.95</v>
      </c>
      <c r="O49" s="110" t="n">
        <v>16208275.47</v>
      </c>
      <c r="P49" s="110" t="n">
        <v>14341226.74</v>
      </c>
      <c r="Q49" s="110" t="n">
        <v>13862971.4</v>
      </c>
      <c r="R49" s="110" t="n">
        <v>478255.34</v>
      </c>
      <c r="S49" s="110" t="n">
        <v>1867048.73</v>
      </c>
      <c r="T49" s="110" t="n">
        <v>1442134.63</v>
      </c>
      <c r="U49" s="110" t="n">
        <v>424914.1</v>
      </c>
      <c r="V49" s="110" t="n">
        <v>11627292.33</v>
      </c>
      <c r="W49" s="110" t="n">
        <v>10629044.56</v>
      </c>
      <c r="X49" s="110" t="n">
        <v>10152839.32</v>
      </c>
      <c r="Y49" s="110" t="n">
        <v>476205.24</v>
      </c>
      <c r="Z49" s="110" t="n">
        <v>998247.77</v>
      </c>
      <c r="AA49" s="110" t="n">
        <v>601254.36</v>
      </c>
      <c r="AB49" s="110" t="n">
        <v>396993.41</v>
      </c>
      <c r="AC49" s="110" t="n">
        <v>3786172.4</v>
      </c>
      <c r="AD49" s="110" t="n">
        <v>3502686.63</v>
      </c>
      <c r="AE49" s="110" t="n">
        <v>3358189.24</v>
      </c>
      <c r="AF49" s="110" t="n">
        <v>144497.39</v>
      </c>
      <c r="AG49" s="110" t="n">
        <v>283485.77</v>
      </c>
      <c r="AH49" s="110" t="n">
        <v>172478.81</v>
      </c>
      <c r="AI49" s="110" t="n">
        <v>111006.96</v>
      </c>
      <c r="AJ49" s="110" t="n">
        <v>719015.9300000001</v>
      </c>
      <c r="AK49" s="110" t="n">
        <v>646048.9300000001</v>
      </c>
      <c r="AL49" s="110" t="n">
        <v>603820.08</v>
      </c>
      <c r="AM49" s="110" t="n">
        <v>42228.85</v>
      </c>
      <c r="AN49" s="110" t="n">
        <v>72967</v>
      </c>
      <c r="AO49" s="110" t="n">
        <v>36163.55</v>
      </c>
      <c r="AP49" s="110" t="n">
        <v>36803.45</v>
      </c>
      <c r="AQ49" s="110" t="n">
        <v>6135517</v>
      </c>
      <c r="AR49" s="110" t="n">
        <v>5588340</v>
      </c>
      <c r="AS49" s="110" t="n">
        <v>5344017</v>
      </c>
      <c r="AT49" s="110" t="n">
        <v>244323</v>
      </c>
      <c r="AU49" s="110" t="n">
        <v>547177</v>
      </c>
      <c r="AV49" s="110" t="n">
        <v>333642</v>
      </c>
      <c r="AW49" s="110" t="n">
        <v>213535</v>
      </c>
      <c r="AX49" s="110" t="n">
        <v>986587</v>
      </c>
      <c r="AY49" s="110" t="n">
        <v>891969</v>
      </c>
      <c r="AZ49" s="110" t="n">
        <v>846813</v>
      </c>
      <c r="BA49" s="110" t="n">
        <v>45156</v>
      </c>
      <c r="BB49" s="110" t="n">
        <v>94618</v>
      </c>
      <c r="BC49" s="110" t="n">
        <v>58970</v>
      </c>
      <c r="BD49" s="110" t="n">
        <v>35648</v>
      </c>
      <c r="BE49" s="110" t="n">
        <v>4580983.14</v>
      </c>
      <c r="BF49" s="110" t="n">
        <v>3712182.18</v>
      </c>
      <c r="BG49" s="110" t="n">
        <v>3710132.08</v>
      </c>
      <c r="BH49" s="110" t="n">
        <v>2050.1</v>
      </c>
      <c r="BI49" s="110" t="n">
        <v>868800.96</v>
      </c>
      <c r="BJ49" s="110" t="n">
        <v>840880.27</v>
      </c>
      <c r="BK49" s="110" t="n">
        <v>27920.69</v>
      </c>
      <c r="BL49" s="110" t="n">
        <v>2047335.55</v>
      </c>
      <c r="BM49" s="110" t="n">
        <v>1665213.13</v>
      </c>
      <c r="BN49" s="110" t="n">
        <v>1664508.03</v>
      </c>
      <c r="BO49" s="110" t="n">
        <v>705.1</v>
      </c>
      <c r="BP49" s="110" t="n">
        <v>382122.42</v>
      </c>
      <c r="BQ49" s="110" t="n">
        <v>375668.53</v>
      </c>
      <c r="BR49" s="110" t="n">
        <v>6453.89</v>
      </c>
      <c r="BS49" s="110" t="n">
        <v>347655.94</v>
      </c>
      <c r="BT49" s="110" t="n">
        <v>280229.55</v>
      </c>
      <c r="BU49" s="110" t="n">
        <v>280205.55</v>
      </c>
      <c r="BV49" s="110" t="n">
        <v>24</v>
      </c>
      <c r="BW49" s="110" t="n">
        <v>67426.39</v>
      </c>
      <c r="BX49" s="110" t="n">
        <v>65437.59</v>
      </c>
      <c r="BY49" s="110" t="n">
        <v>1988.8</v>
      </c>
      <c r="BZ49" s="110" t="n">
        <v>1193533</v>
      </c>
      <c r="CA49" s="110" t="n">
        <v>954271.5</v>
      </c>
      <c r="CB49" s="110" t="n">
        <v>953195.5</v>
      </c>
      <c r="CC49" s="110" t="n">
        <v>1076</v>
      </c>
      <c r="CD49" s="110" t="n">
        <v>239261.5</v>
      </c>
      <c r="CE49" s="110" t="n">
        <v>227025.5</v>
      </c>
      <c r="CF49" s="110" t="n">
        <v>12236</v>
      </c>
      <c r="CG49" s="110" t="n">
        <v>992458.65</v>
      </c>
      <c r="CH49" s="110" t="n">
        <v>812468</v>
      </c>
      <c r="CI49" s="110" t="n">
        <v>812223</v>
      </c>
      <c r="CJ49" s="110" t="n">
        <v>245</v>
      </c>
      <c r="CK49" s="110" t="n">
        <v>179990.65</v>
      </c>
      <c r="CL49" s="110" t="n">
        <v>172748.65</v>
      </c>
      <c r="CM49" s="110" t="n">
        <v>7242</v>
      </c>
      <c r="CN49" s="110" t="n">
        <v>11540834.96</v>
      </c>
      <c r="CO49" s="110" t="n">
        <v>84705.87</v>
      </c>
      <c r="CP49" s="110" t="n">
        <v>42</v>
      </c>
      <c r="CQ49" s="110" t="n">
        <v>6</v>
      </c>
      <c r="CR49" s="110" t="n">
        <v>1613.5</v>
      </c>
      <c r="CS49" s="110" t="n">
        <v>0</v>
      </c>
      <c r="CT49" s="110" t="n">
        <v>0</v>
      </c>
      <c r="CU49" s="110" t="n">
        <v>0</v>
      </c>
      <c r="CV49" s="111" t="n">
        <v>16137</v>
      </c>
      <c r="CW49" s="111" t="n">
        <v>14575</v>
      </c>
      <c r="CX49" s="111" t="n">
        <v>13845</v>
      </c>
      <c r="CY49" s="111" t="n">
        <v>730</v>
      </c>
      <c r="CZ49" s="111" t="n">
        <v>1562</v>
      </c>
      <c r="DA49" s="111" t="n">
        <v>848</v>
      </c>
      <c r="DB49" s="111" t="n">
        <v>714</v>
      </c>
      <c r="DC49" s="111" t="n">
        <v>64</v>
      </c>
      <c r="DD49" s="111" t="n">
        <v>0</v>
      </c>
      <c r="DE49" s="111" t="n">
        <v>57</v>
      </c>
      <c r="DF49" s="111" t="n">
        <v>50</v>
      </c>
      <c r="DG49" s="111" t="n">
        <v>7</v>
      </c>
      <c r="DH49" s="111" t="n">
        <v>7</v>
      </c>
      <c r="DI49" s="111" t="n">
        <v>5</v>
      </c>
      <c r="DJ49" s="111" t="n">
        <v>2</v>
      </c>
      <c r="DK49" s="111" t="n">
        <v>0</v>
      </c>
      <c r="DL49" s="111" t="n">
        <v>0</v>
      </c>
      <c r="DM49" s="111" t="n">
        <v>0</v>
      </c>
      <c r="DN49" s="111" t="n">
        <v>0</v>
      </c>
      <c r="DO49" s="111" t="n">
        <v>0</v>
      </c>
      <c r="DP49" s="111" t="n">
        <v>0</v>
      </c>
      <c r="DQ49" s="111" t="n">
        <v>0</v>
      </c>
      <c r="DR49" s="111" t="n">
        <v>2</v>
      </c>
      <c r="DS49" s="111" t="n">
        <v>0</v>
      </c>
      <c r="DT49" s="111" t="n">
        <v>2</v>
      </c>
      <c r="DU49" s="111" t="n">
        <v>0</v>
      </c>
      <c r="DV49" s="111" t="n">
        <v>2</v>
      </c>
      <c r="DW49" s="111" t="n">
        <v>0</v>
      </c>
      <c r="DX49" s="111" t="n">
        <v>0</v>
      </c>
      <c r="DY49" s="111" t="n">
        <v>0</v>
      </c>
      <c r="DZ49" s="111" t="n">
        <v>16071</v>
      </c>
      <c r="EA49" s="111" t="n">
        <v>14516</v>
      </c>
      <c r="EB49" s="111" t="n">
        <v>13795</v>
      </c>
      <c r="EC49" s="111" t="n">
        <v>721</v>
      </c>
      <c r="ED49" s="111" t="n">
        <v>1555</v>
      </c>
      <c r="EE49" s="111" t="n">
        <v>843</v>
      </c>
      <c r="EF49" s="111" t="n">
        <v>712</v>
      </c>
      <c r="EG49" s="111" t="n">
        <v>165</v>
      </c>
      <c r="EH49" s="111" t="n">
        <v>130</v>
      </c>
      <c r="EI49" s="111" t="n">
        <v>129</v>
      </c>
      <c r="EJ49" s="111" t="n">
        <v>1</v>
      </c>
      <c r="EK49" s="111" t="n">
        <v>35</v>
      </c>
      <c r="EL49" s="111" t="n">
        <v>33</v>
      </c>
      <c r="EM49" s="111" t="n">
        <v>2</v>
      </c>
      <c r="EN49" s="111" t="n">
        <v>44</v>
      </c>
      <c r="EO49" s="111" t="n">
        <v>0</v>
      </c>
      <c r="EP49" s="111" t="n">
        <v>0</v>
      </c>
      <c r="EQ49" s="111" t="n">
        <v>44</v>
      </c>
      <c r="ER49" s="111" t="n">
        <v>0</v>
      </c>
      <c r="ES49" s="111" t="n">
        <v>0</v>
      </c>
      <c r="ET49" s="111" t="n">
        <v>0</v>
      </c>
      <c r="EU49" s="111" t="n">
        <v>0</v>
      </c>
      <c r="EV49" s="111" t="n">
        <v>0</v>
      </c>
      <c r="EW49" s="111" t="n">
        <v>0</v>
      </c>
      <c r="EX49" s="111" t="n">
        <v>0</v>
      </c>
      <c r="EY49" s="111" t="n">
        <v>0</v>
      </c>
      <c r="EZ49" s="111" t="n">
        <v>0</v>
      </c>
      <c r="FA49" s="111" t="n">
        <v>0</v>
      </c>
      <c r="FB49" s="111" t="n">
        <v>0</v>
      </c>
    </row>
    <row r="50" ht="19.5" customHeight="1" s="247">
      <c r="A50" s="107" t="n">
        <v>47</v>
      </c>
      <c r="B50" s="107" t="inlineStr">
        <is>
          <t>成人非手术</t>
        </is>
      </c>
      <c r="C50" s="107" t="inlineStr">
        <is>
          <t>康复医学科</t>
        </is>
      </c>
      <c r="D50" s="110" t="n">
        <v>1176943</v>
      </c>
      <c r="E50" s="110" t="n">
        <v>962084</v>
      </c>
      <c r="F50" s="110" t="n">
        <v>214859</v>
      </c>
      <c r="G50" s="110" t="n">
        <v>1065</v>
      </c>
      <c r="H50" s="110" t="n">
        <v>14</v>
      </c>
      <c r="I50" s="110" t="n">
        <v>844827</v>
      </c>
      <c r="J50" s="110" t="n">
        <v>0</v>
      </c>
      <c r="K50" s="110" t="n">
        <v>0</v>
      </c>
      <c r="L50" s="110" t="n">
        <v>168461</v>
      </c>
      <c r="M50" s="110" t="n">
        <v>0</v>
      </c>
      <c r="N50" s="110" t="n">
        <v>0</v>
      </c>
      <c r="O50" s="110" t="n">
        <v>1179145.84</v>
      </c>
      <c r="P50" s="110" t="n">
        <v>1006367.34</v>
      </c>
      <c r="Q50" s="110" t="n">
        <v>945770.34</v>
      </c>
      <c r="R50" s="110" t="n">
        <v>60597</v>
      </c>
      <c r="S50" s="110" t="n">
        <v>172778.5</v>
      </c>
      <c r="T50" s="110" t="n">
        <v>137097.5</v>
      </c>
      <c r="U50" s="110" t="n">
        <v>35681</v>
      </c>
      <c r="V50" s="110" t="n">
        <v>964010.49</v>
      </c>
      <c r="W50" s="110" t="n">
        <v>904457.49</v>
      </c>
      <c r="X50" s="110" t="n">
        <v>852188.49</v>
      </c>
      <c r="Y50" s="110" t="n">
        <v>52269</v>
      </c>
      <c r="Z50" s="110" t="n">
        <v>59553</v>
      </c>
      <c r="AA50" s="110" t="n">
        <v>23872</v>
      </c>
      <c r="AB50" s="110" t="n">
        <v>35681</v>
      </c>
      <c r="AC50" s="110" t="n">
        <v>26.49</v>
      </c>
      <c r="AD50" s="110" t="n">
        <v>15.49</v>
      </c>
      <c r="AE50" s="110" t="n">
        <v>15.49</v>
      </c>
      <c r="AF50" s="110" t="n">
        <v>0</v>
      </c>
      <c r="AG50" s="110" t="n">
        <v>11</v>
      </c>
      <c r="AH50" s="110" t="n">
        <v>0</v>
      </c>
      <c r="AI50" s="110" t="n">
        <v>11</v>
      </c>
      <c r="AJ50" s="110" t="n">
        <v>1900</v>
      </c>
      <c r="AK50" s="110" t="n">
        <v>1786</v>
      </c>
      <c r="AL50" s="110" t="n">
        <v>1634</v>
      </c>
      <c r="AM50" s="110" t="n">
        <v>152</v>
      </c>
      <c r="AN50" s="110" t="n">
        <v>114</v>
      </c>
      <c r="AO50" s="110" t="n">
        <v>76</v>
      </c>
      <c r="AP50" s="110" t="n">
        <v>38</v>
      </c>
      <c r="AQ50" s="110" t="n">
        <v>81454</v>
      </c>
      <c r="AR50" s="110" t="n">
        <v>69482</v>
      </c>
      <c r="AS50" s="110" t="n">
        <v>63385</v>
      </c>
      <c r="AT50" s="110" t="n">
        <v>6097</v>
      </c>
      <c r="AU50" s="110" t="n">
        <v>11972</v>
      </c>
      <c r="AV50" s="110" t="n">
        <v>6482</v>
      </c>
      <c r="AW50" s="110" t="n">
        <v>5490</v>
      </c>
      <c r="AX50" s="110" t="n">
        <v>880630</v>
      </c>
      <c r="AY50" s="110" t="n">
        <v>833174</v>
      </c>
      <c r="AZ50" s="110" t="n">
        <v>787154</v>
      </c>
      <c r="BA50" s="110" t="n">
        <v>46020</v>
      </c>
      <c r="BB50" s="110" t="n">
        <v>47456</v>
      </c>
      <c r="BC50" s="110" t="n">
        <v>17314</v>
      </c>
      <c r="BD50" s="110" t="n">
        <v>30142</v>
      </c>
      <c r="BE50" s="110" t="n">
        <v>215135.35</v>
      </c>
      <c r="BF50" s="110" t="n">
        <v>101909.85</v>
      </c>
      <c r="BG50" s="110" t="n">
        <v>93581.85000000001</v>
      </c>
      <c r="BH50" s="110" t="n">
        <v>8328</v>
      </c>
      <c r="BI50" s="110" t="n">
        <v>113225.5</v>
      </c>
      <c r="BJ50" s="110" t="n">
        <v>113225.5</v>
      </c>
      <c r="BK50" s="110" t="n">
        <v>0</v>
      </c>
      <c r="BL50" s="110" t="n">
        <v>276.35</v>
      </c>
      <c r="BM50" s="110" t="n">
        <v>206.35</v>
      </c>
      <c r="BN50" s="110" t="n">
        <v>206.35</v>
      </c>
      <c r="BO50" s="110" t="n">
        <v>0</v>
      </c>
      <c r="BP50" s="110" t="n">
        <v>70</v>
      </c>
      <c r="BQ50" s="110" t="n">
        <v>70</v>
      </c>
      <c r="BR50" s="110" t="n">
        <v>0</v>
      </c>
      <c r="BS50" s="110" t="n">
        <v>0</v>
      </c>
      <c r="BT50" s="110" t="n">
        <v>0</v>
      </c>
      <c r="BU50" s="110" t="n">
        <v>0</v>
      </c>
      <c r="BV50" s="110" t="n">
        <v>0</v>
      </c>
      <c r="BW50" s="110" t="n">
        <v>0</v>
      </c>
      <c r="BX50" s="110" t="n">
        <v>0</v>
      </c>
      <c r="BY50" s="110" t="n">
        <v>0</v>
      </c>
      <c r="BZ50" s="110" t="n">
        <v>22545</v>
      </c>
      <c r="CA50" s="110" t="n">
        <v>8116</v>
      </c>
      <c r="CB50" s="110" t="n">
        <v>7075</v>
      </c>
      <c r="CC50" s="110" t="n">
        <v>1041</v>
      </c>
      <c r="CD50" s="110" t="n">
        <v>14429</v>
      </c>
      <c r="CE50" s="110" t="n">
        <v>14429</v>
      </c>
      <c r="CF50" s="110" t="n">
        <v>0</v>
      </c>
      <c r="CG50" s="110" t="n">
        <v>192314</v>
      </c>
      <c r="CH50" s="110" t="n">
        <v>93587.5</v>
      </c>
      <c r="CI50" s="110" t="n">
        <v>86300.5</v>
      </c>
      <c r="CJ50" s="110" t="n">
        <v>7287</v>
      </c>
      <c r="CK50" s="110" t="n">
        <v>98726.5</v>
      </c>
      <c r="CL50" s="110" t="n">
        <v>98726.5</v>
      </c>
      <c r="CM50" s="110" t="n">
        <v>0</v>
      </c>
      <c r="CN50" s="110" t="n">
        <v>0</v>
      </c>
      <c r="CO50" s="110" t="n">
        <v>504846</v>
      </c>
      <c r="CP50" s="110" t="n">
        <v>85056.49000000001</v>
      </c>
      <c r="CQ50" s="110" t="n">
        <v>341963</v>
      </c>
      <c r="CR50" s="110" t="n">
        <v>32145</v>
      </c>
      <c r="CS50" s="110" t="n">
        <v>0</v>
      </c>
      <c r="CT50" s="110" t="n">
        <v>0</v>
      </c>
      <c r="CU50" s="110" t="n">
        <v>0</v>
      </c>
      <c r="CV50" s="111" t="n">
        <v>1065</v>
      </c>
      <c r="CW50" s="111" t="n">
        <v>943</v>
      </c>
      <c r="CX50" s="111" t="n">
        <v>887</v>
      </c>
      <c r="CY50" s="111" t="n">
        <v>56</v>
      </c>
      <c r="CZ50" s="111" t="n">
        <v>122</v>
      </c>
      <c r="DA50" s="111" t="n">
        <v>42</v>
      </c>
      <c r="DB50" s="111" t="n">
        <v>80</v>
      </c>
      <c r="DC50" s="111" t="n">
        <v>919</v>
      </c>
      <c r="DD50" s="111" t="n">
        <v>0</v>
      </c>
      <c r="DE50" s="111" t="n">
        <v>832</v>
      </c>
      <c r="DF50" s="111" t="n">
        <v>791</v>
      </c>
      <c r="DG50" s="111" t="n">
        <v>41</v>
      </c>
      <c r="DH50" s="111" t="n">
        <v>87</v>
      </c>
      <c r="DI50" s="111" t="n">
        <v>30</v>
      </c>
      <c r="DJ50" s="111" t="n">
        <v>57</v>
      </c>
      <c r="DK50" s="111" t="n">
        <v>123</v>
      </c>
      <c r="DL50" s="111" t="n">
        <v>95</v>
      </c>
      <c r="DM50" s="111" t="n">
        <v>83</v>
      </c>
      <c r="DN50" s="111" t="n">
        <v>12</v>
      </c>
      <c r="DO50" s="111" t="n">
        <v>28</v>
      </c>
      <c r="DP50" s="111" t="n">
        <v>10</v>
      </c>
      <c r="DQ50" s="111" t="n">
        <v>18</v>
      </c>
      <c r="DR50" s="111" t="n">
        <v>23</v>
      </c>
      <c r="DS50" s="111" t="n">
        <v>0</v>
      </c>
      <c r="DT50" s="111" t="n">
        <v>16</v>
      </c>
      <c r="DU50" s="111" t="n">
        <v>13</v>
      </c>
      <c r="DV50" s="111" t="n">
        <v>3</v>
      </c>
      <c r="DW50" s="111" t="n">
        <v>7</v>
      </c>
      <c r="DX50" s="111" t="n">
        <v>2</v>
      </c>
      <c r="DY50" s="111" t="n">
        <v>5</v>
      </c>
      <c r="DZ50" s="111" t="n">
        <v>0</v>
      </c>
      <c r="EA50" s="111" t="n">
        <v>0</v>
      </c>
      <c r="EB50" s="111" t="n">
        <v>0</v>
      </c>
      <c r="EC50" s="111" t="n">
        <v>0</v>
      </c>
      <c r="ED50" s="111" t="n">
        <v>0</v>
      </c>
      <c r="EE50" s="111" t="n">
        <v>0</v>
      </c>
      <c r="EF50" s="111" t="n">
        <v>0</v>
      </c>
      <c r="EG50" s="111" t="n">
        <v>14</v>
      </c>
      <c r="EH50" s="111" t="n">
        <v>5</v>
      </c>
      <c r="EI50" s="111" t="n">
        <v>5</v>
      </c>
      <c r="EJ50" s="111" t="n">
        <v>0</v>
      </c>
      <c r="EK50" s="111" t="n">
        <v>9</v>
      </c>
      <c r="EL50" s="111" t="n">
        <v>9</v>
      </c>
      <c r="EM50" s="111" t="n">
        <v>0</v>
      </c>
      <c r="EN50" s="111" t="n">
        <v>75</v>
      </c>
      <c r="EO50" s="111" t="n">
        <v>0</v>
      </c>
      <c r="EP50" s="111" t="n">
        <v>0</v>
      </c>
      <c r="EQ50" s="111" t="n">
        <v>75</v>
      </c>
      <c r="ER50" s="111" t="n">
        <v>0</v>
      </c>
      <c r="ES50" s="111" t="n">
        <v>0</v>
      </c>
      <c r="ET50" s="111" t="n">
        <v>0</v>
      </c>
      <c r="EU50" s="111" t="n">
        <v>0</v>
      </c>
      <c r="EV50" s="111" t="n">
        <v>0</v>
      </c>
      <c r="EW50" s="111" t="n">
        <v>0</v>
      </c>
      <c r="EX50" s="111" t="n">
        <v>0</v>
      </c>
      <c r="EY50" s="111" t="n">
        <v>0</v>
      </c>
      <c r="EZ50" s="111" t="n">
        <v>0</v>
      </c>
      <c r="FA50" s="111" t="n">
        <v>0</v>
      </c>
      <c r="FB50" s="111" t="n">
        <v>0</v>
      </c>
    </row>
    <row r="51" ht="19.5" customHeight="1" s="247">
      <c r="A51" s="107" t="n">
        <v>48</v>
      </c>
      <c r="B51" s="107" t="inlineStr">
        <is>
          <t>成人非手术</t>
        </is>
      </c>
      <c r="C51" s="107" t="inlineStr">
        <is>
          <t>中医科</t>
        </is>
      </c>
      <c r="D51" s="110" t="n">
        <v>3527250.5</v>
      </c>
      <c r="E51" s="110" t="n">
        <v>2270802.5</v>
      </c>
      <c r="F51" s="110" t="n">
        <v>1256448</v>
      </c>
      <c r="G51" s="110" t="n">
        <v>8105</v>
      </c>
      <c r="H51" s="110" t="n">
        <v>121</v>
      </c>
      <c r="I51" s="110" t="n">
        <v>1519081</v>
      </c>
      <c r="J51" s="110" t="n">
        <v>0</v>
      </c>
      <c r="K51" s="110" t="n">
        <v>2160264.11</v>
      </c>
      <c r="L51" s="110" t="n">
        <v>434126</v>
      </c>
      <c r="M51" s="110" t="n">
        <v>2750</v>
      </c>
      <c r="N51" s="110" t="n">
        <v>9071.030000000001</v>
      </c>
      <c r="O51" s="110" t="n">
        <v>8042799.85</v>
      </c>
      <c r="P51" s="110" t="n">
        <v>7015000.5</v>
      </c>
      <c r="Q51" s="110" t="n">
        <v>6799605.03</v>
      </c>
      <c r="R51" s="110" t="n">
        <v>215395.47</v>
      </c>
      <c r="S51" s="110" t="n">
        <v>1027799.35</v>
      </c>
      <c r="T51" s="110" t="n">
        <v>677559</v>
      </c>
      <c r="U51" s="110" t="n">
        <v>350240.35</v>
      </c>
      <c r="V51" s="110" t="n">
        <v>6487359.76</v>
      </c>
      <c r="W51" s="110" t="n">
        <v>5866501.38</v>
      </c>
      <c r="X51" s="110" t="n">
        <v>5683917.35</v>
      </c>
      <c r="Y51" s="110" t="n">
        <v>182584.03</v>
      </c>
      <c r="Z51" s="110" t="n">
        <v>620858.38</v>
      </c>
      <c r="AA51" s="110" t="n">
        <v>307924.84</v>
      </c>
      <c r="AB51" s="110" t="n">
        <v>312933.54</v>
      </c>
      <c r="AC51" s="110" t="n">
        <v>4201063.96</v>
      </c>
      <c r="AD51" s="110" t="n">
        <v>3821789.08</v>
      </c>
      <c r="AE51" s="110" t="n">
        <v>3734864.55</v>
      </c>
      <c r="AF51" s="110" t="n">
        <v>86924.53</v>
      </c>
      <c r="AG51" s="110" t="n">
        <v>379274.88</v>
      </c>
      <c r="AH51" s="110" t="n">
        <v>186337.84</v>
      </c>
      <c r="AI51" s="110" t="n">
        <v>192937.04</v>
      </c>
      <c r="AJ51" s="110" t="n">
        <v>15493.3</v>
      </c>
      <c r="AK51" s="110" t="n">
        <v>14880.3</v>
      </c>
      <c r="AL51" s="110" t="n">
        <v>14323.3</v>
      </c>
      <c r="AM51" s="110" t="n">
        <v>557</v>
      </c>
      <c r="AN51" s="110" t="n">
        <v>613</v>
      </c>
      <c r="AO51" s="110" t="n">
        <v>613</v>
      </c>
      <c r="AP51" s="110" t="n">
        <v>0</v>
      </c>
      <c r="AQ51" s="110" t="n">
        <v>318606</v>
      </c>
      <c r="AR51" s="110" t="n">
        <v>275028</v>
      </c>
      <c r="AS51" s="110" t="n">
        <v>262749</v>
      </c>
      <c r="AT51" s="110" t="n">
        <v>12279</v>
      </c>
      <c r="AU51" s="110" t="n">
        <v>43578</v>
      </c>
      <c r="AV51" s="110" t="n">
        <v>26245</v>
      </c>
      <c r="AW51" s="110" t="n">
        <v>17333</v>
      </c>
      <c r="AX51" s="110" t="n">
        <v>1952196.5</v>
      </c>
      <c r="AY51" s="110" t="n">
        <v>1754804</v>
      </c>
      <c r="AZ51" s="110" t="n">
        <v>1671980.5</v>
      </c>
      <c r="BA51" s="110" t="n">
        <v>82823.5</v>
      </c>
      <c r="BB51" s="110" t="n">
        <v>197392.5</v>
      </c>
      <c r="BC51" s="110" t="n">
        <v>94729</v>
      </c>
      <c r="BD51" s="110" t="n">
        <v>102663.5</v>
      </c>
      <c r="BE51" s="110" t="n">
        <v>1555440.09</v>
      </c>
      <c r="BF51" s="110" t="n">
        <v>1148499.12</v>
      </c>
      <c r="BG51" s="110" t="n">
        <v>1115687.68</v>
      </c>
      <c r="BH51" s="110" t="n">
        <v>32811.44</v>
      </c>
      <c r="BI51" s="110" t="n">
        <v>406940.97</v>
      </c>
      <c r="BJ51" s="110" t="n">
        <v>369634.16</v>
      </c>
      <c r="BK51" s="110" t="n">
        <v>37306.81</v>
      </c>
      <c r="BL51" s="110" t="n">
        <v>209404.05</v>
      </c>
      <c r="BM51" s="110" t="n">
        <v>127359.88</v>
      </c>
      <c r="BN51" s="110" t="n">
        <v>124372.94</v>
      </c>
      <c r="BO51" s="110" t="n">
        <v>2986.94</v>
      </c>
      <c r="BP51" s="110" t="n">
        <v>82044.17</v>
      </c>
      <c r="BQ51" s="110" t="n">
        <v>78311.36</v>
      </c>
      <c r="BR51" s="110" t="n">
        <v>3732.81</v>
      </c>
      <c r="BS51" s="110" t="n">
        <v>89588.03999999999</v>
      </c>
      <c r="BT51" s="110" t="n">
        <v>77266.24000000001</v>
      </c>
      <c r="BU51" s="110" t="n">
        <v>77266.24000000001</v>
      </c>
      <c r="BV51" s="110" t="n">
        <v>0</v>
      </c>
      <c r="BW51" s="110" t="n">
        <v>12321.8</v>
      </c>
      <c r="BX51" s="110" t="n">
        <v>10566.8</v>
      </c>
      <c r="BY51" s="110" t="n">
        <v>1755</v>
      </c>
      <c r="BZ51" s="110" t="n">
        <v>653107</v>
      </c>
      <c r="CA51" s="110" t="n">
        <v>509822</v>
      </c>
      <c r="CB51" s="110" t="n">
        <v>503667</v>
      </c>
      <c r="CC51" s="110" t="n">
        <v>6155</v>
      </c>
      <c r="CD51" s="110" t="n">
        <v>143285</v>
      </c>
      <c r="CE51" s="110" t="n">
        <v>120552</v>
      </c>
      <c r="CF51" s="110" t="n">
        <v>22733</v>
      </c>
      <c r="CG51" s="110" t="n">
        <v>603341</v>
      </c>
      <c r="CH51" s="110" t="n">
        <v>434051</v>
      </c>
      <c r="CI51" s="110" t="n">
        <v>410381.5</v>
      </c>
      <c r="CJ51" s="110" t="n">
        <v>23669.5</v>
      </c>
      <c r="CK51" s="110" t="n">
        <v>169290</v>
      </c>
      <c r="CL51" s="110" t="n">
        <v>160204</v>
      </c>
      <c r="CM51" s="110" t="n">
        <v>9086</v>
      </c>
      <c r="CN51" s="110" t="n">
        <v>0</v>
      </c>
      <c r="CO51" s="110" t="n">
        <v>2444822.63</v>
      </c>
      <c r="CP51" s="110" t="n">
        <v>3415247.8</v>
      </c>
      <c r="CQ51" s="110" t="n">
        <v>91988.31</v>
      </c>
      <c r="CR51" s="110" t="n">
        <v>533981.02</v>
      </c>
      <c r="CS51" s="110" t="n">
        <v>1320</v>
      </c>
      <c r="CT51" s="110" t="n">
        <v>0</v>
      </c>
      <c r="CU51" s="110" t="n">
        <v>0</v>
      </c>
      <c r="CV51" s="111" t="n">
        <v>8105</v>
      </c>
      <c r="CW51" s="111" t="n">
        <v>7299</v>
      </c>
      <c r="CX51" s="111" t="n">
        <v>7014</v>
      </c>
      <c r="CY51" s="111" t="n">
        <v>285</v>
      </c>
      <c r="CZ51" s="111" t="n">
        <v>806</v>
      </c>
      <c r="DA51" s="111" t="n">
        <v>368</v>
      </c>
      <c r="DB51" s="111" t="n">
        <v>438</v>
      </c>
      <c r="DC51" s="111" t="n">
        <v>4228</v>
      </c>
      <c r="DD51" s="111" t="n">
        <v>0</v>
      </c>
      <c r="DE51" s="111" t="n">
        <v>3870</v>
      </c>
      <c r="DF51" s="111" t="n">
        <v>3755</v>
      </c>
      <c r="DG51" s="111" t="n">
        <v>115</v>
      </c>
      <c r="DH51" s="111" t="n">
        <v>358</v>
      </c>
      <c r="DI51" s="111" t="n">
        <v>172</v>
      </c>
      <c r="DJ51" s="111" t="n">
        <v>186</v>
      </c>
      <c r="DK51" s="111" t="n">
        <v>3465</v>
      </c>
      <c r="DL51" s="111" t="n">
        <v>3088</v>
      </c>
      <c r="DM51" s="111" t="n">
        <v>2950</v>
      </c>
      <c r="DN51" s="111" t="n">
        <v>138</v>
      </c>
      <c r="DO51" s="111" t="n">
        <v>377</v>
      </c>
      <c r="DP51" s="111" t="n">
        <v>173</v>
      </c>
      <c r="DQ51" s="111" t="n">
        <v>204</v>
      </c>
      <c r="DR51" s="111" t="n">
        <v>412</v>
      </c>
      <c r="DS51" s="111" t="n">
        <v>0</v>
      </c>
      <c r="DT51" s="111" t="n">
        <v>341</v>
      </c>
      <c r="DU51" s="111" t="n">
        <v>309</v>
      </c>
      <c r="DV51" s="111" t="n">
        <v>32</v>
      </c>
      <c r="DW51" s="111" t="n">
        <v>71</v>
      </c>
      <c r="DX51" s="111" t="n">
        <v>23</v>
      </c>
      <c r="DY51" s="111" t="n">
        <v>48</v>
      </c>
      <c r="DZ51" s="111" t="n">
        <v>0</v>
      </c>
      <c r="EA51" s="111" t="n">
        <v>0</v>
      </c>
      <c r="EB51" s="111" t="n">
        <v>0</v>
      </c>
      <c r="EC51" s="111" t="n">
        <v>0</v>
      </c>
      <c r="ED51" s="111" t="n">
        <v>0</v>
      </c>
      <c r="EE51" s="111" t="n">
        <v>0</v>
      </c>
      <c r="EF51" s="111" t="n">
        <v>0</v>
      </c>
      <c r="EG51" s="111" t="n">
        <v>121</v>
      </c>
      <c r="EH51" s="111" t="n">
        <v>91</v>
      </c>
      <c r="EI51" s="111" t="n">
        <v>89</v>
      </c>
      <c r="EJ51" s="111" t="n">
        <v>2</v>
      </c>
      <c r="EK51" s="111" t="n">
        <v>30</v>
      </c>
      <c r="EL51" s="111" t="n">
        <v>24</v>
      </c>
      <c r="EM51" s="111" t="n">
        <v>6</v>
      </c>
      <c r="EN51" s="111" t="n">
        <v>95</v>
      </c>
      <c r="EO51" s="111" t="n">
        <v>0</v>
      </c>
      <c r="EP51" s="111" t="n">
        <v>0</v>
      </c>
      <c r="EQ51" s="111" t="n">
        <v>95</v>
      </c>
      <c r="ER51" s="111" t="n">
        <v>0</v>
      </c>
      <c r="ES51" s="111" t="n">
        <v>0</v>
      </c>
      <c r="ET51" s="111" t="n">
        <v>0</v>
      </c>
      <c r="EU51" s="111" t="n">
        <v>0</v>
      </c>
      <c r="EV51" s="111" t="n">
        <v>0</v>
      </c>
      <c r="EW51" s="111" t="n">
        <v>0</v>
      </c>
      <c r="EX51" s="111" t="n">
        <v>0</v>
      </c>
      <c r="EY51" s="111" t="n">
        <v>0</v>
      </c>
      <c r="EZ51" s="111" t="n">
        <v>0</v>
      </c>
      <c r="FA51" s="111" t="n">
        <v>0</v>
      </c>
      <c r="FB51" s="111" t="n">
        <v>12</v>
      </c>
    </row>
    <row r="52" ht="19.5" customHeight="1" s="247">
      <c r="A52" s="107" t="n">
        <v>49</v>
      </c>
      <c r="B52" s="107" t="inlineStr">
        <is>
          <t>医技平台</t>
        </is>
      </c>
      <c r="C52" s="107" t="inlineStr">
        <is>
          <t>特需病房</t>
        </is>
      </c>
      <c r="D52" s="110" t="n">
        <v>30314</v>
      </c>
      <c r="E52" s="110" t="n">
        <v>0</v>
      </c>
      <c r="F52" s="110" t="n">
        <v>30314</v>
      </c>
      <c r="G52" s="110" t="n">
        <v>0</v>
      </c>
      <c r="H52" s="110" t="n">
        <v>2</v>
      </c>
      <c r="I52" s="110" t="n">
        <v>0</v>
      </c>
      <c r="J52" s="110" t="n">
        <v>0</v>
      </c>
      <c r="K52" s="110" t="n">
        <v>0</v>
      </c>
      <c r="L52" s="110" t="n">
        <v>2046</v>
      </c>
      <c r="M52" s="110" t="n">
        <v>0</v>
      </c>
      <c r="N52" s="110" t="n">
        <v>0</v>
      </c>
      <c r="O52" s="110" t="n">
        <v>34126.81</v>
      </c>
      <c r="P52" s="110" t="n">
        <v>34126.81</v>
      </c>
      <c r="Q52" s="110" t="n">
        <v>0</v>
      </c>
      <c r="R52" s="110" t="n">
        <v>34126.81</v>
      </c>
      <c r="S52" s="110" t="n">
        <v>0</v>
      </c>
      <c r="T52" s="110" t="n">
        <v>0</v>
      </c>
      <c r="U52" s="110" t="n">
        <v>0</v>
      </c>
      <c r="V52" s="110" t="n">
        <v>0</v>
      </c>
      <c r="W52" s="110" t="n">
        <v>0</v>
      </c>
      <c r="X52" s="110" t="n">
        <v>0</v>
      </c>
      <c r="Y52" s="110" t="n">
        <v>0</v>
      </c>
      <c r="Z52" s="110" t="n">
        <v>0</v>
      </c>
      <c r="AA52" s="110" t="n">
        <v>0</v>
      </c>
      <c r="AB52" s="110" t="n">
        <v>0</v>
      </c>
      <c r="AC52" s="110" t="n">
        <v>0</v>
      </c>
      <c r="AD52" s="110" t="n">
        <v>0</v>
      </c>
      <c r="AE52" s="110" t="n">
        <v>0</v>
      </c>
      <c r="AF52" s="110" t="n">
        <v>0</v>
      </c>
      <c r="AG52" s="110" t="n">
        <v>0</v>
      </c>
      <c r="AH52" s="110" t="n">
        <v>0</v>
      </c>
      <c r="AI52" s="110" t="n">
        <v>0</v>
      </c>
      <c r="AJ52" s="110" t="n">
        <v>0</v>
      </c>
      <c r="AK52" s="110" t="n">
        <v>0</v>
      </c>
      <c r="AL52" s="110" t="n">
        <v>0</v>
      </c>
      <c r="AM52" s="110" t="n">
        <v>0</v>
      </c>
      <c r="AN52" s="110" t="n">
        <v>0</v>
      </c>
      <c r="AO52" s="110" t="n">
        <v>0</v>
      </c>
      <c r="AP52" s="110" t="n">
        <v>0</v>
      </c>
      <c r="AQ52" s="110" t="n">
        <v>0</v>
      </c>
      <c r="AR52" s="110" t="n">
        <v>0</v>
      </c>
      <c r="AS52" s="110" t="n">
        <v>0</v>
      </c>
      <c r="AT52" s="110" t="n">
        <v>0</v>
      </c>
      <c r="AU52" s="110" t="n">
        <v>0</v>
      </c>
      <c r="AV52" s="110" t="n">
        <v>0</v>
      </c>
      <c r="AW52" s="110" t="n">
        <v>0</v>
      </c>
      <c r="AX52" s="110" t="n">
        <v>0</v>
      </c>
      <c r="AY52" s="110" t="n">
        <v>0</v>
      </c>
      <c r="AZ52" s="110" t="n">
        <v>0</v>
      </c>
      <c r="BA52" s="110" t="n">
        <v>0</v>
      </c>
      <c r="BB52" s="110" t="n">
        <v>0</v>
      </c>
      <c r="BC52" s="110" t="n">
        <v>0</v>
      </c>
      <c r="BD52" s="110" t="n">
        <v>0</v>
      </c>
      <c r="BE52" s="110" t="n">
        <v>34126.81</v>
      </c>
      <c r="BF52" s="110" t="n">
        <v>34126.81</v>
      </c>
      <c r="BG52" s="110" t="n">
        <v>0</v>
      </c>
      <c r="BH52" s="110" t="n">
        <v>34126.81</v>
      </c>
      <c r="BI52" s="110" t="n">
        <v>0</v>
      </c>
      <c r="BJ52" s="110" t="n">
        <v>0</v>
      </c>
      <c r="BK52" s="110" t="n">
        <v>0</v>
      </c>
      <c r="BL52" s="110" t="n">
        <v>1543.46</v>
      </c>
      <c r="BM52" s="110" t="n">
        <v>1543.46</v>
      </c>
      <c r="BN52" s="110" t="n">
        <v>0</v>
      </c>
      <c r="BO52" s="110" t="n">
        <v>1543.46</v>
      </c>
      <c r="BP52" s="110" t="n">
        <v>0</v>
      </c>
      <c r="BQ52" s="110" t="n">
        <v>0</v>
      </c>
      <c r="BR52" s="110" t="n">
        <v>0</v>
      </c>
      <c r="BS52" s="110" t="n">
        <v>2269.35</v>
      </c>
      <c r="BT52" s="110" t="n">
        <v>2269.35</v>
      </c>
      <c r="BU52" s="110" t="n">
        <v>0</v>
      </c>
      <c r="BV52" s="110" t="n">
        <v>2269.35</v>
      </c>
      <c r="BW52" s="110" t="n">
        <v>0</v>
      </c>
      <c r="BX52" s="110" t="n">
        <v>0</v>
      </c>
      <c r="BY52" s="110" t="n">
        <v>0</v>
      </c>
      <c r="BZ52" s="110" t="n">
        <v>8198</v>
      </c>
      <c r="CA52" s="110" t="n">
        <v>8198</v>
      </c>
      <c r="CB52" s="110" t="n">
        <v>0</v>
      </c>
      <c r="CC52" s="110" t="n">
        <v>8198</v>
      </c>
      <c r="CD52" s="110" t="n">
        <v>0</v>
      </c>
      <c r="CE52" s="110" t="n">
        <v>0</v>
      </c>
      <c r="CF52" s="110" t="n">
        <v>0</v>
      </c>
      <c r="CG52" s="110" t="n">
        <v>22116</v>
      </c>
      <c r="CH52" s="110" t="n">
        <v>22116</v>
      </c>
      <c r="CI52" s="110" t="n">
        <v>0</v>
      </c>
      <c r="CJ52" s="110" t="n">
        <v>22116</v>
      </c>
      <c r="CK52" s="110" t="n">
        <v>0</v>
      </c>
      <c r="CL52" s="110" t="n">
        <v>0</v>
      </c>
      <c r="CM52" s="110" t="n">
        <v>0</v>
      </c>
      <c r="CN52" s="110" t="n">
        <v>0</v>
      </c>
      <c r="CO52" s="110" t="n">
        <v>0</v>
      </c>
      <c r="CP52" s="110" t="n">
        <v>0</v>
      </c>
      <c r="CQ52" s="110" t="n">
        <v>0</v>
      </c>
      <c r="CR52" s="110" t="n">
        <v>0</v>
      </c>
      <c r="CS52" s="110" t="n">
        <v>0</v>
      </c>
      <c r="CT52" s="110" t="n">
        <v>34126.81</v>
      </c>
      <c r="CU52" s="110" t="n">
        <v>0</v>
      </c>
      <c r="CV52" s="111" t="n">
        <v>0</v>
      </c>
      <c r="CW52" s="111" t="n">
        <v>0</v>
      </c>
      <c r="CX52" s="111" t="n">
        <v>0</v>
      </c>
      <c r="CY52" s="111" t="n">
        <v>0</v>
      </c>
      <c r="CZ52" s="111" t="n">
        <v>0</v>
      </c>
      <c r="DA52" s="111" t="n">
        <v>0</v>
      </c>
      <c r="DB52" s="111" t="n">
        <v>0</v>
      </c>
      <c r="DC52" s="111" t="n">
        <v>0</v>
      </c>
      <c r="DD52" s="111" t="n">
        <v>0</v>
      </c>
      <c r="DE52" s="111" t="n">
        <v>0</v>
      </c>
      <c r="DF52" s="111" t="n">
        <v>0</v>
      </c>
      <c r="DG52" s="111" t="n">
        <v>0</v>
      </c>
      <c r="DH52" s="111" t="n">
        <v>0</v>
      </c>
      <c r="DI52" s="111" t="n">
        <v>0</v>
      </c>
      <c r="DJ52" s="111" t="n">
        <v>0</v>
      </c>
      <c r="DK52" s="111" t="n">
        <v>0</v>
      </c>
      <c r="DL52" s="111" t="n">
        <v>0</v>
      </c>
      <c r="DM52" s="111" t="n">
        <v>0</v>
      </c>
      <c r="DN52" s="111" t="n">
        <v>0</v>
      </c>
      <c r="DO52" s="111" t="n">
        <v>0</v>
      </c>
      <c r="DP52" s="111" t="n">
        <v>0</v>
      </c>
      <c r="DQ52" s="111" t="n">
        <v>0</v>
      </c>
      <c r="DR52" s="111" t="n">
        <v>0</v>
      </c>
      <c r="DS52" s="111" t="n">
        <v>0</v>
      </c>
      <c r="DT52" s="111" t="n">
        <v>0</v>
      </c>
      <c r="DU52" s="111" t="n">
        <v>0</v>
      </c>
      <c r="DV52" s="111" t="n">
        <v>0</v>
      </c>
      <c r="DW52" s="111" t="n">
        <v>0</v>
      </c>
      <c r="DX52" s="111" t="n">
        <v>0</v>
      </c>
      <c r="DY52" s="111" t="n">
        <v>0</v>
      </c>
      <c r="DZ52" s="111" t="n">
        <v>0</v>
      </c>
      <c r="EA52" s="111" t="n">
        <v>0</v>
      </c>
      <c r="EB52" s="111" t="n">
        <v>0</v>
      </c>
      <c r="EC52" s="111" t="n">
        <v>0</v>
      </c>
      <c r="ED52" s="111" t="n">
        <v>0</v>
      </c>
      <c r="EE52" s="111" t="n">
        <v>0</v>
      </c>
      <c r="EF52" s="111" t="n">
        <v>0</v>
      </c>
      <c r="EG52" s="111" t="n">
        <v>2</v>
      </c>
      <c r="EH52" s="111" t="n">
        <v>2</v>
      </c>
      <c r="EI52" s="111" t="n">
        <v>0</v>
      </c>
      <c r="EJ52" s="111" t="n">
        <v>2</v>
      </c>
      <c r="EK52" s="111" t="n">
        <v>0</v>
      </c>
      <c r="EL52" s="111" t="n">
        <v>0</v>
      </c>
      <c r="EM52" s="111" t="n">
        <v>0</v>
      </c>
      <c r="EN52" s="111" t="n">
        <v>0</v>
      </c>
      <c r="EO52" s="111" t="n">
        <v>0</v>
      </c>
      <c r="EP52" s="111" t="n">
        <v>0</v>
      </c>
      <c r="EQ52" s="111" t="n">
        <v>0</v>
      </c>
      <c r="ER52" s="111" t="n">
        <v>0</v>
      </c>
      <c r="ES52" s="111" t="n">
        <v>0</v>
      </c>
      <c r="ET52" s="111" t="n">
        <v>0</v>
      </c>
      <c r="EU52" s="111" t="n">
        <v>0</v>
      </c>
      <c r="EV52" s="111" t="n">
        <v>0</v>
      </c>
      <c r="EW52" s="111" t="n">
        <v>0</v>
      </c>
      <c r="EX52" s="111" t="n">
        <v>0</v>
      </c>
      <c r="EY52" s="111" t="n">
        <v>0</v>
      </c>
      <c r="EZ52" s="111" t="n">
        <v>0</v>
      </c>
      <c r="FA52" s="111" t="n">
        <v>0</v>
      </c>
      <c r="FB52" s="111" t="n">
        <v>0</v>
      </c>
    </row>
    <row r="53" ht="19.5" customHeight="1" s="247">
      <c r="A53" s="107" t="n">
        <v>50</v>
      </c>
      <c r="B53" s="107" t="inlineStr">
        <is>
          <t>医技平台</t>
        </is>
      </c>
      <c r="C53" s="107" t="inlineStr">
        <is>
          <t>核医学科</t>
        </is>
      </c>
      <c r="D53" s="110" t="n">
        <v>368935.5</v>
      </c>
      <c r="E53" s="110" t="n">
        <v>193231</v>
      </c>
      <c r="F53" s="110" t="n">
        <v>175704.5</v>
      </c>
      <c r="G53" s="110" t="n">
        <v>428</v>
      </c>
      <c r="H53" s="110" t="n">
        <v>31</v>
      </c>
      <c r="I53" s="110" t="n">
        <v>500</v>
      </c>
      <c r="J53" s="110" t="n">
        <v>0</v>
      </c>
      <c r="K53" s="110" t="n">
        <v>0</v>
      </c>
      <c r="L53" s="110" t="n">
        <v>7650</v>
      </c>
      <c r="M53" s="110" t="n">
        <v>0</v>
      </c>
      <c r="N53" s="110" t="n">
        <v>0</v>
      </c>
      <c r="O53" s="110" t="n">
        <v>581457.62</v>
      </c>
      <c r="P53" s="110" t="n">
        <v>260704.76</v>
      </c>
      <c r="Q53" s="110" t="n">
        <v>254436.26</v>
      </c>
      <c r="R53" s="110" t="n">
        <v>6268.5</v>
      </c>
      <c r="S53" s="110" t="n">
        <v>320752.86</v>
      </c>
      <c r="T53" s="110" t="n">
        <v>234042.17</v>
      </c>
      <c r="U53" s="110" t="n">
        <v>86710.69</v>
      </c>
      <c r="V53" s="110" t="n">
        <v>251867.96</v>
      </c>
      <c r="W53" s="110" t="n">
        <v>130103.94</v>
      </c>
      <c r="X53" s="110" t="n">
        <v>123835.44</v>
      </c>
      <c r="Y53" s="110" t="n">
        <v>6268.5</v>
      </c>
      <c r="Z53" s="110" t="n">
        <v>121764.02</v>
      </c>
      <c r="AA53" s="110" t="n">
        <v>35053.33</v>
      </c>
      <c r="AB53" s="110" t="n">
        <v>86710.69</v>
      </c>
      <c r="AC53" s="110" t="n">
        <v>58636.96</v>
      </c>
      <c r="AD53" s="110" t="n">
        <v>29743.94</v>
      </c>
      <c r="AE53" s="110" t="n">
        <v>27885.44</v>
      </c>
      <c r="AF53" s="110" t="n">
        <v>1858.5</v>
      </c>
      <c r="AG53" s="110" t="n">
        <v>28893.02</v>
      </c>
      <c r="AH53" s="110" t="n">
        <v>9837.33</v>
      </c>
      <c r="AI53" s="110" t="n">
        <v>19055.69</v>
      </c>
      <c r="AJ53" s="110" t="n">
        <v>0</v>
      </c>
      <c r="AK53" s="110" t="n">
        <v>0</v>
      </c>
      <c r="AL53" s="110" t="n">
        <v>0</v>
      </c>
      <c r="AM53" s="110" t="n">
        <v>0</v>
      </c>
      <c r="AN53" s="110" t="n">
        <v>0</v>
      </c>
      <c r="AO53" s="110" t="n">
        <v>0</v>
      </c>
      <c r="AP53" s="110" t="n">
        <v>0</v>
      </c>
      <c r="AQ53" s="110" t="n">
        <v>171703</v>
      </c>
      <c r="AR53" s="110" t="n">
        <v>88604</v>
      </c>
      <c r="AS53" s="110" t="n">
        <v>85040</v>
      </c>
      <c r="AT53" s="110" t="n">
        <v>3564</v>
      </c>
      <c r="AU53" s="110" t="n">
        <v>83099</v>
      </c>
      <c r="AV53" s="110" t="n">
        <v>20312</v>
      </c>
      <c r="AW53" s="110" t="n">
        <v>62787</v>
      </c>
      <c r="AX53" s="110" t="n">
        <v>21528</v>
      </c>
      <c r="AY53" s="110" t="n">
        <v>11756</v>
      </c>
      <c r="AZ53" s="110" t="n">
        <v>10910</v>
      </c>
      <c r="BA53" s="110" t="n">
        <v>846</v>
      </c>
      <c r="BB53" s="110" t="n">
        <v>9772</v>
      </c>
      <c r="BC53" s="110" t="n">
        <v>4904</v>
      </c>
      <c r="BD53" s="110" t="n">
        <v>4868</v>
      </c>
      <c r="BE53" s="110" t="n">
        <v>329589.66</v>
      </c>
      <c r="BF53" s="110" t="n">
        <v>130600.82</v>
      </c>
      <c r="BG53" s="110" t="n">
        <v>130600.82</v>
      </c>
      <c r="BH53" s="110" t="n">
        <v>0</v>
      </c>
      <c r="BI53" s="110" t="n">
        <v>198988.84</v>
      </c>
      <c r="BJ53" s="110" t="n">
        <v>198988.84</v>
      </c>
      <c r="BK53" s="110" t="n">
        <v>0</v>
      </c>
      <c r="BL53" s="110" t="n">
        <v>153885.16</v>
      </c>
      <c r="BM53" s="110" t="n">
        <v>51905.82</v>
      </c>
      <c r="BN53" s="110" t="n">
        <v>51905.82</v>
      </c>
      <c r="BO53" s="110" t="n">
        <v>0</v>
      </c>
      <c r="BP53" s="110" t="n">
        <v>101979.34</v>
      </c>
      <c r="BQ53" s="110" t="n">
        <v>101979.34</v>
      </c>
      <c r="BR53" s="110" t="n">
        <v>0</v>
      </c>
      <c r="BS53" s="110" t="n">
        <v>0</v>
      </c>
      <c r="BT53" s="110" t="n">
        <v>0</v>
      </c>
      <c r="BU53" s="110" t="n">
        <v>0</v>
      </c>
      <c r="BV53" s="110" t="n">
        <v>0</v>
      </c>
      <c r="BW53" s="110" t="n">
        <v>0</v>
      </c>
      <c r="BX53" s="110" t="n">
        <v>0</v>
      </c>
      <c r="BY53" s="110" t="n">
        <v>0</v>
      </c>
      <c r="BZ53" s="110" t="n">
        <v>155738</v>
      </c>
      <c r="CA53" s="110" t="n">
        <v>70946</v>
      </c>
      <c r="CB53" s="110" t="n">
        <v>70946</v>
      </c>
      <c r="CC53" s="110" t="n">
        <v>0</v>
      </c>
      <c r="CD53" s="110" t="n">
        <v>84792</v>
      </c>
      <c r="CE53" s="110" t="n">
        <v>84792</v>
      </c>
      <c r="CF53" s="110" t="n">
        <v>0</v>
      </c>
      <c r="CG53" s="110" t="n">
        <v>19966.5</v>
      </c>
      <c r="CH53" s="110" t="n">
        <v>7749</v>
      </c>
      <c r="CI53" s="110" t="n">
        <v>7749</v>
      </c>
      <c r="CJ53" s="110" t="n">
        <v>0</v>
      </c>
      <c r="CK53" s="110" t="n">
        <v>12217.5</v>
      </c>
      <c r="CL53" s="110" t="n">
        <v>12217.5</v>
      </c>
      <c r="CM53" s="110" t="n">
        <v>0</v>
      </c>
      <c r="CN53" s="110" t="n">
        <v>0</v>
      </c>
      <c r="CO53" s="110" t="n">
        <v>96634.71000000001</v>
      </c>
      <c r="CP53" s="110" t="n">
        <v>123170.69</v>
      </c>
      <c r="CQ53" s="110" t="n">
        <v>17791</v>
      </c>
      <c r="CR53" s="110" t="n">
        <v>14271.56</v>
      </c>
      <c r="CS53" s="110" t="n">
        <v>0</v>
      </c>
      <c r="CT53" s="110" t="n">
        <v>0</v>
      </c>
      <c r="CU53" s="110" t="n">
        <v>0</v>
      </c>
      <c r="CV53" s="111" t="n">
        <v>428</v>
      </c>
      <c r="CW53" s="111" t="n">
        <v>297</v>
      </c>
      <c r="CX53" s="111" t="n">
        <v>282</v>
      </c>
      <c r="CY53" s="111" t="n">
        <v>15</v>
      </c>
      <c r="CZ53" s="111" t="n">
        <v>131</v>
      </c>
      <c r="DA53" s="111" t="n">
        <v>59</v>
      </c>
      <c r="DB53" s="111" t="n">
        <v>72</v>
      </c>
      <c r="DC53" s="111" t="n">
        <v>180</v>
      </c>
      <c r="DD53" s="111" t="n">
        <v>0</v>
      </c>
      <c r="DE53" s="111" t="n">
        <v>156</v>
      </c>
      <c r="DF53" s="111" t="n">
        <v>154</v>
      </c>
      <c r="DG53" s="111" t="n">
        <v>2</v>
      </c>
      <c r="DH53" s="111" t="n">
        <v>24</v>
      </c>
      <c r="DI53" s="111" t="n">
        <v>12</v>
      </c>
      <c r="DJ53" s="111" t="n">
        <v>12</v>
      </c>
      <c r="DK53" s="111" t="n">
        <v>225</v>
      </c>
      <c r="DL53" s="111" t="n">
        <v>135</v>
      </c>
      <c r="DM53" s="111" t="n">
        <v>123</v>
      </c>
      <c r="DN53" s="111" t="n">
        <v>12</v>
      </c>
      <c r="DO53" s="111" t="n">
        <v>90</v>
      </c>
      <c r="DP53" s="111" t="n">
        <v>38</v>
      </c>
      <c r="DQ53" s="111" t="n">
        <v>52</v>
      </c>
      <c r="DR53" s="111" t="n">
        <v>23</v>
      </c>
      <c r="DS53" s="111" t="n">
        <v>0</v>
      </c>
      <c r="DT53" s="111" t="n">
        <v>6</v>
      </c>
      <c r="DU53" s="111" t="n">
        <v>5</v>
      </c>
      <c r="DV53" s="111" t="n">
        <v>1</v>
      </c>
      <c r="DW53" s="111" t="n">
        <v>17</v>
      </c>
      <c r="DX53" s="111" t="n">
        <v>9</v>
      </c>
      <c r="DY53" s="111" t="n">
        <v>8</v>
      </c>
      <c r="DZ53" s="111" t="n">
        <v>0</v>
      </c>
      <c r="EA53" s="111" t="n">
        <v>0</v>
      </c>
      <c r="EB53" s="111" t="n">
        <v>0</v>
      </c>
      <c r="EC53" s="111" t="n">
        <v>0</v>
      </c>
      <c r="ED53" s="111" t="n">
        <v>0</v>
      </c>
      <c r="EE53" s="111" t="n">
        <v>0</v>
      </c>
      <c r="EF53" s="111" t="n">
        <v>0</v>
      </c>
      <c r="EG53" s="111" t="n">
        <v>31</v>
      </c>
      <c r="EH53" s="111" t="n">
        <v>14</v>
      </c>
      <c r="EI53" s="111" t="n">
        <v>14</v>
      </c>
      <c r="EJ53" s="111" t="n">
        <v>0</v>
      </c>
      <c r="EK53" s="111" t="n">
        <v>17</v>
      </c>
      <c r="EL53" s="111" t="n">
        <v>17</v>
      </c>
      <c r="EM53" s="111" t="n">
        <v>0</v>
      </c>
      <c r="EN53" s="111" t="n">
        <v>31</v>
      </c>
      <c r="EO53" s="111" t="n">
        <v>0</v>
      </c>
      <c r="EP53" s="111" t="n">
        <v>0</v>
      </c>
      <c r="EQ53" s="111" t="n">
        <v>31</v>
      </c>
      <c r="ER53" s="111" t="n">
        <v>0</v>
      </c>
      <c r="ES53" s="111" t="n">
        <v>0</v>
      </c>
      <c r="ET53" s="111" t="n">
        <v>0</v>
      </c>
      <c r="EU53" s="111" t="n">
        <v>0</v>
      </c>
      <c r="EV53" s="111" t="n">
        <v>0</v>
      </c>
      <c r="EW53" s="111" t="n">
        <v>0</v>
      </c>
      <c r="EX53" s="111" t="n">
        <v>0</v>
      </c>
      <c r="EY53" s="111" t="n">
        <v>0</v>
      </c>
      <c r="EZ53" s="111" t="n">
        <v>0</v>
      </c>
      <c r="FA53" s="111" t="n">
        <v>0</v>
      </c>
      <c r="FB53" s="111" t="n">
        <v>0</v>
      </c>
    </row>
    <row r="54" ht="19.5" customHeight="1" s="247">
      <c r="A54" s="107" t="n">
        <v>51</v>
      </c>
      <c r="B54" s="107" t="inlineStr">
        <is>
          <t>医技平台</t>
        </is>
      </c>
      <c r="C54" s="107" t="inlineStr">
        <is>
          <t>临床营养科</t>
        </is>
      </c>
      <c r="D54" s="110" t="n">
        <v>41399</v>
      </c>
      <c r="E54" s="110" t="n">
        <v>41399</v>
      </c>
      <c r="F54" s="110" t="n">
        <v>0</v>
      </c>
      <c r="G54" s="110" t="n">
        <v>334</v>
      </c>
      <c r="H54" s="110" t="n">
        <v>0</v>
      </c>
      <c r="I54" s="110" t="n">
        <v>30</v>
      </c>
      <c r="J54" s="110" t="n">
        <v>0</v>
      </c>
      <c r="K54" s="110" t="n">
        <v>0</v>
      </c>
      <c r="L54" s="110" t="n">
        <v>0</v>
      </c>
      <c r="M54" s="110" t="n">
        <v>0</v>
      </c>
      <c r="N54" s="110" t="n">
        <v>0</v>
      </c>
      <c r="O54" s="110" t="n">
        <v>90581.55</v>
      </c>
      <c r="P54" s="110" t="n">
        <v>80443.89</v>
      </c>
      <c r="Q54" s="110" t="n">
        <v>76458.49000000001</v>
      </c>
      <c r="R54" s="110" t="n">
        <v>3985.4</v>
      </c>
      <c r="S54" s="110" t="n">
        <v>10137.66</v>
      </c>
      <c r="T54" s="110" t="n">
        <v>4494.6</v>
      </c>
      <c r="U54" s="110" t="n">
        <v>5643.06</v>
      </c>
      <c r="V54" s="110" t="n">
        <v>90581.55</v>
      </c>
      <c r="W54" s="110" t="n">
        <v>80443.89</v>
      </c>
      <c r="X54" s="110" t="n">
        <v>76458.49000000001</v>
      </c>
      <c r="Y54" s="110" t="n">
        <v>3985.4</v>
      </c>
      <c r="Z54" s="110" t="n">
        <v>10137.66</v>
      </c>
      <c r="AA54" s="110" t="n">
        <v>4494.6</v>
      </c>
      <c r="AB54" s="110" t="n">
        <v>5643.06</v>
      </c>
      <c r="AC54" s="110" t="n">
        <v>49182.55</v>
      </c>
      <c r="AD54" s="110" t="n">
        <v>44579.89</v>
      </c>
      <c r="AE54" s="110" t="n">
        <v>44361.49</v>
      </c>
      <c r="AF54" s="110" t="n">
        <v>218.4</v>
      </c>
      <c r="AG54" s="110" t="n">
        <v>4602.66</v>
      </c>
      <c r="AH54" s="110" t="n">
        <v>1314.6</v>
      </c>
      <c r="AI54" s="110" t="n">
        <v>3288.06</v>
      </c>
      <c r="AJ54" s="110" t="n">
        <v>0</v>
      </c>
      <c r="AK54" s="110" t="n">
        <v>0</v>
      </c>
      <c r="AL54" s="110" t="n">
        <v>0</v>
      </c>
      <c r="AM54" s="110" t="n">
        <v>0</v>
      </c>
      <c r="AN54" s="110" t="n">
        <v>0</v>
      </c>
      <c r="AO54" s="110" t="n">
        <v>0</v>
      </c>
      <c r="AP54" s="110" t="n">
        <v>0</v>
      </c>
      <c r="AQ54" s="110" t="n">
        <v>30570</v>
      </c>
      <c r="AR54" s="110" t="n">
        <v>25935</v>
      </c>
      <c r="AS54" s="110" t="n">
        <v>22754</v>
      </c>
      <c r="AT54" s="110" t="n">
        <v>3181</v>
      </c>
      <c r="AU54" s="110" t="n">
        <v>4635</v>
      </c>
      <c r="AV54" s="110" t="n">
        <v>2685</v>
      </c>
      <c r="AW54" s="110" t="n">
        <v>1950</v>
      </c>
      <c r="AX54" s="110" t="n">
        <v>10829</v>
      </c>
      <c r="AY54" s="110" t="n">
        <v>9929</v>
      </c>
      <c r="AZ54" s="110" t="n">
        <v>9343</v>
      </c>
      <c r="BA54" s="110" t="n">
        <v>586</v>
      </c>
      <c r="BB54" s="110" t="n">
        <v>900</v>
      </c>
      <c r="BC54" s="110" t="n">
        <v>495</v>
      </c>
      <c r="BD54" s="110" t="n">
        <v>405</v>
      </c>
      <c r="BE54" s="110" t="n">
        <v>0</v>
      </c>
      <c r="BF54" s="110" t="n">
        <v>0</v>
      </c>
      <c r="BG54" s="110" t="n">
        <v>0</v>
      </c>
      <c r="BH54" s="110" t="n">
        <v>0</v>
      </c>
      <c r="BI54" s="110" t="n">
        <v>0</v>
      </c>
      <c r="BJ54" s="110" t="n">
        <v>0</v>
      </c>
      <c r="BK54" s="110" t="n">
        <v>0</v>
      </c>
      <c r="BL54" s="110" t="n">
        <v>0</v>
      </c>
      <c r="BM54" s="110" t="n">
        <v>0</v>
      </c>
      <c r="BN54" s="110" t="n">
        <v>0</v>
      </c>
      <c r="BO54" s="110" t="n">
        <v>0</v>
      </c>
      <c r="BP54" s="110" t="n">
        <v>0</v>
      </c>
      <c r="BQ54" s="110" t="n">
        <v>0</v>
      </c>
      <c r="BR54" s="110" t="n">
        <v>0</v>
      </c>
      <c r="BS54" s="110" t="n">
        <v>0</v>
      </c>
      <c r="BT54" s="110" t="n">
        <v>0</v>
      </c>
      <c r="BU54" s="110" t="n">
        <v>0</v>
      </c>
      <c r="BV54" s="110" t="n">
        <v>0</v>
      </c>
      <c r="BW54" s="110" t="n">
        <v>0</v>
      </c>
      <c r="BX54" s="110" t="n">
        <v>0</v>
      </c>
      <c r="BY54" s="110" t="n">
        <v>0</v>
      </c>
      <c r="BZ54" s="110" t="n">
        <v>0</v>
      </c>
      <c r="CA54" s="110" t="n">
        <v>0</v>
      </c>
      <c r="CB54" s="110" t="n">
        <v>0</v>
      </c>
      <c r="CC54" s="110" t="n">
        <v>0</v>
      </c>
      <c r="CD54" s="110" t="n">
        <v>0</v>
      </c>
      <c r="CE54" s="110" t="n">
        <v>0</v>
      </c>
      <c r="CF54" s="110" t="n">
        <v>0</v>
      </c>
      <c r="CG54" s="110" t="n">
        <v>0</v>
      </c>
      <c r="CH54" s="110" t="n">
        <v>0</v>
      </c>
      <c r="CI54" s="110" t="n">
        <v>0</v>
      </c>
      <c r="CJ54" s="110" t="n">
        <v>0</v>
      </c>
      <c r="CK54" s="110" t="n">
        <v>0</v>
      </c>
      <c r="CL54" s="110" t="n">
        <v>0</v>
      </c>
      <c r="CM54" s="110" t="n">
        <v>0</v>
      </c>
      <c r="CN54" s="110" t="n">
        <v>0</v>
      </c>
      <c r="CO54" s="110" t="n">
        <v>37566.92</v>
      </c>
      <c r="CP54" s="110" t="n">
        <v>28905.56</v>
      </c>
      <c r="CQ54" s="110" t="n">
        <v>23085.07</v>
      </c>
      <c r="CR54" s="110" t="n">
        <v>1024</v>
      </c>
      <c r="CS54" s="110" t="n">
        <v>0</v>
      </c>
      <c r="CT54" s="110" t="n">
        <v>0</v>
      </c>
      <c r="CU54" s="110" t="n">
        <v>0</v>
      </c>
      <c r="CV54" s="111" t="n">
        <v>334</v>
      </c>
      <c r="CW54" s="111" t="n">
        <v>310</v>
      </c>
      <c r="CX54" s="111" t="n">
        <v>299</v>
      </c>
      <c r="CY54" s="111" t="n">
        <v>11</v>
      </c>
      <c r="CZ54" s="111" t="n">
        <v>24</v>
      </c>
      <c r="DA54" s="111" t="n">
        <v>13</v>
      </c>
      <c r="DB54" s="111" t="n">
        <v>11</v>
      </c>
      <c r="DC54" s="111" t="n">
        <v>247</v>
      </c>
      <c r="DD54" s="111" t="n">
        <v>0</v>
      </c>
      <c r="DE54" s="111" t="n">
        <v>236</v>
      </c>
      <c r="DF54" s="111" t="n">
        <v>231</v>
      </c>
      <c r="DG54" s="111" t="n">
        <v>5</v>
      </c>
      <c r="DH54" s="111" t="n">
        <v>11</v>
      </c>
      <c r="DI54" s="111" t="n">
        <v>5</v>
      </c>
      <c r="DJ54" s="111" t="n">
        <v>6</v>
      </c>
      <c r="DK54" s="111" t="n">
        <v>83</v>
      </c>
      <c r="DL54" s="111" t="n">
        <v>70</v>
      </c>
      <c r="DM54" s="111" t="n">
        <v>65</v>
      </c>
      <c r="DN54" s="111" t="n">
        <v>5</v>
      </c>
      <c r="DO54" s="111" t="n">
        <v>13</v>
      </c>
      <c r="DP54" s="111" t="n">
        <v>8</v>
      </c>
      <c r="DQ54" s="111" t="n">
        <v>5</v>
      </c>
      <c r="DR54" s="111" t="n">
        <v>4</v>
      </c>
      <c r="DS54" s="111" t="n">
        <v>0</v>
      </c>
      <c r="DT54" s="111" t="n">
        <v>4</v>
      </c>
      <c r="DU54" s="111" t="n">
        <v>3</v>
      </c>
      <c r="DV54" s="111" t="n">
        <v>1</v>
      </c>
      <c r="DW54" s="111" t="n">
        <v>0</v>
      </c>
      <c r="DX54" s="111" t="n">
        <v>0</v>
      </c>
      <c r="DY54" s="111" t="n">
        <v>0</v>
      </c>
      <c r="DZ54" s="111" t="n">
        <v>0</v>
      </c>
      <c r="EA54" s="111" t="n">
        <v>0</v>
      </c>
      <c r="EB54" s="111" t="n">
        <v>0</v>
      </c>
      <c r="EC54" s="111" t="n">
        <v>0</v>
      </c>
      <c r="ED54" s="111" t="n">
        <v>0</v>
      </c>
      <c r="EE54" s="111" t="n">
        <v>0</v>
      </c>
      <c r="EF54" s="111" t="n">
        <v>0</v>
      </c>
      <c r="EG54" s="111" t="n">
        <v>0</v>
      </c>
      <c r="EH54" s="111" t="n">
        <v>0</v>
      </c>
      <c r="EI54" s="111" t="n">
        <v>0</v>
      </c>
      <c r="EJ54" s="111" t="n">
        <v>0</v>
      </c>
      <c r="EK54" s="111" t="n">
        <v>0</v>
      </c>
      <c r="EL54" s="111" t="n">
        <v>0</v>
      </c>
      <c r="EM54" s="111" t="n">
        <v>0</v>
      </c>
      <c r="EN54" s="111" t="n">
        <v>0</v>
      </c>
      <c r="EO54" s="111" t="n">
        <v>0</v>
      </c>
      <c r="EP54" s="111" t="n">
        <v>0</v>
      </c>
      <c r="EQ54" s="111" t="n">
        <v>0</v>
      </c>
      <c r="ER54" s="111" t="n">
        <v>0</v>
      </c>
      <c r="ES54" s="111" t="n">
        <v>0</v>
      </c>
      <c r="ET54" s="111" t="n">
        <v>0</v>
      </c>
      <c r="EU54" s="111" t="n">
        <v>0</v>
      </c>
      <c r="EV54" s="111" t="n">
        <v>0</v>
      </c>
      <c r="EW54" s="111" t="n">
        <v>0</v>
      </c>
      <c r="EX54" s="111" t="n">
        <v>0</v>
      </c>
      <c r="EY54" s="111" t="n">
        <v>0</v>
      </c>
      <c r="EZ54" s="111" t="n">
        <v>0</v>
      </c>
      <c r="FA54" s="111" t="n">
        <v>0</v>
      </c>
      <c r="FB54" s="111" t="n">
        <v>0</v>
      </c>
    </row>
    <row r="55" ht="19.5" customHeight="1" s="247">
      <c r="A55" s="107" t="n">
        <v>52</v>
      </c>
      <c r="B55" s="107" t="inlineStr">
        <is>
          <t>医技平台</t>
        </is>
      </c>
      <c r="C55" s="107" t="inlineStr">
        <is>
          <t>重症医学科(筹)</t>
        </is>
      </c>
      <c r="D55" s="110" t="n">
        <v>1778504.75</v>
      </c>
      <c r="E55" s="110" t="n">
        <v>0</v>
      </c>
      <c r="F55" s="110" t="n">
        <v>1778504.75</v>
      </c>
      <c r="G55" s="110" t="n">
        <v>0</v>
      </c>
      <c r="H55" s="110" t="n">
        <v>0</v>
      </c>
      <c r="I55" s="110" t="n">
        <v>0</v>
      </c>
      <c r="J55" s="110" t="n">
        <v>0</v>
      </c>
      <c r="K55" s="110" t="n">
        <v>0</v>
      </c>
      <c r="L55" s="110" t="n">
        <v>171012.5</v>
      </c>
      <c r="M55" s="110" t="n">
        <v>606461.25</v>
      </c>
      <c r="N55" s="110" t="n">
        <v>645.4</v>
      </c>
      <c r="O55" s="110" t="n">
        <v>3393507.18</v>
      </c>
      <c r="P55" s="110" t="n">
        <v>2308017.68</v>
      </c>
      <c r="Q55" s="110" t="n">
        <v>2308017.68</v>
      </c>
      <c r="R55" s="110" t="n">
        <v>0</v>
      </c>
      <c r="S55" s="110" t="n">
        <v>1085489.5</v>
      </c>
      <c r="T55" s="110" t="n">
        <v>853894.1899999999</v>
      </c>
      <c r="U55" s="110" t="n">
        <v>231595.31</v>
      </c>
      <c r="V55" s="110" t="n">
        <v>0</v>
      </c>
      <c r="W55" s="110" t="n">
        <v>0</v>
      </c>
      <c r="X55" s="110" t="n">
        <v>0</v>
      </c>
      <c r="Y55" s="110" t="n">
        <v>0</v>
      </c>
      <c r="Z55" s="110" t="n">
        <v>0</v>
      </c>
      <c r="AA55" s="110" t="n">
        <v>0</v>
      </c>
      <c r="AB55" s="110" t="n">
        <v>0</v>
      </c>
      <c r="AC55" s="110" t="n">
        <v>0</v>
      </c>
      <c r="AD55" s="110" t="n">
        <v>0</v>
      </c>
      <c r="AE55" s="110" t="n">
        <v>0</v>
      </c>
      <c r="AF55" s="110" t="n">
        <v>0</v>
      </c>
      <c r="AG55" s="110" t="n">
        <v>0</v>
      </c>
      <c r="AH55" s="110" t="n">
        <v>0</v>
      </c>
      <c r="AI55" s="110" t="n">
        <v>0</v>
      </c>
      <c r="AJ55" s="110" t="n">
        <v>0</v>
      </c>
      <c r="AK55" s="110" t="n">
        <v>0</v>
      </c>
      <c r="AL55" s="110" t="n">
        <v>0</v>
      </c>
      <c r="AM55" s="110" t="n">
        <v>0</v>
      </c>
      <c r="AN55" s="110" t="n">
        <v>0</v>
      </c>
      <c r="AO55" s="110" t="n">
        <v>0</v>
      </c>
      <c r="AP55" s="110" t="n">
        <v>0</v>
      </c>
      <c r="AQ55" s="110" t="n">
        <v>0</v>
      </c>
      <c r="AR55" s="110" t="n">
        <v>0</v>
      </c>
      <c r="AS55" s="110" t="n">
        <v>0</v>
      </c>
      <c r="AT55" s="110" t="n">
        <v>0</v>
      </c>
      <c r="AU55" s="110" t="n">
        <v>0</v>
      </c>
      <c r="AV55" s="110" t="n">
        <v>0</v>
      </c>
      <c r="AW55" s="110" t="n">
        <v>0</v>
      </c>
      <c r="AX55" s="110" t="n">
        <v>0</v>
      </c>
      <c r="AY55" s="110" t="n">
        <v>0</v>
      </c>
      <c r="AZ55" s="110" t="n">
        <v>0</v>
      </c>
      <c r="BA55" s="110" t="n">
        <v>0</v>
      </c>
      <c r="BB55" s="110" t="n">
        <v>0</v>
      </c>
      <c r="BC55" s="110" t="n">
        <v>0</v>
      </c>
      <c r="BD55" s="110" t="n">
        <v>0</v>
      </c>
      <c r="BE55" s="110" t="n">
        <v>3393507.18</v>
      </c>
      <c r="BF55" s="110" t="n">
        <v>2308017.68</v>
      </c>
      <c r="BG55" s="110" t="n">
        <v>2308017.68</v>
      </c>
      <c r="BH55" s="110" t="n">
        <v>0</v>
      </c>
      <c r="BI55" s="110" t="n">
        <v>1085489.5</v>
      </c>
      <c r="BJ55" s="110" t="n">
        <v>853894.1899999999</v>
      </c>
      <c r="BK55" s="110" t="n">
        <v>231595.31</v>
      </c>
      <c r="BL55" s="110" t="n">
        <v>669727.99</v>
      </c>
      <c r="BM55" s="110" t="n">
        <v>443409.19</v>
      </c>
      <c r="BN55" s="110" t="n">
        <v>443409.19</v>
      </c>
      <c r="BO55" s="110" t="n">
        <v>0</v>
      </c>
      <c r="BP55" s="110" t="n">
        <v>226318.8</v>
      </c>
      <c r="BQ55" s="110" t="n">
        <v>153412.92</v>
      </c>
      <c r="BR55" s="110" t="n">
        <v>72905.88</v>
      </c>
      <c r="BS55" s="110" t="n">
        <v>945274.4399999999</v>
      </c>
      <c r="BT55" s="110" t="n">
        <v>613266.74</v>
      </c>
      <c r="BU55" s="110" t="n">
        <v>613266.74</v>
      </c>
      <c r="BV55" s="110" t="n">
        <v>0</v>
      </c>
      <c r="BW55" s="110" t="n">
        <v>332007.7</v>
      </c>
      <c r="BX55" s="110" t="n">
        <v>289613.77</v>
      </c>
      <c r="BY55" s="110" t="n">
        <v>42393.93</v>
      </c>
      <c r="BZ55" s="110" t="n">
        <v>702990</v>
      </c>
      <c r="CA55" s="110" t="n">
        <v>490107.5</v>
      </c>
      <c r="CB55" s="110" t="n">
        <v>490107.5</v>
      </c>
      <c r="CC55" s="110" t="n">
        <v>0</v>
      </c>
      <c r="CD55" s="110" t="n">
        <v>212882.5</v>
      </c>
      <c r="CE55" s="110" t="n">
        <v>171809.5</v>
      </c>
      <c r="CF55" s="110" t="n">
        <v>41073</v>
      </c>
      <c r="CG55" s="110" t="n">
        <v>1075514.75</v>
      </c>
      <c r="CH55" s="110" t="n">
        <v>761234.25</v>
      </c>
      <c r="CI55" s="110" t="n">
        <v>761234.25</v>
      </c>
      <c r="CJ55" s="110" t="n">
        <v>0</v>
      </c>
      <c r="CK55" s="110" t="n">
        <v>314280.5</v>
      </c>
      <c r="CL55" s="110" t="n">
        <v>239058</v>
      </c>
      <c r="CM55" s="110" t="n">
        <v>75222.5</v>
      </c>
      <c r="CN55" s="110" t="n">
        <v>0</v>
      </c>
      <c r="CO55" s="110" t="n">
        <v>0</v>
      </c>
      <c r="CP55" s="110" t="n">
        <v>0</v>
      </c>
      <c r="CQ55" s="110" t="n">
        <v>0</v>
      </c>
      <c r="CR55" s="110" t="n">
        <v>0</v>
      </c>
      <c r="CS55" s="110" t="n">
        <v>0</v>
      </c>
      <c r="CT55" s="110" t="n">
        <v>0</v>
      </c>
      <c r="CU55" s="110" t="n">
        <v>0</v>
      </c>
      <c r="CV55" s="111" t="n">
        <v>0</v>
      </c>
      <c r="CW55" s="111" t="n">
        <v>0</v>
      </c>
      <c r="CX55" s="111" t="n">
        <v>0</v>
      </c>
      <c r="CY55" s="111" t="n">
        <v>0</v>
      </c>
      <c r="CZ55" s="111" t="n">
        <v>0</v>
      </c>
      <c r="DA55" s="111" t="n">
        <v>0</v>
      </c>
      <c r="DB55" s="111" t="n">
        <v>0</v>
      </c>
      <c r="DC55" s="111" t="n">
        <v>0</v>
      </c>
      <c r="DD55" s="111" t="n">
        <v>0</v>
      </c>
      <c r="DE55" s="111" t="n">
        <v>0</v>
      </c>
      <c r="DF55" s="111" t="n">
        <v>0</v>
      </c>
      <c r="DG55" s="111" t="n">
        <v>0</v>
      </c>
      <c r="DH55" s="111" t="n">
        <v>0</v>
      </c>
      <c r="DI55" s="111" t="n">
        <v>0</v>
      </c>
      <c r="DJ55" s="111" t="n">
        <v>0</v>
      </c>
      <c r="DK55" s="111" t="n">
        <v>0</v>
      </c>
      <c r="DL55" s="111" t="n">
        <v>0</v>
      </c>
      <c r="DM55" s="111" t="n">
        <v>0</v>
      </c>
      <c r="DN55" s="111" t="n">
        <v>0</v>
      </c>
      <c r="DO55" s="111" t="n">
        <v>0</v>
      </c>
      <c r="DP55" s="111" t="n">
        <v>0</v>
      </c>
      <c r="DQ55" s="111" t="n">
        <v>0</v>
      </c>
      <c r="DR55" s="111" t="n">
        <v>0</v>
      </c>
      <c r="DS55" s="111" t="n">
        <v>0</v>
      </c>
      <c r="DT55" s="111" t="n">
        <v>0</v>
      </c>
      <c r="DU55" s="111" t="n">
        <v>0</v>
      </c>
      <c r="DV55" s="111" t="n">
        <v>0</v>
      </c>
      <c r="DW55" s="111" t="n">
        <v>0</v>
      </c>
      <c r="DX55" s="111" t="n">
        <v>0</v>
      </c>
      <c r="DY55" s="111" t="n">
        <v>0</v>
      </c>
      <c r="DZ55" s="111" t="n">
        <v>0</v>
      </c>
      <c r="EA55" s="111" t="n">
        <v>0</v>
      </c>
      <c r="EB55" s="111" t="n">
        <v>0</v>
      </c>
      <c r="EC55" s="111" t="n">
        <v>0</v>
      </c>
      <c r="ED55" s="111" t="n">
        <v>0</v>
      </c>
      <c r="EE55" s="111" t="n">
        <v>0</v>
      </c>
      <c r="EF55" s="111" t="n">
        <v>0</v>
      </c>
      <c r="EG55" s="111" t="n">
        <v>0</v>
      </c>
      <c r="EH55" s="111" t="n">
        <v>0</v>
      </c>
      <c r="EI55" s="111" t="n">
        <v>0</v>
      </c>
      <c r="EJ55" s="111" t="n">
        <v>0</v>
      </c>
      <c r="EK55" s="111" t="n">
        <v>0</v>
      </c>
      <c r="EL55" s="111" t="n">
        <v>0</v>
      </c>
      <c r="EM55" s="111" t="n">
        <v>0</v>
      </c>
      <c r="EN55" s="111" t="n">
        <v>0</v>
      </c>
      <c r="EO55" s="111" t="n">
        <v>0</v>
      </c>
      <c r="EP55" s="111" t="n">
        <v>0</v>
      </c>
      <c r="EQ55" s="111" t="n">
        <v>0</v>
      </c>
      <c r="ER55" s="111" t="n">
        <v>0</v>
      </c>
      <c r="ES55" s="111" t="n">
        <v>0</v>
      </c>
      <c r="ET55" s="111" t="n">
        <v>0</v>
      </c>
      <c r="EU55" s="111" t="n">
        <v>0</v>
      </c>
      <c r="EV55" s="111" t="n">
        <v>0</v>
      </c>
      <c r="EW55" s="111" t="n">
        <v>0</v>
      </c>
      <c r="EX55" s="111" t="n">
        <v>0</v>
      </c>
      <c r="EY55" s="111" t="n">
        <v>0</v>
      </c>
      <c r="EZ55" s="111" t="n">
        <v>0</v>
      </c>
      <c r="FA55" s="111" t="n">
        <v>0</v>
      </c>
      <c r="FB55" s="111" t="n">
        <v>0</v>
      </c>
    </row>
    <row r="56" ht="19.5" customHeight="1" s="247">
      <c r="A56" s="107" t="n">
        <v>53</v>
      </c>
      <c r="B56" s="107" t="inlineStr">
        <is>
          <t>成人手术</t>
        </is>
      </c>
      <c r="C56" s="107" t="inlineStr">
        <is>
          <t>疼痛科</t>
        </is>
      </c>
      <c r="D56" s="110" t="n">
        <v>1276002</v>
      </c>
      <c r="E56" s="110" t="n">
        <v>264933</v>
      </c>
      <c r="F56" s="110" t="n">
        <v>1011069</v>
      </c>
      <c r="G56" s="110" t="n">
        <v>1644</v>
      </c>
      <c r="H56" s="110" t="n">
        <v>210</v>
      </c>
      <c r="I56" s="110" t="n">
        <v>24524</v>
      </c>
      <c r="J56" s="110" t="n">
        <v>0</v>
      </c>
      <c r="K56" s="110" t="n">
        <v>0</v>
      </c>
      <c r="L56" s="110" t="n">
        <v>45388</v>
      </c>
      <c r="M56" s="110" t="n">
        <v>582588</v>
      </c>
      <c r="N56" s="110" t="n">
        <v>0</v>
      </c>
      <c r="O56" s="110" t="n">
        <v>3793032.1</v>
      </c>
      <c r="P56" s="110" t="n">
        <v>2343751.44</v>
      </c>
      <c r="Q56" s="110" t="n">
        <v>2312103.24</v>
      </c>
      <c r="R56" s="110" t="n">
        <v>31648.2</v>
      </c>
      <c r="S56" s="110" t="n">
        <v>1449280.66</v>
      </c>
      <c r="T56" s="110" t="n">
        <v>1400937.3</v>
      </c>
      <c r="U56" s="110" t="n">
        <v>48343.36</v>
      </c>
      <c r="V56" s="110" t="n">
        <v>641434.71</v>
      </c>
      <c r="W56" s="110" t="n">
        <v>542653.2</v>
      </c>
      <c r="X56" s="110" t="n">
        <v>511005</v>
      </c>
      <c r="Y56" s="110" t="n">
        <v>31648.2</v>
      </c>
      <c r="Z56" s="110" t="n">
        <v>98781.50999999999</v>
      </c>
      <c r="AA56" s="110" t="n">
        <v>70340.27</v>
      </c>
      <c r="AB56" s="110" t="n">
        <v>28441.24</v>
      </c>
      <c r="AC56" s="110" t="n">
        <v>362934.31</v>
      </c>
      <c r="AD56" s="110" t="n">
        <v>313436.8</v>
      </c>
      <c r="AE56" s="110" t="n">
        <v>299615.6</v>
      </c>
      <c r="AF56" s="110" t="n">
        <v>13821.2</v>
      </c>
      <c r="AG56" s="110" t="n">
        <v>49497.51</v>
      </c>
      <c r="AH56" s="110" t="n">
        <v>38291.27</v>
      </c>
      <c r="AI56" s="110" t="n">
        <v>11206.24</v>
      </c>
      <c r="AJ56" s="110" t="n">
        <v>13567.4</v>
      </c>
      <c r="AK56" s="110" t="n">
        <v>9542.4</v>
      </c>
      <c r="AL56" s="110" t="n">
        <v>9262.4</v>
      </c>
      <c r="AM56" s="110" t="n">
        <v>280</v>
      </c>
      <c r="AN56" s="110" t="n">
        <v>4025</v>
      </c>
      <c r="AO56" s="110" t="n">
        <v>2905</v>
      </c>
      <c r="AP56" s="110" t="n">
        <v>1120</v>
      </c>
      <c r="AQ56" s="110" t="n">
        <v>174610</v>
      </c>
      <c r="AR56" s="110" t="n">
        <v>150962</v>
      </c>
      <c r="AS56" s="110" t="n">
        <v>137745</v>
      </c>
      <c r="AT56" s="110" t="n">
        <v>13217</v>
      </c>
      <c r="AU56" s="110" t="n">
        <v>23648</v>
      </c>
      <c r="AV56" s="110" t="n">
        <v>16517</v>
      </c>
      <c r="AW56" s="110" t="n">
        <v>7131</v>
      </c>
      <c r="AX56" s="110" t="n">
        <v>90323</v>
      </c>
      <c r="AY56" s="110" t="n">
        <v>68712</v>
      </c>
      <c r="AZ56" s="110" t="n">
        <v>64382</v>
      </c>
      <c r="BA56" s="110" t="n">
        <v>4330</v>
      </c>
      <c r="BB56" s="110" t="n">
        <v>21611</v>
      </c>
      <c r="BC56" s="110" t="n">
        <v>12627</v>
      </c>
      <c r="BD56" s="110" t="n">
        <v>8984</v>
      </c>
      <c r="BE56" s="110" t="n">
        <v>3151597.39</v>
      </c>
      <c r="BF56" s="110" t="n">
        <v>1801098.24</v>
      </c>
      <c r="BG56" s="110" t="n">
        <v>1801098.24</v>
      </c>
      <c r="BH56" s="110" t="n">
        <v>0</v>
      </c>
      <c r="BI56" s="110" t="n">
        <v>1350499.15</v>
      </c>
      <c r="BJ56" s="110" t="n">
        <v>1330597.03</v>
      </c>
      <c r="BK56" s="110" t="n">
        <v>19902.12</v>
      </c>
      <c r="BL56" s="110" t="n">
        <v>140920.35</v>
      </c>
      <c r="BM56" s="110" t="n">
        <v>83541.75</v>
      </c>
      <c r="BN56" s="110" t="n">
        <v>83541.75</v>
      </c>
      <c r="BO56" s="110" t="n">
        <v>0</v>
      </c>
      <c r="BP56" s="110" t="n">
        <v>57378.6</v>
      </c>
      <c r="BQ56" s="110" t="n">
        <v>55446.48</v>
      </c>
      <c r="BR56" s="110" t="n">
        <v>1932.12</v>
      </c>
      <c r="BS56" s="110" t="n">
        <v>1999608.04</v>
      </c>
      <c r="BT56" s="110" t="n">
        <v>1170984.99</v>
      </c>
      <c r="BU56" s="110" t="n">
        <v>1170984.99</v>
      </c>
      <c r="BV56" s="110" t="n">
        <v>0</v>
      </c>
      <c r="BW56" s="110" t="n">
        <v>828623.05</v>
      </c>
      <c r="BX56" s="110" t="n">
        <v>818651.05</v>
      </c>
      <c r="BY56" s="110" t="n">
        <v>9972</v>
      </c>
      <c r="BZ56" s="110" t="n">
        <v>281361</v>
      </c>
      <c r="CA56" s="110" t="n">
        <v>131907</v>
      </c>
      <c r="CB56" s="110" t="n">
        <v>131907</v>
      </c>
      <c r="CC56" s="110" t="n">
        <v>0</v>
      </c>
      <c r="CD56" s="110" t="n">
        <v>149454</v>
      </c>
      <c r="CE56" s="110" t="n">
        <v>146609</v>
      </c>
      <c r="CF56" s="110" t="n">
        <v>2845</v>
      </c>
      <c r="CG56" s="110" t="n">
        <v>729708</v>
      </c>
      <c r="CH56" s="110" t="n">
        <v>414664.5</v>
      </c>
      <c r="CI56" s="110" t="n">
        <v>414664.5</v>
      </c>
      <c r="CJ56" s="110" t="n">
        <v>0</v>
      </c>
      <c r="CK56" s="110" t="n">
        <v>315043.5</v>
      </c>
      <c r="CL56" s="110" t="n">
        <v>309890.5</v>
      </c>
      <c r="CM56" s="110" t="n">
        <v>5153</v>
      </c>
      <c r="CN56" s="110" t="n">
        <v>-50</v>
      </c>
      <c r="CO56" s="110" t="n">
        <v>359764.77</v>
      </c>
      <c r="CP56" s="110" t="n">
        <v>216736.1</v>
      </c>
      <c r="CQ56" s="110" t="n">
        <v>34512.17</v>
      </c>
      <c r="CR56" s="110" t="n">
        <v>30421.67</v>
      </c>
      <c r="CS56" s="110" t="n">
        <v>0</v>
      </c>
      <c r="CT56" s="110" t="n">
        <v>0</v>
      </c>
      <c r="CU56" s="110" t="n">
        <v>0</v>
      </c>
      <c r="CV56" s="111" t="n">
        <v>1644</v>
      </c>
      <c r="CW56" s="111" t="n">
        <v>1310</v>
      </c>
      <c r="CX56" s="111" t="n">
        <v>1233</v>
      </c>
      <c r="CY56" s="111" t="n">
        <v>77</v>
      </c>
      <c r="CZ56" s="111" t="n">
        <v>334</v>
      </c>
      <c r="DA56" s="111" t="n">
        <v>212</v>
      </c>
      <c r="DB56" s="111" t="n">
        <v>122</v>
      </c>
      <c r="DC56" s="111" t="n">
        <v>1071</v>
      </c>
      <c r="DD56" s="111" t="n">
        <v>0</v>
      </c>
      <c r="DE56" s="111" t="n">
        <v>918</v>
      </c>
      <c r="DF56" s="111" t="n">
        <v>870</v>
      </c>
      <c r="DG56" s="111" t="n">
        <v>48</v>
      </c>
      <c r="DH56" s="111" t="n">
        <v>153</v>
      </c>
      <c r="DI56" s="111" t="n">
        <v>103</v>
      </c>
      <c r="DJ56" s="111" t="n">
        <v>50</v>
      </c>
      <c r="DK56" s="111" t="n">
        <v>529</v>
      </c>
      <c r="DL56" s="111" t="n">
        <v>368</v>
      </c>
      <c r="DM56" s="111" t="n">
        <v>342</v>
      </c>
      <c r="DN56" s="111" t="n">
        <v>26</v>
      </c>
      <c r="DO56" s="111" t="n">
        <v>161</v>
      </c>
      <c r="DP56" s="111" t="n">
        <v>102</v>
      </c>
      <c r="DQ56" s="111" t="n">
        <v>59</v>
      </c>
      <c r="DR56" s="111" t="n">
        <v>44</v>
      </c>
      <c r="DS56" s="111" t="n">
        <v>0</v>
      </c>
      <c r="DT56" s="111" t="n">
        <v>24</v>
      </c>
      <c r="DU56" s="111" t="n">
        <v>21</v>
      </c>
      <c r="DV56" s="111" t="n">
        <v>3</v>
      </c>
      <c r="DW56" s="111" t="n">
        <v>20</v>
      </c>
      <c r="DX56" s="111" t="n">
        <v>7</v>
      </c>
      <c r="DY56" s="111" t="n">
        <v>13</v>
      </c>
      <c r="DZ56" s="111" t="n">
        <v>0</v>
      </c>
      <c r="EA56" s="111" t="n">
        <v>0</v>
      </c>
      <c r="EB56" s="111" t="n">
        <v>0</v>
      </c>
      <c r="EC56" s="111" t="n">
        <v>0</v>
      </c>
      <c r="ED56" s="111" t="n">
        <v>0</v>
      </c>
      <c r="EE56" s="111" t="n">
        <v>0</v>
      </c>
      <c r="EF56" s="111" t="n">
        <v>0</v>
      </c>
      <c r="EG56" s="111" t="n">
        <v>210</v>
      </c>
      <c r="EH56" s="111" t="n">
        <v>130</v>
      </c>
      <c r="EI56" s="111" t="n">
        <v>130</v>
      </c>
      <c r="EJ56" s="111" t="n">
        <v>0</v>
      </c>
      <c r="EK56" s="111" t="n">
        <v>80</v>
      </c>
      <c r="EL56" s="111" t="n">
        <v>79</v>
      </c>
      <c r="EM56" s="111" t="n">
        <v>1</v>
      </c>
      <c r="EN56" s="111" t="n">
        <v>198</v>
      </c>
      <c r="EO56" s="111" t="n">
        <v>186</v>
      </c>
      <c r="EP56" s="111" t="n">
        <v>0</v>
      </c>
      <c r="EQ56" s="111" t="n">
        <v>12</v>
      </c>
      <c r="ER56" s="111" t="n">
        <v>4</v>
      </c>
      <c r="ES56" s="111" t="n">
        <v>0</v>
      </c>
      <c r="ET56" s="111" t="n">
        <v>0</v>
      </c>
      <c r="EU56" s="111" t="n">
        <v>10</v>
      </c>
      <c r="EV56" s="111" t="n">
        <v>10</v>
      </c>
      <c r="EW56" s="111" t="n">
        <v>0</v>
      </c>
      <c r="EX56" s="111" t="n">
        <v>0</v>
      </c>
      <c r="EY56" s="111" t="n">
        <v>74</v>
      </c>
      <c r="EZ56" s="111" t="n">
        <v>74</v>
      </c>
      <c r="FA56" s="111" t="n">
        <v>0</v>
      </c>
      <c r="FB56" s="111" t="n">
        <v>35</v>
      </c>
    </row>
    <row r="57" ht="19.5" customHeight="1" s="247">
      <c r="A57" s="107" t="n">
        <v>54</v>
      </c>
      <c r="B57" s="107" t="inlineStr">
        <is>
          <t>成人非手术</t>
        </is>
      </c>
      <c r="C57" s="107" t="inlineStr">
        <is>
          <t>生殖医学中心</t>
        </is>
      </c>
      <c r="D57" s="110" t="n">
        <v>1690337</v>
      </c>
      <c r="E57" s="110" t="n">
        <v>1690337</v>
      </c>
      <c r="F57" s="110" t="n">
        <v>0</v>
      </c>
      <c r="G57" s="110" t="n">
        <v>1560</v>
      </c>
      <c r="H57" s="110" t="n">
        <v>0</v>
      </c>
      <c r="I57" s="110" t="n">
        <v>955409</v>
      </c>
      <c r="J57" s="110" t="n">
        <v>6440</v>
      </c>
      <c r="K57" s="110" t="n">
        <v>0</v>
      </c>
      <c r="L57" s="110" t="n">
        <v>0</v>
      </c>
      <c r="M57" s="110" t="n">
        <v>0</v>
      </c>
      <c r="N57" s="110" t="n">
        <v>0</v>
      </c>
      <c r="O57" s="110" t="n">
        <v>2018879.55</v>
      </c>
      <c r="P57" s="110" t="n">
        <v>1484963.21</v>
      </c>
      <c r="Q57" s="110" t="n">
        <v>1379684.69</v>
      </c>
      <c r="R57" s="110" t="n">
        <v>105278.52</v>
      </c>
      <c r="S57" s="110" t="n">
        <v>533916.34</v>
      </c>
      <c r="T57" s="110" t="n">
        <v>342173.52</v>
      </c>
      <c r="U57" s="110" t="n">
        <v>191742.82</v>
      </c>
      <c r="V57" s="110" t="n">
        <v>2018879.55</v>
      </c>
      <c r="W57" s="110" t="n">
        <v>1484963.21</v>
      </c>
      <c r="X57" s="110" t="n">
        <v>1379684.69</v>
      </c>
      <c r="Y57" s="110" t="n">
        <v>105278.52</v>
      </c>
      <c r="Z57" s="110" t="n">
        <v>533916.34</v>
      </c>
      <c r="AA57" s="110" t="n">
        <v>342173.52</v>
      </c>
      <c r="AB57" s="110" t="n">
        <v>191742.82</v>
      </c>
      <c r="AC57" s="110" t="n">
        <v>328033.75</v>
      </c>
      <c r="AD57" s="110" t="n">
        <v>216058.81</v>
      </c>
      <c r="AE57" s="110" t="n">
        <v>204567.29</v>
      </c>
      <c r="AF57" s="110" t="n">
        <v>11491.52</v>
      </c>
      <c r="AG57" s="110" t="n">
        <v>111974.94</v>
      </c>
      <c r="AH57" s="110" t="n">
        <v>79056.72</v>
      </c>
      <c r="AI57" s="110" t="n">
        <v>32918.22</v>
      </c>
      <c r="AJ57" s="110" t="n">
        <v>508.8</v>
      </c>
      <c r="AK57" s="110" t="n">
        <v>370.4</v>
      </c>
      <c r="AL57" s="110" t="n">
        <v>346.4</v>
      </c>
      <c r="AM57" s="110" t="n">
        <v>24</v>
      </c>
      <c r="AN57" s="110" t="n">
        <v>138.4</v>
      </c>
      <c r="AO57" s="110" t="n">
        <v>80.8</v>
      </c>
      <c r="AP57" s="110" t="n">
        <v>57.6</v>
      </c>
      <c r="AQ57" s="110" t="n">
        <v>647645</v>
      </c>
      <c r="AR57" s="110" t="n">
        <v>473275</v>
      </c>
      <c r="AS57" s="110" t="n">
        <v>442938</v>
      </c>
      <c r="AT57" s="110" t="n">
        <v>30337</v>
      </c>
      <c r="AU57" s="110" t="n">
        <v>174370</v>
      </c>
      <c r="AV57" s="110" t="n">
        <v>90569</v>
      </c>
      <c r="AW57" s="110" t="n">
        <v>83801</v>
      </c>
      <c r="AX57" s="110" t="n">
        <v>1042692</v>
      </c>
      <c r="AY57" s="110" t="n">
        <v>795259</v>
      </c>
      <c r="AZ57" s="110" t="n">
        <v>731833</v>
      </c>
      <c r="BA57" s="110" t="n">
        <v>63426</v>
      </c>
      <c r="BB57" s="110" t="n">
        <v>247433</v>
      </c>
      <c r="BC57" s="110" t="n">
        <v>172467</v>
      </c>
      <c r="BD57" s="110" t="n">
        <v>74966</v>
      </c>
      <c r="BE57" s="110" t="n">
        <v>0</v>
      </c>
      <c r="BF57" s="110" t="n">
        <v>0</v>
      </c>
      <c r="BG57" s="110" t="n">
        <v>0</v>
      </c>
      <c r="BH57" s="110" t="n">
        <v>0</v>
      </c>
      <c r="BI57" s="110" t="n">
        <v>0</v>
      </c>
      <c r="BJ57" s="110" t="n">
        <v>0</v>
      </c>
      <c r="BK57" s="110" t="n">
        <v>0</v>
      </c>
      <c r="BL57" s="110" t="n">
        <v>0</v>
      </c>
      <c r="BM57" s="110" t="n">
        <v>0</v>
      </c>
      <c r="BN57" s="110" t="n">
        <v>0</v>
      </c>
      <c r="BO57" s="110" t="n">
        <v>0</v>
      </c>
      <c r="BP57" s="110" t="n">
        <v>0</v>
      </c>
      <c r="BQ57" s="110" t="n">
        <v>0</v>
      </c>
      <c r="BR57" s="110" t="n">
        <v>0</v>
      </c>
      <c r="BS57" s="110" t="n">
        <v>0</v>
      </c>
      <c r="BT57" s="110" t="n">
        <v>0</v>
      </c>
      <c r="BU57" s="110" t="n">
        <v>0</v>
      </c>
      <c r="BV57" s="110" t="n">
        <v>0</v>
      </c>
      <c r="BW57" s="110" t="n">
        <v>0</v>
      </c>
      <c r="BX57" s="110" t="n">
        <v>0</v>
      </c>
      <c r="BY57" s="110" t="n">
        <v>0</v>
      </c>
      <c r="BZ57" s="110" t="n">
        <v>0</v>
      </c>
      <c r="CA57" s="110" t="n">
        <v>0</v>
      </c>
      <c r="CB57" s="110" t="n">
        <v>0</v>
      </c>
      <c r="CC57" s="110" t="n">
        <v>0</v>
      </c>
      <c r="CD57" s="110" t="n">
        <v>0</v>
      </c>
      <c r="CE57" s="110" t="n">
        <v>0</v>
      </c>
      <c r="CF57" s="110" t="n">
        <v>0</v>
      </c>
      <c r="CG57" s="110" t="n">
        <v>0</v>
      </c>
      <c r="CH57" s="110" t="n">
        <v>0</v>
      </c>
      <c r="CI57" s="110" t="n">
        <v>0</v>
      </c>
      <c r="CJ57" s="110" t="n">
        <v>0</v>
      </c>
      <c r="CK57" s="110" t="n">
        <v>0</v>
      </c>
      <c r="CL57" s="110" t="n">
        <v>0</v>
      </c>
      <c r="CM57" s="110" t="n">
        <v>0</v>
      </c>
      <c r="CN57" s="110" t="n">
        <v>33621</v>
      </c>
      <c r="CO57" s="110" t="n">
        <v>592115.37</v>
      </c>
      <c r="CP57" s="110" t="n">
        <v>1013137.73</v>
      </c>
      <c r="CQ57" s="110" t="n">
        <v>84014.67999999999</v>
      </c>
      <c r="CR57" s="110" t="n">
        <v>295940.77</v>
      </c>
      <c r="CS57" s="110" t="n">
        <v>0</v>
      </c>
      <c r="CT57" s="110" t="n">
        <v>0</v>
      </c>
      <c r="CU57" s="110" t="n">
        <v>0</v>
      </c>
      <c r="CV57" s="111" t="n">
        <v>1560</v>
      </c>
      <c r="CW57" s="111" t="n">
        <v>1295</v>
      </c>
      <c r="CX57" s="111" t="n">
        <v>1223</v>
      </c>
      <c r="CY57" s="111" t="n">
        <v>72</v>
      </c>
      <c r="CZ57" s="111" t="n">
        <v>265</v>
      </c>
      <c r="DA57" s="111" t="n">
        <v>169</v>
      </c>
      <c r="DB57" s="111" t="n">
        <v>96</v>
      </c>
      <c r="DC57" s="111" t="n">
        <v>622</v>
      </c>
      <c r="DD57" s="111" t="n">
        <v>0</v>
      </c>
      <c r="DE57" s="111" t="n">
        <v>551</v>
      </c>
      <c r="DF57" s="111" t="n">
        <v>516</v>
      </c>
      <c r="DG57" s="111" t="n">
        <v>35</v>
      </c>
      <c r="DH57" s="111" t="n">
        <v>71</v>
      </c>
      <c r="DI57" s="111" t="n">
        <v>42</v>
      </c>
      <c r="DJ57" s="111" t="n">
        <v>29</v>
      </c>
      <c r="DK57" s="111" t="n">
        <v>873</v>
      </c>
      <c r="DL57" s="111" t="n">
        <v>696</v>
      </c>
      <c r="DM57" s="111" t="n">
        <v>662</v>
      </c>
      <c r="DN57" s="111" t="n">
        <v>34</v>
      </c>
      <c r="DO57" s="111" t="n">
        <v>177</v>
      </c>
      <c r="DP57" s="111" t="n">
        <v>114</v>
      </c>
      <c r="DQ57" s="111" t="n">
        <v>63</v>
      </c>
      <c r="DR57" s="111" t="n">
        <v>53</v>
      </c>
      <c r="DS57" s="111" t="n">
        <v>0</v>
      </c>
      <c r="DT57" s="111" t="n">
        <v>40</v>
      </c>
      <c r="DU57" s="111" t="n">
        <v>37</v>
      </c>
      <c r="DV57" s="111" t="n">
        <v>3</v>
      </c>
      <c r="DW57" s="111" t="n">
        <v>13</v>
      </c>
      <c r="DX57" s="111" t="n">
        <v>11</v>
      </c>
      <c r="DY57" s="111" t="n">
        <v>2</v>
      </c>
      <c r="DZ57" s="111" t="n">
        <v>12</v>
      </c>
      <c r="EA57" s="111" t="n">
        <v>8</v>
      </c>
      <c r="EB57" s="111" t="n">
        <v>8</v>
      </c>
      <c r="EC57" s="111" t="n">
        <v>0</v>
      </c>
      <c r="ED57" s="111" t="n">
        <v>4</v>
      </c>
      <c r="EE57" s="111" t="n">
        <v>2</v>
      </c>
      <c r="EF57" s="111" t="n">
        <v>2</v>
      </c>
      <c r="EG57" s="111" t="n">
        <v>0</v>
      </c>
      <c r="EH57" s="111" t="n">
        <v>0</v>
      </c>
      <c r="EI57" s="111" t="n">
        <v>0</v>
      </c>
      <c r="EJ57" s="111" t="n">
        <v>0</v>
      </c>
      <c r="EK57" s="111" t="n">
        <v>0</v>
      </c>
      <c r="EL57" s="111" t="n">
        <v>0</v>
      </c>
      <c r="EM57" s="111" t="n">
        <v>0</v>
      </c>
      <c r="EN57" s="111" t="n">
        <v>0</v>
      </c>
      <c r="EO57" s="111" t="n">
        <v>0</v>
      </c>
      <c r="EP57" s="111" t="n">
        <v>0</v>
      </c>
      <c r="EQ57" s="111" t="n">
        <v>0</v>
      </c>
      <c r="ER57" s="111" t="n">
        <v>0</v>
      </c>
      <c r="ES57" s="111" t="n">
        <v>0</v>
      </c>
      <c r="ET57" s="111" t="n">
        <v>0</v>
      </c>
      <c r="EU57" s="111" t="n">
        <v>0</v>
      </c>
      <c r="EV57" s="111" t="n">
        <v>0</v>
      </c>
      <c r="EW57" s="111" t="n">
        <v>0</v>
      </c>
      <c r="EX57" s="111" t="n">
        <v>0</v>
      </c>
      <c r="EY57" s="111" t="n">
        <v>0</v>
      </c>
      <c r="EZ57" s="111" t="n">
        <v>0</v>
      </c>
      <c r="FA57" s="111" t="n">
        <v>0</v>
      </c>
      <c r="FB57" s="111" t="n">
        <v>0</v>
      </c>
    </row>
    <row r="58" ht="19.5" customHeight="1" s="247">
      <c r="A58" s="107" t="n">
        <v>55</v>
      </c>
      <c r="B58" s="107" t="inlineStr">
        <is>
          <t>其他</t>
        </is>
      </c>
      <c r="C58" s="107" t="inlineStr">
        <is>
          <t>上海市罕见病诊治中心</t>
        </is>
      </c>
      <c r="D58" s="110" t="n">
        <v>4325</v>
      </c>
      <c r="E58" s="110" t="n">
        <v>4325</v>
      </c>
      <c r="F58" s="110" t="n">
        <v>0</v>
      </c>
      <c r="G58" s="110" t="n">
        <v>5</v>
      </c>
      <c r="H58" s="110" t="n">
        <v>0</v>
      </c>
      <c r="I58" s="110" t="n">
        <v>0</v>
      </c>
      <c r="J58" s="110" t="n">
        <v>0</v>
      </c>
      <c r="K58" s="110" t="n">
        <v>0</v>
      </c>
      <c r="L58" s="110" t="n">
        <v>0</v>
      </c>
      <c r="M58" s="110" t="n">
        <v>0</v>
      </c>
      <c r="N58" s="110" t="n">
        <v>0</v>
      </c>
      <c r="O58" s="110" t="n">
        <v>4512.82</v>
      </c>
      <c r="P58" s="110" t="n">
        <v>25</v>
      </c>
      <c r="Q58" s="110" t="n">
        <v>25</v>
      </c>
      <c r="R58" s="110" t="n">
        <v>0</v>
      </c>
      <c r="S58" s="110" t="n">
        <v>4487.82</v>
      </c>
      <c r="T58" s="110" t="n">
        <v>212.82</v>
      </c>
      <c r="U58" s="110" t="n">
        <v>4275</v>
      </c>
      <c r="V58" s="110" t="n">
        <v>4512.82</v>
      </c>
      <c r="W58" s="110" t="n">
        <v>25</v>
      </c>
      <c r="X58" s="110" t="n">
        <v>25</v>
      </c>
      <c r="Y58" s="110" t="n">
        <v>0</v>
      </c>
      <c r="Z58" s="110" t="n">
        <v>4487.82</v>
      </c>
      <c r="AA58" s="110" t="n">
        <v>212.82</v>
      </c>
      <c r="AB58" s="110" t="n">
        <v>4275</v>
      </c>
      <c r="AC58" s="110" t="n">
        <v>187.82</v>
      </c>
      <c r="AD58" s="110" t="n">
        <v>0</v>
      </c>
      <c r="AE58" s="110" t="n">
        <v>0</v>
      </c>
      <c r="AF58" s="110" t="n">
        <v>0</v>
      </c>
      <c r="AG58" s="110" t="n">
        <v>187.82</v>
      </c>
      <c r="AH58" s="110" t="n">
        <v>187.82</v>
      </c>
      <c r="AI58" s="110" t="n">
        <v>0</v>
      </c>
      <c r="AJ58" s="110" t="n">
        <v>0</v>
      </c>
      <c r="AK58" s="110" t="n">
        <v>0</v>
      </c>
      <c r="AL58" s="110" t="n">
        <v>0</v>
      </c>
      <c r="AM58" s="110" t="n">
        <v>0</v>
      </c>
      <c r="AN58" s="110" t="n">
        <v>0</v>
      </c>
      <c r="AO58" s="110" t="n">
        <v>0</v>
      </c>
      <c r="AP58" s="110" t="n">
        <v>0</v>
      </c>
      <c r="AQ58" s="110" t="n">
        <v>4200</v>
      </c>
      <c r="AR58" s="110" t="n">
        <v>0</v>
      </c>
      <c r="AS58" s="110" t="n">
        <v>0</v>
      </c>
      <c r="AT58" s="110" t="n">
        <v>0</v>
      </c>
      <c r="AU58" s="110" t="n">
        <v>4200</v>
      </c>
      <c r="AV58" s="110" t="n">
        <v>0</v>
      </c>
      <c r="AW58" s="110" t="n">
        <v>4200</v>
      </c>
      <c r="AX58" s="110" t="n">
        <v>125</v>
      </c>
      <c r="AY58" s="110" t="n">
        <v>25</v>
      </c>
      <c r="AZ58" s="110" t="n">
        <v>25</v>
      </c>
      <c r="BA58" s="110" t="n">
        <v>0</v>
      </c>
      <c r="BB58" s="110" t="n">
        <v>100</v>
      </c>
      <c r="BC58" s="110" t="n">
        <v>25</v>
      </c>
      <c r="BD58" s="110" t="n">
        <v>75</v>
      </c>
      <c r="BE58" s="110" t="n">
        <v>0</v>
      </c>
      <c r="BF58" s="110" t="n">
        <v>0</v>
      </c>
      <c r="BG58" s="110" t="n">
        <v>0</v>
      </c>
      <c r="BH58" s="110" t="n">
        <v>0</v>
      </c>
      <c r="BI58" s="110" t="n">
        <v>0</v>
      </c>
      <c r="BJ58" s="110" t="n">
        <v>0</v>
      </c>
      <c r="BK58" s="110" t="n">
        <v>0</v>
      </c>
      <c r="BL58" s="110" t="n">
        <v>0</v>
      </c>
      <c r="BM58" s="110" t="n">
        <v>0</v>
      </c>
      <c r="BN58" s="110" t="n">
        <v>0</v>
      </c>
      <c r="BO58" s="110" t="n">
        <v>0</v>
      </c>
      <c r="BP58" s="110" t="n">
        <v>0</v>
      </c>
      <c r="BQ58" s="110" t="n">
        <v>0</v>
      </c>
      <c r="BR58" s="110" t="n">
        <v>0</v>
      </c>
      <c r="BS58" s="110" t="n">
        <v>0</v>
      </c>
      <c r="BT58" s="110" t="n">
        <v>0</v>
      </c>
      <c r="BU58" s="110" t="n">
        <v>0</v>
      </c>
      <c r="BV58" s="110" t="n">
        <v>0</v>
      </c>
      <c r="BW58" s="110" t="n">
        <v>0</v>
      </c>
      <c r="BX58" s="110" t="n">
        <v>0</v>
      </c>
      <c r="BY58" s="110" t="n">
        <v>0</v>
      </c>
      <c r="BZ58" s="110" t="n">
        <v>0</v>
      </c>
      <c r="CA58" s="110" t="n">
        <v>0</v>
      </c>
      <c r="CB58" s="110" t="n">
        <v>0</v>
      </c>
      <c r="CC58" s="110" t="n">
        <v>0</v>
      </c>
      <c r="CD58" s="110" t="n">
        <v>0</v>
      </c>
      <c r="CE58" s="110" t="n">
        <v>0</v>
      </c>
      <c r="CF58" s="110" t="n">
        <v>0</v>
      </c>
      <c r="CG58" s="110" t="n">
        <v>0</v>
      </c>
      <c r="CH58" s="110" t="n">
        <v>0</v>
      </c>
      <c r="CI58" s="110" t="n">
        <v>0</v>
      </c>
      <c r="CJ58" s="110" t="n">
        <v>0</v>
      </c>
      <c r="CK58" s="110" t="n">
        <v>0</v>
      </c>
      <c r="CL58" s="110" t="n">
        <v>0</v>
      </c>
      <c r="CM58" s="110" t="n">
        <v>0</v>
      </c>
      <c r="CN58" s="110" t="n">
        <v>0</v>
      </c>
      <c r="CO58" s="110" t="n">
        <v>0</v>
      </c>
      <c r="CP58" s="110" t="n">
        <v>0</v>
      </c>
      <c r="CQ58" s="110" t="n">
        <v>4512.82</v>
      </c>
      <c r="CR58" s="110" t="n">
        <v>0</v>
      </c>
      <c r="CS58" s="110" t="n">
        <v>0</v>
      </c>
      <c r="CT58" s="110" t="n">
        <v>0</v>
      </c>
      <c r="CU58" s="110" t="n">
        <v>0</v>
      </c>
      <c r="CV58" s="111" t="n">
        <v>5</v>
      </c>
      <c r="CW58" s="111" t="n">
        <v>1</v>
      </c>
      <c r="CX58" s="111" t="n">
        <v>1</v>
      </c>
      <c r="CY58" s="111" t="n">
        <v>0</v>
      </c>
      <c r="CZ58" s="111" t="n">
        <v>4</v>
      </c>
      <c r="DA58" s="111" t="n">
        <v>1</v>
      </c>
      <c r="DB58" s="111" t="n">
        <v>3</v>
      </c>
      <c r="DC58" s="111" t="n">
        <v>5</v>
      </c>
      <c r="DD58" s="111" t="n">
        <v>0</v>
      </c>
      <c r="DE58" s="111" t="n">
        <v>1</v>
      </c>
      <c r="DF58" s="111" t="n">
        <v>1</v>
      </c>
      <c r="DG58" s="111" t="n">
        <v>0</v>
      </c>
      <c r="DH58" s="111" t="n">
        <v>4</v>
      </c>
      <c r="DI58" s="111" t="n">
        <v>1</v>
      </c>
      <c r="DJ58" s="111" t="n">
        <v>3</v>
      </c>
      <c r="DK58" s="111" t="n">
        <v>0</v>
      </c>
      <c r="DL58" s="111" t="n">
        <v>0</v>
      </c>
      <c r="DM58" s="111" t="n">
        <v>0</v>
      </c>
      <c r="DN58" s="111" t="n">
        <v>0</v>
      </c>
      <c r="DO58" s="111" t="n">
        <v>0</v>
      </c>
      <c r="DP58" s="111" t="n">
        <v>0</v>
      </c>
      <c r="DQ58" s="111" t="n">
        <v>0</v>
      </c>
      <c r="DR58" s="111" t="n">
        <v>0</v>
      </c>
      <c r="DS58" s="111" t="n">
        <v>0</v>
      </c>
      <c r="DT58" s="111" t="n">
        <v>0</v>
      </c>
      <c r="DU58" s="111" t="n">
        <v>0</v>
      </c>
      <c r="DV58" s="111" t="n">
        <v>0</v>
      </c>
      <c r="DW58" s="111" t="n">
        <v>0</v>
      </c>
      <c r="DX58" s="111" t="n">
        <v>0</v>
      </c>
      <c r="DY58" s="111" t="n">
        <v>0</v>
      </c>
      <c r="DZ58" s="111" t="n">
        <v>0</v>
      </c>
      <c r="EA58" s="111" t="n">
        <v>0</v>
      </c>
      <c r="EB58" s="111" t="n">
        <v>0</v>
      </c>
      <c r="EC58" s="111" t="n">
        <v>0</v>
      </c>
      <c r="ED58" s="111" t="n">
        <v>0</v>
      </c>
      <c r="EE58" s="111" t="n">
        <v>0</v>
      </c>
      <c r="EF58" s="111" t="n">
        <v>0</v>
      </c>
      <c r="EG58" s="111" t="n">
        <v>0</v>
      </c>
      <c r="EH58" s="111" t="n">
        <v>0</v>
      </c>
      <c r="EI58" s="111" t="n">
        <v>0</v>
      </c>
      <c r="EJ58" s="111" t="n">
        <v>0</v>
      </c>
      <c r="EK58" s="111" t="n">
        <v>0</v>
      </c>
      <c r="EL58" s="111" t="n">
        <v>0</v>
      </c>
      <c r="EM58" s="111" t="n">
        <v>0</v>
      </c>
      <c r="EN58" s="111" t="n">
        <v>0</v>
      </c>
      <c r="EO58" s="111" t="n">
        <v>0</v>
      </c>
      <c r="EP58" s="111" t="n">
        <v>0</v>
      </c>
      <c r="EQ58" s="111" t="n">
        <v>0</v>
      </c>
      <c r="ER58" s="111" t="n">
        <v>0</v>
      </c>
      <c r="ES58" s="111" t="n">
        <v>0</v>
      </c>
      <c r="ET58" s="111" t="n">
        <v>0</v>
      </c>
      <c r="EU58" s="111" t="n">
        <v>0</v>
      </c>
      <c r="EV58" s="111" t="n">
        <v>0</v>
      </c>
      <c r="EW58" s="111" t="n">
        <v>0</v>
      </c>
      <c r="EX58" s="111" t="n">
        <v>0</v>
      </c>
      <c r="EY58" s="111" t="n">
        <v>0</v>
      </c>
      <c r="EZ58" s="111" t="n">
        <v>0</v>
      </c>
      <c r="FA58" s="111" t="n">
        <v>0</v>
      </c>
      <c r="FB58" s="111" t="n">
        <v>0</v>
      </c>
    </row>
    <row r="59" ht="19.5" customHeight="1" s="247">
      <c r="A59" s="107" t="n">
        <v>56</v>
      </c>
      <c r="B59" s="107" t="inlineStr">
        <is>
          <t>医技平台</t>
        </is>
      </c>
      <c r="C59" s="107" t="inlineStr">
        <is>
          <t>健康管理中心</t>
        </is>
      </c>
      <c r="D59" s="110" t="n">
        <v>2254804.02</v>
      </c>
      <c r="E59" s="110" t="n">
        <v>2254804.02</v>
      </c>
      <c r="F59" s="110" t="n">
        <v>0</v>
      </c>
      <c r="G59" s="110" t="n">
        <v>858</v>
      </c>
      <c r="H59" s="110" t="n">
        <v>0</v>
      </c>
      <c r="I59" s="110" t="n">
        <v>0</v>
      </c>
      <c r="J59" s="110" t="n">
        <v>0</v>
      </c>
      <c r="K59" s="110" t="n">
        <v>0</v>
      </c>
      <c r="L59" s="110" t="n">
        <v>0</v>
      </c>
      <c r="M59" s="110" t="n">
        <v>0</v>
      </c>
      <c r="N59" s="110" t="n">
        <v>0</v>
      </c>
      <c r="O59" s="110" t="n">
        <v>2254804.02</v>
      </c>
      <c r="P59" s="110" t="n">
        <v>270656.45</v>
      </c>
      <c r="Q59" s="110" t="n">
        <v>0</v>
      </c>
      <c r="R59" s="110" t="n">
        <v>270656.45</v>
      </c>
      <c r="S59" s="110" t="n">
        <v>1984147.57</v>
      </c>
      <c r="T59" s="110" t="n">
        <v>0</v>
      </c>
      <c r="U59" s="110" t="n">
        <v>1984147.57</v>
      </c>
      <c r="V59" s="110" t="n">
        <v>2254804.02</v>
      </c>
      <c r="W59" s="110" t="n">
        <v>270656.45</v>
      </c>
      <c r="X59" s="110" t="n">
        <v>0</v>
      </c>
      <c r="Y59" s="110" t="n">
        <v>270656.45</v>
      </c>
      <c r="Z59" s="110" t="n">
        <v>1984147.57</v>
      </c>
      <c r="AA59" s="110" t="n">
        <v>0</v>
      </c>
      <c r="AB59" s="110" t="n">
        <v>1984147.57</v>
      </c>
      <c r="AC59" s="110" t="n">
        <v>0</v>
      </c>
      <c r="AD59" s="110" t="n">
        <v>0</v>
      </c>
      <c r="AE59" s="110" t="n">
        <v>0</v>
      </c>
      <c r="AF59" s="110" t="n">
        <v>0</v>
      </c>
      <c r="AG59" s="110" t="n">
        <v>0</v>
      </c>
      <c r="AH59" s="110" t="n">
        <v>0</v>
      </c>
      <c r="AI59" s="110" t="n">
        <v>0</v>
      </c>
      <c r="AJ59" s="110" t="n">
        <v>0</v>
      </c>
      <c r="AK59" s="110" t="n">
        <v>0</v>
      </c>
      <c r="AL59" s="110" t="n">
        <v>0</v>
      </c>
      <c r="AM59" s="110" t="n">
        <v>0</v>
      </c>
      <c r="AN59" s="110" t="n">
        <v>0</v>
      </c>
      <c r="AO59" s="110" t="n">
        <v>0</v>
      </c>
      <c r="AP59" s="110" t="n">
        <v>0</v>
      </c>
      <c r="AQ59" s="110" t="n">
        <v>0</v>
      </c>
      <c r="AR59" s="110" t="n">
        <v>0</v>
      </c>
      <c r="AS59" s="110" t="n">
        <v>0</v>
      </c>
      <c r="AT59" s="110" t="n">
        <v>0</v>
      </c>
      <c r="AU59" s="110" t="n">
        <v>0</v>
      </c>
      <c r="AV59" s="110" t="n">
        <v>0</v>
      </c>
      <c r="AW59" s="110" t="n">
        <v>0</v>
      </c>
      <c r="AX59" s="110" t="n">
        <v>2254804.02</v>
      </c>
      <c r="AY59" s="110" t="n">
        <v>270656.45</v>
      </c>
      <c r="AZ59" s="110" t="n">
        <v>0</v>
      </c>
      <c r="BA59" s="110" t="n">
        <v>270656.45</v>
      </c>
      <c r="BB59" s="110" t="n">
        <v>1984147.57</v>
      </c>
      <c r="BC59" s="110" t="n">
        <v>0</v>
      </c>
      <c r="BD59" s="110" t="n">
        <v>1984147.57</v>
      </c>
      <c r="BE59" s="110" t="n">
        <v>0</v>
      </c>
      <c r="BF59" s="110" t="n">
        <v>0</v>
      </c>
      <c r="BG59" s="110" t="n">
        <v>0</v>
      </c>
      <c r="BH59" s="110" t="n">
        <v>0</v>
      </c>
      <c r="BI59" s="110" t="n">
        <v>0</v>
      </c>
      <c r="BJ59" s="110" t="n">
        <v>0</v>
      </c>
      <c r="BK59" s="110" t="n">
        <v>0</v>
      </c>
      <c r="BL59" s="110" t="n">
        <v>0</v>
      </c>
      <c r="BM59" s="110" t="n">
        <v>0</v>
      </c>
      <c r="BN59" s="110" t="n">
        <v>0</v>
      </c>
      <c r="BO59" s="110" t="n">
        <v>0</v>
      </c>
      <c r="BP59" s="110" t="n">
        <v>0</v>
      </c>
      <c r="BQ59" s="110" t="n">
        <v>0</v>
      </c>
      <c r="BR59" s="110" t="n">
        <v>0</v>
      </c>
      <c r="BS59" s="110" t="n">
        <v>0</v>
      </c>
      <c r="BT59" s="110" t="n">
        <v>0</v>
      </c>
      <c r="BU59" s="110" t="n">
        <v>0</v>
      </c>
      <c r="BV59" s="110" t="n">
        <v>0</v>
      </c>
      <c r="BW59" s="110" t="n">
        <v>0</v>
      </c>
      <c r="BX59" s="110" t="n">
        <v>0</v>
      </c>
      <c r="BY59" s="110" t="n">
        <v>0</v>
      </c>
      <c r="BZ59" s="110" t="n">
        <v>0</v>
      </c>
      <c r="CA59" s="110" t="n">
        <v>0</v>
      </c>
      <c r="CB59" s="110" t="n">
        <v>0</v>
      </c>
      <c r="CC59" s="110" t="n">
        <v>0</v>
      </c>
      <c r="CD59" s="110" t="n">
        <v>0</v>
      </c>
      <c r="CE59" s="110" t="n">
        <v>0</v>
      </c>
      <c r="CF59" s="110" t="n">
        <v>0</v>
      </c>
      <c r="CG59" s="110" t="n">
        <v>0</v>
      </c>
      <c r="CH59" s="110" t="n">
        <v>0</v>
      </c>
      <c r="CI59" s="110" t="n">
        <v>0</v>
      </c>
      <c r="CJ59" s="110" t="n">
        <v>0</v>
      </c>
      <c r="CK59" s="110" t="n">
        <v>0</v>
      </c>
      <c r="CL59" s="110" t="n">
        <v>0</v>
      </c>
      <c r="CM59" s="110" t="n">
        <v>0</v>
      </c>
      <c r="CN59" s="110" t="n">
        <v>0</v>
      </c>
      <c r="CO59" s="110" t="n">
        <v>2254804.02</v>
      </c>
      <c r="CP59" s="110" t="n">
        <v>0</v>
      </c>
      <c r="CQ59" s="110" t="n">
        <v>0</v>
      </c>
      <c r="CR59" s="110" t="n">
        <v>0</v>
      </c>
      <c r="CS59" s="110" t="n">
        <v>0</v>
      </c>
      <c r="CT59" s="110" t="n">
        <v>0</v>
      </c>
      <c r="CU59" s="110" t="n">
        <v>0</v>
      </c>
      <c r="CV59" s="111" t="n">
        <v>858</v>
      </c>
      <c r="CW59" s="111" t="n">
        <v>300</v>
      </c>
      <c r="CX59" s="111" t="n">
        <v>0</v>
      </c>
      <c r="CY59" s="111" t="n">
        <v>300</v>
      </c>
      <c r="CZ59" s="111" t="n">
        <v>558</v>
      </c>
      <c r="DA59" s="111" t="n">
        <v>0</v>
      </c>
      <c r="DB59" s="111" t="n">
        <v>558</v>
      </c>
      <c r="DC59" s="111" t="n">
        <v>858</v>
      </c>
      <c r="DD59" s="111" t="n">
        <v>0</v>
      </c>
      <c r="DE59" s="111" t="n">
        <v>300</v>
      </c>
      <c r="DF59" s="111" t="n">
        <v>0</v>
      </c>
      <c r="DG59" s="111" t="n">
        <v>300</v>
      </c>
      <c r="DH59" s="111" t="n">
        <v>558</v>
      </c>
      <c r="DI59" s="111" t="n">
        <v>0</v>
      </c>
      <c r="DJ59" s="111" t="n">
        <v>558</v>
      </c>
      <c r="DK59" s="111" t="n">
        <v>0</v>
      </c>
      <c r="DL59" s="111" t="n">
        <v>0</v>
      </c>
      <c r="DM59" s="111" t="n">
        <v>0</v>
      </c>
      <c r="DN59" s="111" t="n">
        <v>0</v>
      </c>
      <c r="DO59" s="111" t="n">
        <v>0</v>
      </c>
      <c r="DP59" s="111" t="n">
        <v>0</v>
      </c>
      <c r="DQ59" s="111" t="n">
        <v>0</v>
      </c>
      <c r="DR59" s="111" t="n">
        <v>0</v>
      </c>
      <c r="DS59" s="111" t="n">
        <v>0</v>
      </c>
      <c r="DT59" s="111" t="n">
        <v>0</v>
      </c>
      <c r="DU59" s="111" t="n">
        <v>0</v>
      </c>
      <c r="DV59" s="111" t="n">
        <v>0</v>
      </c>
      <c r="DW59" s="111" t="n">
        <v>0</v>
      </c>
      <c r="DX59" s="111" t="n">
        <v>0</v>
      </c>
      <c r="DY59" s="111" t="n">
        <v>0</v>
      </c>
      <c r="DZ59" s="111" t="n">
        <v>0</v>
      </c>
      <c r="EA59" s="111" t="n">
        <v>0</v>
      </c>
      <c r="EB59" s="111" t="n">
        <v>0</v>
      </c>
      <c r="EC59" s="111" t="n">
        <v>0</v>
      </c>
      <c r="ED59" s="111" t="n">
        <v>0</v>
      </c>
      <c r="EE59" s="111" t="n">
        <v>0</v>
      </c>
      <c r="EF59" s="111" t="n">
        <v>0</v>
      </c>
      <c r="EG59" s="111" t="n">
        <v>0</v>
      </c>
      <c r="EH59" s="111" t="n">
        <v>0</v>
      </c>
      <c r="EI59" s="111" t="n">
        <v>0</v>
      </c>
      <c r="EJ59" s="111" t="n">
        <v>0</v>
      </c>
      <c r="EK59" s="111" t="n">
        <v>0</v>
      </c>
      <c r="EL59" s="111" t="n">
        <v>0</v>
      </c>
      <c r="EM59" s="111" t="n">
        <v>0</v>
      </c>
      <c r="EN59" s="111" t="n">
        <v>0</v>
      </c>
      <c r="EO59" s="111" t="n">
        <v>0</v>
      </c>
      <c r="EP59" s="111" t="n">
        <v>0</v>
      </c>
      <c r="EQ59" s="111" t="n">
        <v>0</v>
      </c>
      <c r="ER59" s="111" t="n">
        <v>0</v>
      </c>
      <c r="ES59" s="111" t="n">
        <v>0</v>
      </c>
      <c r="ET59" s="111" t="n">
        <v>0</v>
      </c>
      <c r="EU59" s="111" t="n">
        <v>0</v>
      </c>
      <c r="EV59" s="111" t="n">
        <v>0</v>
      </c>
      <c r="EW59" s="111" t="n">
        <v>0</v>
      </c>
      <c r="EX59" s="111" t="n">
        <v>0</v>
      </c>
      <c r="EY59" s="111" t="n">
        <v>0</v>
      </c>
      <c r="EZ59" s="111" t="n">
        <v>0</v>
      </c>
      <c r="FA59" s="111" t="n">
        <v>0</v>
      </c>
      <c r="FB59" s="111" t="n">
        <v>0</v>
      </c>
    </row>
    <row r="60" ht="19.5" customHeight="1" s="247">
      <c r="A60" s="107" t="n">
        <v>57</v>
      </c>
      <c r="B60" s="107" t="inlineStr">
        <is>
          <t>成人非手术</t>
        </is>
      </c>
      <c r="C60" s="107" t="inlineStr">
        <is>
          <t>感染科</t>
        </is>
      </c>
      <c r="D60" s="110" t="n">
        <v>619400.5</v>
      </c>
      <c r="E60" s="110" t="n">
        <v>291351</v>
      </c>
      <c r="F60" s="110" t="n">
        <v>328049.5</v>
      </c>
      <c r="G60" s="110" t="n">
        <v>1402</v>
      </c>
      <c r="H60" s="110" t="n">
        <v>30</v>
      </c>
      <c r="I60" s="110" t="n">
        <v>4974</v>
      </c>
      <c r="J60" s="110" t="n">
        <v>0</v>
      </c>
      <c r="K60" s="110" t="n">
        <v>0</v>
      </c>
      <c r="L60" s="110" t="n">
        <v>18777</v>
      </c>
      <c r="M60" s="110" t="n">
        <v>2000</v>
      </c>
      <c r="N60" s="110" t="n">
        <v>103.78</v>
      </c>
      <c r="O60" s="110" t="n">
        <v>1208148.84</v>
      </c>
      <c r="P60" s="110" t="n">
        <v>916555.36</v>
      </c>
      <c r="Q60" s="110" t="n">
        <v>886221.97</v>
      </c>
      <c r="R60" s="110" t="n">
        <v>30333.39</v>
      </c>
      <c r="S60" s="110" t="n">
        <v>291593.48</v>
      </c>
      <c r="T60" s="110" t="n">
        <v>264251.68</v>
      </c>
      <c r="U60" s="110" t="n">
        <v>27341.8</v>
      </c>
      <c r="V60" s="110" t="n">
        <v>684998.83</v>
      </c>
      <c r="W60" s="110" t="n">
        <v>655764.48</v>
      </c>
      <c r="X60" s="110" t="n">
        <v>625431.09</v>
      </c>
      <c r="Y60" s="110" t="n">
        <v>30333.39</v>
      </c>
      <c r="Z60" s="110" t="n">
        <v>29234.35</v>
      </c>
      <c r="AA60" s="110" t="n">
        <v>19725.82</v>
      </c>
      <c r="AB60" s="110" t="n">
        <v>9508.530000000001</v>
      </c>
      <c r="AC60" s="110" t="n">
        <v>383496.63</v>
      </c>
      <c r="AD60" s="110" t="n">
        <v>369189.28</v>
      </c>
      <c r="AE60" s="110" t="n">
        <v>344691.69</v>
      </c>
      <c r="AF60" s="110" t="n">
        <v>24497.59</v>
      </c>
      <c r="AG60" s="110" t="n">
        <v>14307.35</v>
      </c>
      <c r="AH60" s="110" t="n">
        <v>9091.02</v>
      </c>
      <c r="AI60" s="110" t="n">
        <v>5216.33</v>
      </c>
      <c r="AJ60" s="110" t="n">
        <v>10151.2</v>
      </c>
      <c r="AK60" s="110" t="n">
        <v>9523.200000000001</v>
      </c>
      <c r="AL60" s="110" t="n">
        <v>9224.4</v>
      </c>
      <c r="AM60" s="110" t="n">
        <v>298.8</v>
      </c>
      <c r="AN60" s="110" t="n">
        <v>628</v>
      </c>
      <c r="AO60" s="110" t="n">
        <v>455.8</v>
      </c>
      <c r="AP60" s="110" t="n">
        <v>172.2</v>
      </c>
      <c r="AQ60" s="110" t="n">
        <v>245935</v>
      </c>
      <c r="AR60" s="110" t="n">
        <v>234276</v>
      </c>
      <c r="AS60" s="110" t="n">
        <v>231125</v>
      </c>
      <c r="AT60" s="110" t="n">
        <v>3151</v>
      </c>
      <c r="AU60" s="110" t="n">
        <v>11659</v>
      </c>
      <c r="AV60" s="110" t="n">
        <v>8605</v>
      </c>
      <c r="AW60" s="110" t="n">
        <v>3054</v>
      </c>
      <c r="AX60" s="110" t="n">
        <v>45416</v>
      </c>
      <c r="AY60" s="110" t="n">
        <v>42776</v>
      </c>
      <c r="AZ60" s="110" t="n">
        <v>40390</v>
      </c>
      <c r="BA60" s="110" t="n">
        <v>2386</v>
      </c>
      <c r="BB60" s="110" t="n">
        <v>2640</v>
      </c>
      <c r="BC60" s="110" t="n">
        <v>1574</v>
      </c>
      <c r="BD60" s="110" t="n">
        <v>1066</v>
      </c>
      <c r="BE60" s="110" t="n">
        <v>523150.01</v>
      </c>
      <c r="BF60" s="110" t="n">
        <v>260790.88</v>
      </c>
      <c r="BG60" s="110" t="n">
        <v>260790.88</v>
      </c>
      <c r="BH60" s="110" t="n">
        <v>0</v>
      </c>
      <c r="BI60" s="110" t="n">
        <v>262359.13</v>
      </c>
      <c r="BJ60" s="110" t="n">
        <v>244525.86</v>
      </c>
      <c r="BK60" s="110" t="n">
        <v>17833.27</v>
      </c>
      <c r="BL60" s="110" t="n">
        <v>171867.19</v>
      </c>
      <c r="BM60" s="110" t="n">
        <v>68438.28</v>
      </c>
      <c r="BN60" s="110" t="n">
        <v>68438.28</v>
      </c>
      <c r="BO60" s="110" t="n">
        <v>0</v>
      </c>
      <c r="BP60" s="110" t="n">
        <v>103428.91</v>
      </c>
      <c r="BQ60" s="110" t="n">
        <v>100863.54</v>
      </c>
      <c r="BR60" s="110" t="n">
        <v>2565.37</v>
      </c>
      <c r="BS60" s="110" t="n">
        <v>23233.32</v>
      </c>
      <c r="BT60" s="110" t="n">
        <v>9069.6</v>
      </c>
      <c r="BU60" s="110" t="n">
        <v>9069.6</v>
      </c>
      <c r="BV60" s="110" t="n">
        <v>0</v>
      </c>
      <c r="BW60" s="110" t="n">
        <v>14163.72</v>
      </c>
      <c r="BX60" s="110" t="n">
        <v>13392.82</v>
      </c>
      <c r="BY60" s="110" t="n">
        <v>770.9</v>
      </c>
      <c r="BZ60" s="110" t="n">
        <v>249920.5</v>
      </c>
      <c r="CA60" s="110" t="n">
        <v>150474.5</v>
      </c>
      <c r="CB60" s="110" t="n">
        <v>150474.5</v>
      </c>
      <c r="CC60" s="110" t="n">
        <v>0</v>
      </c>
      <c r="CD60" s="110" t="n">
        <v>99446</v>
      </c>
      <c r="CE60" s="110" t="n">
        <v>86793.5</v>
      </c>
      <c r="CF60" s="110" t="n">
        <v>12652.5</v>
      </c>
      <c r="CG60" s="110" t="n">
        <v>78129</v>
      </c>
      <c r="CH60" s="110" t="n">
        <v>32808.5</v>
      </c>
      <c r="CI60" s="110" t="n">
        <v>32808.5</v>
      </c>
      <c r="CJ60" s="110" t="n">
        <v>0</v>
      </c>
      <c r="CK60" s="110" t="n">
        <v>45320.5</v>
      </c>
      <c r="CL60" s="110" t="n">
        <v>43476</v>
      </c>
      <c r="CM60" s="110" t="n">
        <v>1844.5</v>
      </c>
      <c r="CN60" s="110" t="n">
        <v>648955.87</v>
      </c>
      <c r="CO60" s="110" t="n">
        <v>0</v>
      </c>
      <c r="CP60" s="110" t="n">
        <v>17142.46</v>
      </c>
      <c r="CQ60" s="110" t="n">
        <v>7208</v>
      </c>
      <c r="CR60" s="110" t="n">
        <v>11692.5</v>
      </c>
      <c r="CS60" s="110" t="n">
        <v>0</v>
      </c>
      <c r="CT60" s="110" t="n">
        <v>0</v>
      </c>
      <c r="CU60" s="110" t="n">
        <v>0</v>
      </c>
      <c r="CV60" s="111" t="n">
        <v>1402</v>
      </c>
      <c r="CW60" s="111" t="n">
        <v>1332</v>
      </c>
      <c r="CX60" s="111" t="n">
        <v>1282</v>
      </c>
      <c r="CY60" s="111" t="n">
        <v>50</v>
      </c>
      <c r="CZ60" s="111" t="n">
        <v>70</v>
      </c>
      <c r="DA60" s="111" t="n">
        <v>44</v>
      </c>
      <c r="DB60" s="111" t="n">
        <v>26</v>
      </c>
      <c r="DC60" s="111" t="n">
        <v>111</v>
      </c>
      <c r="DD60" s="111" t="n">
        <v>0</v>
      </c>
      <c r="DE60" s="111" t="n">
        <v>106</v>
      </c>
      <c r="DF60" s="111" t="n">
        <v>93</v>
      </c>
      <c r="DG60" s="111" t="n">
        <v>13</v>
      </c>
      <c r="DH60" s="111" t="n">
        <v>5</v>
      </c>
      <c r="DI60" s="111" t="n">
        <v>2</v>
      </c>
      <c r="DJ60" s="111" t="n">
        <v>3</v>
      </c>
      <c r="DK60" s="111" t="n">
        <v>46</v>
      </c>
      <c r="DL60" s="111" t="n">
        <v>42</v>
      </c>
      <c r="DM60" s="111" t="n">
        <v>38</v>
      </c>
      <c r="DN60" s="111" t="n">
        <v>4</v>
      </c>
      <c r="DO60" s="111" t="n">
        <v>4</v>
      </c>
      <c r="DP60" s="111" t="n">
        <v>1</v>
      </c>
      <c r="DQ60" s="111" t="n">
        <v>3</v>
      </c>
      <c r="DR60" s="111" t="n">
        <v>7</v>
      </c>
      <c r="DS60" s="111" t="n">
        <v>0</v>
      </c>
      <c r="DT60" s="111" t="n">
        <v>6</v>
      </c>
      <c r="DU60" s="111" t="n">
        <v>0</v>
      </c>
      <c r="DV60" s="111" t="n">
        <v>6</v>
      </c>
      <c r="DW60" s="111" t="n">
        <v>1</v>
      </c>
      <c r="DX60" s="111" t="n">
        <v>0</v>
      </c>
      <c r="DY60" s="111" t="n">
        <v>1</v>
      </c>
      <c r="DZ60" s="111" t="n">
        <v>1238</v>
      </c>
      <c r="EA60" s="111" t="n">
        <v>1178</v>
      </c>
      <c r="EB60" s="111" t="n">
        <v>1151</v>
      </c>
      <c r="EC60" s="111" t="n">
        <v>27</v>
      </c>
      <c r="ED60" s="111" t="n">
        <v>60</v>
      </c>
      <c r="EE60" s="111" t="n">
        <v>41</v>
      </c>
      <c r="EF60" s="111" t="n">
        <v>19</v>
      </c>
      <c r="EG60" s="111" t="n">
        <v>30</v>
      </c>
      <c r="EH60" s="111" t="n">
        <v>20</v>
      </c>
      <c r="EI60" s="111" t="n">
        <v>20</v>
      </c>
      <c r="EJ60" s="111" t="n">
        <v>0</v>
      </c>
      <c r="EK60" s="111" t="n">
        <v>10</v>
      </c>
      <c r="EL60" s="111" t="n">
        <v>8</v>
      </c>
      <c r="EM60" s="111" t="n">
        <v>2</v>
      </c>
      <c r="EN60" s="111" t="n">
        <v>1</v>
      </c>
      <c r="EO60" s="111" t="n">
        <v>0</v>
      </c>
      <c r="EP60" s="111" t="n">
        <v>0</v>
      </c>
      <c r="EQ60" s="111" t="n">
        <v>1</v>
      </c>
      <c r="ER60" s="111" t="n">
        <v>0</v>
      </c>
      <c r="ES60" s="111" t="n">
        <v>0</v>
      </c>
      <c r="ET60" s="111" t="n">
        <v>0</v>
      </c>
      <c r="EU60" s="111" t="n">
        <v>0</v>
      </c>
      <c r="EV60" s="111" t="n">
        <v>0</v>
      </c>
      <c r="EW60" s="111" t="n">
        <v>0</v>
      </c>
      <c r="EX60" s="111" t="n">
        <v>0</v>
      </c>
      <c r="EY60" s="111" t="n">
        <v>0</v>
      </c>
      <c r="EZ60" s="111" t="n">
        <v>0</v>
      </c>
      <c r="FA60" s="111" t="n">
        <v>0</v>
      </c>
      <c r="FB60" s="111" t="n">
        <v>0</v>
      </c>
    </row>
    <row r="61" ht="19.5" customHeight="1" s="247">
      <c r="A61" s="107" t="n">
        <v>58</v>
      </c>
      <c r="B61" s="107" t="inlineStr">
        <is>
          <t>其他</t>
        </is>
      </c>
      <c r="C61" s="107" t="inlineStr">
        <is>
          <t>新冠核酸检测</t>
        </is>
      </c>
      <c r="D61" s="110" t="n">
        <v>1936</v>
      </c>
      <c r="E61" s="110" t="n">
        <v>1936</v>
      </c>
      <c r="F61" s="110" t="n">
        <v>0</v>
      </c>
      <c r="G61" s="110" t="n">
        <v>0</v>
      </c>
      <c r="H61" s="110" t="n">
        <v>0</v>
      </c>
      <c r="I61" s="110" t="n">
        <v>0</v>
      </c>
      <c r="J61" s="110" t="n">
        <v>0</v>
      </c>
      <c r="K61" s="110" t="n">
        <v>0</v>
      </c>
      <c r="L61" s="110" t="n">
        <v>0</v>
      </c>
      <c r="M61" s="110" t="n">
        <v>0</v>
      </c>
      <c r="N61" s="110" t="n">
        <v>0</v>
      </c>
      <c r="O61" s="110" t="n">
        <v>1936</v>
      </c>
      <c r="P61" s="110" t="n">
        <v>1856</v>
      </c>
      <c r="Q61" s="110" t="n">
        <v>1728</v>
      </c>
      <c r="R61" s="110" t="n">
        <v>128</v>
      </c>
      <c r="S61" s="110" t="n">
        <v>80</v>
      </c>
      <c r="T61" s="110" t="n">
        <v>32</v>
      </c>
      <c r="U61" s="110" t="n">
        <v>48</v>
      </c>
      <c r="V61" s="110" t="n">
        <v>1936</v>
      </c>
      <c r="W61" s="110" t="n">
        <v>1856</v>
      </c>
      <c r="X61" s="110" t="n">
        <v>1728</v>
      </c>
      <c r="Y61" s="110" t="n">
        <v>128</v>
      </c>
      <c r="Z61" s="110" t="n">
        <v>80</v>
      </c>
      <c r="AA61" s="110" t="n">
        <v>32</v>
      </c>
      <c r="AB61" s="110" t="n">
        <v>48</v>
      </c>
      <c r="AC61" s="110" t="n">
        <v>0</v>
      </c>
      <c r="AD61" s="110" t="n">
        <v>0</v>
      </c>
      <c r="AE61" s="110" t="n">
        <v>0</v>
      </c>
      <c r="AF61" s="110" t="n">
        <v>0</v>
      </c>
      <c r="AG61" s="110" t="n">
        <v>0</v>
      </c>
      <c r="AH61" s="110" t="n">
        <v>0</v>
      </c>
      <c r="AI61" s="110" t="n">
        <v>0</v>
      </c>
      <c r="AJ61" s="110" t="n">
        <v>0</v>
      </c>
      <c r="AK61" s="110" t="n">
        <v>0</v>
      </c>
      <c r="AL61" s="110" t="n">
        <v>0</v>
      </c>
      <c r="AM61" s="110" t="n">
        <v>0</v>
      </c>
      <c r="AN61" s="110" t="n">
        <v>0</v>
      </c>
      <c r="AO61" s="110" t="n">
        <v>0</v>
      </c>
      <c r="AP61" s="110" t="n">
        <v>0</v>
      </c>
      <c r="AQ61" s="110" t="n">
        <v>1936</v>
      </c>
      <c r="AR61" s="110" t="n">
        <v>1856</v>
      </c>
      <c r="AS61" s="110" t="n">
        <v>1728</v>
      </c>
      <c r="AT61" s="110" t="n">
        <v>128</v>
      </c>
      <c r="AU61" s="110" t="n">
        <v>80</v>
      </c>
      <c r="AV61" s="110" t="n">
        <v>32</v>
      </c>
      <c r="AW61" s="110" t="n">
        <v>48</v>
      </c>
      <c r="AX61" s="110" t="n">
        <v>0</v>
      </c>
      <c r="AY61" s="110" t="n">
        <v>0</v>
      </c>
      <c r="AZ61" s="110" t="n">
        <v>0</v>
      </c>
      <c r="BA61" s="110" t="n">
        <v>0</v>
      </c>
      <c r="BB61" s="110" t="n">
        <v>0</v>
      </c>
      <c r="BC61" s="110" t="n">
        <v>0</v>
      </c>
      <c r="BD61" s="110" t="n">
        <v>0</v>
      </c>
      <c r="BE61" s="110" t="n">
        <v>0</v>
      </c>
      <c r="BF61" s="110" t="n">
        <v>0</v>
      </c>
      <c r="BG61" s="110" t="n">
        <v>0</v>
      </c>
      <c r="BH61" s="110" t="n">
        <v>0</v>
      </c>
      <c r="BI61" s="110" t="n">
        <v>0</v>
      </c>
      <c r="BJ61" s="110" t="n">
        <v>0</v>
      </c>
      <c r="BK61" s="110" t="n">
        <v>0</v>
      </c>
      <c r="BL61" s="110" t="n">
        <v>0</v>
      </c>
      <c r="BM61" s="110" t="n">
        <v>0</v>
      </c>
      <c r="BN61" s="110" t="n">
        <v>0</v>
      </c>
      <c r="BO61" s="110" t="n">
        <v>0</v>
      </c>
      <c r="BP61" s="110" t="n">
        <v>0</v>
      </c>
      <c r="BQ61" s="110" t="n">
        <v>0</v>
      </c>
      <c r="BR61" s="110" t="n">
        <v>0</v>
      </c>
      <c r="BS61" s="110" t="n">
        <v>0</v>
      </c>
      <c r="BT61" s="110" t="n">
        <v>0</v>
      </c>
      <c r="BU61" s="110" t="n">
        <v>0</v>
      </c>
      <c r="BV61" s="110" t="n">
        <v>0</v>
      </c>
      <c r="BW61" s="110" t="n">
        <v>0</v>
      </c>
      <c r="BX61" s="110" t="n">
        <v>0</v>
      </c>
      <c r="BY61" s="110" t="n">
        <v>0</v>
      </c>
      <c r="BZ61" s="110" t="n">
        <v>0</v>
      </c>
      <c r="CA61" s="110" t="n">
        <v>0</v>
      </c>
      <c r="CB61" s="110" t="n">
        <v>0</v>
      </c>
      <c r="CC61" s="110" t="n">
        <v>0</v>
      </c>
      <c r="CD61" s="110" t="n">
        <v>0</v>
      </c>
      <c r="CE61" s="110" t="n">
        <v>0</v>
      </c>
      <c r="CF61" s="110" t="n">
        <v>0</v>
      </c>
      <c r="CG61" s="110" t="n">
        <v>0</v>
      </c>
      <c r="CH61" s="110" t="n">
        <v>0</v>
      </c>
      <c r="CI61" s="110" t="n">
        <v>0</v>
      </c>
      <c r="CJ61" s="110" t="n">
        <v>0</v>
      </c>
      <c r="CK61" s="110" t="n">
        <v>0</v>
      </c>
      <c r="CL61" s="110" t="n">
        <v>0</v>
      </c>
      <c r="CM61" s="110" t="n">
        <v>0</v>
      </c>
      <c r="CN61" s="110" t="n">
        <v>0</v>
      </c>
      <c r="CO61" s="110" t="n">
        <v>1936</v>
      </c>
      <c r="CP61" s="110" t="n">
        <v>0</v>
      </c>
      <c r="CQ61" s="110" t="n">
        <v>0</v>
      </c>
      <c r="CR61" s="110" t="n">
        <v>0</v>
      </c>
      <c r="CS61" s="110" t="n">
        <v>0</v>
      </c>
      <c r="CT61" s="110" t="n">
        <v>0</v>
      </c>
      <c r="CU61" s="110" t="n">
        <v>0</v>
      </c>
      <c r="CV61" s="111" t="n">
        <v>0</v>
      </c>
      <c r="CW61" s="111" t="n">
        <v>0</v>
      </c>
      <c r="CX61" s="111" t="n">
        <v>0</v>
      </c>
      <c r="CY61" s="111" t="n">
        <v>0</v>
      </c>
      <c r="CZ61" s="111" t="n">
        <v>0</v>
      </c>
      <c r="DA61" s="111" t="n">
        <v>0</v>
      </c>
      <c r="DB61" s="111" t="n">
        <v>0</v>
      </c>
      <c r="DC61" s="111" t="n">
        <v>0</v>
      </c>
      <c r="DD61" s="111" t="n">
        <v>0</v>
      </c>
      <c r="DE61" s="111" t="n">
        <v>0</v>
      </c>
      <c r="DF61" s="111" t="n">
        <v>0</v>
      </c>
      <c r="DG61" s="111" t="n">
        <v>0</v>
      </c>
      <c r="DH61" s="111" t="n">
        <v>0</v>
      </c>
      <c r="DI61" s="111" t="n">
        <v>0</v>
      </c>
      <c r="DJ61" s="111" t="n">
        <v>0</v>
      </c>
      <c r="DK61" s="111" t="n">
        <v>0</v>
      </c>
      <c r="DL61" s="111" t="n">
        <v>0</v>
      </c>
      <c r="DM61" s="111" t="n">
        <v>0</v>
      </c>
      <c r="DN61" s="111" t="n">
        <v>0</v>
      </c>
      <c r="DO61" s="111" t="n">
        <v>0</v>
      </c>
      <c r="DP61" s="111" t="n">
        <v>0</v>
      </c>
      <c r="DQ61" s="111" t="n">
        <v>0</v>
      </c>
      <c r="DR61" s="111" t="n">
        <v>0</v>
      </c>
      <c r="DS61" s="111" t="n">
        <v>0</v>
      </c>
      <c r="DT61" s="111" t="n">
        <v>0</v>
      </c>
      <c r="DU61" s="111" t="n">
        <v>0</v>
      </c>
      <c r="DV61" s="111" t="n">
        <v>0</v>
      </c>
      <c r="DW61" s="111" t="n">
        <v>0</v>
      </c>
      <c r="DX61" s="111" t="n">
        <v>0</v>
      </c>
      <c r="DY61" s="111" t="n">
        <v>0</v>
      </c>
      <c r="DZ61" s="111" t="n">
        <v>0</v>
      </c>
      <c r="EA61" s="111" t="n">
        <v>0</v>
      </c>
      <c r="EB61" s="111" t="n">
        <v>0</v>
      </c>
      <c r="EC61" s="111" t="n">
        <v>0</v>
      </c>
      <c r="ED61" s="111" t="n">
        <v>0</v>
      </c>
      <c r="EE61" s="111" t="n">
        <v>0</v>
      </c>
      <c r="EF61" s="111" t="n">
        <v>0</v>
      </c>
      <c r="EG61" s="111" t="n">
        <v>0</v>
      </c>
      <c r="EH61" s="111" t="n">
        <v>0</v>
      </c>
      <c r="EI61" s="111" t="n">
        <v>0</v>
      </c>
      <c r="EJ61" s="111" t="n">
        <v>0</v>
      </c>
      <c r="EK61" s="111" t="n">
        <v>0</v>
      </c>
      <c r="EL61" s="111" t="n">
        <v>0</v>
      </c>
      <c r="EM61" s="111" t="n">
        <v>0</v>
      </c>
      <c r="EN61" s="111" t="n">
        <v>0</v>
      </c>
      <c r="EO61" s="111" t="n">
        <v>0</v>
      </c>
      <c r="EP61" s="111" t="n">
        <v>0</v>
      </c>
      <c r="EQ61" s="111" t="n">
        <v>0</v>
      </c>
      <c r="ER61" s="111" t="n">
        <v>0</v>
      </c>
      <c r="ES61" s="111" t="n">
        <v>0</v>
      </c>
      <c r="ET61" s="111" t="n">
        <v>0</v>
      </c>
      <c r="EU61" s="111" t="n">
        <v>0</v>
      </c>
      <c r="EV61" s="111" t="n">
        <v>0</v>
      </c>
      <c r="EW61" s="111" t="n">
        <v>0</v>
      </c>
      <c r="EX61" s="111" t="n">
        <v>0</v>
      </c>
      <c r="EY61" s="111" t="n">
        <v>0</v>
      </c>
      <c r="EZ61" s="111" t="n">
        <v>0</v>
      </c>
      <c r="FA61" s="111" t="n">
        <v>0</v>
      </c>
      <c r="FB61" s="111" t="n">
        <v>0</v>
      </c>
    </row>
    <row r="62" ht="19.5" customHeight="1" s="247">
      <c r="A62" s="107" t="n">
        <v>59</v>
      </c>
      <c r="B62" s="107" t="inlineStr">
        <is>
          <t>成人手术</t>
        </is>
      </c>
      <c r="C62" s="107" t="inlineStr">
        <is>
          <t>胎儿医院（筹）</t>
        </is>
      </c>
      <c r="D62" s="110" t="n">
        <v>5672914.6</v>
      </c>
      <c r="E62" s="110" t="n">
        <v>2700332</v>
      </c>
      <c r="F62" s="110" t="n">
        <v>2972582.6</v>
      </c>
      <c r="G62" s="110" t="n">
        <v>3001</v>
      </c>
      <c r="H62" s="110" t="n">
        <v>287</v>
      </c>
      <c r="I62" s="110" t="n">
        <v>16851</v>
      </c>
      <c r="J62" s="110" t="n">
        <v>0</v>
      </c>
      <c r="K62" s="110" t="n">
        <v>0</v>
      </c>
      <c r="L62" s="110" t="n">
        <v>173842.5</v>
      </c>
      <c r="M62" s="110" t="n">
        <v>280129.5</v>
      </c>
      <c r="N62" s="110" t="n">
        <v>4769.79</v>
      </c>
      <c r="O62" s="110" t="n">
        <v>6670010.68</v>
      </c>
      <c r="P62" s="110" t="n">
        <v>4432985.69</v>
      </c>
      <c r="Q62" s="110" t="n">
        <v>1467274.96</v>
      </c>
      <c r="R62" s="110" t="n">
        <v>2965710.73</v>
      </c>
      <c r="S62" s="110" t="n">
        <v>2237024.99</v>
      </c>
      <c r="T62" s="110" t="n">
        <v>347691.61</v>
      </c>
      <c r="U62" s="110" t="n">
        <v>1889333.38</v>
      </c>
      <c r="V62" s="110" t="n">
        <v>2748973.37</v>
      </c>
      <c r="W62" s="110" t="n">
        <v>1704031.57</v>
      </c>
      <c r="X62" s="110" t="n">
        <v>10496.52</v>
      </c>
      <c r="Y62" s="110" t="n">
        <v>1693535.05</v>
      </c>
      <c r="Z62" s="110" t="n">
        <v>1044941.8</v>
      </c>
      <c r="AA62" s="110" t="n">
        <v>1507</v>
      </c>
      <c r="AB62" s="110" t="n">
        <v>1043434.8</v>
      </c>
      <c r="AC62" s="110" t="n">
        <v>43198.47</v>
      </c>
      <c r="AD62" s="110" t="n">
        <v>34262.97</v>
      </c>
      <c r="AE62" s="110" t="n">
        <v>1335.52</v>
      </c>
      <c r="AF62" s="110" t="n">
        <v>32927.45</v>
      </c>
      <c r="AG62" s="110" t="n">
        <v>8935.5</v>
      </c>
      <c r="AH62" s="110" t="n">
        <v>0</v>
      </c>
      <c r="AI62" s="110" t="n">
        <v>8935.5</v>
      </c>
      <c r="AJ62" s="110" t="n">
        <v>5442.9</v>
      </c>
      <c r="AK62" s="110" t="n">
        <v>2463.6</v>
      </c>
      <c r="AL62" s="110" t="n">
        <v>0</v>
      </c>
      <c r="AM62" s="110" t="n">
        <v>2463.6</v>
      </c>
      <c r="AN62" s="110" t="n">
        <v>2979.3</v>
      </c>
      <c r="AO62" s="110" t="n">
        <v>0</v>
      </c>
      <c r="AP62" s="110" t="n">
        <v>2979.3</v>
      </c>
      <c r="AQ62" s="110" t="n">
        <v>2213355</v>
      </c>
      <c r="AR62" s="110" t="n">
        <v>1414490</v>
      </c>
      <c r="AS62" s="110" t="n">
        <v>5408</v>
      </c>
      <c r="AT62" s="110" t="n">
        <v>1409082</v>
      </c>
      <c r="AU62" s="110" t="n">
        <v>798865</v>
      </c>
      <c r="AV62" s="110" t="n">
        <v>880</v>
      </c>
      <c r="AW62" s="110" t="n">
        <v>797985</v>
      </c>
      <c r="AX62" s="110" t="n">
        <v>486977</v>
      </c>
      <c r="AY62" s="110" t="n">
        <v>252815</v>
      </c>
      <c r="AZ62" s="110" t="n">
        <v>3753</v>
      </c>
      <c r="BA62" s="110" t="n">
        <v>249062</v>
      </c>
      <c r="BB62" s="110" t="n">
        <v>234162</v>
      </c>
      <c r="BC62" s="110" t="n">
        <v>627</v>
      </c>
      <c r="BD62" s="110" t="n">
        <v>233535</v>
      </c>
      <c r="BE62" s="110" t="n">
        <v>3921037.31</v>
      </c>
      <c r="BF62" s="110" t="n">
        <v>2728954.12</v>
      </c>
      <c r="BG62" s="110" t="n">
        <v>1456778.44</v>
      </c>
      <c r="BH62" s="110" t="n">
        <v>1272175.68</v>
      </c>
      <c r="BI62" s="110" t="n">
        <v>1192083.19</v>
      </c>
      <c r="BJ62" s="110" t="n">
        <v>346184.61</v>
      </c>
      <c r="BK62" s="110" t="n">
        <v>845898.58</v>
      </c>
      <c r="BL62" s="110" t="n">
        <v>591497.73</v>
      </c>
      <c r="BM62" s="110" t="n">
        <v>428680.54</v>
      </c>
      <c r="BN62" s="110" t="n">
        <v>245392.42</v>
      </c>
      <c r="BO62" s="110" t="n">
        <v>183288.12</v>
      </c>
      <c r="BP62" s="110" t="n">
        <v>162817.19</v>
      </c>
      <c r="BQ62" s="110" t="n">
        <v>70071.55</v>
      </c>
      <c r="BR62" s="110" t="n">
        <v>92745.64</v>
      </c>
      <c r="BS62" s="110" t="n">
        <v>356956.98</v>
      </c>
      <c r="BT62" s="110" t="n">
        <v>268630.58</v>
      </c>
      <c r="BU62" s="110" t="n">
        <v>143114.52</v>
      </c>
      <c r="BV62" s="110" t="n">
        <v>125516.06</v>
      </c>
      <c r="BW62" s="110" t="n">
        <v>88326.39999999999</v>
      </c>
      <c r="BX62" s="110" t="n">
        <v>29539.36</v>
      </c>
      <c r="BY62" s="110" t="n">
        <v>58787.04</v>
      </c>
      <c r="BZ62" s="110" t="n">
        <v>872307.4</v>
      </c>
      <c r="CA62" s="110" t="n">
        <v>543753</v>
      </c>
      <c r="CB62" s="110" t="n">
        <v>395411</v>
      </c>
      <c r="CC62" s="110" t="n">
        <v>148342</v>
      </c>
      <c r="CD62" s="110" t="n">
        <v>328554.4</v>
      </c>
      <c r="CE62" s="110" t="n">
        <v>109866.2</v>
      </c>
      <c r="CF62" s="110" t="n">
        <v>218688.2</v>
      </c>
      <c r="CG62" s="110" t="n">
        <v>2100275.2</v>
      </c>
      <c r="CH62" s="110" t="n">
        <v>1487890</v>
      </c>
      <c r="CI62" s="110" t="n">
        <v>672860.5</v>
      </c>
      <c r="CJ62" s="110" t="n">
        <v>815029.5</v>
      </c>
      <c r="CK62" s="110" t="n">
        <v>612385.2</v>
      </c>
      <c r="CL62" s="110" t="n">
        <v>136707.5</v>
      </c>
      <c r="CM62" s="110" t="n">
        <v>475677.7</v>
      </c>
      <c r="CN62" s="110" t="n">
        <v>44533.78</v>
      </c>
      <c r="CO62" s="110" t="n">
        <v>332278.5</v>
      </c>
      <c r="CP62" s="110" t="n">
        <v>526241.3100000001</v>
      </c>
      <c r="CQ62" s="110" t="n">
        <v>667065.47</v>
      </c>
      <c r="CR62" s="110" t="n">
        <v>749993.61</v>
      </c>
      <c r="CS62" s="110" t="n">
        <v>428835.7</v>
      </c>
      <c r="CT62" s="110" t="n">
        <v>304517.46</v>
      </c>
      <c r="CU62" s="110" t="n">
        <v>0</v>
      </c>
      <c r="CV62" s="111" t="n">
        <v>3001</v>
      </c>
      <c r="CW62" s="111" t="n">
        <v>2175</v>
      </c>
      <c r="CX62" s="111" t="n">
        <v>48</v>
      </c>
      <c r="CY62" s="111" t="n">
        <v>2127</v>
      </c>
      <c r="CZ62" s="111" t="n">
        <v>826</v>
      </c>
      <c r="DA62" s="111" t="n">
        <v>6</v>
      </c>
      <c r="DB62" s="111" t="n">
        <v>820</v>
      </c>
      <c r="DC62" s="111" t="n">
        <v>1104</v>
      </c>
      <c r="DD62" s="111" t="n">
        <v>0</v>
      </c>
      <c r="DE62" s="111" t="n">
        <v>873</v>
      </c>
      <c r="DF62" s="111" t="n">
        <v>29</v>
      </c>
      <c r="DG62" s="111" t="n">
        <v>844</v>
      </c>
      <c r="DH62" s="111" t="n">
        <v>231</v>
      </c>
      <c r="DI62" s="111" t="n">
        <v>3</v>
      </c>
      <c r="DJ62" s="111" t="n">
        <v>228</v>
      </c>
      <c r="DK62" s="111" t="n">
        <v>843</v>
      </c>
      <c r="DL62" s="111" t="n">
        <v>658</v>
      </c>
      <c r="DM62" s="111" t="n">
        <v>11</v>
      </c>
      <c r="DN62" s="111" t="n">
        <v>647</v>
      </c>
      <c r="DO62" s="111" t="n">
        <v>185</v>
      </c>
      <c r="DP62" s="111" t="n">
        <v>1</v>
      </c>
      <c r="DQ62" s="111" t="n">
        <v>184</v>
      </c>
      <c r="DR62" s="111" t="n">
        <v>848</v>
      </c>
      <c r="DS62" s="111" t="n">
        <v>0</v>
      </c>
      <c r="DT62" s="111" t="n">
        <v>501</v>
      </c>
      <c r="DU62" s="111" t="n">
        <v>8</v>
      </c>
      <c r="DV62" s="111" t="n">
        <v>493</v>
      </c>
      <c r="DW62" s="111" t="n">
        <v>347</v>
      </c>
      <c r="DX62" s="111" t="n">
        <v>2</v>
      </c>
      <c r="DY62" s="111" t="n">
        <v>345</v>
      </c>
      <c r="DZ62" s="111" t="n">
        <v>206</v>
      </c>
      <c r="EA62" s="111" t="n">
        <v>143</v>
      </c>
      <c r="EB62" s="111" t="n">
        <v>0</v>
      </c>
      <c r="EC62" s="111" t="n">
        <v>143</v>
      </c>
      <c r="ED62" s="111" t="n">
        <v>63</v>
      </c>
      <c r="EE62" s="111" t="n">
        <v>0</v>
      </c>
      <c r="EF62" s="111" t="n">
        <v>63</v>
      </c>
      <c r="EG62" s="111" t="n">
        <v>287</v>
      </c>
      <c r="EH62" s="111" t="n">
        <v>218</v>
      </c>
      <c r="EI62" s="111" t="n">
        <v>158</v>
      </c>
      <c r="EJ62" s="111" t="n">
        <v>60</v>
      </c>
      <c r="EK62" s="111" t="n">
        <v>69</v>
      </c>
      <c r="EL62" s="111" t="n">
        <v>31</v>
      </c>
      <c r="EM62" s="111" t="n">
        <v>38</v>
      </c>
      <c r="EN62" s="111" t="n">
        <v>218</v>
      </c>
      <c r="EO62" s="111" t="n">
        <v>133</v>
      </c>
      <c r="EP62" s="111" t="n">
        <v>1</v>
      </c>
      <c r="EQ62" s="111" t="n">
        <v>84</v>
      </c>
      <c r="ER62" s="111" t="n">
        <v>0</v>
      </c>
      <c r="ES62" s="111" t="n">
        <v>0</v>
      </c>
      <c r="ET62" s="111" t="n">
        <v>0</v>
      </c>
      <c r="EU62" s="111" t="n">
        <v>12</v>
      </c>
      <c r="EV62" s="111" t="n">
        <v>7</v>
      </c>
      <c r="EW62" s="111" t="n">
        <v>1</v>
      </c>
      <c r="EX62" s="111" t="n">
        <v>4</v>
      </c>
      <c r="EY62" s="111" t="n">
        <v>0</v>
      </c>
      <c r="EZ62" s="111" t="n">
        <v>0</v>
      </c>
      <c r="FA62" s="111" t="n">
        <v>0</v>
      </c>
      <c r="FB62" s="111" t="n">
        <v>170</v>
      </c>
    </row>
    <row r="63" ht="19.5" customHeight="1" s="247">
      <c r="A63" s="107" t="n">
        <v>60</v>
      </c>
      <c r="B63" s="107" t="inlineStr">
        <is>
          <t>医技平台</t>
        </is>
      </c>
      <c r="C63" s="107" t="inlineStr">
        <is>
          <t>麻醉科</t>
        </is>
      </c>
      <c r="D63" s="110" t="n">
        <v>1349130</v>
      </c>
      <c r="E63" s="110" t="n">
        <v>1349130</v>
      </c>
      <c r="F63" s="110" t="n">
        <v>0</v>
      </c>
      <c r="G63" s="110" t="n">
        <v>2219</v>
      </c>
      <c r="H63" s="110" t="n">
        <v>0</v>
      </c>
      <c r="I63" s="110" t="n">
        <v>28398</v>
      </c>
      <c r="J63" s="110" t="n">
        <v>0</v>
      </c>
      <c r="K63" s="110" t="n">
        <v>0</v>
      </c>
      <c r="L63" s="110" t="n">
        <v>0</v>
      </c>
      <c r="M63" s="110" t="n">
        <v>0</v>
      </c>
      <c r="N63" s="110" t="n">
        <v>0</v>
      </c>
      <c r="O63" s="110" t="n">
        <v>1965957.64</v>
      </c>
      <c r="P63" s="110" t="n">
        <v>1629695.24</v>
      </c>
      <c r="Q63" s="110" t="n">
        <v>1492035.75</v>
      </c>
      <c r="R63" s="110" t="n">
        <v>137659.49</v>
      </c>
      <c r="S63" s="110" t="n">
        <v>336262.4</v>
      </c>
      <c r="T63" s="110" t="n">
        <v>173090.71</v>
      </c>
      <c r="U63" s="110" t="n">
        <v>163171.69</v>
      </c>
      <c r="V63" s="110" t="n">
        <v>1965957.64</v>
      </c>
      <c r="W63" s="110" t="n">
        <v>1629695.24</v>
      </c>
      <c r="X63" s="110" t="n">
        <v>1492035.75</v>
      </c>
      <c r="Y63" s="110" t="n">
        <v>137659.49</v>
      </c>
      <c r="Z63" s="110" t="n">
        <v>336262.4</v>
      </c>
      <c r="AA63" s="110" t="n">
        <v>173090.71</v>
      </c>
      <c r="AB63" s="110" t="n">
        <v>163171.69</v>
      </c>
      <c r="AC63" s="110" t="n">
        <v>167453.4</v>
      </c>
      <c r="AD63" s="110" t="n">
        <v>136772.6</v>
      </c>
      <c r="AE63" s="110" t="n">
        <v>131708.63</v>
      </c>
      <c r="AF63" s="110" t="n">
        <v>5063.97</v>
      </c>
      <c r="AG63" s="110" t="n">
        <v>30680.8</v>
      </c>
      <c r="AH63" s="110" t="n">
        <v>16461.59</v>
      </c>
      <c r="AI63" s="110" t="n">
        <v>14219.21</v>
      </c>
      <c r="AJ63" s="110" t="n">
        <v>449374.24</v>
      </c>
      <c r="AK63" s="110" t="n">
        <v>390262.64</v>
      </c>
      <c r="AL63" s="110" t="n">
        <v>378193.12</v>
      </c>
      <c r="AM63" s="110" t="n">
        <v>12069.52</v>
      </c>
      <c r="AN63" s="110" t="n">
        <v>59111.6</v>
      </c>
      <c r="AO63" s="110" t="n">
        <v>39555.12</v>
      </c>
      <c r="AP63" s="110" t="n">
        <v>19556.48</v>
      </c>
      <c r="AQ63" s="110" t="n">
        <v>105</v>
      </c>
      <c r="AR63" s="110" t="n">
        <v>105</v>
      </c>
      <c r="AS63" s="110" t="n">
        <v>105</v>
      </c>
      <c r="AT63" s="110" t="n">
        <v>0</v>
      </c>
      <c r="AU63" s="110" t="n">
        <v>0</v>
      </c>
      <c r="AV63" s="110" t="n">
        <v>0</v>
      </c>
      <c r="AW63" s="110" t="n">
        <v>0</v>
      </c>
      <c r="AX63" s="110" t="n">
        <v>1349025</v>
      </c>
      <c r="AY63" s="110" t="n">
        <v>1102555</v>
      </c>
      <c r="AZ63" s="110" t="n">
        <v>982029</v>
      </c>
      <c r="BA63" s="110" t="n">
        <v>120526</v>
      </c>
      <c r="BB63" s="110" t="n">
        <v>246470</v>
      </c>
      <c r="BC63" s="110" t="n">
        <v>117074</v>
      </c>
      <c r="BD63" s="110" t="n">
        <v>129396</v>
      </c>
      <c r="BE63" s="110" t="n">
        <v>0</v>
      </c>
      <c r="BF63" s="110" t="n">
        <v>0</v>
      </c>
      <c r="BG63" s="110" t="n">
        <v>0</v>
      </c>
      <c r="BH63" s="110" t="n">
        <v>0</v>
      </c>
      <c r="BI63" s="110" t="n">
        <v>0</v>
      </c>
      <c r="BJ63" s="110" t="n">
        <v>0</v>
      </c>
      <c r="BK63" s="110" t="n">
        <v>0</v>
      </c>
      <c r="BL63" s="110" t="n">
        <v>0</v>
      </c>
      <c r="BM63" s="110" t="n">
        <v>0</v>
      </c>
      <c r="BN63" s="110" t="n">
        <v>0</v>
      </c>
      <c r="BO63" s="110" t="n">
        <v>0</v>
      </c>
      <c r="BP63" s="110" t="n">
        <v>0</v>
      </c>
      <c r="BQ63" s="110" t="n">
        <v>0</v>
      </c>
      <c r="BR63" s="110" t="n">
        <v>0</v>
      </c>
      <c r="BS63" s="110" t="n">
        <v>0</v>
      </c>
      <c r="BT63" s="110" t="n">
        <v>0</v>
      </c>
      <c r="BU63" s="110" t="n">
        <v>0</v>
      </c>
      <c r="BV63" s="110" t="n">
        <v>0</v>
      </c>
      <c r="BW63" s="110" t="n">
        <v>0</v>
      </c>
      <c r="BX63" s="110" t="n">
        <v>0</v>
      </c>
      <c r="BY63" s="110" t="n">
        <v>0</v>
      </c>
      <c r="BZ63" s="110" t="n">
        <v>0</v>
      </c>
      <c r="CA63" s="110" t="n">
        <v>0</v>
      </c>
      <c r="CB63" s="110" t="n">
        <v>0</v>
      </c>
      <c r="CC63" s="110" t="n">
        <v>0</v>
      </c>
      <c r="CD63" s="110" t="n">
        <v>0</v>
      </c>
      <c r="CE63" s="110" t="n">
        <v>0</v>
      </c>
      <c r="CF63" s="110" t="n">
        <v>0</v>
      </c>
      <c r="CG63" s="110" t="n">
        <v>0</v>
      </c>
      <c r="CH63" s="110" t="n">
        <v>0</v>
      </c>
      <c r="CI63" s="110" t="n">
        <v>0</v>
      </c>
      <c r="CJ63" s="110" t="n">
        <v>0</v>
      </c>
      <c r="CK63" s="110" t="n">
        <v>0</v>
      </c>
      <c r="CL63" s="110" t="n">
        <v>0</v>
      </c>
      <c r="CM63" s="110" t="n">
        <v>0</v>
      </c>
      <c r="CN63" s="110" t="n">
        <v>0</v>
      </c>
      <c r="CO63" s="110" t="n">
        <v>0</v>
      </c>
      <c r="CP63" s="110" t="n">
        <v>0</v>
      </c>
      <c r="CQ63" s="110" t="n">
        <v>1444993.38</v>
      </c>
      <c r="CR63" s="110" t="n">
        <v>520964.26</v>
      </c>
      <c r="CS63" s="110" t="n">
        <v>0</v>
      </c>
      <c r="CT63" s="110" t="n">
        <v>0</v>
      </c>
      <c r="CU63" s="110" t="n">
        <v>0</v>
      </c>
      <c r="CV63" s="111" t="n">
        <v>2219</v>
      </c>
      <c r="CW63" s="111" t="n">
        <v>1790</v>
      </c>
      <c r="CX63" s="111" t="n">
        <v>1558</v>
      </c>
      <c r="CY63" s="111" t="n">
        <v>232</v>
      </c>
      <c r="CZ63" s="111" t="n">
        <v>429</v>
      </c>
      <c r="DA63" s="111" t="n">
        <v>204</v>
      </c>
      <c r="DB63" s="111" t="n">
        <v>225</v>
      </c>
      <c r="DC63" s="111" t="n">
        <v>1693</v>
      </c>
      <c r="DD63" s="111" t="n">
        <v>0</v>
      </c>
      <c r="DE63" s="111" t="n">
        <v>1354</v>
      </c>
      <c r="DF63" s="111" t="n">
        <v>1291</v>
      </c>
      <c r="DG63" s="111" t="n">
        <v>63</v>
      </c>
      <c r="DH63" s="111" t="n">
        <v>339</v>
      </c>
      <c r="DI63" s="111" t="n">
        <v>182</v>
      </c>
      <c r="DJ63" s="111" t="n">
        <v>157</v>
      </c>
      <c r="DK63" s="111" t="n">
        <v>0</v>
      </c>
      <c r="DL63" s="111" t="n">
        <v>0</v>
      </c>
      <c r="DM63" s="111" t="n">
        <v>0</v>
      </c>
      <c r="DN63" s="111" t="n">
        <v>0</v>
      </c>
      <c r="DO63" s="111" t="n">
        <v>0</v>
      </c>
      <c r="DP63" s="111" t="n">
        <v>0</v>
      </c>
      <c r="DQ63" s="111" t="n">
        <v>0</v>
      </c>
      <c r="DR63" s="111" t="n">
        <v>526</v>
      </c>
      <c r="DS63" s="111" t="n">
        <v>0</v>
      </c>
      <c r="DT63" s="111" t="n">
        <v>436</v>
      </c>
      <c r="DU63" s="111" t="n">
        <v>267</v>
      </c>
      <c r="DV63" s="111" t="n">
        <v>169</v>
      </c>
      <c r="DW63" s="111" t="n">
        <v>90</v>
      </c>
      <c r="DX63" s="111" t="n">
        <v>22</v>
      </c>
      <c r="DY63" s="111" t="n">
        <v>68</v>
      </c>
      <c r="DZ63" s="111" t="n">
        <v>0</v>
      </c>
      <c r="EA63" s="111" t="n">
        <v>0</v>
      </c>
      <c r="EB63" s="111" t="n">
        <v>0</v>
      </c>
      <c r="EC63" s="111" t="n">
        <v>0</v>
      </c>
      <c r="ED63" s="111" t="n">
        <v>0</v>
      </c>
      <c r="EE63" s="111" t="n">
        <v>0</v>
      </c>
      <c r="EF63" s="111" t="n">
        <v>0</v>
      </c>
      <c r="EG63" s="111" t="n">
        <v>0</v>
      </c>
      <c r="EH63" s="111" t="n">
        <v>0</v>
      </c>
      <c r="EI63" s="111" t="n">
        <v>0</v>
      </c>
      <c r="EJ63" s="111" t="n">
        <v>0</v>
      </c>
      <c r="EK63" s="111" t="n">
        <v>0</v>
      </c>
      <c r="EL63" s="111" t="n">
        <v>0</v>
      </c>
      <c r="EM63" s="111" t="n">
        <v>0</v>
      </c>
      <c r="EN63" s="111" t="n">
        <v>21</v>
      </c>
      <c r="EO63" s="111" t="n">
        <v>0</v>
      </c>
      <c r="EP63" s="111" t="n">
        <v>0</v>
      </c>
      <c r="EQ63" s="111" t="n">
        <v>21</v>
      </c>
      <c r="ER63" s="111" t="n">
        <v>0</v>
      </c>
      <c r="ES63" s="111" t="n">
        <v>0</v>
      </c>
      <c r="ET63" s="111" t="n">
        <v>0</v>
      </c>
      <c r="EU63" s="111" t="n">
        <v>0</v>
      </c>
      <c r="EV63" s="111" t="n">
        <v>0</v>
      </c>
      <c r="EW63" s="111" t="n">
        <v>0</v>
      </c>
      <c r="EX63" s="111" t="n">
        <v>0</v>
      </c>
      <c r="EY63" s="111" t="n">
        <v>0</v>
      </c>
      <c r="EZ63" s="111" t="n">
        <v>0</v>
      </c>
      <c r="FA63" s="111" t="n">
        <v>0</v>
      </c>
      <c r="FB63" s="111" t="n">
        <v>0</v>
      </c>
    </row>
    <row r="64" ht="19.5" customHeight="1" s="247">
      <c r="A64" s="107" t="n">
        <v>61</v>
      </c>
      <c r="B64" s="107" t="inlineStr">
        <is>
          <t>其他</t>
        </is>
      </c>
      <c r="C64" s="107" t="inlineStr">
        <is>
          <t>特需门诊</t>
        </is>
      </c>
      <c r="D64" s="110" t="n">
        <v>22881</v>
      </c>
      <c r="E64" s="110" t="n">
        <v>22881</v>
      </c>
      <c r="F64" s="110" t="n">
        <v>0</v>
      </c>
      <c r="G64" s="110" t="n">
        <v>54</v>
      </c>
      <c r="H64" s="110" t="n">
        <v>0</v>
      </c>
      <c r="I64" s="110" t="n">
        <v>70</v>
      </c>
      <c r="J64" s="110" t="n">
        <v>0</v>
      </c>
      <c r="K64" s="110" t="n">
        <v>0</v>
      </c>
      <c r="L64" s="110" t="n">
        <v>0</v>
      </c>
      <c r="M64" s="110" t="n">
        <v>0</v>
      </c>
      <c r="N64" s="110" t="n">
        <v>0</v>
      </c>
      <c r="O64" s="110" t="n">
        <v>29034.29</v>
      </c>
      <c r="P64" s="110" t="n">
        <v>23289.75</v>
      </c>
      <c r="Q64" s="110" t="n">
        <v>22863.75</v>
      </c>
      <c r="R64" s="110" t="n">
        <v>426</v>
      </c>
      <c r="S64" s="110" t="n">
        <v>5744.54</v>
      </c>
      <c r="T64" s="110" t="n">
        <v>1510.32</v>
      </c>
      <c r="U64" s="110" t="n">
        <v>4234.22</v>
      </c>
      <c r="V64" s="110" t="n">
        <v>29034.29</v>
      </c>
      <c r="W64" s="110" t="n">
        <v>23289.75</v>
      </c>
      <c r="X64" s="110" t="n">
        <v>22863.75</v>
      </c>
      <c r="Y64" s="110" t="n">
        <v>426</v>
      </c>
      <c r="Z64" s="110" t="n">
        <v>5744.54</v>
      </c>
      <c r="AA64" s="110" t="n">
        <v>1510.32</v>
      </c>
      <c r="AB64" s="110" t="n">
        <v>4234.22</v>
      </c>
      <c r="AC64" s="110" t="n">
        <v>6025.41</v>
      </c>
      <c r="AD64" s="110" t="n">
        <v>4599.75</v>
      </c>
      <c r="AE64" s="110" t="n">
        <v>4599.75</v>
      </c>
      <c r="AF64" s="110" t="n">
        <v>0</v>
      </c>
      <c r="AG64" s="110" t="n">
        <v>1425.66</v>
      </c>
      <c r="AH64" s="110" t="n">
        <v>878.3200000000001</v>
      </c>
      <c r="AI64" s="110" t="n">
        <v>547.34</v>
      </c>
      <c r="AJ64" s="110" t="n">
        <v>127.88</v>
      </c>
      <c r="AK64" s="110" t="n">
        <v>0</v>
      </c>
      <c r="AL64" s="110" t="n">
        <v>0</v>
      </c>
      <c r="AM64" s="110" t="n">
        <v>0</v>
      </c>
      <c r="AN64" s="110" t="n">
        <v>127.88</v>
      </c>
      <c r="AO64" s="110" t="n">
        <v>0</v>
      </c>
      <c r="AP64" s="110" t="n">
        <v>127.88</v>
      </c>
      <c r="AQ64" s="110" t="n">
        <v>6569</v>
      </c>
      <c r="AR64" s="110" t="n">
        <v>6224</v>
      </c>
      <c r="AS64" s="110" t="n">
        <v>6174</v>
      </c>
      <c r="AT64" s="110" t="n">
        <v>50</v>
      </c>
      <c r="AU64" s="110" t="n">
        <v>345</v>
      </c>
      <c r="AV64" s="110" t="n">
        <v>0</v>
      </c>
      <c r="AW64" s="110" t="n">
        <v>345</v>
      </c>
      <c r="AX64" s="110" t="n">
        <v>16312</v>
      </c>
      <c r="AY64" s="110" t="n">
        <v>12466</v>
      </c>
      <c r="AZ64" s="110" t="n">
        <v>12090</v>
      </c>
      <c r="BA64" s="110" t="n">
        <v>376</v>
      </c>
      <c r="BB64" s="110" t="n">
        <v>3846</v>
      </c>
      <c r="BC64" s="110" t="n">
        <v>632</v>
      </c>
      <c r="BD64" s="110" t="n">
        <v>3214</v>
      </c>
      <c r="BE64" s="110" t="n">
        <v>0</v>
      </c>
      <c r="BF64" s="110" t="n">
        <v>0</v>
      </c>
      <c r="BG64" s="110" t="n">
        <v>0</v>
      </c>
      <c r="BH64" s="110" t="n">
        <v>0</v>
      </c>
      <c r="BI64" s="110" t="n">
        <v>0</v>
      </c>
      <c r="BJ64" s="110" t="n">
        <v>0</v>
      </c>
      <c r="BK64" s="110" t="n">
        <v>0</v>
      </c>
      <c r="BL64" s="110" t="n">
        <v>0</v>
      </c>
      <c r="BM64" s="110" t="n">
        <v>0</v>
      </c>
      <c r="BN64" s="110" t="n">
        <v>0</v>
      </c>
      <c r="BO64" s="110" t="n">
        <v>0</v>
      </c>
      <c r="BP64" s="110" t="n">
        <v>0</v>
      </c>
      <c r="BQ64" s="110" t="n">
        <v>0</v>
      </c>
      <c r="BR64" s="110" t="n">
        <v>0</v>
      </c>
      <c r="BS64" s="110" t="n">
        <v>0</v>
      </c>
      <c r="BT64" s="110" t="n">
        <v>0</v>
      </c>
      <c r="BU64" s="110" t="n">
        <v>0</v>
      </c>
      <c r="BV64" s="110" t="n">
        <v>0</v>
      </c>
      <c r="BW64" s="110" t="n">
        <v>0</v>
      </c>
      <c r="BX64" s="110" t="n">
        <v>0</v>
      </c>
      <c r="BY64" s="110" t="n">
        <v>0</v>
      </c>
      <c r="BZ64" s="110" t="n">
        <v>0</v>
      </c>
      <c r="CA64" s="110" t="n">
        <v>0</v>
      </c>
      <c r="CB64" s="110" t="n">
        <v>0</v>
      </c>
      <c r="CC64" s="110" t="n">
        <v>0</v>
      </c>
      <c r="CD64" s="110" t="n">
        <v>0</v>
      </c>
      <c r="CE64" s="110" t="n">
        <v>0</v>
      </c>
      <c r="CF64" s="110" t="n">
        <v>0</v>
      </c>
      <c r="CG64" s="110" t="n">
        <v>0</v>
      </c>
      <c r="CH64" s="110" t="n">
        <v>0</v>
      </c>
      <c r="CI64" s="110" t="n">
        <v>0</v>
      </c>
      <c r="CJ64" s="110" t="n">
        <v>0</v>
      </c>
      <c r="CK64" s="110" t="n">
        <v>0</v>
      </c>
      <c r="CL64" s="110" t="n">
        <v>0</v>
      </c>
      <c r="CM64" s="110" t="n">
        <v>0</v>
      </c>
      <c r="CN64" s="110" t="n">
        <v>0</v>
      </c>
      <c r="CO64" s="110" t="n">
        <v>624.1799999999999</v>
      </c>
      <c r="CP64" s="110" t="n">
        <v>24</v>
      </c>
      <c r="CQ64" s="110" t="n">
        <v>0</v>
      </c>
      <c r="CR64" s="110" t="n">
        <v>28386.11</v>
      </c>
      <c r="CS64" s="110" t="n">
        <v>0</v>
      </c>
      <c r="CT64" s="110" t="n">
        <v>0</v>
      </c>
      <c r="CU64" s="110" t="n">
        <v>0</v>
      </c>
      <c r="CV64" s="111" t="n">
        <v>54</v>
      </c>
      <c r="CW64" s="111" t="n">
        <v>43</v>
      </c>
      <c r="CX64" s="111" t="n">
        <v>42</v>
      </c>
      <c r="CY64" s="111" t="n">
        <v>1</v>
      </c>
      <c r="CZ64" s="111" t="n">
        <v>11</v>
      </c>
      <c r="DA64" s="111" t="n">
        <v>2</v>
      </c>
      <c r="DB64" s="111" t="n">
        <v>9</v>
      </c>
      <c r="DC64" s="111" t="n">
        <v>2</v>
      </c>
      <c r="DD64" s="111" t="n">
        <v>0</v>
      </c>
      <c r="DE64" s="111" t="n">
        <v>2</v>
      </c>
      <c r="DF64" s="111" t="n">
        <v>2</v>
      </c>
      <c r="DG64" s="111" t="n">
        <v>0</v>
      </c>
      <c r="DH64" s="111" t="n">
        <v>0</v>
      </c>
      <c r="DI64" s="111" t="n">
        <v>0</v>
      </c>
      <c r="DJ64" s="111" t="n">
        <v>0</v>
      </c>
      <c r="DK64" s="111" t="n">
        <v>0</v>
      </c>
      <c r="DL64" s="111" t="n">
        <v>0</v>
      </c>
      <c r="DM64" s="111" t="n">
        <v>0</v>
      </c>
      <c r="DN64" s="111" t="n">
        <v>0</v>
      </c>
      <c r="DO64" s="111" t="n">
        <v>0</v>
      </c>
      <c r="DP64" s="111" t="n">
        <v>0</v>
      </c>
      <c r="DQ64" s="111" t="n">
        <v>0</v>
      </c>
      <c r="DR64" s="111" t="n">
        <v>52</v>
      </c>
      <c r="DS64" s="111" t="n">
        <v>0</v>
      </c>
      <c r="DT64" s="111" t="n">
        <v>41</v>
      </c>
      <c r="DU64" s="111" t="n">
        <v>40</v>
      </c>
      <c r="DV64" s="111" t="n">
        <v>1</v>
      </c>
      <c r="DW64" s="111" t="n">
        <v>11</v>
      </c>
      <c r="DX64" s="111" t="n">
        <v>2</v>
      </c>
      <c r="DY64" s="111" t="n">
        <v>9</v>
      </c>
      <c r="DZ64" s="111" t="n">
        <v>0</v>
      </c>
      <c r="EA64" s="111" t="n">
        <v>0</v>
      </c>
      <c r="EB64" s="111" t="n">
        <v>0</v>
      </c>
      <c r="EC64" s="111" t="n">
        <v>0</v>
      </c>
      <c r="ED64" s="111" t="n">
        <v>0</v>
      </c>
      <c r="EE64" s="111" t="n">
        <v>0</v>
      </c>
      <c r="EF64" s="111" t="n">
        <v>0</v>
      </c>
      <c r="EG64" s="111" t="n">
        <v>0</v>
      </c>
      <c r="EH64" s="111" t="n">
        <v>0</v>
      </c>
      <c r="EI64" s="111" t="n">
        <v>0</v>
      </c>
      <c r="EJ64" s="111" t="n">
        <v>0</v>
      </c>
      <c r="EK64" s="111" t="n">
        <v>0</v>
      </c>
      <c r="EL64" s="111" t="n">
        <v>0</v>
      </c>
      <c r="EM64" s="111" t="n">
        <v>0</v>
      </c>
      <c r="EN64" s="111" t="n">
        <v>0</v>
      </c>
      <c r="EO64" s="111" t="n">
        <v>0</v>
      </c>
      <c r="EP64" s="111" t="n">
        <v>0</v>
      </c>
      <c r="EQ64" s="111" t="n">
        <v>0</v>
      </c>
      <c r="ER64" s="111" t="n">
        <v>0</v>
      </c>
      <c r="ES64" s="111" t="n">
        <v>0</v>
      </c>
      <c r="ET64" s="111" t="n">
        <v>0</v>
      </c>
      <c r="EU64" s="111" t="n">
        <v>0</v>
      </c>
      <c r="EV64" s="111" t="n">
        <v>0</v>
      </c>
      <c r="EW64" s="111" t="n">
        <v>0</v>
      </c>
      <c r="EX64" s="111" t="n">
        <v>0</v>
      </c>
      <c r="EY64" s="111" t="n">
        <v>0</v>
      </c>
      <c r="EZ64" s="111" t="n">
        <v>0</v>
      </c>
      <c r="FA64" s="111" t="n">
        <v>0</v>
      </c>
      <c r="FB64" s="111" t="n">
        <v>0</v>
      </c>
    </row>
    <row r="65" ht="19.5" customHeight="1" s="247">
      <c r="A65" s="107" t="n">
        <v>62</v>
      </c>
      <c r="B65" s="107" t="inlineStr">
        <is>
          <t>医技平台</t>
        </is>
      </c>
      <c r="C65" s="107" t="inlineStr">
        <is>
          <t>病理科</t>
        </is>
      </c>
      <c r="D65" s="110" t="n">
        <v>420139</v>
      </c>
      <c r="E65" s="110" t="n">
        <v>420139</v>
      </c>
      <c r="F65" s="110" t="n">
        <v>0</v>
      </c>
      <c r="G65" s="110" t="n">
        <v>268</v>
      </c>
      <c r="H65" s="110" t="n">
        <v>0</v>
      </c>
      <c r="I65" s="110" t="n">
        <v>0</v>
      </c>
      <c r="J65" s="110" t="n">
        <v>0</v>
      </c>
      <c r="K65" s="110" t="n">
        <v>0</v>
      </c>
      <c r="L65" s="110" t="n">
        <v>0</v>
      </c>
      <c r="M65" s="110" t="n">
        <v>0</v>
      </c>
      <c r="N65" s="110" t="n">
        <v>0</v>
      </c>
      <c r="O65" s="110" t="n">
        <v>420139</v>
      </c>
      <c r="P65" s="110" t="n">
        <v>241355</v>
      </c>
      <c r="Q65" s="110" t="n">
        <v>217344</v>
      </c>
      <c r="R65" s="110" t="n">
        <v>24011</v>
      </c>
      <c r="S65" s="110" t="n">
        <v>178784</v>
      </c>
      <c r="T65" s="110" t="n">
        <v>124061</v>
      </c>
      <c r="U65" s="110" t="n">
        <v>54723</v>
      </c>
      <c r="V65" s="110" t="n">
        <v>420139</v>
      </c>
      <c r="W65" s="110" t="n">
        <v>241355</v>
      </c>
      <c r="X65" s="110" t="n">
        <v>217344</v>
      </c>
      <c r="Y65" s="110" t="n">
        <v>24011</v>
      </c>
      <c r="Z65" s="110" t="n">
        <v>178784</v>
      </c>
      <c r="AA65" s="110" t="n">
        <v>124061</v>
      </c>
      <c r="AB65" s="110" t="n">
        <v>54723</v>
      </c>
      <c r="AC65" s="110" t="n">
        <v>0</v>
      </c>
      <c r="AD65" s="110" t="n">
        <v>0</v>
      </c>
      <c r="AE65" s="110" t="n">
        <v>0</v>
      </c>
      <c r="AF65" s="110" t="n">
        <v>0</v>
      </c>
      <c r="AG65" s="110" t="n">
        <v>0</v>
      </c>
      <c r="AH65" s="110" t="n">
        <v>0</v>
      </c>
      <c r="AI65" s="110" t="n">
        <v>0</v>
      </c>
      <c r="AJ65" s="110" t="n">
        <v>0</v>
      </c>
      <c r="AK65" s="110" t="n">
        <v>0</v>
      </c>
      <c r="AL65" s="110" t="n">
        <v>0</v>
      </c>
      <c r="AM65" s="110" t="n">
        <v>0</v>
      </c>
      <c r="AN65" s="110" t="n">
        <v>0</v>
      </c>
      <c r="AO65" s="110" t="n">
        <v>0</v>
      </c>
      <c r="AP65" s="110" t="n">
        <v>0</v>
      </c>
      <c r="AQ65" s="110" t="n">
        <v>400427</v>
      </c>
      <c r="AR65" s="110" t="n">
        <v>230603</v>
      </c>
      <c r="AS65" s="110" t="n">
        <v>208384</v>
      </c>
      <c r="AT65" s="110" t="n">
        <v>22219</v>
      </c>
      <c r="AU65" s="110" t="n">
        <v>169824</v>
      </c>
      <c r="AV65" s="110" t="n">
        <v>119709</v>
      </c>
      <c r="AW65" s="110" t="n">
        <v>50115</v>
      </c>
      <c r="AX65" s="110" t="n">
        <v>19712</v>
      </c>
      <c r="AY65" s="110" t="n">
        <v>10752</v>
      </c>
      <c r="AZ65" s="110" t="n">
        <v>8960</v>
      </c>
      <c r="BA65" s="110" t="n">
        <v>1792</v>
      </c>
      <c r="BB65" s="110" t="n">
        <v>8960</v>
      </c>
      <c r="BC65" s="110" t="n">
        <v>4352</v>
      </c>
      <c r="BD65" s="110" t="n">
        <v>4608</v>
      </c>
      <c r="BE65" s="110" t="n">
        <v>0</v>
      </c>
      <c r="BF65" s="110" t="n">
        <v>0</v>
      </c>
      <c r="BG65" s="110" t="n">
        <v>0</v>
      </c>
      <c r="BH65" s="110" t="n">
        <v>0</v>
      </c>
      <c r="BI65" s="110" t="n">
        <v>0</v>
      </c>
      <c r="BJ65" s="110" t="n">
        <v>0</v>
      </c>
      <c r="BK65" s="110" t="n">
        <v>0</v>
      </c>
      <c r="BL65" s="110" t="n">
        <v>0</v>
      </c>
      <c r="BM65" s="110" t="n">
        <v>0</v>
      </c>
      <c r="BN65" s="110" t="n">
        <v>0</v>
      </c>
      <c r="BO65" s="110" t="n">
        <v>0</v>
      </c>
      <c r="BP65" s="110" t="n">
        <v>0</v>
      </c>
      <c r="BQ65" s="110" t="n">
        <v>0</v>
      </c>
      <c r="BR65" s="110" t="n">
        <v>0</v>
      </c>
      <c r="BS65" s="110" t="n">
        <v>0</v>
      </c>
      <c r="BT65" s="110" t="n">
        <v>0</v>
      </c>
      <c r="BU65" s="110" t="n">
        <v>0</v>
      </c>
      <c r="BV65" s="110" t="n">
        <v>0</v>
      </c>
      <c r="BW65" s="110" t="n">
        <v>0</v>
      </c>
      <c r="BX65" s="110" t="n">
        <v>0</v>
      </c>
      <c r="BY65" s="110" t="n">
        <v>0</v>
      </c>
      <c r="BZ65" s="110" t="n">
        <v>0</v>
      </c>
      <c r="CA65" s="110" t="n">
        <v>0</v>
      </c>
      <c r="CB65" s="110" t="n">
        <v>0</v>
      </c>
      <c r="CC65" s="110" t="n">
        <v>0</v>
      </c>
      <c r="CD65" s="110" t="n">
        <v>0</v>
      </c>
      <c r="CE65" s="110" t="n">
        <v>0</v>
      </c>
      <c r="CF65" s="110" t="n">
        <v>0</v>
      </c>
      <c r="CG65" s="110" t="n">
        <v>0</v>
      </c>
      <c r="CH65" s="110" t="n">
        <v>0</v>
      </c>
      <c r="CI65" s="110" t="n">
        <v>0</v>
      </c>
      <c r="CJ65" s="110" t="n">
        <v>0</v>
      </c>
      <c r="CK65" s="110" t="n">
        <v>0</v>
      </c>
      <c r="CL65" s="110" t="n">
        <v>0</v>
      </c>
      <c r="CM65" s="110" t="n">
        <v>0</v>
      </c>
      <c r="CN65" s="110" t="n">
        <v>0</v>
      </c>
      <c r="CO65" s="110" t="n">
        <v>0</v>
      </c>
      <c r="CP65" s="110" t="n">
        <v>0</v>
      </c>
      <c r="CQ65" s="110" t="n">
        <v>325667</v>
      </c>
      <c r="CR65" s="110" t="n">
        <v>94472</v>
      </c>
      <c r="CS65" s="110" t="n">
        <v>0</v>
      </c>
      <c r="CT65" s="110" t="n">
        <v>0</v>
      </c>
      <c r="CU65" s="110" t="n">
        <v>0</v>
      </c>
      <c r="CV65" s="111" t="n">
        <v>268</v>
      </c>
      <c r="CW65" s="111" t="n">
        <v>139</v>
      </c>
      <c r="CX65" s="111" t="n">
        <v>117</v>
      </c>
      <c r="CY65" s="111" t="n">
        <v>22</v>
      </c>
      <c r="CZ65" s="111" t="n">
        <v>129</v>
      </c>
      <c r="DA65" s="111" t="n">
        <v>69</v>
      </c>
      <c r="DB65" s="111" t="n">
        <v>60</v>
      </c>
      <c r="DC65" s="111" t="n">
        <v>191</v>
      </c>
      <c r="DD65" s="111" t="n">
        <v>0</v>
      </c>
      <c r="DE65" s="111" t="n">
        <v>97</v>
      </c>
      <c r="DF65" s="111" t="n">
        <v>82</v>
      </c>
      <c r="DG65" s="111" t="n">
        <v>15</v>
      </c>
      <c r="DH65" s="111" t="n">
        <v>94</v>
      </c>
      <c r="DI65" s="111" t="n">
        <v>52</v>
      </c>
      <c r="DJ65" s="111" t="n">
        <v>42</v>
      </c>
      <c r="DK65" s="111" t="n">
        <v>0</v>
      </c>
      <c r="DL65" s="111" t="n">
        <v>0</v>
      </c>
      <c r="DM65" s="111" t="n">
        <v>0</v>
      </c>
      <c r="DN65" s="111" t="n">
        <v>0</v>
      </c>
      <c r="DO65" s="111" t="n">
        <v>0</v>
      </c>
      <c r="DP65" s="111" t="n">
        <v>0</v>
      </c>
      <c r="DQ65" s="111" t="n">
        <v>0</v>
      </c>
      <c r="DR65" s="111" t="n">
        <v>77</v>
      </c>
      <c r="DS65" s="111" t="n">
        <v>0</v>
      </c>
      <c r="DT65" s="111" t="n">
        <v>42</v>
      </c>
      <c r="DU65" s="111" t="n">
        <v>35</v>
      </c>
      <c r="DV65" s="111" t="n">
        <v>7</v>
      </c>
      <c r="DW65" s="111" t="n">
        <v>35</v>
      </c>
      <c r="DX65" s="111" t="n">
        <v>17</v>
      </c>
      <c r="DY65" s="111" t="n">
        <v>18</v>
      </c>
      <c r="DZ65" s="111" t="n">
        <v>0</v>
      </c>
      <c r="EA65" s="111" t="n">
        <v>0</v>
      </c>
      <c r="EB65" s="111" t="n">
        <v>0</v>
      </c>
      <c r="EC65" s="111" t="n">
        <v>0</v>
      </c>
      <c r="ED65" s="111" t="n">
        <v>0</v>
      </c>
      <c r="EE65" s="111" t="n">
        <v>0</v>
      </c>
      <c r="EF65" s="111" t="n">
        <v>0</v>
      </c>
      <c r="EG65" s="111" t="n">
        <v>0</v>
      </c>
      <c r="EH65" s="111" t="n">
        <v>0</v>
      </c>
      <c r="EI65" s="111" t="n">
        <v>0</v>
      </c>
      <c r="EJ65" s="111" t="n">
        <v>0</v>
      </c>
      <c r="EK65" s="111" t="n">
        <v>0</v>
      </c>
      <c r="EL65" s="111" t="n">
        <v>0</v>
      </c>
      <c r="EM65" s="111" t="n">
        <v>0</v>
      </c>
      <c r="EN65" s="111" t="n">
        <v>0</v>
      </c>
      <c r="EO65" s="111" t="n">
        <v>0</v>
      </c>
      <c r="EP65" s="111" t="n">
        <v>0</v>
      </c>
      <c r="EQ65" s="111" t="n">
        <v>0</v>
      </c>
      <c r="ER65" s="111" t="n">
        <v>0</v>
      </c>
      <c r="ES65" s="111" t="n">
        <v>0</v>
      </c>
      <c r="ET65" s="111" t="n">
        <v>0</v>
      </c>
      <c r="EU65" s="111" t="n">
        <v>0</v>
      </c>
      <c r="EV65" s="111" t="n">
        <v>0</v>
      </c>
      <c r="EW65" s="111" t="n">
        <v>0</v>
      </c>
      <c r="EX65" s="111" t="n">
        <v>0</v>
      </c>
      <c r="EY65" s="111" t="n">
        <v>0</v>
      </c>
      <c r="EZ65" s="111" t="n">
        <v>0</v>
      </c>
      <c r="FA65" s="111" t="n">
        <v>0</v>
      </c>
      <c r="FB65" s="111" t="n">
        <v>0</v>
      </c>
    </row>
    <row r="66" ht="19.5" customHeight="1" s="247">
      <c r="A66" s="107" t="n">
        <v>63</v>
      </c>
      <c r="B66" s="107" t="inlineStr">
        <is>
          <t>医技平台</t>
        </is>
      </c>
      <c r="C66" s="107" t="inlineStr">
        <is>
          <t>放射科</t>
        </is>
      </c>
      <c r="D66" s="110" t="n">
        <v>319695</v>
      </c>
      <c r="E66" s="110" t="n">
        <v>319695</v>
      </c>
      <c r="F66" s="110" t="n">
        <v>0</v>
      </c>
      <c r="G66" s="110" t="n">
        <v>2388</v>
      </c>
      <c r="H66" s="110" t="n">
        <v>0</v>
      </c>
      <c r="I66" s="110" t="n">
        <v>36</v>
      </c>
      <c r="J66" s="110" t="n">
        <v>0</v>
      </c>
      <c r="K66" s="110" t="n">
        <v>0</v>
      </c>
      <c r="L66" s="110" t="n">
        <v>0</v>
      </c>
      <c r="M66" s="110" t="n">
        <v>0</v>
      </c>
      <c r="N66" s="110" t="n">
        <v>0</v>
      </c>
      <c r="O66" s="110" t="n">
        <v>319721.88</v>
      </c>
      <c r="P66" s="110" t="n">
        <v>132739</v>
      </c>
      <c r="Q66" s="110" t="n">
        <v>94965</v>
      </c>
      <c r="R66" s="110" t="n">
        <v>37774</v>
      </c>
      <c r="S66" s="110" t="n">
        <v>186982.88</v>
      </c>
      <c r="T66" s="110" t="n">
        <v>51188</v>
      </c>
      <c r="U66" s="110" t="n">
        <v>135794.88</v>
      </c>
      <c r="V66" s="110" t="n">
        <v>319721.88</v>
      </c>
      <c r="W66" s="110" t="n">
        <v>132739</v>
      </c>
      <c r="X66" s="110" t="n">
        <v>94965</v>
      </c>
      <c r="Y66" s="110" t="n">
        <v>37774</v>
      </c>
      <c r="Z66" s="110" t="n">
        <v>186982.88</v>
      </c>
      <c r="AA66" s="110" t="n">
        <v>51188</v>
      </c>
      <c r="AB66" s="110" t="n">
        <v>135794.88</v>
      </c>
      <c r="AC66" s="110" t="n">
        <v>26.88</v>
      </c>
      <c r="AD66" s="110" t="n">
        <v>0</v>
      </c>
      <c r="AE66" s="110" t="n">
        <v>0</v>
      </c>
      <c r="AF66" s="110" t="n">
        <v>0</v>
      </c>
      <c r="AG66" s="110" t="n">
        <v>26.88</v>
      </c>
      <c r="AH66" s="110" t="n">
        <v>0</v>
      </c>
      <c r="AI66" s="110" t="n">
        <v>26.88</v>
      </c>
      <c r="AJ66" s="110" t="n">
        <v>0</v>
      </c>
      <c r="AK66" s="110" t="n">
        <v>0</v>
      </c>
      <c r="AL66" s="110" t="n">
        <v>0</v>
      </c>
      <c r="AM66" s="110" t="n">
        <v>0</v>
      </c>
      <c r="AN66" s="110" t="n">
        <v>0</v>
      </c>
      <c r="AO66" s="110" t="n">
        <v>0</v>
      </c>
      <c r="AP66" s="110" t="n">
        <v>0</v>
      </c>
      <c r="AQ66" s="110" t="n">
        <v>117871</v>
      </c>
      <c r="AR66" s="110" t="n">
        <v>72573</v>
      </c>
      <c r="AS66" s="110" t="n">
        <v>54453</v>
      </c>
      <c r="AT66" s="110" t="n">
        <v>18120</v>
      </c>
      <c r="AU66" s="110" t="n">
        <v>45298</v>
      </c>
      <c r="AV66" s="110" t="n">
        <v>19604</v>
      </c>
      <c r="AW66" s="110" t="n">
        <v>25694</v>
      </c>
      <c r="AX66" s="110" t="n">
        <v>201824</v>
      </c>
      <c r="AY66" s="110" t="n">
        <v>60166</v>
      </c>
      <c r="AZ66" s="110" t="n">
        <v>40512</v>
      </c>
      <c r="BA66" s="110" t="n">
        <v>19654</v>
      </c>
      <c r="BB66" s="110" t="n">
        <v>141658</v>
      </c>
      <c r="BC66" s="110" t="n">
        <v>31584</v>
      </c>
      <c r="BD66" s="110" t="n">
        <v>110074</v>
      </c>
      <c r="BE66" s="110" t="n">
        <v>0</v>
      </c>
      <c r="BF66" s="110" t="n">
        <v>0</v>
      </c>
      <c r="BG66" s="110" t="n">
        <v>0</v>
      </c>
      <c r="BH66" s="110" t="n">
        <v>0</v>
      </c>
      <c r="BI66" s="110" t="n">
        <v>0</v>
      </c>
      <c r="BJ66" s="110" t="n">
        <v>0</v>
      </c>
      <c r="BK66" s="110" t="n">
        <v>0</v>
      </c>
      <c r="BL66" s="110" t="n">
        <v>0</v>
      </c>
      <c r="BM66" s="110" t="n">
        <v>0</v>
      </c>
      <c r="BN66" s="110" t="n">
        <v>0</v>
      </c>
      <c r="BO66" s="110" t="n">
        <v>0</v>
      </c>
      <c r="BP66" s="110" t="n">
        <v>0</v>
      </c>
      <c r="BQ66" s="110" t="n">
        <v>0</v>
      </c>
      <c r="BR66" s="110" t="n">
        <v>0</v>
      </c>
      <c r="BS66" s="110" t="n">
        <v>0</v>
      </c>
      <c r="BT66" s="110" t="n">
        <v>0</v>
      </c>
      <c r="BU66" s="110" t="n">
        <v>0</v>
      </c>
      <c r="BV66" s="110" t="n">
        <v>0</v>
      </c>
      <c r="BW66" s="110" t="n">
        <v>0</v>
      </c>
      <c r="BX66" s="110" t="n">
        <v>0</v>
      </c>
      <c r="BY66" s="110" t="n">
        <v>0</v>
      </c>
      <c r="BZ66" s="110" t="n">
        <v>0</v>
      </c>
      <c r="CA66" s="110" t="n">
        <v>0</v>
      </c>
      <c r="CB66" s="110" t="n">
        <v>0</v>
      </c>
      <c r="CC66" s="110" t="n">
        <v>0</v>
      </c>
      <c r="CD66" s="110" t="n">
        <v>0</v>
      </c>
      <c r="CE66" s="110" t="n">
        <v>0</v>
      </c>
      <c r="CF66" s="110" t="n">
        <v>0</v>
      </c>
      <c r="CG66" s="110" t="n">
        <v>0</v>
      </c>
      <c r="CH66" s="110" t="n">
        <v>0</v>
      </c>
      <c r="CI66" s="110" t="n">
        <v>0</v>
      </c>
      <c r="CJ66" s="110" t="n">
        <v>0</v>
      </c>
      <c r="CK66" s="110" t="n">
        <v>0</v>
      </c>
      <c r="CL66" s="110" t="n">
        <v>0</v>
      </c>
      <c r="CM66" s="110" t="n">
        <v>0</v>
      </c>
      <c r="CN66" s="110" t="n">
        <v>40</v>
      </c>
      <c r="CO66" s="110" t="n">
        <v>2750</v>
      </c>
      <c r="CP66" s="110" t="n">
        <v>40</v>
      </c>
      <c r="CQ66" s="110" t="n">
        <v>107360</v>
      </c>
      <c r="CR66" s="110" t="n">
        <v>209531.88</v>
      </c>
      <c r="CS66" s="110" t="n">
        <v>0</v>
      </c>
      <c r="CT66" s="110" t="n">
        <v>0</v>
      </c>
      <c r="CU66" s="110" t="n">
        <v>0</v>
      </c>
      <c r="CV66" s="111" t="n">
        <v>2388</v>
      </c>
      <c r="CW66" s="111" t="n">
        <v>1427</v>
      </c>
      <c r="CX66" s="111" t="n">
        <v>1163</v>
      </c>
      <c r="CY66" s="111" t="n">
        <v>264</v>
      </c>
      <c r="CZ66" s="111" t="n">
        <v>961</v>
      </c>
      <c r="DA66" s="111" t="n">
        <v>382</v>
      </c>
      <c r="DB66" s="111" t="n">
        <v>579</v>
      </c>
      <c r="DC66" s="111" t="n">
        <v>1880</v>
      </c>
      <c r="DD66" s="111" t="n">
        <v>35</v>
      </c>
      <c r="DE66" s="111" t="n">
        <v>1258</v>
      </c>
      <c r="DF66" s="111" t="n">
        <v>1045</v>
      </c>
      <c r="DG66" s="111" t="n">
        <v>213</v>
      </c>
      <c r="DH66" s="111" t="n">
        <v>622</v>
      </c>
      <c r="DI66" s="111" t="n">
        <v>295</v>
      </c>
      <c r="DJ66" s="111" t="n">
        <v>327</v>
      </c>
      <c r="DK66" s="111" t="n">
        <v>0</v>
      </c>
      <c r="DL66" s="111" t="n">
        <v>0</v>
      </c>
      <c r="DM66" s="111" t="n">
        <v>0</v>
      </c>
      <c r="DN66" s="111" t="n">
        <v>0</v>
      </c>
      <c r="DO66" s="111" t="n">
        <v>0</v>
      </c>
      <c r="DP66" s="111" t="n">
        <v>0</v>
      </c>
      <c r="DQ66" s="111" t="n">
        <v>0</v>
      </c>
      <c r="DR66" s="111" t="n">
        <v>473</v>
      </c>
      <c r="DS66" s="111" t="n">
        <v>0</v>
      </c>
      <c r="DT66" s="111" t="n">
        <v>152</v>
      </c>
      <c r="DU66" s="111" t="n">
        <v>107</v>
      </c>
      <c r="DV66" s="111" t="n">
        <v>45</v>
      </c>
      <c r="DW66" s="111" t="n">
        <v>321</v>
      </c>
      <c r="DX66" s="111" t="n">
        <v>84</v>
      </c>
      <c r="DY66" s="111" t="n">
        <v>237</v>
      </c>
      <c r="DZ66" s="111" t="n">
        <v>0</v>
      </c>
      <c r="EA66" s="111" t="n">
        <v>0</v>
      </c>
      <c r="EB66" s="111" t="n">
        <v>0</v>
      </c>
      <c r="EC66" s="111" t="n">
        <v>0</v>
      </c>
      <c r="ED66" s="111" t="n">
        <v>0</v>
      </c>
      <c r="EE66" s="111" t="n">
        <v>0</v>
      </c>
      <c r="EF66" s="111" t="n">
        <v>0</v>
      </c>
      <c r="EG66" s="111" t="n">
        <v>0</v>
      </c>
      <c r="EH66" s="111" t="n">
        <v>0</v>
      </c>
      <c r="EI66" s="111" t="n">
        <v>0</v>
      </c>
      <c r="EJ66" s="111" t="n">
        <v>0</v>
      </c>
      <c r="EK66" s="111" t="n">
        <v>0</v>
      </c>
      <c r="EL66" s="111" t="n">
        <v>0</v>
      </c>
      <c r="EM66" s="111" t="n">
        <v>0</v>
      </c>
      <c r="EN66" s="111" t="n">
        <v>34</v>
      </c>
      <c r="EO66" s="111" t="n">
        <v>0</v>
      </c>
      <c r="EP66" s="111" t="n">
        <v>0</v>
      </c>
      <c r="EQ66" s="111" t="n">
        <v>34</v>
      </c>
      <c r="ER66" s="111" t="n">
        <v>0</v>
      </c>
      <c r="ES66" s="111" t="n">
        <v>0</v>
      </c>
      <c r="ET66" s="111" t="n">
        <v>0</v>
      </c>
      <c r="EU66" s="111" t="n">
        <v>0</v>
      </c>
      <c r="EV66" s="111" t="n">
        <v>0</v>
      </c>
      <c r="EW66" s="111" t="n">
        <v>0</v>
      </c>
      <c r="EX66" s="111" t="n">
        <v>0</v>
      </c>
      <c r="EY66" s="111" t="n">
        <v>0</v>
      </c>
      <c r="EZ66" s="111" t="n">
        <v>0</v>
      </c>
      <c r="FA66" s="111" t="n">
        <v>0</v>
      </c>
      <c r="FB66" s="111" t="n">
        <v>0</v>
      </c>
    </row>
    <row r="67" ht="19.5" customHeight="1" s="247">
      <c r="A67" s="107" t="n">
        <v>64</v>
      </c>
      <c r="B67" s="107" t="inlineStr">
        <is>
          <t>医技平台</t>
        </is>
      </c>
      <c r="C67" s="107" t="inlineStr">
        <is>
          <t>超声诊断科</t>
        </is>
      </c>
      <c r="D67" s="110" t="n">
        <v>152697</v>
      </c>
      <c r="E67" s="110" t="n">
        <v>152697</v>
      </c>
      <c r="F67" s="110" t="n">
        <v>0</v>
      </c>
      <c r="G67" s="110" t="n">
        <v>1309</v>
      </c>
      <c r="H67" s="110" t="n">
        <v>0</v>
      </c>
      <c r="I67" s="110" t="n">
        <v>840</v>
      </c>
      <c r="J67" s="110" t="n">
        <v>6160</v>
      </c>
      <c r="K67" s="110" t="n">
        <v>0</v>
      </c>
      <c r="L67" s="110" t="n">
        <v>0</v>
      </c>
      <c r="M67" s="110" t="n">
        <v>0</v>
      </c>
      <c r="N67" s="110" t="n">
        <v>0</v>
      </c>
      <c r="O67" s="110" t="n">
        <v>197026.11</v>
      </c>
      <c r="P67" s="110" t="n">
        <v>150521.6</v>
      </c>
      <c r="Q67" s="110" t="n">
        <v>139412.54</v>
      </c>
      <c r="R67" s="110" t="n">
        <v>11109.06</v>
      </c>
      <c r="S67" s="110" t="n">
        <v>46504.51</v>
      </c>
      <c r="T67" s="110" t="n">
        <v>22864.89</v>
      </c>
      <c r="U67" s="110" t="n">
        <v>23639.62</v>
      </c>
      <c r="V67" s="110" t="n">
        <v>197026.11</v>
      </c>
      <c r="W67" s="110" t="n">
        <v>150521.6</v>
      </c>
      <c r="X67" s="110" t="n">
        <v>139412.54</v>
      </c>
      <c r="Y67" s="110" t="n">
        <v>11109.06</v>
      </c>
      <c r="Z67" s="110" t="n">
        <v>46504.51</v>
      </c>
      <c r="AA67" s="110" t="n">
        <v>22864.89</v>
      </c>
      <c r="AB67" s="110" t="n">
        <v>23639.62</v>
      </c>
      <c r="AC67" s="110" t="n">
        <v>38039.11</v>
      </c>
      <c r="AD67" s="110" t="n">
        <v>27048.6</v>
      </c>
      <c r="AE67" s="110" t="n">
        <v>26023.54</v>
      </c>
      <c r="AF67" s="110" t="n">
        <v>1025.06</v>
      </c>
      <c r="AG67" s="110" t="n">
        <v>10990.51</v>
      </c>
      <c r="AH67" s="110" t="n">
        <v>6662.89</v>
      </c>
      <c r="AI67" s="110" t="n">
        <v>4327.62</v>
      </c>
      <c r="AJ67" s="110" t="n">
        <v>6290</v>
      </c>
      <c r="AK67" s="110" t="n">
        <v>4900</v>
      </c>
      <c r="AL67" s="110" t="n">
        <v>4300</v>
      </c>
      <c r="AM67" s="110" t="n">
        <v>600</v>
      </c>
      <c r="AN67" s="110" t="n">
        <v>1390</v>
      </c>
      <c r="AO67" s="110" t="n">
        <v>790</v>
      </c>
      <c r="AP67" s="110" t="n">
        <v>600</v>
      </c>
      <c r="AQ67" s="110" t="n">
        <v>76934</v>
      </c>
      <c r="AR67" s="110" t="n">
        <v>58092</v>
      </c>
      <c r="AS67" s="110" t="n">
        <v>53277</v>
      </c>
      <c r="AT67" s="110" t="n">
        <v>4815</v>
      </c>
      <c r="AU67" s="110" t="n">
        <v>18842</v>
      </c>
      <c r="AV67" s="110" t="n">
        <v>8305</v>
      </c>
      <c r="AW67" s="110" t="n">
        <v>10537</v>
      </c>
      <c r="AX67" s="110" t="n">
        <v>75763</v>
      </c>
      <c r="AY67" s="110" t="n">
        <v>60481</v>
      </c>
      <c r="AZ67" s="110" t="n">
        <v>55812</v>
      </c>
      <c r="BA67" s="110" t="n">
        <v>4669</v>
      </c>
      <c r="BB67" s="110" t="n">
        <v>15282</v>
      </c>
      <c r="BC67" s="110" t="n">
        <v>7107</v>
      </c>
      <c r="BD67" s="110" t="n">
        <v>8175</v>
      </c>
      <c r="BE67" s="110" t="n">
        <v>0</v>
      </c>
      <c r="BF67" s="110" t="n">
        <v>0</v>
      </c>
      <c r="BG67" s="110" t="n">
        <v>0</v>
      </c>
      <c r="BH67" s="110" t="n">
        <v>0</v>
      </c>
      <c r="BI67" s="110" t="n">
        <v>0</v>
      </c>
      <c r="BJ67" s="110" t="n">
        <v>0</v>
      </c>
      <c r="BK67" s="110" t="n">
        <v>0</v>
      </c>
      <c r="BL67" s="110" t="n">
        <v>0</v>
      </c>
      <c r="BM67" s="110" t="n">
        <v>0</v>
      </c>
      <c r="BN67" s="110" t="n">
        <v>0</v>
      </c>
      <c r="BO67" s="110" t="n">
        <v>0</v>
      </c>
      <c r="BP67" s="110" t="n">
        <v>0</v>
      </c>
      <c r="BQ67" s="110" t="n">
        <v>0</v>
      </c>
      <c r="BR67" s="110" t="n">
        <v>0</v>
      </c>
      <c r="BS67" s="110" t="n">
        <v>0</v>
      </c>
      <c r="BT67" s="110" t="n">
        <v>0</v>
      </c>
      <c r="BU67" s="110" t="n">
        <v>0</v>
      </c>
      <c r="BV67" s="110" t="n">
        <v>0</v>
      </c>
      <c r="BW67" s="110" t="n">
        <v>0</v>
      </c>
      <c r="BX67" s="110" t="n">
        <v>0</v>
      </c>
      <c r="BY67" s="110" t="n">
        <v>0</v>
      </c>
      <c r="BZ67" s="110" t="n">
        <v>0</v>
      </c>
      <c r="CA67" s="110" t="n">
        <v>0</v>
      </c>
      <c r="CB67" s="110" t="n">
        <v>0</v>
      </c>
      <c r="CC67" s="110" t="n">
        <v>0</v>
      </c>
      <c r="CD67" s="110" t="n">
        <v>0</v>
      </c>
      <c r="CE67" s="110" t="n">
        <v>0</v>
      </c>
      <c r="CF67" s="110" t="n">
        <v>0</v>
      </c>
      <c r="CG67" s="110" t="n">
        <v>0</v>
      </c>
      <c r="CH67" s="110" t="n">
        <v>0</v>
      </c>
      <c r="CI67" s="110" t="n">
        <v>0</v>
      </c>
      <c r="CJ67" s="110" t="n">
        <v>0</v>
      </c>
      <c r="CK67" s="110" t="n">
        <v>0</v>
      </c>
      <c r="CL67" s="110" t="n">
        <v>0</v>
      </c>
      <c r="CM67" s="110" t="n">
        <v>0</v>
      </c>
      <c r="CN67" s="110" t="n">
        <v>0</v>
      </c>
      <c r="CO67" s="110" t="n">
        <v>320</v>
      </c>
      <c r="CP67" s="110" t="n">
        <v>11181.06</v>
      </c>
      <c r="CQ67" s="110" t="n">
        <v>47564.57</v>
      </c>
      <c r="CR67" s="110" t="n">
        <v>137960.48</v>
      </c>
      <c r="CS67" s="110" t="n">
        <v>0</v>
      </c>
      <c r="CT67" s="110" t="n">
        <v>0</v>
      </c>
      <c r="CU67" s="110" t="n">
        <v>0</v>
      </c>
      <c r="CV67" s="111" t="n">
        <v>1309</v>
      </c>
      <c r="CW67" s="111" t="n">
        <v>1096</v>
      </c>
      <c r="CX67" s="111" t="n">
        <v>1044</v>
      </c>
      <c r="CY67" s="111" t="n">
        <v>52</v>
      </c>
      <c r="CZ67" s="111" t="n">
        <v>213</v>
      </c>
      <c r="DA67" s="111" t="n">
        <v>117</v>
      </c>
      <c r="DB67" s="111" t="n">
        <v>96</v>
      </c>
      <c r="DC67" s="111" t="n">
        <v>1099</v>
      </c>
      <c r="DD67" s="111" t="n">
        <v>0</v>
      </c>
      <c r="DE67" s="111" t="n">
        <v>931</v>
      </c>
      <c r="DF67" s="111" t="n">
        <v>889</v>
      </c>
      <c r="DG67" s="111" t="n">
        <v>42</v>
      </c>
      <c r="DH67" s="111" t="n">
        <v>168</v>
      </c>
      <c r="DI67" s="111" t="n">
        <v>97</v>
      </c>
      <c r="DJ67" s="111" t="n">
        <v>71</v>
      </c>
      <c r="DK67" s="111" t="n">
        <v>52</v>
      </c>
      <c r="DL67" s="111" t="n">
        <v>42</v>
      </c>
      <c r="DM67" s="111" t="n">
        <v>40</v>
      </c>
      <c r="DN67" s="111" t="n">
        <v>2</v>
      </c>
      <c r="DO67" s="111" t="n">
        <v>10</v>
      </c>
      <c r="DP67" s="111" t="n">
        <v>4</v>
      </c>
      <c r="DQ67" s="111" t="n">
        <v>6</v>
      </c>
      <c r="DR67" s="111" t="n">
        <v>158</v>
      </c>
      <c r="DS67" s="111" t="n">
        <v>0</v>
      </c>
      <c r="DT67" s="111" t="n">
        <v>123</v>
      </c>
      <c r="DU67" s="111" t="n">
        <v>115</v>
      </c>
      <c r="DV67" s="111" t="n">
        <v>8</v>
      </c>
      <c r="DW67" s="111" t="n">
        <v>35</v>
      </c>
      <c r="DX67" s="111" t="n">
        <v>16</v>
      </c>
      <c r="DY67" s="111" t="n">
        <v>19</v>
      </c>
      <c r="DZ67" s="111" t="n">
        <v>0</v>
      </c>
      <c r="EA67" s="111" t="n">
        <v>0</v>
      </c>
      <c r="EB67" s="111" t="n">
        <v>0</v>
      </c>
      <c r="EC67" s="111" t="n">
        <v>0</v>
      </c>
      <c r="ED67" s="111" t="n">
        <v>0</v>
      </c>
      <c r="EE67" s="111" t="n">
        <v>0</v>
      </c>
      <c r="EF67" s="111" t="n">
        <v>0</v>
      </c>
      <c r="EG67" s="111" t="n">
        <v>0</v>
      </c>
      <c r="EH67" s="111" t="n">
        <v>0</v>
      </c>
      <c r="EI67" s="111" t="n">
        <v>0</v>
      </c>
      <c r="EJ67" s="111" t="n">
        <v>0</v>
      </c>
      <c r="EK67" s="111" t="n">
        <v>0</v>
      </c>
      <c r="EL67" s="111" t="n">
        <v>0</v>
      </c>
      <c r="EM67" s="111" t="n">
        <v>0</v>
      </c>
      <c r="EN67" s="111" t="n">
        <v>83</v>
      </c>
      <c r="EO67" s="111" t="n">
        <v>2</v>
      </c>
      <c r="EP67" s="111" t="n">
        <v>0</v>
      </c>
      <c r="EQ67" s="111" t="n">
        <v>81</v>
      </c>
      <c r="ER67" s="111" t="n">
        <v>0</v>
      </c>
      <c r="ES67" s="111" t="n">
        <v>0</v>
      </c>
      <c r="ET67" s="111" t="n">
        <v>0</v>
      </c>
      <c r="EU67" s="111" t="n">
        <v>0</v>
      </c>
      <c r="EV67" s="111" t="n">
        <v>0</v>
      </c>
      <c r="EW67" s="111" t="n">
        <v>0</v>
      </c>
      <c r="EX67" s="111" t="n">
        <v>0</v>
      </c>
      <c r="EY67" s="111" t="n">
        <v>0</v>
      </c>
      <c r="EZ67" s="111" t="n">
        <v>0</v>
      </c>
      <c r="FA67" s="111" t="n">
        <v>0</v>
      </c>
      <c r="FB67" s="111" t="n">
        <v>0</v>
      </c>
    </row>
    <row r="68" ht="28.5" customHeight="1" s="247">
      <c r="A68" s="107" t="n">
        <v>65</v>
      </c>
      <c r="B68" s="107" t="inlineStr">
        <is>
          <t>其他</t>
        </is>
      </c>
      <c r="C68" s="107" t="inlineStr">
        <is>
          <t>临床药物试验办公室GCP</t>
        </is>
      </c>
      <c r="D68" s="110" t="n">
        <v>100</v>
      </c>
      <c r="E68" s="110" t="n">
        <v>100</v>
      </c>
      <c r="F68" s="110" t="n">
        <v>0</v>
      </c>
      <c r="G68" s="110" t="n">
        <v>4</v>
      </c>
      <c r="H68" s="110" t="n">
        <v>0</v>
      </c>
      <c r="I68" s="110" t="n">
        <v>0</v>
      </c>
      <c r="J68" s="110" t="n">
        <v>0</v>
      </c>
      <c r="K68" s="110" t="n">
        <v>0</v>
      </c>
      <c r="L68" s="110" t="n">
        <v>0</v>
      </c>
      <c r="M68" s="110" t="n">
        <v>0</v>
      </c>
      <c r="N68" s="110" t="n">
        <v>0</v>
      </c>
      <c r="O68" s="110" t="n">
        <v>100</v>
      </c>
      <c r="P68" s="110" t="n">
        <v>25</v>
      </c>
      <c r="Q68" s="110" t="n">
        <v>0</v>
      </c>
      <c r="R68" s="110" t="n">
        <v>25</v>
      </c>
      <c r="S68" s="110" t="n">
        <v>75</v>
      </c>
      <c r="T68" s="110" t="n">
        <v>0</v>
      </c>
      <c r="U68" s="110" t="n">
        <v>75</v>
      </c>
      <c r="V68" s="110" t="n">
        <v>100</v>
      </c>
      <c r="W68" s="110" t="n">
        <v>25</v>
      </c>
      <c r="X68" s="110" t="n">
        <v>0</v>
      </c>
      <c r="Y68" s="110" t="n">
        <v>25</v>
      </c>
      <c r="Z68" s="110" t="n">
        <v>75</v>
      </c>
      <c r="AA68" s="110" t="n">
        <v>0</v>
      </c>
      <c r="AB68" s="110" t="n">
        <v>75</v>
      </c>
      <c r="AC68" s="110" t="n">
        <v>0</v>
      </c>
      <c r="AD68" s="110" t="n">
        <v>0</v>
      </c>
      <c r="AE68" s="110" t="n">
        <v>0</v>
      </c>
      <c r="AF68" s="110" t="n">
        <v>0</v>
      </c>
      <c r="AG68" s="110" t="n">
        <v>0</v>
      </c>
      <c r="AH68" s="110" t="n">
        <v>0</v>
      </c>
      <c r="AI68" s="110" t="n">
        <v>0</v>
      </c>
      <c r="AJ68" s="110" t="n">
        <v>0</v>
      </c>
      <c r="AK68" s="110" t="n">
        <v>0</v>
      </c>
      <c r="AL68" s="110" t="n">
        <v>0</v>
      </c>
      <c r="AM68" s="110" t="n">
        <v>0</v>
      </c>
      <c r="AN68" s="110" t="n">
        <v>0</v>
      </c>
      <c r="AO68" s="110" t="n">
        <v>0</v>
      </c>
      <c r="AP68" s="110" t="n">
        <v>0</v>
      </c>
      <c r="AQ68" s="110" t="n">
        <v>0</v>
      </c>
      <c r="AR68" s="110" t="n">
        <v>0</v>
      </c>
      <c r="AS68" s="110" t="n">
        <v>0</v>
      </c>
      <c r="AT68" s="110" t="n">
        <v>0</v>
      </c>
      <c r="AU68" s="110" t="n">
        <v>0</v>
      </c>
      <c r="AV68" s="110" t="n">
        <v>0</v>
      </c>
      <c r="AW68" s="110" t="n">
        <v>0</v>
      </c>
      <c r="AX68" s="110" t="n">
        <v>100</v>
      </c>
      <c r="AY68" s="110" t="n">
        <v>25</v>
      </c>
      <c r="AZ68" s="110" t="n">
        <v>0</v>
      </c>
      <c r="BA68" s="110" t="n">
        <v>25</v>
      </c>
      <c r="BB68" s="110" t="n">
        <v>75</v>
      </c>
      <c r="BC68" s="110" t="n">
        <v>0</v>
      </c>
      <c r="BD68" s="110" t="n">
        <v>75</v>
      </c>
      <c r="BE68" s="110" t="n">
        <v>0</v>
      </c>
      <c r="BF68" s="110" t="n">
        <v>0</v>
      </c>
      <c r="BG68" s="110" t="n">
        <v>0</v>
      </c>
      <c r="BH68" s="110" t="n">
        <v>0</v>
      </c>
      <c r="BI68" s="110" t="n">
        <v>0</v>
      </c>
      <c r="BJ68" s="110" t="n">
        <v>0</v>
      </c>
      <c r="BK68" s="110" t="n">
        <v>0</v>
      </c>
      <c r="BL68" s="110" t="n">
        <v>0</v>
      </c>
      <c r="BM68" s="110" t="n">
        <v>0</v>
      </c>
      <c r="BN68" s="110" t="n">
        <v>0</v>
      </c>
      <c r="BO68" s="110" t="n">
        <v>0</v>
      </c>
      <c r="BP68" s="110" t="n">
        <v>0</v>
      </c>
      <c r="BQ68" s="110" t="n">
        <v>0</v>
      </c>
      <c r="BR68" s="110" t="n">
        <v>0</v>
      </c>
      <c r="BS68" s="110" t="n">
        <v>0</v>
      </c>
      <c r="BT68" s="110" t="n">
        <v>0</v>
      </c>
      <c r="BU68" s="110" t="n">
        <v>0</v>
      </c>
      <c r="BV68" s="110" t="n">
        <v>0</v>
      </c>
      <c r="BW68" s="110" t="n">
        <v>0</v>
      </c>
      <c r="BX68" s="110" t="n">
        <v>0</v>
      </c>
      <c r="BY68" s="110" t="n">
        <v>0</v>
      </c>
      <c r="BZ68" s="110" t="n">
        <v>0</v>
      </c>
      <c r="CA68" s="110" t="n">
        <v>0</v>
      </c>
      <c r="CB68" s="110" t="n">
        <v>0</v>
      </c>
      <c r="CC68" s="110" t="n">
        <v>0</v>
      </c>
      <c r="CD68" s="110" t="n">
        <v>0</v>
      </c>
      <c r="CE68" s="110" t="n">
        <v>0</v>
      </c>
      <c r="CF68" s="110" t="n">
        <v>0</v>
      </c>
      <c r="CG68" s="110" t="n">
        <v>0</v>
      </c>
      <c r="CH68" s="110" t="n">
        <v>0</v>
      </c>
      <c r="CI68" s="110" t="n">
        <v>0</v>
      </c>
      <c r="CJ68" s="110" t="n">
        <v>0</v>
      </c>
      <c r="CK68" s="110" t="n">
        <v>0</v>
      </c>
      <c r="CL68" s="110" t="n">
        <v>0</v>
      </c>
      <c r="CM68" s="110" t="n">
        <v>0</v>
      </c>
      <c r="CN68" s="110" t="n">
        <v>0</v>
      </c>
      <c r="CO68" s="110" t="n">
        <v>0</v>
      </c>
      <c r="CP68" s="110" t="n">
        <v>0</v>
      </c>
      <c r="CQ68" s="110" t="n">
        <v>100</v>
      </c>
      <c r="CR68" s="110" t="n">
        <v>0</v>
      </c>
      <c r="CS68" s="110" t="n">
        <v>0</v>
      </c>
      <c r="CT68" s="110" t="n">
        <v>0</v>
      </c>
      <c r="CU68" s="110" t="n">
        <v>0</v>
      </c>
      <c r="CV68" s="111" t="n">
        <v>4</v>
      </c>
      <c r="CW68" s="111" t="n">
        <v>1</v>
      </c>
      <c r="CX68" s="111" t="n">
        <v>0</v>
      </c>
      <c r="CY68" s="111" t="n">
        <v>1</v>
      </c>
      <c r="CZ68" s="111" t="n">
        <v>3</v>
      </c>
      <c r="DA68" s="111" t="n">
        <v>0</v>
      </c>
      <c r="DB68" s="111" t="n">
        <v>3</v>
      </c>
      <c r="DC68" s="111" t="n">
        <v>4</v>
      </c>
      <c r="DD68" s="111" t="n">
        <v>0</v>
      </c>
      <c r="DE68" s="111" t="n">
        <v>1</v>
      </c>
      <c r="DF68" s="111" t="n">
        <v>0</v>
      </c>
      <c r="DG68" s="111" t="n">
        <v>1</v>
      </c>
      <c r="DH68" s="111" t="n">
        <v>3</v>
      </c>
      <c r="DI68" s="111" t="n">
        <v>0</v>
      </c>
      <c r="DJ68" s="111" t="n">
        <v>3</v>
      </c>
      <c r="DK68" s="111" t="n">
        <v>0</v>
      </c>
      <c r="DL68" s="111" t="n">
        <v>0</v>
      </c>
      <c r="DM68" s="111" t="n">
        <v>0</v>
      </c>
      <c r="DN68" s="111" t="n">
        <v>0</v>
      </c>
      <c r="DO68" s="111" t="n">
        <v>0</v>
      </c>
      <c r="DP68" s="111" t="n">
        <v>0</v>
      </c>
      <c r="DQ68" s="111" t="n">
        <v>0</v>
      </c>
      <c r="DR68" s="111" t="n">
        <v>0</v>
      </c>
      <c r="DS68" s="111" t="n">
        <v>0</v>
      </c>
      <c r="DT68" s="111" t="n">
        <v>0</v>
      </c>
      <c r="DU68" s="111" t="n">
        <v>0</v>
      </c>
      <c r="DV68" s="111" t="n">
        <v>0</v>
      </c>
      <c r="DW68" s="111" t="n">
        <v>0</v>
      </c>
      <c r="DX68" s="111" t="n">
        <v>0</v>
      </c>
      <c r="DY68" s="111" t="n">
        <v>0</v>
      </c>
      <c r="DZ68" s="111" t="n">
        <v>0</v>
      </c>
      <c r="EA68" s="111" t="n">
        <v>0</v>
      </c>
      <c r="EB68" s="111" t="n">
        <v>0</v>
      </c>
      <c r="EC68" s="111" t="n">
        <v>0</v>
      </c>
      <c r="ED68" s="111" t="n">
        <v>0</v>
      </c>
      <c r="EE68" s="111" t="n">
        <v>0</v>
      </c>
      <c r="EF68" s="111" t="n">
        <v>0</v>
      </c>
      <c r="EG68" s="111" t="n">
        <v>0</v>
      </c>
      <c r="EH68" s="111" t="n">
        <v>0</v>
      </c>
      <c r="EI68" s="111" t="n">
        <v>0</v>
      </c>
      <c r="EJ68" s="111" t="n">
        <v>0</v>
      </c>
      <c r="EK68" s="111" t="n">
        <v>0</v>
      </c>
      <c r="EL68" s="111" t="n">
        <v>0</v>
      </c>
      <c r="EM68" s="111" t="n">
        <v>0</v>
      </c>
      <c r="EN68" s="111" t="n">
        <v>0</v>
      </c>
      <c r="EO68" s="111" t="n">
        <v>0</v>
      </c>
      <c r="EP68" s="111" t="n">
        <v>0</v>
      </c>
      <c r="EQ68" s="111" t="n">
        <v>0</v>
      </c>
      <c r="ER68" s="111" t="n">
        <v>0</v>
      </c>
      <c r="ES68" s="111" t="n">
        <v>0</v>
      </c>
      <c r="ET68" s="111" t="n">
        <v>0</v>
      </c>
      <c r="EU68" s="111" t="n">
        <v>0</v>
      </c>
      <c r="EV68" s="111" t="n">
        <v>0</v>
      </c>
      <c r="EW68" s="111" t="n">
        <v>0</v>
      </c>
      <c r="EX68" s="111" t="n">
        <v>0</v>
      </c>
      <c r="EY68" s="111" t="n">
        <v>0</v>
      </c>
      <c r="EZ68" s="111" t="n">
        <v>0</v>
      </c>
      <c r="FA68" s="111" t="n">
        <v>0</v>
      </c>
      <c r="FB68" s="111" t="n">
        <v>0</v>
      </c>
    </row>
  </sheetData>
  <mergeCells count="2">
    <mergeCell ref="A1:C1"/>
    <mergeCell ref="A3:C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B69"/>
  <sheetViews>
    <sheetView workbookViewId="0">
      <selection activeCell="E7" sqref="E7"/>
    </sheetView>
  </sheetViews>
  <sheetFormatPr baseColWidth="8" defaultColWidth="10" defaultRowHeight="14"/>
  <cols>
    <col width="7.75" customWidth="1" style="247" min="1" max="1"/>
    <col width="12.83203125" customWidth="1" style="247" min="2" max="2"/>
    <col width="18" customWidth="1" style="247" min="3" max="3"/>
    <col width="15.33203125" customWidth="1" style="247" min="4" max="99"/>
    <col width="16.08203125" customWidth="1" style="247" min="100" max="100"/>
    <col width="15.33203125" customWidth="1" style="247" min="101" max="158"/>
    <col width="9.75" customWidth="1" style="247" min="159" max="161"/>
  </cols>
  <sheetData>
    <row r="1" ht="43.9" customHeight="1" s="247">
      <c r="A1" s="195" t="inlineStr">
        <is>
          <t>日期范围：20260101-20260531</t>
        </is>
      </c>
      <c r="B1" s="289" t="n"/>
      <c r="C1" s="289" t="n"/>
      <c r="D1" s="195" t="n">
        <v>25</v>
      </c>
      <c r="E1" s="195" t="n"/>
      <c r="F1" s="105" t="n"/>
      <c r="G1" s="106" t="n"/>
      <c r="H1" s="106" t="n"/>
      <c r="I1" s="106" t="n"/>
      <c r="J1" s="106" t="n"/>
      <c r="K1" s="106" t="n"/>
      <c r="L1" s="106" t="n"/>
      <c r="M1" s="106" t="n"/>
      <c r="N1" s="106" t="n"/>
      <c r="O1" s="106" t="inlineStr">
        <is>
          <t>1=2+5=8+43</t>
        </is>
      </c>
      <c r="P1" s="106" t="inlineStr">
        <is>
          <t>2=3+4</t>
        </is>
      </c>
      <c r="Q1" s="106" t="n">
        <v>3</v>
      </c>
      <c r="R1" s="106" t="n">
        <v>4</v>
      </c>
      <c r="S1" s="106" t="inlineStr">
        <is>
          <t>5=6+7</t>
        </is>
      </c>
      <c r="T1" s="106" t="n">
        <v>6</v>
      </c>
      <c r="U1" s="106" t="n">
        <v>7</v>
      </c>
      <c r="V1" s="106" t="inlineStr">
        <is>
          <t>8=9+12=15+22+29+36</t>
        </is>
      </c>
      <c r="W1" s="106" t="inlineStr">
        <is>
          <t>9=10+11</t>
        </is>
      </c>
      <c r="X1" s="106" t="n">
        <v>10</v>
      </c>
      <c r="Y1" s="106" t="n">
        <v>11</v>
      </c>
      <c r="Z1" s="106" t="inlineStr">
        <is>
          <t>12=13+14</t>
        </is>
      </c>
      <c r="AA1" s="106" t="n">
        <v>13</v>
      </c>
      <c r="AB1" s="106" t="n">
        <v>14</v>
      </c>
      <c r="AC1" s="106" t="inlineStr">
        <is>
          <t>15=16+19</t>
        </is>
      </c>
      <c r="AD1" s="106" t="inlineStr">
        <is>
          <t>16=17+18</t>
        </is>
      </c>
      <c r="AE1" s="106" t="n">
        <v>17</v>
      </c>
      <c r="AF1" s="106" t="n">
        <v>18</v>
      </c>
      <c r="AG1" s="106" t="inlineStr">
        <is>
          <t>19=20+21</t>
        </is>
      </c>
      <c r="AH1" s="106" t="n">
        <v>20</v>
      </c>
      <c r="AI1" s="106" t="n">
        <v>21</v>
      </c>
      <c r="AJ1" s="106" t="inlineStr">
        <is>
          <t>22=23+26</t>
        </is>
      </c>
      <c r="AK1" s="106" t="inlineStr">
        <is>
          <t>23=24+25</t>
        </is>
      </c>
      <c r="AL1" s="106" t="n">
        <v>24</v>
      </c>
      <c r="AM1" s="106" t="n">
        <v>25</v>
      </c>
      <c r="AN1" s="106" t="inlineStr">
        <is>
          <t>26=27+28</t>
        </is>
      </c>
      <c r="AO1" s="106" t="n">
        <v>27</v>
      </c>
      <c r="AP1" s="106" t="n">
        <v>28</v>
      </c>
      <c r="AQ1" s="106" t="inlineStr">
        <is>
          <t>29=30+33</t>
        </is>
      </c>
      <c r="AR1" s="106" t="inlineStr">
        <is>
          <t>30=31+32</t>
        </is>
      </c>
      <c r="AS1" s="106" t="n">
        <v>31</v>
      </c>
      <c r="AT1" s="106" t="n">
        <v>32</v>
      </c>
      <c r="AU1" s="106" t="inlineStr">
        <is>
          <t>33=34+35</t>
        </is>
      </c>
      <c r="AV1" s="106" t="n">
        <v>34</v>
      </c>
      <c r="AW1" s="106" t="n">
        <v>35</v>
      </c>
      <c r="AX1" s="106" t="inlineStr">
        <is>
          <t>36=37+40</t>
        </is>
      </c>
      <c r="AY1" s="106" t="inlineStr">
        <is>
          <t>37=38+39</t>
        </is>
      </c>
      <c r="AZ1" s="106" t="n">
        <v>38</v>
      </c>
      <c r="BA1" s="106" t="n">
        <v>39</v>
      </c>
      <c r="BB1" s="106" t="inlineStr">
        <is>
          <t>40=41+42</t>
        </is>
      </c>
      <c r="BC1" s="106" t="n">
        <v>41</v>
      </c>
      <c r="BD1" s="106" t="n">
        <v>42</v>
      </c>
      <c r="BE1" s="106" t="inlineStr">
        <is>
          <t>43=50+57+64+71=44+47</t>
        </is>
      </c>
      <c r="BF1" s="106" t="inlineStr">
        <is>
          <t>44=45+46</t>
        </is>
      </c>
      <c r="BG1" s="106" t="n">
        <v>45</v>
      </c>
      <c r="BH1" s="106" t="n">
        <v>46</v>
      </c>
      <c r="BI1" s="106" t="inlineStr">
        <is>
          <t>47=48+49</t>
        </is>
      </c>
      <c r="BJ1" s="106" t="n">
        <v>48</v>
      </c>
      <c r="BK1" s="106" t="n">
        <v>49</v>
      </c>
      <c r="BL1" s="106" t="inlineStr">
        <is>
          <t>50=51+54</t>
        </is>
      </c>
      <c r="BM1" s="106" t="inlineStr">
        <is>
          <t>51=52+53</t>
        </is>
      </c>
      <c r="BN1" s="106" t="n">
        <v>52</v>
      </c>
      <c r="BO1" s="106" t="n">
        <v>53</v>
      </c>
      <c r="BP1" s="106" t="inlineStr">
        <is>
          <t>54=55+56</t>
        </is>
      </c>
      <c r="BQ1" s="106" t="n">
        <v>55</v>
      </c>
      <c r="BR1" s="106" t="n">
        <v>56</v>
      </c>
      <c r="BS1" s="106" t="inlineStr">
        <is>
          <t>57=58+61</t>
        </is>
      </c>
      <c r="BT1" s="106" t="inlineStr">
        <is>
          <t>58=59+60</t>
        </is>
      </c>
      <c r="BU1" s="106" t="n">
        <v>59</v>
      </c>
      <c r="BV1" s="106" t="n">
        <v>60</v>
      </c>
      <c r="BW1" s="106" t="inlineStr">
        <is>
          <t>61=62+63</t>
        </is>
      </c>
      <c r="BX1" s="106" t="n">
        <v>62</v>
      </c>
      <c r="BY1" s="106" t="n">
        <v>63</v>
      </c>
      <c r="BZ1" s="106" t="inlineStr">
        <is>
          <t>64=65+68</t>
        </is>
      </c>
      <c r="CA1" s="106" t="inlineStr">
        <is>
          <t>65=66+67</t>
        </is>
      </c>
      <c r="CB1" s="106" t="n">
        <v>66</v>
      </c>
      <c r="CC1" s="106" t="n">
        <v>67</v>
      </c>
      <c r="CD1" s="106" t="inlineStr">
        <is>
          <t>68=69+70</t>
        </is>
      </c>
      <c r="CE1" s="106" t="n">
        <v>69</v>
      </c>
      <c r="CF1" s="106" t="n">
        <v>70</v>
      </c>
      <c r="CG1" s="106" t="inlineStr">
        <is>
          <t>71=72+75</t>
        </is>
      </c>
      <c r="CH1" s="106" t="inlineStr">
        <is>
          <t>72=73+74</t>
        </is>
      </c>
      <c r="CI1" s="106" t="n">
        <v>73</v>
      </c>
      <c r="CJ1" s="106" t="n">
        <v>74</v>
      </c>
      <c r="CK1" s="106" t="inlineStr">
        <is>
          <t>75=76+77</t>
        </is>
      </c>
      <c r="CL1" s="106" t="n">
        <v>76</v>
      </c>
      <c r="CM1" s="106" t="n">
        <v>77</v>
      </c>
      <c r="CN1" s="106" t="n"/>
      <c r="CO1" s="106" t="n"/>
      <c r="CP1" s="112" t="n"/>
      <c r="CQ1" s="112" t="n"/>
      <c r="CR1" s="106" t="n"/>
      <c r="CS1" s="106" t="n"/>
      <c r="CT1" s="106" t="n"/>
      <c r="CU1" s="106" t="n"/>
      <c r="CV1" s="106" t="inlineStr">
        <is>
          <t>78=85+93+100+108+86+101=79+82</t>
        </is>
      </c>
      <c r="CW1" s="106" t="inlineStr">
        <is>
          <t>79=80+81</t>
        </is>
      </c>
      <c r="CX1" s="106" t="n">
        <v>80</v>
      </c>
      <c r="CY1" s="106" t="n">
        <v>81</v>
      </c>
      <c r="CZ1" s="106" t="inlineStr">
        <is>
          <t>82=83+84</t>
        </is>
      </c>
      <c r="DA1" s="106" t="n">
        <v>83</v>
      </c>
      <c r="DB1" s="106" t="n">
        <v>84</v>
      </c>
      <c r="DC1" s="106" t="inlineStr">
        <is>
          <t>85=87+90=78-93-100-108-86-101</t>
        </is>
      </c>
      <c r="DD1" s="106" t="n">
        <v>86</v>
      </c>
      <c r="DE1" s="106" t="inlineStr">
        <is>
          <t>87=88+89</t>
        </is>
      </c>
      <c r="DF1" s="106" t="n">
        <v>88</v>
      </c>
      <c r="DG1" s="106" t="n">
        <v>89</v>
      </c>
      <c r="DH1" s="106" t="inlineStr">
        <is>
          <t>90=91+92</t>
        </is>
      </c>
      <c r="DI1" s="106" t="n">
        <v>91</v>
      </c>
      <c r="DJ1" s="106" t="n">
        <v>92</v>
      </c>
      <c r="DK1" s="106" t="inlineStr">
        <is>
          <t>93=94+97</t>
        </is>
      </c>
      <c r="DL1" s="106" t="inlineStr">
        <is>
          <t>94=95+96</t>
        </is>
      </c>
      <c r="DM1" s="106" t="n">
        <v>95</v>
      </c>
      <c r="DN1" s="106" t="n">
        <v>96</v>
      </c>
      <c r="DO1" s="106" t="inlineStr">
        <is>
          <t>97=98+99</t>
        </is>
      </c>
      <c r="DP1" s="106" t="n">
        <v>98</v>
      </c>
      <c r="DQ1" s="106" t="n">
        <v>99</v>
      </c>
      <c r="DR1" s="106" t="inlineStr">
        <is>
          <t>100=102+105</t>
        </is>
      </c>
      <c r="DS1" s="106" t="n">
        <v>101</v>
      </c>
      <c r="DT1" s="106" t="inlineStr">
        <is>
          <t>102=103+104</t>
        </is>
      </c>
      <c r="DU1" s="106" t="n">
        <v>103</v>
      </c>
      <c r="DV1" s="106" t="n">
        <v>104</v>
      </c>
      <c r="DW1" s="106" t="inlineStr">
        <is>
          <t>105=106+107</t>
        </is>
      </c>
      <c r="DX1" s="106" t="n">
        <v>106</v>
      </c>
      <c r="DY1" s="106" t="n">
        <v>107</v>
      </c>
      <c r="DZ1" s="106" t="inlineStr">
        <is>
          <t>108=109+112</t>
        </is>
      </c>
      <c r="EA1" s="106" t="inlineStr">
        <is>
          <t>109=110+111</t>
        </is>
      </c>
      <c r="EB1" s="106" t="n">
        <v>110</v>
      </c>
      <c r="EC1" s="106" t="n">
        <v>111</v>
      </c>
      <c r="ED1" s="106" t="inlineStr">
        <is>
          <t>112=113+114</t>
        </is>
      </c>
      <c r="EE1" s="106" t="n">
        <v>113</v>
      </c>
      <c r="EF1" s="106" t="n">
        <v>114</v>
      </c>
      <c r="EG1" s="106" t="inlineStr">
        <is>
          <t>115=116+119</t>
        </is>
      </c>
      <c r="EH1" s="106" t="inlineStr">
        <is>
          <t>116=117+118</t>
        </is>
      </c>
      <c r="EI1" s="106" t="n">
        <v>117</v>
      </c>
      <c r="EJ1" s="106" t="n">
        <v>118</v>
      </c>
      <c r="EK1" s="106" t="inlineStr">
        <is>
          <t>119=120+121</t>
        </is>
      </c>
      <c r="EL1" s="106" t="n">
        <v>120</v>
      </c>
      <c r="EM1" s="106" t="n">
        <v>121</v>
      </c>
      <c r="EN1" s="106" t="inlineStr">
        <is>
          <t>122=123+124+125</t>
        </is>
      </c>
      <c r="EO1" s="106" t="n">
        <v>123</v>
      </c>
      <c r="EP1" s="106" t="n">
        <v>124</v>
      </c>
      <c r="EQ1" s="106" t="n">
        <v>125</v>
      </c>
      <c r="ER1" s="106" t="n"/>
      <c r="ES1" s="106" t="n"/>
      <c r="ET1" s="106" t="n"/>
      <c r="EU1" s="106" t="inlineStr">
        <is>
          <t>126=127+128+129</t>
        </is>
      </c>
      <c r="EV1" s="106" t="n">
        <v>127</v>
      </c>
      <c r="EW1" s="106" t="n">
        <v>128</v>
      </c>
      <c r="EX1" s="106" t="n">
        <v>129</v>
      </c>
      <c r="EY1" s="106" t="inlineStr">
        <is>
          <t>130=131+132</t>
        </is>
      </c>
      <c r="EZ1" s="106" t="n">
        <v>131</v>
      </c>
      <c r="FA1" s="106" t="n">
        <v>132</v>
      </c>
      <c r="FB1" s="106" t="n">
        <v>133</v>
      </c>
    </row>
    <row r="2" ht="29.25" customHeight="1" s="247">
      <c r="A2" s="107" t="inlineStr">
        <is>
          <t>序号</t>
        </is>
      </c>
      <c r="B2" s="107" t="inlineStr">
        <is>
          <t>科室类别</t>
        </is>
      </c>
      <c r="C2" s="107" t="inlineStr">
        <is>
          <t>科室名称</t>
        </is>
      </c>
      <c r="D2" s="107" t="inlineStr">
        <is>
          <t>医疗收入不含药耗</t>
        </is>
      </c>
      <c r="E2" s="107" t="inlineStr">
        <is>
          <t>门急诊收入不含药耗</t>
        </is>
      </c>
      <c r="F2" s="107" t="inlineStr">
        <is>
          <t>住院收入不含药耗</t>
        </is>
      </c>
      <c r="G2" s="107" t="inlineStr">
        <is>
          <t>门急诊人次</t>
        </is>
      </c>
      <c r="H2" s="107" t="inlineStr">
        <is>
          <t>住院人次</t>
        </is>
      </c>
      <c r="I2" s="108" t="inlineStr">
        <is>
          <t>门急诊治疗收入</t>
        </is>
      </c>
      <c r="J2" s="108" t="inlineStr">
        <is>
          <t>门急诊手术收入</t>
        </is>
      </c>
      <c r="K2" s="108" t="inlineStr">
        <is>
          <t>门诊中药饮片收入</t>
        </is>
      </c>
      <c r="L2" s="108" t="inlineStr">
        <is>
          <t>住院治疗收入</t>
        </is>
      </c>
      <c r="M2" s="108" t="inlineStr">
        <is>
          <t>住院手术收入</t>
        </is>
      </c>
      <c r="N2" s="108" t="inlineStr">
        <is>
          <t>住院中药饮片收入</t>
        </is>
      </c>
      <c r="O2" s="108" t="inlineStr">
        <is>
          <t>医疗收入</t>
        </is>
      </c>
      <c r="P2" s="107" t="inlineStr">
        <is>
          <t>其中本地病人医疗收入</t>
        </is>
      </c>
      <c r="Q2" s="107" t="inlineStr">
        <is>
          <t>其中本地病人医保医疗收入</t>
        </is>
      </c>
      <c r="R2" s="107" t="inlineStr">
        <is>
          <t>其中本地病人自费医疗收入</t>
        </is>
      </c>
      <c r="S2" s="107" t="inlineStr">
        <is>
          <t>其中异地病人医疗收入</t>
        </is>
      </c>
      <c r="T2" s="107" t="inlineStr">
        <is>
          <t>其中异地病人医保医疗收入</t>
        </is>
      </c>
      <c r="U2" s="107" t="inlineStr">
        <is>
          <t>其中异地病人自费医疗收入</t>
        </is>
      </c>
      <c r="V2" s="108" t="inlineStr">
        <is>
          <t>门急诊收入</t>
        </is>
      </c>
      <c r="W2" s="107" t="inlineStr">
        <is>
          <t>其中本地病人医疗收入</t>
        </is>
      </c>
      <c r="X2" s="107" t="inlineStr">
        <is>
          <t>其中本地病人医保医疗收入</t>
        </is>
      </c>
      <c r="Y2" s="107" t="inlineStr">
        <is>
          <t>其中本地病人自费医疗收入</t>
        </is>
      </c>
      <c r="Z2" s="107" t="inlineStr">
        <is>
          <t>其中异地病人医疗收入</t>
        </is>
      </c>
      <c r="AA2" s="107" t="inlineStr">
        <is>
          <t>其中异地病人医保医疗收入</t>
        </is>
      </c>
      <c r="AB2" s="107" t="inlineStr">
        <is>
          <t>其中异地病人自费医疗收入</t>
        </is>
      </c>
      <c r="AC2" s="108" t="inlineStr">
        <is>
          <t>门急诊药品收入</t>
        </is>
      </c>
      <c r="AD2" s="107" t="inlineStr">
        <is>
          <t>其中本地病人医疗收入</t>
        </is>
      </c>
      <c r="AE2" s="107" t="inlineStr">
        <is>
          <t>其中本地病人医保医疗收入</t>
        </is>
      </c>
      <c r="AF2" s="107" t="inlineStr">
        <is>
          <t>其中本地病人自费医疗收入</t>
        </is>
      </c>
      <c r="AG2" s="107" t="inlineStr">
        <is>
          <t>其中异地病人医疗收入</t>
        </is>
      </c>
      <c r="AH2" s="107" t="inlineStr">
        <is>
          <t>其中异地病人医保医疗收入</t>
        </is>
      </c>
      <c r="AI2" s="107" t="inlineStr">
        <is>
          <t>其中异地病人自费医疗收入</t>
        </is>
      </c>
      <c r="AJ2" s="108" t="inlineStr">
        <is>
          <t>门急诊耗材收入</t>
        </is>
      </c>
      <c r="AK2" s="107" t="inlineStr">
        <is>
          <t>其中本地病人医疗收入</t>
        </is>
      </c>
      <c r="AL2" s="107" t="inlineStr">
        <is>
          <t>其中本地病人医保医疗收入</t>
        </is>
      </c>
      <c r="AM2" s="107" t="inlineStr">
        <is>
          <t>其中本地病人自费医疗收入</t>
        </is>
      </c>
      <c r="AN2" s="107" t="inlineStr">
        <is>
          <t>其中异地病人医疗收入</t>
        </is>
      </c>
      <c r="AO2" s="107" t="inlineStr">
        <is>
          <t>其中异地病人医保医疗收入</t>
        </is>
      </c>
      <c r="AP2" s="107" t="inlineStr">
        <is>
          <t>其中异地病人自费医疗收入</t>
        </is>
      </c>
      <c r="AQ2" s="108" t="inlineStr">
        <is>
          <t>门急诊检查化验收入</t>
        </is>
      </c>
      <c r="AR2" s="107" t="inlineStr">
        <is>
          <t>其中本地病人医疗收入</t>
        </is>
      </c>
      <c r="AS2" s="107" t="inlineStr">
        <is>
          <t>其中本地病人医保医疗收入</t>
        </is>
      </c>
      <c r="AT2" s="107" t="inlineStr">
        <is>
          <t>其中本地病人自费医疗收入</t>
        </is>
      </c>
      <c r="AU2" s="107" t="inlineStr">
        <is>
          <t>其中异地病人医疗收入</t>
        </is>
      </c>
      <c r="AV2" s="107" t="inlineStr">
        <is>
          <t>其中异地病人医保医疗收入</t>
        </is>
      </c>
      <c r="AW2" s="107" t="inlineStr">
        <is>
          <t>其中异地病人自费医疗收入</t>
        </is>
      </c>
      <c r="AX2" s="108" t="inlineStr">
        <is>
          <t>门急诊劳务收入</t>
        </is>
      </c>
      <c r="AY2" s="107" t="inlineStr">
        <is>
          <t>其中本地病人医疗收入</t>
        </is>
      </c>
      <c r="AZ2" s="107" t="inlineStr">
        <is>
          <t>其中本地病人医保医疗收入</t>
        </is>
      </c>
      <c r="BA2" s="107" t="inlineStr">
        <is>
          <t>其中本地病人自费医疗收入</t>
        </is>
      </c>
      <c r="BB2" s="107" t="inlineStr">
        <is>
          <t>其中异地病人医疗收入</t>
        </is>
      </c>
      <c r="BC2" s="107" t="inlineStr">
        <is>
          <t>其中异地病人医保医疗收入</t>
        </is>
      </c>
      <c r="BD2" s="107" t="inlineStr">
        <is>
          <t>其中异地病人自费医疗收入</t>
        </is>
      </c>
      <c r="BE2" s="108" t="inlineStr">
        <is>
          <t>住院收入</t>
        </is>
      </c>
      <c r="BF2" s="107" t="inlineStr">
        <is>
          <t>其中本地病人医疗收入</t>
        </is>
      </c>
      <c r="BG2" s="107" t="inlineStr">
        <is>
          <t>其中本地病人医保医疗收入</t>
        </is>
      </c>
      <c r="BH2" s="107" t="inlineStr">
        <is>
          <t>其中本地病人自费医疗收入</t>
        </is>
      </c>
      <c r="BI2" s="107" t="inlineStr">
        <is>
          <t>其中异地病人医疗收入</t>
        </is>
      </c>
      <c r="BJ2" s="107" t="inlineStr">
        <is>
          <t>其中异地病人医保医疗收入</t>
        </is>
      </c>
      <c r="BK2" s="107" t="inlineStr">
        <is>
          <t>其中异地病人自费医疗收入</t>
        </is>
      </c>
      <c r="BL2" s="108" t="inlineStr">
        <is>
          <t>住院药品收入</t>
        </is>
      </c>
      <c r="BM2" s="107" t="inlineStr">
        <is>
          <t>其中本地病人医疗收入</t>
        </is>
      </c>
      <c r="BN2" s="107" t="inlineStr">
        <is>
          <t>其中本地病人医保医疗收入</t>
        </is>
      </c>
      <c r="BO2" s="107" t="inlineStr">
        <is>
          <t>其中本地病人自费医疗收入</t>
        </is>
      </c>
      <c r="BP2" s="107" t="inlineStr">
        <is>
          <t>其中异地病人医疗收入</t>
        </is>
      </c>
      <c r="BQ2" s="107" t="inlineStr">
        <is>
          <t>其中异地病人医保医疗收入</t>
        </is>
      </c>
      <c r="BR2" s="107" t="inlineStr">
        <is>
          <t>其中异地病人自费医疗收入</t>
        </is>
      </c>
      <c r="BS2" s="108" t="inlineStr">
        <is>
          <t>住院耗材收入</t>
        </is>
      </c>
      <c r="BT2" s="107" t="inlineStr">
        <is>
          <t>其中本地病人医疗收入</t>
        </is>
      </c>
      <c r="BU2" s="107" t="inlineStr">
        <is>
          <t>其中本地病人医保医疗收入</t>
        </is>
      </c>
      <c r="BV2" s="107" t="inlineStr">
        <is>
          <t>其中本地病人自费医疗收入</t>
        </is>
      </c>
      <c r="BW2" s="107" t="inlineStr">
        <is>
          <t>其中异地病人医疗收入</t>
        </is>
      </c>
      <c r="BX2" s="107" t="inlineStr">
        <is>
          <t>其中异地病人医保医疗收入</t>
        </is>
      </c>
      <c r="BY2" s="107" t="inlineStr">
        <is>
          <t>其中异地病人自费医疗收入</t>
        </is>
      </c>
      <c r="BZ2" s="108" t="inlineStr">
        <is>
          <t>住院检查化验收入</t>
        </is>
      </c>
      <c r="CA2" s="107" t="inlineStr">
        <is>
          <t>其中本地病人医疗收入</t>
        </is>
      </c>
      <c r="CB2" s="107" t="inlineStr">
        <is>
          <t>其中本地病人医保医疗收入</t>
        </is>
      </c>
      <c r="CC2" s="107" t="inlineStr">
        <is>
          <t>其中本地病人自费医疗收入</t>
        </is>
      </c>
      <c r="CD2" s="107" t="inlineStr">
        <is>
          <t>其中异地病人医疗收入</t>
        </is>
      </c>
      <c r="CE2" s="107" t="inlineStr">
        <is>
          <t>其中异地病人医保医疗收入</t>
        </is>
      </c>
      <c r="CF2" s="107" t="inlineStr">
        <is>
          <t>其中异地病人自费医疗收入</t>
        </is>
      </c>
      <c r="CG2" s="108" t="inlineStr">
        <is>
          <t>住院劳务收入</t>
        </is>
      </c>
      <c r="CH2" s="107" t="inlineStr">
        <is>
          <t>其中本地病人医疗收入</t>
        </is>
      </c>
      <c r="CI2" s="107" t="inlineStr">
        <is>
          <t>其中本地病人医保医疗收入</t>
        </is>
      </c>
      <c r="CJ2" s="107" t="inlineStr">
        <is>
          <t>其中本地病人自费医疗收入</t>
        </is>
      </c>
      <c r="CK2" s="107" t="inlineStr">
        <is>
          <t>其中异地病人医疗收入</t>
        </is>
      </c>
      <c r="CL2" s="107" t="inlineStr">
        <is>
          <t>其中异地病人医保医疗收入</t>
        </is>
      </c>
      <c r="CM2" s="107" t="inlineStr">
        <is>
          <t>其中异地病人自费医疗收入</t>
        </is>
      </c>
      <c r="CN2" s="108" t="inlineStr">
        <is>
          <t>急诊收入</t>
        </is>
      </c>
      <c r="CO2" s="108" t="inlineStr">
        <is>
          <t>普通门诊收入</t>
        </is>
      </c>
      <c r="CP2" s="108" t="inlineStr">
        <is>
          <t>专家门诊收入</t>
        </is>
      </c>
      <c r="CQ2" s="108" t="inlineStr">
        <is>
          <t>专病门诊收入</t>
        </is>
      </c>
      <c r="CR2" s="108" t="inlineStr">
        <is>
          <t>特需门诊收入</t>
        </is>
      </c>
      <c r="CS2" s="108" t="inlineStr">
        <is>
          <t>MDT门诊收入</t>
        </is>
      </c>
      <c r="CT2" s="108" t="inlineStr">
        <is>
          <t>镜朗诊疗部收入</t>
        </is>
      </c>
      <c r="CU2" s="108" t="inlineStr">
        <is>
          <t>特需病房收入</t>
        </is>
      </c>
      <c r="CV2" s="108" t="inlineStr">
        <is>
          <t>门急诊人次</t>
        </is>
      </c>
      <c r="CW2" s="107" t="inlineStr">
        <is>
          <t>其中本地病人人次</t>
        </is>
      </c>
      <c r="CX2" s="107" t="inlineStr">
        <is>
          <t>其中本地病人医保人次</t>
        </is>
      </c>
      <c r="CY2" s="107" t="inlineStr">
        <is>
          <t>其中本地病人自费人次</t>
        </is>
      </c>
      <c r="CZ2" s="107" t="inlineStr">
        <is>
          <t>其中异地病人人次</t>
        </is>
      </c>
      <c r="DA2" s="107" t="inlineStr">
        <is>
          <t>其中异地病人医保人次</t>
        </is>
      </c>
      <c r="DB2" s="107" t="inlineStr">
        <is>
          <t>其中异地病人自费人次</t>
        </is>
      </c>
      <c r="DC2" s="108" t="inlineStr">
        <is>
          <t>普通门诊
(普通+专病)</t>
        </is>
      </c>
      <c r="DD2" s="108" t="inlineStr">
        <is>
          <t>互联网普通门诊人次</t>
        </is>
      </c>
      <c r="DE2" s="107" t="inlineStr">
        <is>
          <t>其中本地病人人次</t>
        </is>
      </c>
      <c r="DF2" s="107" t="inlineStr">
        <is>
          <t>其中本地病人医保人次</t>
        </is>
      </c>
      <c r="DG2" s="107" t="inlineStr">
        <is>
          <t>其中本地病人自费人次</t>
        </is>
      </c>
      <c r="DH2" s="107" t="inlineStr">
        <is>
          <t>其中异地病人人次</t>
        </is>
      </c>
      <c r="DI2" s="107" t="inlineStr">
        <is>
          <t>其中异地病人医保人次</t>
        </is>
      </c>
      <c r="DJ2" s="107" t="inlineStr">
        <is>
          <t>其中异地病人自费人次</t>
        </is>
      </c>
      <c r="DK2" s="108" t="inlineStr">
        <is>
          <t>专家门诊</t>
        </is>
      </c>
      <c r="DL2" s="107" t="inlineStr">
        <is>
          <t>其中本地病人人次</t>
        </is>
      </c>
      <c r="DM2" s="107" t="inlineStr">
        <is>
          <t>其中本地病人医保人次</t>
        </is>
      </c>
      <c r="DN2" s="107" t="inlineStr">
        <is>
          <t>其中本地病人自费人次</t>
        </is>
      </c>
      <c r="DO2" s="107" t="inlineStr">
        <is>
          <t>其中异地病人人次</t>
        </is>
      </c>
      <c r="DP2" s="107" t="inlineStr">
        <is>
          <t>其中异地病人医保人次</t>
        </is>
      </c>
      <c r="DQ2" s="107" t="inlineStr">
        <is>
          <t>其中异地病人自费人次</t>
        </is>
      </c>
      <c r="DR2" s="108" t="inlineStr">
        <is>
          <t>特需门诊
(特需+MDT)</t>
        </is>
      </c>
      <c r="DS2" s="108" t="inlineStr">
        <is>
          <t>互联网特需门诊人次</t>
        </is>
      </c>
      <c r="DT2" s="107" t="inlineStr">
        <is>
          <t>其中本地病人人次</t>
        </is>
      </c>
      <c r="DU2" s="107" t="inlineStr">
        <is>
          <t>其中本地病人医保人次</t>
        </is>
      </c>
      <c r="DV2" s="107" t="inlineStr">
        <is>
          <t>其中本地病人自费人次</t>
        </is>
      </c>
      <c r="DW2" s="107" t="inlineStr">
        <is>
          <t>其中异地病人人次</t>
        </is>
      </c>
      <c r="DX2" s="107" t="inlineStr">
        <is>
          <t>其中异地病人医保人次</t>
        </is>
      </c>
      <c r="DY2" s="107" t="inlineStr">
        <is>
          <t>其中异地病人自费人次</t>
        </is>
      </c>
      <c r="DZ2" s="108" t="inlineStr">
        <is>
          <t>急诊人次</t>
        </is>
      </c>
      <c r="EA2" s="107" t="inlineStr">
        <is>
          <t>其中本地病人人次</t>
        </is>
      </c>
      <c r="EB2" s="107" t="inlineStr">
        <is>
          <t>其中本地病人医保人次</t>
        </is>
      </c>
      <c r="EC2" s="107" t="inlineStr">
        <is>
          <t>其中本地病人自费人次</t>
        </is>
      </c>
      <c r="ED2" s="107" t="inlineStr">
        <is>
          <t>其中异地病人人次</t>
        </is>
      </c>
      <c r="EE2" s="107" t="inlineStr">
        <is>
          <t>其中异地病人医保人次</t>
        </is>
      </c>
      <c r="EF2" s="107" t="inlineStr">
        <is>
          <t>其中异地病人自费人次</t>
        </is>
      </c>
      <c r="EG2" s="108" t="inlineStr">
        <is>
          <t>住院人次</t>
        </is>
      </c>
      <c r="EH2" s="107" t="inlineStr">
        <is>
          <t>其中本地病人人次</t>
        </is>
      </c>
      <c r="EI2" s="107" t="inlineStr">
        <is>
          <t>其中本地病人医保人次</t>
        </is>
      </c>
      <c r="EJ2" s="107" t="inlineStr">
        <is>
          <t>其中本地病人自费人次</t>
        </is>
      </c>
      <c r="EK2" s="107" t="inlineStr">
        <is>
          <t>其中异地病人人次</t>
        </is>
      </c>
      <c r="EL2" s="107" t="inlineStr">
        <is>
          <t>其中异地病人医保人次</t>
        </is>
      </c>
      <c r="EM2" s="107" t="inlineStr">
        <is>
          <t>其中异地病人自费人次</t>
        </is>
      </c>
      <c r="EN2" s="108" t="inlineStr">
        <is>
          <t>手术人次与操作人次</t>
        </is>
      </c>
      <c r="EO2" s="108" t="inlineStr">
        <is>
          <t>手术人次</t>
        </is>
      </c>
      <c r="EP2" s="108" t="inlineStr">
        <is>
          <t>介入人次</t>
        </is>
      </c>
      <c r="EQ2" s="108" t="inlineStr">
        <is>
          <t>操作人次(治疗+诊断)</t>
        </is>
      </c>
      <c r="ER2" s="108" t="inlineStr">
        <is>
          <t>微创手术人次（手术）</t>
        </is>
      </c>
      <c r="ES2" s="108" t="inlineStr">
        <is>
          <t>微创手术人次（介入）</t>
        </is>
      </c>
      <c r="ET2" s="108" t="inlineStr">
        <is>
          <t>微创手术人次（操作）</t>
        </is>
      </c>
      <c r="EU2" s="108" t="inlineStr">
        <is>
          <t>三级手术</t>
        </is>
      </c>
      <c r="EV2" s="108" t="inlineStr">
        <is>
          <t>三级手术(手术)</t>
        </is>
      </c>
      <c r="EW2" s="108" t="inlineStr">
        <is>
          <t>三级手术(介入)</t>
        </is>
      </c>
      <c r="EX2" s="108" t="inlineStr">
        <is>
          <t>三级手术(操作)</t>
        </is>
      </c>
      <c r="EY2" s="108" t="inlineStr">
        <is>
          <t>四级手术</t>
        </is>
      </c>
      <c r="EZ2" s="108" t="inlineStr">
        <is>
          <t>四级手术(手术)</t>
        </is>
      </c>
      <c r="FA2" s="108" t="inlineStr">
        <is>
          <t>四级手术(介入)</t>
        </is>
      </c>
      <c r="FB2" s="109" t="inlineStr">
        <is>
          <t>重点病种人次</t>
        </is>
      </c>
    </row>
    <row r="3" ht="19.5" customHeight="1" s="247">
      <c r="A3" s="196" t="inlineStr">
        <is>
          <t>小计：</t>
        </is>
      </c>
      <c r="B3" s="289" t="n"/>
      <c r="C3" s="290" t="n"/>
      <c r="D3" s="110" t="n">
        <v>1424136293.27</v>
      </c>
      <c r="E3" s="110" t="n">
        <v>636386259.64</v>
      </c>
      <c r="F3" s="110" t="n">
        <v>787750033.63</v>
      </c>
      <c r="G3" s="110" t="n">
        <v>2107614</v>
      </c>
      <c r="H3" s="110" t="n">
        <v>72972</v>
      </c>
      <c r="I3" s="110" t="n">
        <v>114159671.24</v>
      </c>
      <c r="J3" s="110" t="n">
        <v>25552274.96</v>
      </c>
      <c r="K3" s="110" t="n">
        <v>12414000.88</v>
      </c>
      <c r="L3" s="110" t="n">
        <v>73837491.11</v>
      </c>
      <c r="M3" s="110" t="n">
        <v>184440636.85</v>
      </c>
      <c r="N3" s="110" t="n">
        <v>216023.943</v>
      </c>
      <c r="O3" s="110" t="n">
        <v>3046505144.523</v>
      </c>
      <c r="P3" s="110" t="n">
        <v>2056379148.67</v>
      </c>
      <c r="Q3" s="110" t="n">
        <v>1893936820.5</v>
      </c>
      <c r="R3" s="110" t="n">
        <v>162442328.17</v>
      </c>
      <c r="S3" s="110" t="n">
        <v>990125995.853</v>
      </c>
      <c r="T3" s="110" t="n">
        <v>832525592.2130001</v>
      </c>
      <c r="U3" s="110" t="n">
        <v>157600403.64</v>
      </c>
      <c r="V3" s="110" t="n">
        <v>1128640735.18</v>
      </c>
      <c r="W3" s="110" t="n">
        <v>927845803.26</v>
      </c>
      <c r="X3" s="110" t="n">
        <v>848327936.6799999</v>
      </c>
      <c r="Y3" s="110" t="n">
        <v>79517866.58</v>
      </c>
      <c r="Z3" s="110" t="n">
        <v>200794931.92</v>
      </c>
      <c r="AA3" s="110" t="n">
        <v>103826039.99</v>
      </c>
      <c r="AB3" s="110" t="n">
        <v>96968891.93000001</v>
      </c>
      <c r="AC3" s="110" t="n">
        <v>451582994.28</v>
      </c>
      <c r="AD3" s="110" t="n">
        <v>396236856.11</v>
      </c>
      <c r="AE3" s="110" t="n">
        <v>381791928.44</v>
      </c>
      <c r="AF3" s="110" t="n">
        <v>14444927.67</v>
      </c>
      <c r="AG3" s="110" t="n">
        <v>55346138.17</v>
      </c>
      <c r="AH3" s="110" t="n">
        <v>39950281.31</v>
      </c>
      <c r="AI3" s="110" t="n">
        <v>15395856.86</v>
      </c>
      <c r="AJ3" s="110" t="n">
        <v>40671481.26</v>
      </c>
      <c r="AK3" s="110" t="n">
        <v>35667334.6</v>
      </c>
      <c r="AL3" s="110" t="n">
        <v>31428305.13</v>
      </c>
      <c r="AM3" s="110" t="n">
        <v>4239029.47</v>
      </c>
      <c r="AN3" s="110" t="n">
        <v>5004146.66</v>
      </c>
      <c r="AO3" s="110" t="n">
        <v>2998419.73</v>
      </c>
      <c r="AP3" s="110" t="n">
        <v>2005726.93</v>
      </c>
      <c r="AQ3" s="110" t="n">
        <v>358636644.92</v>
      </c>
      <c r="AR3" s="110" t="n">
        <v>293153619.92</v>
      </c>
      <c r="AS3" s="110" t="n">
        <v>266586234.42</v>
      </c>
      <c r="AT3" s="110" t="n">
        <v>26567385.5</v>
      </c>
      <c r="AU3" s="110" t="n">
        <v>65483025</v>
      </c>
      <c r="AV3" s="110" t="n">
        <v>33081367.5</v>
      </c>
      <c r="AW3" s="110" t="n">
        <v>32401657.5</v>
      </c>
      <c r="AX3" s="110" t="n">
        <v>277749614.72</v>
      </c>
      <c r="AY3" s="110" t="n">
        <v>202787992.63</v>
      </c>
      <c r="AZ3" s="110" t="n">
        <v>168521468.69</v>
      </c>
      <c r="BA3" s="110" t="n">
        <v>34266523.94</v>
      </c>
      <c r="BB3" s="110" t="n">
        <v>74961622.09</v>
      </c>
      <c r="BC3" s="110" t="n">
        <v>27795971.45</v>
      </c>
      <c r="BD3" s="110" t="n">
        <v>47165650.64</v>
      </c>
      <c r="BE3" s="110" t="n">
        <v>1917864409.343</v>
      </c>
      <c r="BF3" s="110" t="n">
        <v>1128533345.41</v>
      </c>
      <c r="BG3" s="110" t="n">
        <v>1045608883.82</v>
      </c>
      <c r="BH3" s="110" t="n">
        <v>82924461.59</v>
      </c>
      <c r="BI3" s="110" t="n">
        <v>789331063.933</v>
      </c>
      <c r="BJ3" s="110" t="n">
        <v>728699552.223</v>
      </c>
      <c r="BK3" s="110" t="n">
        <v>60631511.71</v>
      </c>
      <c r="BL3" s="110" t="n">
        <v>308915263.223</v>
      </c>
      <c r="BM3" s="110" t="n">
        <v>167788150.24</v>
      </c>
      <c r="BN3" s="110" t="n">
        <v>159916481.63</v>
      </c>
      <c r="BO3" s="110" t="n">
        <v>7871668.61</v>
      </c>
      <c r="BP3" s="110" t="n">
        <v>141127112.983</v>
      </c>
      <c r="BQ3" s="110" t="n">
        <v>132681410.583</v>
      </c>
      <c r="BR3" s="110" t="n">
        <v>8445702.4</v>
      </c>
      <c r="BS3" s="110" t="n">
        <v>821199112.49</v>
      </c>
      <c r="BT3" s="110" t="n">
        <v>501375408.74</v>
      </c>
      <c r="BU3" s="110" t="n">
        <v>472276165.47</v>
      </c>
      <c r="BV3" s="110" t="n">
        <v>29099243.27</v>
      </c>
      <c r="BW3" s="110" t="n">
        <v>319823703.75</v>
      </c>
      <c r="BX3" s="110" t="n">
        <v>302413497.15</v>
      </c>
      <c r="BY3" s="110" t="n">
        <v>17410206.6</v>
      </c>
      <c r="BZ3" s="110" t="n">
        <v>328252364.75</v>
      </c>
      <c r="CA3" s="110" t="n">
        <v>200444184.85</v>
      </c>
      <c r="CB3" s="110" t="n">
        <v>187673192.05</v>
      </c>
      <c r="CC3" s="110" t="n">
        <v>12770992.8</v>
      </c>
      <c r="CD3" s="110" t="n">
        <v>127808179.9</v>
      </c>
      <c r="CE3" s="110" t="n">
        <v>119496323.7</v>
      </c>
      <c r="CF3" s="110" t="n">
        <v>8311856.2</v>
      </c>
      <c r="CG3" s="110" t="n">
        <v>459497668.88</v>
      </c>
      <c r="CH3" s="110" t="n">
        <v>258925601.58</v>
      </c>
      <c r="CI3" s="110" t="n">
        <v>225743044.67</v>
      </c>
      <c r="CJ3" s="110" t="n">
        <v>33182556.91</v>
      </c>
      <c r="CK3" s="110" t="n">
        <v>200572067.3</v>
      </c>
      <c r="CL3" s="110" t="n">
        <v>174108320.79</v>
      </c>
      <c r="CM3" s="110" t="n">
        <v>26463746.51</v>
      </c>
      <c r="CN3" s="110" t="n">
        <v>146243319.46</v>
      </c>
      <c r="CO3" s="110" t="n">
        <v>403732121.14</v>
      </c>
      <c r="CP3" s="110" t="n">
        <v>283040141.86</v>
      </c>
      <c r="CQ3" s="110" t="n">
        <v>151932818.9</v>
      </c>
      <c r="CR3" s="110" t="n">
        <v>142297510.44</v>
      </c>
      <c r="CS3" s="110" t="n">
        <v>1391456.38</v>
      </c>
      <c r="CT3" s="110" t="n">
        <v>46732501.93</v>
      </c>
      <c r="CU3" s="110" t="n">
        <v>0</v>
      </c>
      <c r="CV3" s="111" t="n">
        <v>2107614</v>
      </c>
      <c r="CW3" s="111" t="n">
        <v>1797573</v>
      </c>
      <c r="CX3" s="111" t="n">
        <v>1639434</v>
      </c>
      <c r="CY3" s="111" t="n">
        <v>158139</v>
      </c>
      <c r="CZ3" s="111" t="n">
        <v>310041</v>
      </c>
      <c r="DA3" s="111" t="n">
        <v>159683</v>
      </c>
      <c r="DB3" s="111" t="n">
        <v>150358</v>
      </c>
      <c r="DC3" s="111" t="n">
        <v>1153328</v>
      </c>
      <c r="DD3" s="111" t="n">
        <v>26077</v>
      </c>
      <c r="DE3" s="111" t="n">
        <v>1016024</v>
      </c>
      <c r="DF3" s="111" t="n">
        <v>942308</v>
      </c>
      <c r="DG3" s="111" t="n">
        <v>73716</v>
      </c>
      <c r="DH3" s="111" t="n">
        <v>137304</v>
      </c>
      <c r="DI3" s="111" t="n">
        <v>76776</v>
      </c>
      <c r="DJ3" s="111" t="n">
        <v>60528</v>
      </c>
      <c r="DK3" s="111" t="n">
        <v>474394</v>
      </c>
      <c r="DL3" s="111" t="n">
        <v>386219</v>
      </c>
      <c r="DM3" s="111" t="n">
        <v>354130</v>
      </c>
      <c r="DN3" s="111" t="n">
        <v>32089</v>
      </c>
      <c r="DO3" s="111" t="n">
        <v>88175</v>
      </c>
      <c r="DP3" s="111" t="n">
        <v>48547</v>
      </c>
      <c r="DQ3" s="111" t="n">
        <v>39628</v>
      </c>
      <c r="DR3" s="111" t="n">
        <v>175208</v>
      </c>
      <c r="DS3" s="111" t="n">
        <v>679</v>
      </c>
      <c r="DT3" s="111" t="n">
        <v>126624</v>
      </c>
      <c r="DU3" s="111" t="n">
        <v>105190</v>
      </c>
      <c r="DV3" s="111" t="n">
        <v>21434</v>
      </c>
      <c r="DW3" s="111" t="n">
        <v>48584</v>
      </c>
      <c r="DX3" s="111" t="n">
        <v>18046</v>
      </c>
      <c r="DY3" s="111" t="n">
        <v>30538</v>
      </c>
      <c r="DZ3" s="111" t="n">
        <v>277928</v>
      </c>
      <c r="EA3" s="111" t="n">
        <v>246993</v>
      </c>
      <c r="EB3" s="111" t="n">
        <v>220740</v>
      </c>
      <c r="EC3" s="111" t="n">
        <v>26253</v>
      </c>
      <c r="ED3" s="111" t="n">
        <v>30935</v>
      </c>
      <c r="EE3" s="111" t="n">
        <v>16136</v>
      </c>
      <c r="EF3" s="111" t="n">
        <v>14799</v>
      </c>
      <c r="EG3" s="111" t="n">
        <v>72972</v>
      </c>
      <c r="EH3" s="111" t="n">
        <v>45527</v>
      </c>
      <c r="EI3" s="111" t="n">
        <v>41756</v>
      </c>
      <c r="EJ3" s="111" t="n">
        <v>3771</v>
      </c>
      <c r="EK3" s="111" t="n">
        <v>27445</v>
      </c>
      <c r="EL3" s="111" t="n">
        <v>24696</v>
      </c>
      <c r="EM3" s="111" t="n">
        <v>2749</v>
      </c>
      <c r="EN3" s="111" t="n">
        <v>59319</v>
      </c>
      <c r="EO3" s="111" t="n">
        <v>31203</v>
      </c>
      <c r="EP3" s="111" t="n">
        <v>4121</v>
      </c>
      <c r="EQ3" s="111" t="n">
        <v>23995</v>
      </c>
      <c r="ER3" s="111" t="n">
        <v>7919</v>
      </c>
      <c r="ES3" s="111" t="n">
        <v>0</v>
      </c>
      <c r="ET3" s="111" t="n">
        <v>476</v>
      </c>
      <c r="EU3" s="111" t="n">
        <v>15099</v>
      </c>
      <c r="EV3" s="111" t="n">
        <v>12283</v>
      </c>
      <c r="EW3" s="111" t="n">
        <v>2087</v>
      </c>
      <c r="EX3" s="111" t="n">
        <v>729</v>
      </c>
      <c r="EY3" s="111" t="n">
        <v>10517</v>
      </c>
      <c r="EZ3" s="111" t="n">
        <v>9453</v>
      </c>
      <c r="FA3" s="111" t="n">
        <v>1064</v>
      </c>
      <c r="FB3" s="111" t="n">
        <v>23804</v>
      </c>
    </row>
    <row r="4" ht="19.5" customHeight="1" s="247">
      <c r="A4" s="107" t="n">
        <v>1</v>
      </c>
      <c r="B4" s="107" t="inlineStr">
        <is>
          <t>成人非手术</t>
        </is>
      </c>
      <c r="C4" s="107" t="inlineStr">
        <is>
          <t>内科</t>
        </is>
      </c>
      <c r="D4" s="110" t="n">
        <v>873034</v>
      </c>
      <c r="E4" s="110" t="n">
        <v>873034</v>
      </c>
      <c r="F4" s="110" t="n">
        <v>0</v>
      </c>
      <c r="G4" s="110" t="n">
        <v>4796</v>
      </c>
      <c r="H4" s="110" t="n">
        <v>0</v>
      </c>
      <c r="I4" s="110" t="n">
        <v>2200</v>
      </c>
      <c r="J4" s="110" t="n">
        <v>0</v>
      </c>
      <c r="K4" s="110" t="n">
        <v>0</v>
      </c>
      <c r="L4" s="110" t="n">
        <v>0</v>
      </c>
      <c r="M4" s="110" t="n">
        <v>0</v>
      </c>
      <c r="N4" s="110" t="n">
        <v>0</v>
      </c>
      <c r="O4" s="110" t="n">
        <v>2291217.68</v>
      </c>
      <c r="P4" s="110" t="n">
        <v>2135244.39</v>
      </c>
      <c r="Q4" s="110" t="n">
        <v>2081971.54</v>
      </c>
      <c r="R4" s="110" t="n">
        <v>53272.85</v>
      </c>
      <c r="S4" s="110" t="n">
        <v>155973.29</v>
      </c>
      <c r="T4" s="110" t="n">
        <v>125124.22</v>
      </c>
      <c r="U4" s="110" t="n">
        <v>30849.07</v>
      </c>
      <c r="V4" s="110" t="n">
        <v>2291217.68</v>
      </c>
      <c r="W4" s="110" t="n">
        <v>2135244.39</v>
      </c>
      <c r="X4" s="110" t="n">
        <v>2081971.54</v>
      </c>
      <c r="Y4" s="110" t="n">
        <v>53272.85</v>
      </c>
      <c r="Z4" s="110" t="n">
        <v>155973.29</v>
      </c>
      <c r="AA4" s="110" t="n">
        <v>125124.22</v>
      </c>
      <c r="AB4" s="110" t="n">
        <v>30849.07</v>
      </c>
      <c r="AC4" s="110" t="n">
        <v>1411912.45</v>
      </c>
      <c r="AD4" s="110" t="n">
        <v>1349134.16</v>
      </c>
      <c r="AE4" s="110" t="n">
        <v>1340574.51</v>
      </c>
      <c r="AF4" s="110" t="n">
        <v>8559.65</v>
      </c>
      <c r="AG4" s="110" t="n">
        <v>62778.29</v>
      </c>
      <c r="AH4" s="110" t="n">
        <v>55387.22</v>
      </c>
      <c r="AI4" s="110" t="n">
        <v>7391.07</v>
      </c>
      <c r="AJ4" s="110" t="n">
        <v>6271.23</v>
      </c>
      <c r="AK4" s="110" t="n">
        <v>5178.23</v>
      </c>
      <c r="AL4" s="110" t="n">
        <v>5004.03</v>
      </c>
      <c r="AM4" s="110" t="n">
        <v>174.2</v>
      </c>
      <c r="AN4" s="110" t="n">
        <v>1093</v>
      </c>
      <c r="AO4" s="110" t="n">
        <v>922</v>
      </c>
      <c r="AP4" s="110" t="n">
        <v>171</v>
      </c>
      <c r="AQ4" s="110" t="n">
        <v>728696</v>
      </c>
      <c r="AR4" s="110" t="n">
        <v>647374</v>
      </c>
      <c r="AS4" s="110" t="n">
        <v>613739</v>
      </c>
      <c r="AT4" s="110" t="n">
        <v>33635</v>
      </c>
      <c r="AU4" s="110" t="n">
        <v>81322</v>
      </c>
      <c r="AV4" s="110" t="n">
        <v>61644</v>
      </c>
      <c r="AW4" s="110" t="n">
        <v>19678</v>
      </c>
      <c r="AX4" s="110" t="n">
        <v>144338</v>
      </c>
      <c r="AY4" s="110" t="n">
        <v>133558</v>
      </c>
      <c r="AZ4" s="110" t="n">
        <v>122654</v>
      </c>
      <c r="BA4" s="110" t="n">
        <v>10904</v>
      </c>
      <c r="BB4" s="110" t="n">
        <v>10780</v>
      </c>
      <c r="BC4" s="110" t="n">
        <v>7171</v>
      </c>
      <c r="BD4" s="110" t="n">
        <v>3609</v>
      </c>
      <c r="BE4" s="110" t="n">
        <v>0</v>
      </c>
      <c r="BF4" s="110" t="n">
        <v>0</v>
      </c>
      <c r="BG4" s="110" t="n">
        <v>0</v>
      </c>
      <c r="BH4" s="110" t="n">
        <v>0</v>
      </c>
      <c r="BI4" s="110" t="n">
        <v>0</v>
      </c>
      <c r="BJ4" s="110" t="n">
        <v>0</v>
      </c>
      <c r="BK4" s="110" t="n">
        <v>0</v>
      </c>
      <c r="BL4" s="110" t="n">
        <v>0</v>
      </c>
      <c r="BM4" s="110" t="n">
        <v>0</v>
      </c>
      <c r="BN4" s="110" t="n">
        <v>0</v>
      </c>
      <c r="BO4" s="110" t="n">
        <v>0</v>
      </c>
      <c r="BP4" s="110" t="n">
        <v>0</v>
      </c>
      <c r="BQ4" s="110" t="n">
        <v>0</v>
      </c>
      <c r="BR4" s="110" t="n">
        <v>0</v>
      </c>
      <c r="BS4" s="110" t="n">
        <v>0</v>
      </c>
      <c r="BT4" s="110" t="n">
        <v>0</v>
      </c>
      <c r="BU4" s="110" t="n">
        <v>0</v>
      </c>
      <c r="BV4" s="110" t="n">
        <v>0</v>
      </c>
      <c r="BW4" s="110" t="n">
        <v>0</v>
      </c>
      <c r="BX4" s="110" t="n">
        <v>0</v>
      </c>
      <c r="BY4" s="110" t="n">
        <v>0</v>
      </c>
      <c r="BZ4" s="110" t="n">
        <v>0</v>
      </c>
      <c r="CA4" s="110" t="n">
        <v>0</v>
      </c>
      <c r="CB4" s="110" t="n">
        <v>0</v>
      </c>
      <c r="CC4" s="110" t="n">
        <v>0</v>
      </c>
      <c r="CD4" s="110" t="n">
        <v>0</v>
      </c>
      <c r="CE4" s="110" t="n">
        <v>0</v>
      </c>
      <c r="CF4" s="110" t="n">
        <v>0</v>
      </c>
      <c r="CG4" s="110" t="n">
        <v>0</v>
      </c>
      <c r="CH4" s="110" t="n">
        <v>0</v>
      </c>
      <c r="CI4" s="110" t="n">
        <v>0</v>
      </c>
      <c r="CJ4" s="110" t="n">
        <v>0</v>
      </c>
      <c r="CK4" s="110" t="n">
        <v>0</v>
      </c>
      <c r="CL4" s="110" t="n">
        <v>0</v>
      </c>
      <c r="CM4" s="110" t="n">
        <v>0</v>
      </c>
      <c r="CN4" s="110" t="n">
        <v>0</v>
      </c>
      <c r="CO4" s="110" t="n">
        <v>1307210.83</v>
      </c>
      <c r="CP4" s="110" t="n">
        <v>637494.42</v>
      </c>
      <c r="CQ4" s="110" t="n">
        <v>297214.03</v>
      </c>
      <c r="CR4" s="110" t="n">
        <v>49298.4</v>
      </c>
      <c r="CS4" s="110" t="n">
        <v>0</v>
      </c>
      <c r="CT4" s="110" t="n">
        <v>0</v>
      </c>
      <c r="CU4" s="110" t="n">
        <v>0</v>
      </c>
      <c r="CV4" s="111" t="n">
        <v>4796</v>
      </c>
      <c r="CW4" s="111" t="n">
        <v>4442</v>
      </c>
      <c r="CX4" s="111" t="n">
        <v>4313</v>
      </c>
      <c r="CY4" s="111" t="n">
        <v>129</v>
      </c>
      <c r="CZ4" s="111" t="n">
        <v>354</v>
      </c>
      <c r="DA4" s="111" t="n">
        <v>237</v>
      </c>
      <c r="DB4" s="111" t="n">
        <v>117</v>
      </c>
      <c r="DC4" s="111" t="n">
        <v>3666</v>
      </c>
      <c r="DD4" s="111" t="n">
        <v>182</v>
      </c>
      <c r="DE4" s="111" t="n">
        <v>3446</v>
      </c>
      <c r="DF4" s="111" t="n">
        <v>3382</v>
      </c>
      <c r="DG4" s="111" t="n">
        <v>64</v>
      </c>
      <c r="DH4" s="111" t="n">
        <v>220</v>
      </c>
      <c r="DI4" s="111" t="n">
        <v>174</v>
      </c>
      <c r="DJ4" s="111" t="n">
        <v>46</v>
      </c>
      <c r="DK4" s="111" t="n">
        <v>905</v>
      </c>
      <c r="DL4" s="111" t="n">
        <v>833</v>
      </c>
      <c r="DM4" s="111" t="n">
        <v>820</v>
      </c>
      <c r="DN4" s="111" t="n">
        <v>13</v>
      </c>
      <c r="DO4" s="111" t="n">
        <v>72</v>
      </c>
      <c r="DP4" s="111" t="n">
        <v>58</v>
      </c>
      <c r="DQ4" s="111" t="n">
        <v>14</v>
      </c>
      <c r="DR4" s="111" t="n">
        <v>43</v>
      </c>
      <c r="DS4" s="111" t="n">
        <v>0</v>
      </c>
      <c r="DT4" s="111" t="n">
        <v>36</v>
      </c>
      <c r="DU4" s="111" t="n">
        <v>17</v>
      </c>
      <c r="DV4" s="111" t="n">
        <v>19</v>
      </c>
      <c r="DW4" s="111" t="n">
        <v>7</v>
      </c>
      <c r="DX4" s="111" t="n">
        <v>3</v>
      </c>
      <c r="DY4" s="111" t="n">
        <v>4</v>
      </c>
      <c r="DZ4" s="111" t="n">
        <v>0</v>
      </c>
      <c r="EA4" s="111" t="n">
        <v>0</v>
      </c>
      <c r="EB4" s="111" t="n">
        <v>0</v>
      </c>
      <c r="EC4" s="111" t="n">
        <v>0</v>
      </c>
      <c r="ED4" s="111" t="n">
        <v>0</v>
      </c>
      <c r="EE4" s="111" t="n">
        <v>0</v>
      </c>
      <c r="EF4" s="111" t="n">
        <v>0</v>
      </c>
      <c r="EG4" s="111" t="n">
        <v>0</v>
      </c>
      <c r="EH4" s="111" t="n">
        <v>0</v>
      </c>
      <c r="EI4" s="111" t="n">
        <v>0</v>
      </c>
      <c r="EJ4" s="111" t="n">
        <v>0</v>
      </c>
      <c r="EK4" s="111" t="n">
        <v>0</v>
      </c>
      <c r="EL4" s="111" t="n">
        <v>0</v>
      </c>
      <c r="EM4" s="111" t="n">
        <v>0</v>
      </c>
      <c r="EN4" s="111" t="n">
        <v>0</v>
      </c>
      <c r="EO4" s="111" t="n">
        <v>0</v>
      </c>
      <c r="EP4" s="111" t="n">
        <v>0</v>
      </c>
      <c r="EQ4" s="111" t="n">
        <v>0</v>
      </c>
      <c r="ER4" s="111" t="n">
        <v>0</v>
      </c>
      <c r="ES4" s="111" t="n">
        <v>0</v>
      </c>
      <c r="ET4" s="111" t="n">
        <v>0</v>
      </c>
      <c r="EU4" s="111" t="n">
        <v>0</v>
      </c>
      <c r="EV4" s="111" t="n">
        <v>0</v>
      </c>
      <c r="EW4" s="111" t="n">
        <v>0</v>
      </c>
      <c r="EX4" s="111" t="n">
        <v>0</v>
      </c>
      <c r="EY4" s="111" t="n">
        <v>0</v>
      </c>
      <c r="EZ4" s="111" t="n">
        <v>0</v>
      </c>
      <c r="FA4" s="111" t="n">
        <v>0</v>
      </c>
      <c r="FB4" s="111" t="n">
        <v>0</v>
      </c>
    </row>
    <row r="5" ht="19.5" customHeight="1" s="247">
      <c r="A5" s="107" t="n">
        <v>2</v>
      </c>
      <c r="B5" s="107" t="inlineStr">
        <is>
          <t>成人非手术</t>
        </is>
      </c>
      <c r="C5" s="107" t="inlineStr">
        <is>
          <t>呼吸内科</t>
        </is>
      </c>
      <c r="D5" s="110" t="n">
        <v>26442134</v>
      </c>
      <c r="E5" s="110" t="n">
        <v>10983440</v>
      </c>
      <c r="F5" s="110" t="n">
        <v>15458694</v>
      </c>
      <c r="G5" s="110" t="n">
        <v>49674</v>
      </c>
      <c r="H5" s="110" t="n">
        <v>1572</v>
      </c>
      <c r="I5" s="110" t="n">
        <v>62966</v>
      </c>
      <c r="J5" s="110" t="n">
        <v>0</v>
      </c>
      <c r="K5" s="110" t="n">
        <v>0</v>
      </c>
      <c r="L5" s="110" t="n">
        <v>933568.5</v>
      </c>
      <c r="M5" s="110" t="n">
        <v>9129</v>
      </c>
      <c r="N5" s="110" t="n">
        <v>1870.45</v>
      </c>
      <c r="O5" s="110" t="n">
        <v>50293903.61</v>
      </c>
      <c r="P5" s="110" t="n">
        <v>37600657.02</v>
      </c>
      <c r="Q5" s="110" t="n">
        <v>36856989.12</v>
      </c>
      <c r="R5" s="110" t="n">
        <v>743667.9</v>
      </c>
      <c r="S5" s="110" t="n">
        <v>12693246.59</v>
      </c>
      <c r="T5" s="110" t="n">
        <v>11775101.66</v>
      </c>
      <c r="U5" s="110" t="n">
        <v>918144.9300000001</v>
      </c>
      <c r="V5" s="110" t="n">
        <v>22618900.17</v>
      </c>
      <c r="W5" s="110" t="n">
        <v>19875795.14</v>
      </c>
      <c r="X5" s="110" t="n">
        <v>19281053.52</v>
      </c>
      <c r="Y5" s="110" t="n">
        <v>594741.62</v>
      </c>
      <c r="Z5" s="110" t="n">
        <v>2743105.03</v>
      </c>
      <c r="AA5" s="110" t="n">
        <v>1948645.22</v>
      </c>
      <c r="AB5" s="110" t="n">
        <v>794459.8100000001</v>
      </c>
      <c r="AC5" s="110" t="n">
        <v>11303875.68</v>
      </c>
      <c r="AD5" s="110" t="n">
        <v>9855805.48</v>
      </c>
      <c r="AE5" s="110" t="n">
        <v>9652092.26</v>
      </c>
      <c r="AF5" s="110" t="n">
        <v>203713.22</v>
      </c>
      <c r="AG5" s="110" t="n">
        <v>1448070.2</v>
      </c>
      <c r="AH5" s="110" t="n">
        <v>1081727.39</v>
      </c>
      <c r="AI5" s="110" t="n">
        <v>366342.81</v>
      </c>
      <c r="AJ5" s="110" t="n">
        <v>331584.49</v>
      </c>
      <c r="AK5" s="110" t="n">
        <v>294378.66</v>
      </c>
      <c r="AL5" s="110" t="n">
        <v>284180.26</v>
      </c>
      <c r="AM5" s="110" t="n">
        <v>10198.4</v>
      </c>
      <c r="AN5" s="110" t="n">
        <v>37205.83</v>
      </c>
      <c r="AO5" s="110" t="n">
        <v>24953.83</v>
      </c>
      <c r="AP5" s="110" t="n">
        <v>12252</v>
      </c>
      <c r="AQ5" s="110" t="n">
        <v>9176130</v>
      </c>
      <c r="AR5" s="110" t="n">
        <v>8152061</v>
      </c>
      <c r="AS5" s="110" t="n">
        <v>7843088</v>
      </c>
      <c r="AT5" s="110" t="n">
        <v>308973</v>
      </c>
      <c r="AU5" s="110" t="n">
        <v>1024069</v>
      </c>
      <c r="AV5" s="110" t="n">
        <v>689680</v>
      </c>
      <c r="AW5" s="110" t="n">
        <v>334389</v>
      </c>
      <c r="AX5" s="110" t="n">
        <v>1807310</v>
      </c>
      <c r="AY5" s="110" t="n">
        <v>1573550</v>
      </c>
      <c r="AZ5" s="110" t="n">
        <v>1501693</v>
      </c>
      <c r="BA5" s="110" t="n">
        <v>71857</v>
      </c>
      <c r="BB5" s="110" t="n">
        <v>233760</v>
      </c>
      <c r="BC5" s="110" t="n">
        <v>152284</v>
      </c>
      <c r="BD5" s="110" t="n">
        <v>81476</v>
      </c>
      <c r="BE5" s="110" t="n">
        <v>27675003.44</v>
      </c>
      <c r="BF5" s="110" t="n">
        <v>17724861.88</v>
      </c>
      <c r="BG5" s="110" t="n">
        <v>17575935.6</v>
      </c>
      <c r="BH5" s="110" t="n">
        <v>148926.28</v>
      </c>
      <c r="BI5" s="110" t="n">
        <v>9950141.560000001</v>
      </c>
      <c r="BJ5" s="110" t="n">
        <v>9826456.439999999</v>
      </c>
      <c r="BK5" s="110" t="n">
        <v>123685.12</v>
      </c>
      <c r="BL5" s="110" t="n">
        <v>11283246</v>
      </c>
      <c r="BM5" s="110" t="n">
        <v>7001403.37</v>
      </c>
      <c r="BN5" s="110" t="n">
        <v>6941376.83</v>
      </c>
      <c r="BO5" s="110" t="n">
        <v>60026.54</v>
      </c>
      <c r="BP5" s="110" t="n">
        <v>4281842.63</v>
      </c>
      <c r="BQ5" s="110" t="n">
        <v>4249819.22</v>
      </c>
      <c r="BR5" s="110" t="n">
        <v>32023.41</v>
      </c>
      <c r="BS5" s="110" t="n">
        <v>933063.4399999999</v>
      </c>
      <c r="BT5" s="110" t="n">
        <v>600447.51</v>
      </c>
      <c r="BU5" s="110" t="n">
        <v>596120.77</v>
      </c>
      <c r="BV5" s="110" t="n">
        <v>4326.74</v>
      </c>
      <c r="BW5" s="110" t="n">
        <v>332615.93</v>
      </c>
      <c r="BX5" s="110" t="n">
        <v>326549.72</v>
      </c>
      <c r="BY5" s="110" t="n">
        <v>6066.21</v>
      </c>
      <c r="BZ5" s="110" t="n">
        <v>12132384</v>
      </c>
      <c r="CA5" s="110" t="n">
        <v>7949444</v>
      </c>
      <c r="CB5" s="110" t="n">
        <v>7882078</v>
      </c>
      <c r="CC5" s="110" t="n">
        <v>67366</v>
      </c>
      <c r="CD5" s="110" t="n">
        <v>4182940</v>
      </c>
      <c r="CE5" s="110" t="n">
        <v>4111203</v>
      </c>
      <c r="CF5" s="110" t="n">
        <v>71737</v>
      </c>
      <c r="CG5" s="110" t="n">
        <v>3326310</v>
      </c>
      <c r="CH5" s="110" t="n">
        <v>2173567</v>
      </c>
      <c r="CI5" s="110" t="n">
        <v>2156360</v>
      </c>
      <c r="CJ5" s="110" t="n">
        <v>17207</v>
      </c>
      <c r="CK5" s="110" t="n">
        <v>1152743</v>
      </c>
      <c r="CL5" s="110" t="n">
        <v>1138884.5</v>
      </c>
      <c r="CM5" s="110" t="n">
        <v>13858.5</v>
      </c>
      <c r="CN5" s="110" t="n">
        <v>0</v>
      </c>
      <c r="CO5" s="110" t="n">
        <v>14168920.72</v>
      </c>
      <c r="CP5" s="110" t="n">
        <v>6775984.25</v>
      </c>
      <c r="CQ5" s="110" t="n">
        <v>456817.14</v>
      </c>
      <c r="CR5" s="110" t="n">
        <v>1217178.06</v>
      </c>
      <c r="CS5" s="110" t="n">
        <v>0</v>
      </c>
      <c r="CT5" s="110" t="n">
        <v>13098.03</v>
      </c>
      <c r="CU5" s="110" t="n">
        <v>0</v>
      </c>
      <c r="CV5" s="111" t="n">
        <v>49674</v>
      </c>
      <c r="CW5" s="111" t="n">
        <v>44202</v>
      </c>
      <c r="CX5" s="111" t="n">
        <v>42592</v>
      </c>
      <c r="CY5" s="111" t="n">
        <v>1610</v>
      </c>
      <c r="CZ5" s="111" t="n">
        <v>5472</v>
      </c>
      <c r="DA5" s="111" t="n">
        <v>3712</v>
      </c>
      <c r="DB5" s="111" t="n">
        <v>1760</v>
      </c>
      <c r="DC5" s="111" t="n">
        <v>37205</v>
      </c>
      <c r="DD5" s="111" t="n">
        <v>299</v>
      </c>
      <c r="DE5" s="111" t="n">
        <v>33391</v>
      </c>
      <c r="DF5" s="111" t="n">
        <v>32266</v>
      </c>
      <c r="DG5" s="111" t="n">
        <v>1125</v>
      </c>
      <c r="DH5" s="111" t="n">
        <v>3814</v>
      </c>
      <c r="DI5" s="111" t="n">
        <v>2559</v>
      </c>
      <c r="DJ5" s="111" t="n">
        <v>1255</v>
      </c>
      <c r="DK5" s="111" t="n">
        <v>10769</v>
      </c>
      <c r="DL5" s="111" t="n">
        <v>9399</v>
      </c>
      <c r="DM5" s="111" t="n">
        <v>9009</v>
      </c>
      <c r="DN5" s="111" t="n">
        <v>390</v>
      </c>
      <c r="DO5" s="111" t="n">
        <v>1370</v>
      </c>
      <c r="DP5" s="111" t="n">
        <v>986</v>
      </c>
      <c r="DQ5" s="111" t="n">
        <v>384</v>
      </c>
      <c r="DR5" s="111" t="n">
        <v>1392</v>
      </c>
      <c r="DS5" s="111" t="n">
        <v>9</v>
      </c>
      <c r="DT5" s="111" t="n">
        <v>1116</v>
      </c>
      <c r="DU5" s="111" t="n">
        <v>1029</v>
      </c>
      <c r="DV5" s="111" t="n">
        <v>87</v>
      </c>
      <c r="DW5" s="111" t="n">
        <v>276</v>
      </c>
      <c r="DX5" s="111" t="n">
        <v>166</v>
      </c>
      <c r="DY5" s="111" t="n">
        <v>110</v>
      </c>
      <c r="DZ5" s="111" t="n">
        <v>0</v>
      </c>
      <c r="EA5" s="111" t="n">
        <v>0</v>
      </c>
      <c r="EB5" s="111" t="n">
        <v>0</v>
      </c>
      <c r="EC5" s="111" t="n">
        <v>0</v>
      </c>
      <c r="ED5" s="111" t="n">
        <v>0</v>
      </c>
      <c r="EE5" s="111" t="n">
        <v>0</v>
      </c>
      <c r="EF5" s="111" t="n">
        <v>0</v>
      </c>
      <c r="EG5" s="111" t="n">
        <v>1572</v>
      </c>
      <c r="EH5" s="111" t="n">
        <v>1031</v>
      </c>
      <c r="EI5" s="111" t="n">
        <v>1022</v>
      </c>
      <c r="EJ5" s="111" t="n">
        <v>9</v>
      </c>
      <c r="EK5" s="111" t="n">
        <v>541</v>
      </c>
      <c r="EL5" s="111" t="n">
        <v>534</v>
      </c>
      <c r="EM5" s="111" t="n">
        <v>7</v>
      </c>
      <c r="EN5" s="111" t="n">
        <v>1053</v>
      </c>
      <c r="EO5" s="111" t="n">
        <v>7</v>
      </c>
      <c r="EP5" s="111" t="n">
        <v>0</v>
      </c>
      <c r="EQ5" s="111" t="n">
        <v>1046</v>
      </c>
      <c r="ER5" s="111" t="n">
        <v>1</v>
      </c>
      <c r="ES5" s="111" t="n">
        <v>0</v>
      </c>
      <c r="ET5" s="111" t="n">
        <v>1</v>
      </c>
      <c r="EU5" s="111" t="n">
        <v>1</v>
      </c>
      <c r="EV5" s="111" t="n">
        <v>1</v>
      </c>
      <c r="EW5" s="111" t="n">
        <v>0</v>
      </c>
      <c r="EX5" s="111" t="n">
        <v>0</v>
      </c>
      <c r="EY5" s="111" t="n">
        <v>0</v>
      </c>
      <c r="EZ5" s="111" t="n">
        <v>0</v>
      </c>
      <c r="FA5" s="111" t="n">
        <v>0</v>
      </c>
      <c r="FB5" s="111" t="n">
        <v>434</v>
      </c>
    </row>
    <row r="6" ht="28.5" customHeight="1" s="247">
      <c r="A6" s="107" t="n">
        <v>3</v>
      </c>
      <c r="B6" s="107" t="inlineStr">
        <is>
          <t>成人非手术</t>
        </is>
      </c>
      <c r="C6" s="107" t="inlineStr">
        <is>
          <t>消化内科（内窥镜诊治部）</t>
        </is>
      </c>
      <c r="D6" s="110" t="n">
        <v>50979323.9</v>
      </c>
      <c r="E6" s="110" t="n">
        <v>31927183</v>
      </c>
      <c r="F6" s="110" t="n">
        <v>19052140.9</v>
      </c>
      <c r="G6" s="110" t="n">
        <v>105463</v>
      </c>
      <c r="H6" s="110" t="n">
        <v>3180</v>
      </c>
      <c r="I6" s="110" t="n">
        <v>2183451</v>
      </c>
      <c r="J6" s="110" t="n">
        <v>79250</v>
      </c>
      <c r="K6" s="110" t="n">
        <v>0</v>
      </c>
      <c r="L6" s="110" t="n">
        <v>1685391.5</v>
      </c>
      <c r="M6" s="110" t="n">
        <v>1335300</v>
      </c>
      <c r="N6" s="110" t="n">
        <v>8391.9</v>
      </c>
      <c r="O6" s="110" t="n">
        <v>92240718.7</v>
      </c>
      <c r="P6" s="110" t="n">
        <v>75999334.5</v>
      </c>
      <c r="Q6" s="110" t="n">
        <v>72838983.13</v>
      </c>
      <c r="R6" s="110" t="n">
        <v>3160351.37</v>
      </c>
      <c r="S6" s="110" t="n">
        <v>16241384.2</v>
      </c>
      <c r="T6" s="110" t="n">
        <v>13446811.81</v>
      </c>
      <c r="U6" s="110" t="n">
        <v>2794572.39</v>
      </c>
      <c r="V6" s="110" t="n">
        <v>58201377.54</v>
      </c>
      <c r="W6" s="110" t="n">
        <v>51030016.95</v>
      </c>
      <c r="X6" s="110" t="n">
        <v>48233833.96</v>
      </c>
      <c r="Y6" s="110" t="n">
        <v>2796182.99</v>
      </c>
      <c r="Z6" s="110" t="n">
        <v>7171360.59</v>
      </c>
      <c r="AA6" s="110" t="n">
        <v>4740729.39</v>
      </c>
      <c r="AB6" s="110" t="n">
        <v>2430631.2</v>
      </c>
      <c r="AC6" s="110" t="n">
        <v>23308537.35</v>
      </c>
      <c r="AD6" s="110" t="n">
        <v>20709016.76</v>
      </c>
      <c r="AE6" s="110" t="n">
        <v>20104732.77</v>
      </c>
      <c r="AF6" s="110" t="n">
        <v>604283.99</v>
      </c>
      <c r="AG6" s="110" t="n">
        <v>2599520.59</v>
      </c>
      <c r="AH6" s="110" t="n">
        <v>1818618.39</v>
      </c>
      <c r="AI6" s="110" t="n">
        <v>780902.2</v>
      </c>
      <c r="AJ6" s="110" t="n">
        <v>2965657.19</v>
      </c>
      <c r="AK6" s="110" t="n">
        <v>2589659.19</v>
      </c>
      <c r="AL6" s="110" t="n">
        <v>2491389.19</v>
      </c>
      <c r="AM6" s="110" t="n">
        <v>98270</v>
      </c>
      <c r="AN6" s="110" t="n">
        <v>375998</v>
      </c>
      <c r="AO6" s="110" t="n">
        <v>285373</v>
      </c>
      <c r="AP6" s="110" t="n">
        <v>90625</v>
      </c>
      <c r="AQ6" s="110" t="n">
        <v>22878228</v>
      </c>
      <c r="AR6" s="110" t="n">
        <v>20028117</v>
      </c>
      <c r="AS6" s="110" t="n">
        <v>19215248</v>
      </c>
      <c r="AT6" s="110" t="n">
        <v>812869</v>
      </c>
      <c r="AU6" s="110" t="n">
        <v>2850111</v>
      </c>
      <c r="AV6" s="110" t="n">
        <v>1968464</v>
      </c>
      <c r="AW6" s="110" t="n">
        <v>881647</v>
      </c>
      <c r="AX6" s="110" t="n">
        <v>9048955</v>
      </c>
      <c r="AY6" s="110" t="n">
        <v>7703224</v>
      </c>
      <c r="AZ6" s="110" t="n">
        <v>6422464</v>
      </c>
      <c r="BA6" s="110" t="n">
        <v>1280760</v>
      </c>
      <c r="BB6" s="110" t="n">
        <v>1345731</v>
      </c>
      <c r="BC6" s="110" t="n">
        <v>668274</v>
      </c>
      <c r="BD6" s="110" t="n">
        <v>677457</v>
      </c>
      <c r="BE6" s="110" t="n">
        <v>34039341.16</v>
      </c>
      <c r="BF6" s="110" t="n">
        <v>24969317.55</v>
      </c>
      <c r="BG6" s="110" t="n">
        <v>24605149.17</v>
      </c>
      <c r="BH6" s="110" t="n">
        <v>364168.38</v>
      </c>
      <c r="BI6" s="110" t="n">
        <v>9070023.609999999</v>
      </c>
      <c r="BJ6" s="110" t="n">
        <v>8706082.42</v>
      </c>
      <c r="BK6" s="110" t="n">
        <v>363941.19</v>
      </c>
      <c r="BL6" s="110" t="n">
        <v>6193365.59</v>
      </c>
      <c r="BM6" s="110" t="n">
        <v>4451673.85</v>
      </c>
      <c r="BN6" s="110" t="n">
        <v>4400171.97</v>
      </c>
      <c r="BO6" s="110" t="n">
        <v>51501.88</v>
      </c>
      <c r="BP6" s="110" t="n">
        <v>1741691.74</v>
      </c>
      <c r="BQ6" s="110" t="n">
        <v>1671998.52</v>
      </c>
      <c r="BR6" s="110" t="n">
        <v>69693.22</v>
      </c>
      <c r="BS6" s="110" t="n">
        <v>8793834.67</v>
      </c>
      <c r="BT6" s="110" t="n">
        <v>6578215.8</v>
      </c>
      <c r="BU6" s="110" t="n">
        <v>6504240.1</v>
      </c>
      <c r="BV6" s="110" t="n">
        <v>73975.7</v>
      </c>
      <c r="BW6" s="110" t="n">
        <v>2215618.87</v>
      </c>
      <c r="BX6" s="110" t="n">
        <v>2129916.9</v>
      </c>
      <c r="BY6" s="110" t="n">
        <v>85701.97</v>
      </c>
      <c r="BZ6" s="110" t="n">
        <v>12375380.8</v>
      </c>
      <c r="CA6" s="110" t="n">
        <v>8864767.800000001</v>
      </c>
      <c r="CB6" s="110" t="n">
        <v>8745099</v>
      </c>
      <c r="CC6" s="110" t="n">
        <v>119668.8</v>
      </c>
      <c r="CD6" s="110" t="n">
        <v>3510613</v>
      </c>
      <c r="CE6" s="110" t="n">
        <v>3361483</v>
      </c>
      <c r="CF6" s="110" t="n">
        <v>149130</v>
      </c>
      <c r="CG6" s="110" t="n">
        <v>6676760.1</v>
      </c>
      <c r="CH6" s="110" t="n">
        <v>5074660.1</v>
      </c>
      <c r="CI6" s="110" t="n">
        <v>4955638.1</v>
      </c>
      <c r="CJ6" s="110" t="n">
        <v>119022</v>
      </c>
      <c r="CK6" s="110" t="n">
        <v>1602100</v>
      </c>
      <c r="CL6" s="110" t="n">
        <v>1542684</v>
      </c>
      <c r="CM6" s="110" t="n">
        <v>59416</v>
      </c>
      <c r="CN6" s="110" t="n">
        <v>-40</v>
      </c>
      <c r="CO6" s="110" t="n">
        <v>29051874.38</v>
      </c>
      <c r="CP6" s="110" t="n">
        <v>13964705.39</v>
      </c>
      <c r="CQ6" s="110" t="n">
        <v>8210386.1</v>
      </c>
      <c r="CR6" s="110" t="n">
        <v>6974411.67</v>
      </c>
      <c r="CS6" s="110" t="n">
        <v>0</v>
      </c>
      <c r="CT6" s="110" t="n">
        <v>213810.07</v>
      </c>
      <c r="CU6" s="110" t="n">
        <v>0</v>
      </c>
      <c r="CV6" s="111" t="n">
        <v>105463</v>
      </c>
      <c r="CW6" s="111" t="n">
        <v>92905</v>
      </c>
      <c r="CX6" s="111" t="n">
        <v>88528</v>
      </c>
      <c r="CY6" s="111" t="n">
        <v>4377</v>
      </c>
      <c r="CZ6" s="111" t="n">
        <v>12558</v>
      </c>
      <c r="DA6" s="111" t="n">
        <v>8162</v>
      </c>
      <c r="DB6" s="111" t="n">
        <v>4396</v>
      </c>
      <c r="DC6" s="111" t="n">
        <v>72938</v>
      </c>
      <c r="DD6" s="111" t="n">
        <v>1233</v>
      </c>
      <c r="DE6" s="111" t="n">
        <v>64811</v>
      </c>
      <c r="DF6" s="111" t="n">
        <v>62459</v>
      </c>
      <c r="DG6" s="111" t="n">
        <v>2352</v>
      </c>
      <c r="DH6" s="111" t="n">
        <v>8127</v>
      </c>
      <c r="DI6" s="111" t="n">
        <v>5332</v>
      </c>
      <c r="DJ6" s="111" t="n">
        <v>2795</v>
      </c>
      <c r="DK6" s="111" t="n">
        <v>25798</v>
      </c>
      <c r="DL6" s="111" t="n">
        <v>22456</v>
      </c>
      <c r="DM6" s="111" t="n">
        <v>21569</v>
      </c>
      <c r="DN6" s="111" t="n">
        <v>887</v>
      </c>
      <c r="DO6" s="111" t="n">
        <v>3342</v>
      </c>
      <c r="DP6" s="111" t="n">
        <v>2382</v>
      </c>
      <c r="DQ6" s="111" t="n">
        <v>960</v>
      </c>
      <c r="DR6" s="111" t="n">
        <v>5494</v>
      </c>
      <c r="DS6" s="111" t="n">
        <v>0</v>
      </c>
      <c r="DT6" s="111" t="n">
        <v>4485</v>
      </c>
      <c r="DU6" s="111" t="n">
        <v>3379</v>
      </c>
      <c r="DV6" s="111" t="n">
        <v>1106</v>
      </c>
      <c r="DW6" s="111" t="n">
        <v>1009</v>
      </c>
      <c r="DX6" s="111" t="n">
        <v>418</v>
      </c>
      <c r="DY6" s="111" t="n">
        <v>591</v>
      </c>
      <c r="DZ6" s="111" t="n">
        <v>0</v>
      </c>
      <c r="EA6" s="111" t="n">
        <v>0</v>
      </c>
      <c r="EB6" s="111" t="n">
        <v>0</v>
      </c>
      <c r="EC6" s="111" t="n">
        <v>0</v>
      </c>
      <c r="ED6" s="111" t="n">
        <v>0</v>
      </c>
      <c r="EE6" s="111" t="n">
        <v>0</v>
      </c>
      <c r="EF6" s="111" t="n">
        <v>0</v>
      </c>
      <c r="EG6" s="111" t="n">
        <v>3180</v>
      </c>
      <c r="EH6" s="111" t="n">
        <v>2368</v>
      </c>
      <c r="EI6" s="111" t="n">
        <v>2333</v>
      </c>
      <c r="EJ6" s="111" t="n">
        <v>35</v>
      </c>
      <c r="EK6" s="111" t="n">
        <v>812</v>
      </c>
      <c r="EL6" s="111" t="n">
        <v>776</v>
      </c>
      <c r="EM6" s="111" t="n">
        <v>36</v>
      </c>
      <c r="EN6" s="111" t="n">
        <v>3677</v>
      </c>
      <c r="EO6" s="111" t="n">
        <v>6</v>
      </c>
      <c r="EP6" s="111" t="n">
        <v>0</v>
      </c>
      <c r="EQ6" s="111" t="n">
        <v>3671</v>
      </c>
      <c r="ER6" s="111" t="n">
        <v>0</v>
      </c>
      <c r="ES6" s="111" t="n">
        <v>0</v>
      </c>
      <c r="ET6" s="111" t="n">
        <v>399</v>
      </c>
      <c r="EU6" s="111" t="n">
        <v>301</v>
      </c>
      <c r="EV6" s="111" t="n">
        <v>5</v>
      </c>
      <c r="EW6" s="111" t="n">
        <v>0</v>
      </c>
      <c r="EX6" s="111" t="n">
        <v>296</v>
      </c>
      <c r="EY6" s="111" t="n">
        <v>0</v>
      </c>
      <c r="EZ6" s="111" t="n">
        <v>0</v>
      </c>
      <c r="FA6" s="111" t="n">
        <v>0</v>
      </c>
      <c r="FB6" s="111" t="n">
        <v>269</v>
      </c>
    </row>
    <row r="7" ht="19.5" customHeight="1" s="247">
      <c r="A7" s="107" t="n">
        <v>4</v>
      </c>
      <c r="B7" s="107" t="inlineStr">
        <is>
          <t>成人非手术</t>
        </is>
      </c>
      <c r="C7" s="107" t="inlineStr">
        <is>
          <t>神经内科</t>
        </is>
      </c>
      <c r="D7" s="110" t="n">
        <v>31181736</v>
      </c>
      <c r="E7" s="110" t="n">
        <v>15272034</v>
      </c>
      <c r="F7" s="110" t="n">
        <v>15909702</v>
      </c>
      <c r="G7" s="110" t="n">
        <v>68613</v>
      </c>
      <c r="H7" s="110" t="n">
        <v>1391</v>
      </c>
      <c r="I7" s="110" t="n">
        <v>4474</v>
      </c>
      <c r="J7" s="110" t="n">
        <v>0</v>
      </c>
      <c r="K7" s="110" t="n">
        <v>405168.72</v>
      </c>
      <c r="L7" s="110" t="n">
        <v>932574.5</v>
      </c>
      <c r="M7" s="110" t="n">
        <v>215725</v>
      </c>
      <c r="N7" s="110" t="n">
        <v>10005.93</v>
      </c>
      <c r="O7" s="110" t="n">
        <v>73215169.23999999</v>
      </c>
      <c r="P7" s="110" t="n">
        <v>58816574.15</v>
      </c>
      <c r="Q7" s="110" t="n">
        <v>57581910.49</v>
      </c>
      <c r="R7" s="110" t="n">
        <v>1234663.66</v>
      </c>
      <c r="S7" s="110" t="n">
        <v>14398595.09</v>
      </c>
      <c r="T7" s="110" t="n">
        <v>13092643.35</v>
      </c>
      <c r="U7" s="110" t="n">
        <v>1305951.74</v>
      </c>
      <c r="V7" s="110" t="n">
        <v>34428457.71</v>
      </c>
      <c r="W7" s="110" t="n">
        <v>30563612.38</v>
      </c>
      <c r="X7" s="110" t="n">
        <v>29490614.59</v>
      </c>
      <c r="Y7" s="110" t="n">
        <v>1072997.79</v>
      </c>
      <c r="Z7" s="110" t="n">
        <v>3864845.33</v>
      </c>
      <c r="AA7" s="110" t="n">
        <v>2828833.66</v>
      </c>
      <c r="AB7" s="110" t="n">
        <v>1036011.67</v>
      </c>
      <c r="AC7" s="110" t="n">
        <v>19114703.77</v>
      </c>
      <c r="AD7" s="110" t="n">
        <v>17369190.76</v>
      </c>
      <c r="AE7" s="110" t="n">
        <v>16920554.79</v>
      </c>
      <c r="AF7" s="110" t="n">
        <v>448635.97</v>
      </c>
      <c r="AG7" s="110" t="n">
        <v>1745513.01</v>
      </c>
      <c r="AH7" s="110" t="n">
        <v>1320518.52</v>
      </c>
      <c r="AI7" s="110" t="n">
        <v>424994.49</v>
      </c>
      <c r="AJ7" s="110" t="n">
        <v>41719.94</v>
      </c>
      <c r="AK7" s="110" t="n">
        <v>33621.12</v>
      </c>
      <c r="AL7" s="110" t="n">
        <v>31675.3</v>
      </c>
      <c r="AM7" s="110" t="n">
        <v>1945.82</v>
      </c>
      <c r="AN7" s="110" t="n">
        <v>8098.82</v>
      </c>
      <c r="AO7" s="110" t="n">
        <v>6097.64</v>
      </c>
      <c r="AP7" s="110" t="n">
        <v>2001.18</v>
      </c>
      <c r="AQ7" s="110" t="n">
        <v>12592302</v>
      </c>
      <c r="AR7" s="110" t="n">
        <v>10855038</v>
      </c>
      <c r="AS7" s="110" t="n">
        <v>10354167</v>
      </c>
      <c r="AT7" s="110" t="n">
        <v>500871</v>
      </c>
      <c r="AU7" s="110" t="n">
        <v>1737264</v>
      </c>
      <c r="AV7" s="110" t="n">
        <v>1253836</v>
      </c>
      <c r="AW7" s="110" t="n">
        <v>483428</v>
      </c>
      <c r="AX7" s="110" t="n">
        <v>2679732</v>
      </c>
      <c r="AY7" s="110" t="n">
        <v>2305762.5</v>
      </c>
      <c r="AZ7" s="110" t="n">
        <v>2184217.5</v>
      </c>
      <c r="BA7" s="110" t="n">
        <v>121545</v>
      </c>
      <c r="BB7" s="110" t="n">
        <v>373969.5</v>
      </c>
      <c r="BC7" s="110" t="n">
        <v>248381.5</v>
      </c>
      <c r="BD7" s="110" t="n">
        <v>125588</v>
      </c>
      <c r="BE7" s="110" t="n">
        <v>38786711.53</v>
      </c>
      <c r="BF7" s="110" t="n">
        <v>28252961.77</v>
      </c>
      <c r="BG7" s="110" t="n">
        <v>28091295.9</v>
      </c>
      <c r="BH7" s="110" t="n">
        <v>161665.87</v>
      </c>
      <c r="BI7" s="110" t="n">
        <v>10533749.76</v>
      </c>
      <c r="BJ7" s="110" t="n">
        <v>10263809.69</v>
      </c>
      <c r="BK7" s="110" t="n">
        <v>269940.07</v>
      </c>
      <c r="BL7" s="110" t="n">
        <v>6487496.52</v>
      </c>
      <c r="BM7" s="110" t="n">
        <v>4932283.94</v>
      </c>
      <c r="BN7" s="110" t="n">
        <v>4886560.51</v>
      </c>
      <c r="BO7" s="110" t="n">
        <v>45723.43</v>
      </c>
      <c r="BP7" s="110" t="n">
        <v>1555212.58</v>
      </c>
      <c r="BQ7" s="110" t="n">
        <v>1502358.7</v>
      </c>
      <c r="BR7" s="110" t="n">
        <v>52853.88</v>
      </c>
      <c r="BS7" s="110" t="n">
        <v>16389513.01</v>
      </c>
      <c r="BT7" s="110" t="n">
        <v>11404852.33</v>
      </c>
      <c r="BU7" s="110" t="n">
        <v>11398084.39</v>
      </c>
      <c r="BV7" s="110" t="n">
        <v>6767.94</v>
      </c>
      <c r="BW7" s="110" t="n">
        <v>4984660.68</v>
      </c>
      <c r="BX7" s="110" t="n">
        <v>4913151.49</v>
      </c>
      <c r="BY7" s="110" t="n">
        <v>71509.19</v>
      </c>
      <c r="BZ7" s="110" t="n">
        <v>11539255</v>
      </c>
      <c r="CA7" s="110" t="n">
        <v>8551417</v>
      </c>
      <c r="CB7" s="110" t="n">
        <v>8479054</v>
      </c>
      <c r="CC7" s="110" t="n">
        <v>72363</v>
      </c>
      <c r="CD7" s="110" t="n">
        <v>2987838</v>
      </c>
      <c r="CE7" s="110" t="n">
        <v>2874030</v>
      </c>
      <c r="CF7" s="110" t="n">
        <v>113808</v>
      </c>
      <c r="CG7" s="110" t="n">
        <v>4370447</v>
      </c>
      <c r="CH7" s="110" t="n">
        <v>3364408.5</v>
      </c>
      <c r="CI7" s="110" t="n">
        <v>3327597</v>
      </c>
      <c r="CJ7" s="110" t="n">
        <v>36811.5</v>
      </c>
      <c r="CK7" s="110" t="n">
        <v>1006038.5</v>
      </c>
      <c r="CL7" s="110" t="n">
        <v>974269.5</v>
      </c>
      <c r="CM7" s="110" t="n">
        <v>31769</v>
      </c>
      <c r="CN7" s="110" t="n">
        <v>40</v>
      </c>
      <c r="CO7" s="110" t="n">
        <v>17108122.22</v>
      </c>
      <c r="CP7" s="110" t="n">
        <v>7503049.26</v>
      </c>
      <c r="CQ7" s="110" t="n">
        <v>5905679.78</v>
      </c>
      <c r="CR7" s="110" t="n">
        <v>3911606.45</v>
      </c>
      <c r="CS7" s="110" t="n">
        <v>0</v>
      </c>
      <c r="CT7" s="110" t="n">
        <v>0</v>
      </c>
      <c r="CU7" s="110" t="n">
        <v>0</v>
      </c>
      <c r="CV7" s="111" t="n">
        <v>68613</v>
      </c>
      <c r="CW7" s="111" t="n">
        <v>61467</v>
      </c>
      <c r="CX7" s="111" t="n">
        <v>59065</v>
      </c>
      <c r="CY7" s="111" t="n">
        <v>2402</v>
      </c>
      <c r="CZ7" s="111" t="n">
        <v>7146</v>
      </c>
      <c r="DA7" s="111" t="n">
        <v>4880</v>
      </c>
      <c r="DB7" s="111" t="n">
        <v>2266</v>
      </c>
      <c r="DC7" s="111" t="n">
        <v>51277</v>
      </c>
      <c r="DD7" s="111" t="n">
        <v>1299</v>
      </c>
      <c r="DE7" s="111" t="n">
        <v>46681</v>
      </c>
      <c r="DF7" s="111" t="n">
        <v>45104</v>
      </c>
      <c r="DG7" s="111" t="n">
        <v>1577</v>
      </c>
      <c r="DH7" s="111" t="n">
        <v>4596</v>
      </c>
      <c r="DI7" s="111" t="n">
        <v>3172</v>
      </c>
      <c r="DJ7" s="111" t="n">
        <v>1424</v>
      </c>
      <c r="DK7" s="111" t="n">
        <v>12305</v>
      </c>
      <c r="DL7" s="111" t="n">
        <v>10603</v>
      </c>
      <c r="DM7" s="111" t="n">
        <v>10097</v>
      </c>
      <c r="DN7" s="111" t="n">
        <v>506</v>
      </c>
      <c r="DO7" s="111" t="n">
        <v>1702</v>
      </c>
      <c r="DP7" s="111" t="n">
        <v>1219</v>
      </c>
      <c r="DQ7" s="111" t="n">
        <v>483</v>
      </c>
      <c r="DR7" s="111" t="n">
        <v>3732</v>
      </c>
      <c r="DS7" s="111" t="n">
        <v>0</v>
      </c>
      <c r="DT7" s="111" t="n">
        <v>2972</v>
      </c>
      <c r="DU7" s="111" t="n">
        <v>2721</v>
      </c>
      <c r="DV7" s="111" t="n">
        <v>251</v>
      </c>
      <c r="DW7" s="111" t="n">
        <v>760</v>
      </c>
      <c r="DX7" s="111" t="n">
        <v>485</v>
      </c>
      <c r="DY7" s="111" t="n">
        <v>275</v>
      </c>
      <c r="DZ7" s="111" t="n">
        <v>0</v>
      </c>
      <c r="EA7" s="111" t="n">
        <v>0</v>
      </c>
      <c r="EB7" s="111" t="n">
        <v>0</v>
      </c>
      <c r="EC7" s="111" t="n">
        <v>0</v>
      </c>
      <c r="ED7" s="111" t="n">
        <v>0</v>
      </c>
      <c r="EE7" s="111" t="n">
        <v>0</v>
      </c>
      <c r="EF7" s="111" t="n">
        <v>0</v>
      </c>
      <c r="EG7" s="111" t="n">
        <v>1391</v>
      </c>
      <c r="EH7" s="111" t="n">
        <v>1047</v>
      </c>
      <c r="EI7" s="111" t="n">
        <v>1035</v>
      </c>
      <c r="EJ7" s="111" t="n">
        <v>12</v>
      </c>
      <c r="EK7" s="111" t="n">
        <v>344</v>
      </c>
      <c r="EL7" s="111" t="n">
        <v>332</v>
      </c>
      <c r="EM7" s="111" t="n">
        <v>12</v>
      </c>
      <c r="EN7" s="111" t="n">
        <v>509</v>
      </c>
      <c r="EO7" s="111" t="n">
        <v>3</v>
      </c>
      <c r="EP7" s="111" t="n">
        <v>148</v>
      </c>
      <c r="EQ7" s="111" t="n">
        <v>358</v>
      </c>
      <c r="ER7" s="111" t="n">
        <v>0</v>
      </c>
      <c r="ES7" s="111" t="n">
        <v>0</v>
      </c>
      <c r="ET7" s="111" t="n">
        <v>0</v>
      </c>
      <c r="EU7" s="111" t="n">
        <v>27</v>
      </c>
      <c r="EV7" s="111" t="n">
        <v>1</v>
      </c>
      <c r="EW7" s="111" t="n">
        <v>26</v>
      </c>
      <c r="EX7" s="111" t="n">
        <v>0</v>
      </c>
      <c r="EY7" s="111" t="n">
        <v>124</v>
      </c>
      <c r="EZ7" s="111" t="n">
        <v>2</v>
      </c>
      <c r="FA7" s="111" t="n">
        <v>122</v>
      </c>
      <c r="FB7" s="111" t="n">
        <v>429</v>
      </c>
    </row>
    <row r="8" ht="19.5" customHeight="1" s="247">
      <c r="A8" s="107" t="n">
        <v>5</v>
      </c>
      <c r="B8" s="107" t="inlineStr">
        <is>
          <t>成人非手术</t>
        </is>
      </c>
      <c r="C8" s="107" t="inlineStr">
        <is>
          <t>心血管内科</t>
        </is>
      </c>
      <c r="D8" s="110" t="n">
        <v>77904794</v>
      </c>
      <c r="E8" s="110" t="n">
        <v>19906073</v>
      </c>
      <c r="F8" s="110" t="n">
        <v>57998721</v>
      </c>
      <c r="G8" s="110" t="n">
        <v>158578</v>
      </c>
      <c r="H8" s="110" t="n">
        <v>5478</v>
      </c>
      <c r="I8" s="110" t="n">
        <v>22280</v>
      </c>
      <c r="J8" s="110" t="n">
        <v>0</v>
      </c>
      <c r="K8" s="110" t="n">
        <v>0</v>
      </c>
      <c r="L8" s="110" t="n">
        <v>928713.25</v>
      </c>
      <c r="M8" s="110" t="n">
        <v>12073319.25</v>
      </c>
      <c r="N8" s="110" t="n">
        <v>2150.93</v>
      </c>
      <c r="O8" s="110" t="n">
        <v>308137881.98</v>
      </c>
      <c r="P8" s="110" t="n">
        <v>237542486.33</v>
      </c>
      <c r="Q8" s="110" t="n">
        <v>235302249.39</v>
      </c>
      <c r="R8" s="110" t="n">
        <v>2240236.94</v>
      </c>
      <c r="S8" s="110" t="n">
        <v>70595395.65000001</v>
      </c>
      <c r="T8" s="110" t="n">
        <v>68706451.37</v>
      </c>
      <c r="U8" s="110" t="n">
        <v>1888944.28</v>
      </c>
      <c r="V8" s="110" t="n">
        <v>72896101.93000001</v>
      </c>
      <c r="W8" s="110" t="n">
        <v>67230254.59999999</v>
      </c>
      <c r="X8" s="110" t="n">
        <v>66241255.56</v>
      </c>
      <c r="Y8" s="110" t="n">
        <v>988999.04</v>
      </c>
      <c r="Z8" s="110" t="n">
        <v>5665847.33</v>
      </c>
      <c r="AA8" s="110" t="n">
        <v>4626719.86</v>
      </c>
      <c r="AB8" s="110" t="n">
        <v>1039127.47</v>
      </c>
      <c r="AC8" s="110" t="n">
        <v>52764584.73</v>
      </c>
      <c r="AD8" s="110" t="n">
        <v>49228415.4</v>
      </c>
      <c r="AE8" s="110" t="n">
        <v>48764905.36</v>
      </c>
      <c r="AF8" s="110" t="n">
        <v>463510.04</v>
      </c>
      <c r="AG8" s="110" t="n">
        <v>3536169.33</v>
      </c>
      <c r="AH8" s="110" t="n">
        <v>3046758.86</v>
      </c>
      <c r="AI8" s="110" t="n">
        <v>489410.47</v>
      </c>
      <c r="AJ8" s="110" t="n">
        <v>225444.2</v>
      </c>
      <c r="AK8" s="110" t="n">
        <v>196431.2</v>
      </c>
      <c r="AL8" s="110" t="n">
        <v>189356.2</v>
      </c>
      <c r="AM8" s="110" t="n">
        <v>7075</v>
      </c>
      <c r="AN8" s="110" t="n">
        <v>29013</v>
      </c>
      <c r="AO8" s="110" t="n">
        <v>20352</v>
      </c>
      <c r="AP8" s="110" t="n">
        <v>8661</v>
      </c>
      <c r="AQ8" s="110" t="n">
        <v>14474431</v>
      </c>
      <c r="AR8" s="110" t="n">
        <v>12960426</v>
      </c>
      <c r="AS8" s="110" t="n">
        <v>12580163</v>
      </c>
      <c r="AT8" s="110" t="n">
        <v>380263</v>
      </c>
      <c r="AU8" s="110" t="n">
        <v>1514005</v>
      </c>
      <c r="AV8" s="110" t="n">
        <v>1132240</v>
      </c>
      <c r="AW8" s="110" t="n">
        <v>381765</v>
      </c>
      <c r="AX8" s="110" t="n">
        <v>5431642</v>
      </c>
      <c r="AY8" s="110" t="n">
        <v>4844982</v>
      </c>
      <c r="AZ8" s="110" t="n">
        <v>4706831</v>
      </c>
      <c r="BA8" s="110" t="n">
        <v>138151</v>
      </c>
      <c r="BB8" s="110" t="n">
        <v>586660</v>
      </c>
      <c r="BC8" s="110" t="n">
        <v>427369</v>
      </c>
      <c r="BD8" s="110" t="n">
        <v>159291</v>
      </c>
      <c r="BE8" s="110" t="n">
        <v>235241780.05</v>
      </c>
      <c r="BF8" s="110" t="n">
        <v>170312231.73</v>
      </c>
      <c r="BG8" s="110" t="n">
        <v>169060993.83</v>
      </c>
      <c r="BH8" s="110" t="n">
        <v>1251237.9</v>
      </c>
      <c r="BI8" s="110" t="n">
        <v>64929548.32</v>
      </c>
      <c r="BJ8" s="110" t="n">
        <v>64079731.51</v>
      </c>
      <c r="BK8" s="110" t="n">
        <v>849816.8100000001</v>
      </c>
      <c r="BL8" s="110" t="n">
        <v>12674554.73</v>
      </c>
      <c r="BM8" s="110" t="n">
        <v>9726165.57</v>
      </c>
      <c r="BN8" s="110" t="n">
        <v>9660166.810000001</v>
      </c>
      <c r="BO8" s="110" t="n">
        <v>65998.75999999999</v>
      </c>
      <c r="BP8" s="110" t="n">
        <v>2948389.16</v>
      </c>
      <c r="BQ8" s="110" t="n">
        <v>2899289.55</v>
      </c>
      <c r="BR8" s="110" t="n">
        <v>49099.61</v>
      </c>
      <c r="BS8" s="110" t="n">
        <v>164568504.32</v>
      </c>
      <c r="BT8" s="110" t="n">
        <v>117348278.41</v>
      </c>
      <c r="BU8" s="110" t="n">
        <v>116517898.27</v>
      </c>
      <c r="BV8" s="110" t="n">
        <v>830380.14</v>
      </c>
      <c r="BW8" s="110" t="n">
        <v>47220225.91</v>
      </c>
      <c r="BX8" s="110" t="n">
        <v>46718970.46</v>
      </c>
      <c r="BY8" s="110" t="n">
        <v>501255.45</v>
      </c>
      <c r="BZ8" s="110" t="n">
        <v>37078531</v>
      </c>
      <c r="CA8" s="110" t="n">
        <v>27790230</v>
      </c>
      <c r="CB8" s="110" t="n">
        <v>27597591</v>
      </c>
      <c r="CC8" s="110" t="n">
        <v>192639</v>
      </c>
      <c r="CD8" s="110" t="n">
        <v>9288301</v>
      </c>
      <c r="CE8" s="110" t="n">
        <v>9091656</v>
      </c>
      <c r="CF8" s="110" t="n">
        <v>196645</v>
      </c>
      <c r="CG8" s="110" t="n">
        <v>20920190</v>
      </c>
      <c r="CH8" s="110" t="n">
        <v>15447557.75</v>
      </c>
      <c r="CI8" s="110" t="n">
        <v>15285337.75</v>
      </c>
      <c r="CJ8" s="110" t="n">
        <v>162220</v>
      </c>
      <c r="CK8" s="110" t="n">
        <v>5472632.25</v>
      </c>
      <c r="CL8" s="110" t="n">
        <v>5369815.5</v>
      </c>
      <c r="CM8" s="110" t="n">
        <v>102816.75</v>
      </c>
      <c r="CN8" s="110" t="n">
        <v>0</v>
      </c>
      <c r="CO8" s="110" t="n">
        <v>33523052.75</v>
      </c>
      <c r="CP8" s="110" t="n">
        <v>25832503.99</v>
      </c>
      <c r="CQ8" s="110" t="n">
        <v>11574001.75</v>
      </c>
      <c r="CR8" s="110" t="n">
        <v>1966543.44</v>
      </c>
      <c r="CS8" s="110" t="n">
        <v>0</v>
      </c>
      <c r="CT8" s="110" t="n">
        <v>75657.28999999999</v>
      </c>
      <c r="CU8" s="110" t="n">
        <v>0</v>
      </c>
      <c r="CV8" s="111" t="n">
        <v>158578</v>
      </c>
      <c r="CW8" s="111" t="n">
        <v>144984</v>
      </c>
      <c r="CX8" s="111" t="n">
        <v>142117</v>
      </c>
      <c r="CY8" s="111" t="n">
        <v>2867</v>
      </c>
      <c r="CZ8" s="111" t="n">
        <v>13594</v>
      </c>
      <c r="DA8" s="111" t="n">
        <v>10511</v>
      </c>
      <c r="DB8" s="111" t="n">
        <v>3083</v>
      </c>
      <c r="DC8" s="111" t="n">
        <v>107245</v>
      </c>
      <c r="DD8" s="111" t="n">
        <v>2330</v>
      </c>
      <c r="DE8" s="111" t="n">
        <v>99122</v>
      </c>
      <c r="DF8" s="111" t="n">
        <v>97494</v>
      </c>
      <c r="DG8" s="111" t="n">
        <v>1628</v>
      </c>
      <c r="DH8" s="111" t="n">
        <v>8123</v>
      </c>
      <c r="DI8" s="111" t="n">
        <v>6324</v>
      </c>
      <c r="DJ8" s="111" t="n">
        <v>1799</v>
      </c>
      <c r="DK8" s="111" t="n">
        <v>46690</v>
      </c>
      <c r="DL8" s="111" t="n">
        <v>41828</v>
      </c>
      <c r="DM8" s="111" t="n">
        <v>40736</v>
      </c>
      <c r="DN8" s="111" t="n">
        <v>1092</v>
      </c>
      <c r="DO8" s="111" t="n">
        <v>4862</v>
      </c>
      <c r="DP8" s="111" t="n">
        <v>3827</v>
      </c>
      <c r="DQ8" s="111" t="n">
        <v>1035</v>
      </c>
      <c r="DR8" s="111" t="n">
        <v>2313</v>
      </c>
      <c r="DS8" s="111" t="n">
        <v>0</v>
      </c>
      <c r="DT8" s="111" t="n">
        <v>1782</v>
      </c>
      <c r="DU8" s="111" t="n">
        <v>1672</v>
      </c>
      <c r="DV8" s="111" t="n">
        <v>110</v>
      </c>
      <c r="DW8" s="111" t="n">
        <v>531</v>
      </c>
      <c r="DX8" s="111" t="n">
        <v>333</v>
      </c>
      <c r="DY8" s="111" t="n">
        <v>198</v>
      </c>
      <c r="DZ8" s="111" t="n">
        <v>0</v>
      </c>
      <c r="EA8" s="111" t="n">
        <v>0</v>
      </c>
      <c r="EB8" s="111" t="n">
        <v>0</v>
      </c>
      <c r="EC8" s="111" t="n">
        <v>0</v>
      </c>
      <c r="ED8" s="111" t="n">
        <v>0</v>
      </c>
      <c r="EE8" s="111" t="n">
        <v>0</v>
      </c>
      <c r="EF8" s="111" t="n">
        <v>0</v>
      </c>
      <c r="EG8" s="111" t="n">
        <v>5478</v>
      </c>
      <c r="EH8" s="111" t="n">
        <v>4091</v>
      </c>
      <c r="EI8" s="111" t="n">
        <v>4056</v>
      </c>
      <c r="EJ8" s="111" t="n">
        <v>35</v>
      </c>
      <c r="EK8" s="111" t="n">
        <v>1387</v>
      </c>
      <c r="EL8" s="111" t="n">
        <v>1357</v>
      </c>
      <c r="EM8" s="111" t="n">
        <v>30</v>
      </c>
      <c r="EN8" s="111" t="n">
        <v>4924</v>
      </c>
      <c r="EO8" s="111" t="n">
        <v>734</v>
      </c>
      <c r="EP8" s="111" t="n">
        <v>2295</v>
      </c>
      <c r="EQ8" s="111" t="n">
        <v>1895</v>
      </c>
      <c r="ER8" s="111" t="n">
        <v>0</v>
      </c>
      <c r="ES8" s="111" t="n">
        <v>0</v>
      </c>
      <c r="ET8" s="111" t="n">
        <v>0</v>
      </c>
      <c r="EU8" s="111" t="n">
        <v>2122</v>
      </c>
      <c r="EV8" s="111" t="n">
        <v>707</v>
      </c>
      <c r="EW8" s="111" t="n">
        <v>1415</v>
      </c>
      <c r="EX8" s="111" t="n">
        <v>0</v>
      </c>
      <c r="EY8" s="111" t="n">
        <v>142</v>
      </c>
      <c r="EZ8" s="111" t="n">
        <v>19</v>
      </c>
      <c r="FA8" s="111" t="n">
        <v>123</v>
      </c>
      <c r="FB8" s="111" t="n">
        <v>1654</v>
      </c>
    </row>
    <row r="9" ht="19.5" customHeight="1" s="247">
      <c r="A9" s="107" t="n">
        <v>6</v>
      </c>
      <c r="B9" s="107" t="inlineStr">
        <is>
          <t>成人非手术</t>
        </is>
      </c>
      <c r="C9" s="107" t="inlineStr">
        <is>
          <t>血液内科</t>
        </is>
      </c>
      <c r="D9" s="110" t="n">
        <v>10414563</v>
      </c>
      <c r="E9" s="110" t="n">
        <v>1280878</v>
      </c>
      <c r="F9" s="110" t="n">
        <v>9133685</v>
      </c>
      <c r="G9" s="110" t="n">
        <v>6619</v>
      </c>
      <c r="H9" s="110" t="n">
        <v>1949</v>
      </c>
      <c r="I9" s="110" t="n">
        <v>5886</v>
      </c>
      <c r="J9" s="110" t="n">
        <v>0</v>
      </c>
      <c r="K9" s="110" t="n">
        <v>0</v>
      </c>
      <c r="L9" s="110" t="n">
        <v>713633.5</v>
      </c>
      <c r="M9" s="110" t="n">
        <v>18871</v>
      </c>
      <c r="N9" s="110" t="n">
        <v>778.6799999999999</v>
      </c>
      <c r="O9" s="110" t="n">
        <v>42148641.03</v>
      </c>
      <c r="P9" s="110" t="n">
        <v>21116470.69</v>
      </c>
      <c r="Q9" s="110" t="n">
        <v>20935996.87</v>
      </c>
      <c r="R9" s="110" t="n">
        <v>180473.82</v>
      </c>
      <c r="S9" s="110" t="n">
        <v>21032170.34</v>
      </c>
      <c r="T9" s="110" t="n">
        <v>20797838.34</v>
      </c>
      <c r="U9" s="110" t="n">
        <v>234332</v>
      </c>
      <c r="V9" s="110" t="n">
        <v>5513585.99</v>
      </c>
      <c r="W9" s="110" t="n">
        <v>4648628.14</v>
      </c>
      <c r="X9" s="110" t="n">
        <v>4541214</v>
      </c>
      <c r="Y9" s="110" t="n">
        <v>107414.14</v>
      </c>
      <c r="Z9" s="110" t="n">
        <v>864957.85</v>
      </c>
      <c r="AA9" s="110" t="n">
        <v>718520.36</v>
      </c>
      <c r="AB9" s="110" t="n">
        <v>146437.49</v>
      </c>
      <c r="AC9" s="110" t="n">
        <v>4188416.49</v>
      </c>
      <c r="AD9" s="110" t="n">
        <v>3602461.54</v>
      </c>
      <c r="AE9" s="110" t="n">
        <v>3530921.4</v>
      </c>
      <c r="AF9" s="110" t="n">
        <v>71540.14</v>
      </c>
      <c r="AG9" s="110" t="n">
        <v>585954.95</v>
      </c>
      <c r="AH9" s="110" t="n">
        <v>491525.46</v>
      </c>
      <c r="AI9" s="110" t="n">
        <v>94429.49000000001</v>
      </c>
      <c r="AJ9" s="110" t="n">
        <v>44291.5</v>
      </c>
      <c r="AK9" s="110" t="n">
        <v>40433.6</v>
      </c>
      <c r="AL9" s="110" t="n">
        <v>38863.6</v>
      </c>
      <c r="AM9" s="110" t="n">
        <v>1570</v>
      </c>
      <c r="AN9" s="110" t="n">
        <v>3857.9</v>
      </c>
      <c r="AO9" s="110" t="n">
        <v>2308.9</v>
      </c>
      <c r="AP9" s="110" t="n">
        <v>1549</v>
      </c>
      <c r="AQ9" s="110" t="n">
        <v>1033889</v>
      </c>
      <c r="AR9" s="110" t="n">
        <v>808273</v>
      </c>
      <c r="AS9" s="110" t="n">
        <v>783244</v>
      </c>
      <c r="AT9" s="110" t="n">
        <v>25029</v>
      </c>
      <c r="AU9" s="110" t="n">
        <v>225616</v>
      </c>
      <c r="AV9" s="110" t="n">
        <v>186587</v>
      </c>
      <c r="AW9" s="110" t="n">
        <v>39029</v>
      </c>
      <c r="AX9" s="110" t="n">
        <v>246989</v>
      </c>
      <c r="AY9" s="110" t="n">
        <v>197460</v>
      </c>
      <c r="AZ9" s="110" t="n">
        <v>188185</v>
      </c>
      <c r="BA9" s="110" t="n">
        <v>9275</v>
      </c>
      <c r="BB9" s="110" t="n">
        <v>49529</v>
      </c>
      <c r="BC9" s="110" t="n">
        <v>38099</v>
      </c>
      <c r="BD9" s="110" t="n">
        <v>11430</v>
      </c>
      <c r="BE9" s="110" t="n">
        <v>36635055.04</v>
      </c>
      <c r="BF9" s="110" t="n">
        <v>16467842.55</v>
      </c>
      <c r="BG9" s="110" t="n">
        <v>16394782.87</v>
      </c>
      <c r="BH9" s="110" t="n">
        <v>73059.67999999999</v>
      </c>
      <c r="BI9" s="110" t="n">
        <v>20167212.49</v>
      </c>
      <c r="BJ9" s="110" t="n">
        <v>20079317.98</v>
      </c>
      <c r="BK9" s="110" t="n">
        <v>87894.50999999999</v>
      </c>
      <c r="BL9" s="110" t="n">
        <v>26137264.86</v>
      </c>
      <c r="BM9" s="110" t="n">
        <v>11854439.64</v>
      </c>
      <c r="BN9" s="110" t="n">
        <v>11822705.73</v>
      </c>
      <c r="BO9" s="110" t="n">
        <v>31733.91</v>
      </c>
      <c r="BP9" s="110" t="n">
        <v>14282825.22</v>
      </c>
      <c r="BQ9" s="110" t="n">
        <v>14234322.23</v>
      </c>
      <c r="BR9" s="110" t="n">
        <v>48502.99</v>
      </c>
      <c r="BS9" s="110" t="n">
        <v>1364105.18</v>
      </c>
      <c r="BT9" s="110" t="n">
        <v>498797.41</v>
      </c>
      <c r="BU9" s="110" t="n">
        <v>494413.14</v>
      </c>
      <c r="BV9" s="110" t="n">
        <v>4384.27</v>
      </c>
      <c r="BW9" s="110" t="n">
        <v>865307.77</v>
      </c>
      <c r="BX9" s="110" t="n">
        <v>861227.25</v>
      </c>
      <c r="BY9" s="110" t="n">
        <v>4080.52</v>
      </c>
      <c r="BZ9" s="110" t="n">
        <v>6242233</v>
      </c>
      <c r="CA9" s="110" t="n">
        <v>2979697</v>
      </c>
      <c r="CB9" s="110" t="n">
        <v>2965038</v>
      </c>
      <c r="CC9" s="110" t="n">
        <v>14659</v>
      </c>
      <c r="CD9" s="110" t="n">
        <v>3262536</v>
      </c>
      <c r="CE9" s="110" t="n">
        <v>3234494</v>
      </c>
      <c r="CF9" s="110" t="n">
        <v>28042</v>
      </c>
      <c r="CG9" s="110" t="n">
        <v>2891452</v>
      </c>
      <c r="CH9" s="110" t="n">
        <v>1134908.5</v>
      </c>
      <c r="CI9" s="110" t="n">
        <v>1112626</v>
      </c>
      <c r="CJ9" s="110" t="n">
        <v>22282.5</v>
      </c>
      <c r="CK9" s="110" t="n">
        <v>1756543.5</v>
      </c>
      <c r="CL9" s="110" t="n">
        <v>1749274.5</v>
      </c>
      <c r="CM9" s="110" t="n">
        <v>7269</v>
      </c>
      <c r="CN9" s="110" t="n">
        <v>-25</v>
      </c>
      <c r="CO9" s="110" t="n">
        <v>1607626.81</v>
      </c>
      <c r="CP9" s="110" t="n">
        <v>3097303.06</v>
      </c>
      <c r="CQ9" s="110" t="n">
        <v>695411.73</v>
      </c>
      <c r="CR9" s="110" t="n">
        <v>113244.39</v>
      </c>
      <c r="CS9" s="110" t="n">
        <v>0</v>
      </c>
      <c r="CT9" s="110" t="n">
        <v>30270.71</v>
      </c>
      <c r="CU9" s="110" t="n">
        <v>0</v>
      </c>
      <c r="CV9" s="111" t="n">
        <v>6619</v>
      </c>
      <c r="CW9" s="111" t="n">
        <v>5246</v>
      </c>
      <c r="CX9" s="111" t="n">
        <v>5033</v>
      </c>
      <c r="CY9" s="111" t="n">
        <v>213</v>
      </c>
      <c r="CZ9" s="111" t="n">
        <v>1373</v>
      </c>
      <c r="DA9" s="111" t="n">
        <v>1098</v>
      </c>
      <c r="DB9" s="111" t="n">
        <v>275</v>
      </c>
      <c r="DC9" s="111" t="n">
        <v>4150</v>
      </c>
      <c r="DD9" s="111" t="n">
        <v>0</v>
      </c>
      <c r="DE9" s="111" t="n">
        <v>3199</v>
      </c>
      <c r="DF9" s="111" t="n">
        <v>3086</v>
      </c>
      <c r="DG9" s="111" t="n">
        <v>113</v>
      </c>
      <c r="DH9" s="111" t="n">
        <v>951</v>
      </c>
      <c r="DI9" s="111" t="n">
        <v>769</v>
      </c>
      <c r="DJ9" s="111" t="n">
        <v>182</v>
      </c>
      <c r="DK9" s="111" t="n">
        <v>2366</v>
      </c>
      <c r="DL9" s="111" t="n">
        <v>1969</v>
      </c>
      <c r="DM9" s="111" t="n">
        <v>1877</v>
      </c>
      <c r="DN9" s="111" t="n">
        <v>92</v>
      </c>
      <c r="DO9" s="111" t="n">
        <v>397</v>
      </c>
      <c r="DP9" s="111" t="n">
        <v>315</v>
      </c>
      <c r="DQ9" s="111" t="n">
        <v>82</v>
      </c>
      <c r="DR9" s="111" t="n">
        <v>103</v>
      </c>
      <c r="DS9" s="111" t="n">
        <v>0</v>
      </c>
      <c r="DT9" s="111" t="n">
        <v>78</v>
      </c>
      <c r="DU9" s="111" t="n">
        <v>70</v>
      </c>
      <c r="DV9" s="111" t="n">
        <v>8</v>
      </c>
      <c r="DW9" s="111" t="n">
        <v>25</v>
      </c>
      <c r="DX9" s="111" t="n">
        <v>14</v>
      </c>
      <c r="DY9" s="111" t="n">
        <v>11</v>
      </c>
      <c r="DZ9" s="111" t="n">
        <v>0</v>
      </c>
      <c r="EA9" s="111" t="n">
        <v>0</v>
      </c>
      <c r="EB9" s="111" t="n">
        <v>0</v>
      </c>
      <c r="EC9" s="111" t="n">
        <v>0</v>
      </c>
      <c r="ED9" s="111" t="n">
        <v>0</v>
      </c>
      <c r="EE9" s="111" t="n">
        <v>0</v>
      </c>
      <c r="EF9" s="111" t="n">
        <v>0</v>
      </c>
      <c r="EG9" s="111" t="n">
        <v>1949</v>
      </c>
      <c r="EH9" s="111" t="n">
        <v>922</v>
      </c>
      <c r="EI9" s="111" t="n">
        <v>913</v>
      </c>
      <c r="EJ9" s="111" t="n">
        <v>9</v>
      </c>
      <c r="EK9" s="111" t="n">
        <v>1027</v>
      </c>
      <c r="EL9" s="111" t="n">
        <v>1021</v>
      </c>
      <c r="EM9" s="111" t="n">
        <v>6</v>
      </c>
      <c r="EN9" s="111" t="n">
        <v>1451</v>
      </c>
      <c r="EO9" s="111" t="n">
        <v>0</v>
      </c>
      <c r="EP9" s="111" t="n">
        <v>0</v>
      </c>
      <c r="EQ9" s="111" t="n">
        <v>1451</v>
      </c>
      <c r="ER9" s="111" t="n">
        <v>0</v>
      </c>
      <c r="ES9" s="111" t="n">
        <v>0</v>
      </c>
      <c r="ET9" s="111" t="n">
        <v>0</v>
      </c>
      <c r="EU9" s="111" t="n">
        <v>0</v>
      </c>
      <c r="EV9" s="111" t="n">
        <v>0</v>
      </c>
      <c r="EW9" s="111" t="n">
        <v>0</v>
      </c>
      <c r="EX9" s="111" t="n">
        <v>0</v>
      </c>
      <c r="EY9" s="111" t="n">
        <v>0</v>
      </c>
      <c r="EZ9" s="111" t="n">
        <v>0</v>
      </c>
      <c r="FA9" s="111" t="n">
        <v>0</v>
      </c>
      <c r="FB9" s="111" t="n">
        <v>160</v>
      </c>
    </row>
    <row r="10" ht="19.5" customHeight="1" s="247">
      <c r="A10" s="107" t="n">
        <v>7</v>
      </c>
      <c r="B10" s="107" t="inlineStr">
        <is>
          <t>成人非手术</t>
        </is>
      </c>
      <c r="C10" s="107" t="inlineStr">
        <is>
          <t>肾脏风湿免疫科</t>
        </is>
      </c>
      <c r="D10" s="110" t="n">
        <v>36132692.96</v>
      </c>
      <c r="E10" s="110" t="n">
        <v>26350932.96</v>
      </c>
      <c r="F10" s="110" t="n">
        <v>9781760</v>
      </c>
      <c r="G10" s="110" t="n">
        <v>38530</v>
      </c>
      <c r="H10" s="110" t="n">
        <v>1128</v>
      </c>
      <c r="I10" s="110" t="n">
        <v>17890537.96</v>
      </c>
      <c r="J10" s="110" t="n">
        <v>0</v>
      </c>
      <c r="K10" s="110" t="n">
        <v>0</v>
      </c>
      <c r="L10" s="110" t="n">
        <v>715763.5</v>
      </c>
      <c r="M10" s="110" t="n">
        <v>151371</v>
      </c>
      <c r="N10" s="110" t="n">
        <v>0</v>
      </c>
      <c r="O10" s="110" t="n">
        <v>64920818.76</v>
      </c>
      <c r="P10" s="110" t="n">
        <v>57075376.11</v>
      </c>
      <c r="Q10" s="110" t="n">
        <v>56416687.43</v>
      </c>
      <c r="R10" s="110" t="n">
        <v>658688.6800000001</v>
      </c>
      <c r="S10" s="110" t="n">
        <v>7845442.65</v>
      </c>
      <c r="T10" s="110" t="n">
        <v>7186433.09</v>
      </c>
      <c r="U10" s="110" t="n">
        <v>659009.5600000001</v>
      </c>
      <c r="V10" s="110" t="n">
        <v>49635472.43</v>
      </c>
      <c r="W10" s="110" t="n">
        <v>45885759.33</v>
      </c>
      <c r="X10" s="110" t="n">
        <v>45362603.3</v>
      </c>
      <c r="Y10" s="110" t="n">
        <v>523156.03</v>
      </c>
      <c r="Z10" s="110" t="n">
        <v>3749713.1</v>
      </c>
      <c r="AA10" s="110" t="n">
        <v>3145588.62</v>
      </c>
      <c r="AB10" s="110" t="n">
        <v>604124.48</v>
      </c>
      <c r="AC10" s="110" t="n">
        <v>18610033.72</v>
      </c>
      <c r="AD10" s="110" t="n">
        <v>17086187.42</v>
      </c>
      <c r="AE10" s="110" t="n">
        <v>16871082.09</v>
      </c>
      <c r="AF10" s="110" t="n">
        <v>215105.33</v>
      </c>
      <c r="AG10" s="110" t="n">
        <v>1523846.3</v>
      </c>
      <c r="AH10" s="110" t="n">
        <v>1224317.72</v>
      </c>
      <c r="AI10" s="110" t="n">
        <v>299528.58</v>
      </c>
      <c r="AJ10" s="110" t="n">
        <v>4674505.75</v>
      </c>
      <c r="AK10" s="110" t="n">
        <v>4461620.95</v>
      </c>
      <c r="AL10" s="110" t="n">
        <v>4429583.25</v>
      </c>
      <c r="AM10" s="110" t="n">
        <v>32037.7</v>
      </c>
      <c r="AN10" s="110" t="n">
        <v>212884.8</v>
      </c>
      <c r="AO10" s="110" t="n">
        <v>183585.9</v>
      </c>
      <c r="AP10" s="110" t="n">
        <v>29298.9</v>
      </c>
      <c r="AQ10" s="110" t="n">
        <v>7109397</v>
      </c>
      <c r="AR10" s="110" t="n">
        <v>6395293</v>
      </c>
      <c r="AS10" s="110" t="n">
        <v>6246331</v>
      </c>
      <c r="AT10" s="110" t="n">
        <v>148962</v>
      </c>
      <c r="AU10" s="110" t="n">
        <v>714104</v>
      </c>
      <c r="AV10" s="110" t="n">
        <v>551338</v>
      </c>
      <c r="AW10" s="110" t="n">
        <v>162766</v>
      </c>
      <c r="AX10" s="110" t="n">
        <v>19241535.96</v>
      </c>
      <c r="AY10" s="110" t="n">
        <v>17942657.96</v>
      </c>
      <c r="AZ10" s="110" t="n">
        <v>17815606.96</v>
      </c>
      <c r="BA10" s="110" t="n">
        <v>127051</v>
      </c>
      <c r="BB10" s="110" t="n">
        <v>1298878</v>
      </c>
      <c r="BC10" s="110" t="n">
        <v>1186347</v>
      </c>
      <c r="BD10" s="110" t="n">
        <v>112531</v>
      </c>
      <c r="BE10" s="110" t="n">
        <v>15285346.33</v>
      </c>
      <c r="BF10" s="110" t="n">
        <v>11189616.78</v>
      </c>
      <c r="BG10" s="110" t="n">
        <v>11054084.13</v>
      </c>
      <c r="BH10" s="110" t="n">
        <v>135532.65</v>
      </c>
      <c r="BI10" s="110" t="n">
        <v>4095729.55</v>
      </c>
      <c r="BJ10" s="110" t="n">
        <v>4040844.47</v>
      </c>
      <c r="BK10" s="110" t="n">
        <v>54885.08</v>
      </c>
      <c r="BL10" s="110" t="n">
        <v>4409792.63</v>
      </c>
      <c r="BM10" s="110" t="n">
        <v>3175357.01</v>
      </c>
      <c r="BN10" s="110" t="n">
        <v>3150683.39</v>
      </c>
      <c r="BO10" s="110" t="n">
        <v>24673.62</v>
      </c>
      <c r="BP10" s="110" t="n">
        <v>1234435.62</v>
      </c>
      <c r="BQ10" s="110" t="n">
        <v>1220259.07</v>
      </c>
      <c r="BR10" s="110" t="n">
        <v>14176.55</v>
      </c>
      <c r="BS10" s="110" t="n">
        <v>1093793.7</v>
      </c>
      <c r="BT10" s="110" t="n">
        <v>850191.27</v>
      </c>
      <c r="BU10" s="110" t="n">
        <v>844975.24</v>
      </c>
      <c r="BV10" s="110" t="n">
        <v>5216.03</v>
      </c>
      <c r="BW10" s="110" t="n">
        <v>243602.43</v>
      </c>
      <c r="BX10" s="110" t="n">
        <v>243130.4</v>
      </c>
      <c r="BY10" s="110" t="n">
        <v>472.03</v>
      </c>
      <c r="BZ10" s="110" t="n">
        <v>7203780</v>
      </c>
      <c r="CA10" s="110" t="n">
        <v>5245787</v>
      </c>
      <c r="CB10" s="110" t="n">
        <v>5162884</v>
      </c>
      <c r="CC10" s="110" t="n">
        <v>82903</v>
      </c>
      <c r="CD10" s="110" t="n">
        <v>1957993</v>
      </c>
      <c r="CE10" s="110" t="n">
        <v>1922787</v>
      </c>
      <c r="CF10" s="110" t="n">
        <v>35206</v>
      </c>
      <c r="CG10" s="110" t="n">
        <v>2577980</v>
      </c>
      <c r="CH10" s="110" t="n">
        <v>1918281.5</v>
      </c>
      <c r="CI10" s="110" t="n">
        <v>1895541.5</v>
      </c>
      <c r="CJ10" s="110" t="n">
        <v>22740</v>
      </c>
      <c r="CK10" s="110" t="n">
        <v>659698.5</v>
      </c>
      <c r="CL10" s="110" t="n">
        <v>654668</v>
      </c>
      <c r="CM10" s="110" t="n">
        <v>5030.5</v>
      </c>
      <c r="CN10" s="110" t="n">
        <v>-19</v>
      </c>
      <c r="CO10" s="110" t="n">
        <v>6958183.69</v>
      </c>
      <c r="CP10" s="110" t="n">
        <v>7330720.09</v>
      </c>
      <c r="CQ10" s="110" t="n">
        <v>34570191.09</v>
      </c>
      <c r="CR10" s="110" t="n">
        <v>776371.5600000001</v>
      </c>
      <c r="CS10" s="110" t="n">
        <v>0</v>
      </c>
      <c r="CT10" s="110" t="n">
        <v>0</v>
      </c>
      <c r="CU10" s="110" t="n">
        <v>0</v>
      </c>
      <c r="CV10" s="111" t="n">
        <v>38530</v>
      </c>
      <c r="CW10" s="111" t="n">
        <v>34487</v>
      </c>
      <c r="CX10" s="111" t="n">
        <v>33555</v>
      </c>
      <c r="CY10" s="111" t="n">
        <v>932</v>
      </c>
      <c r="CZ10" s="111" t="n">
        <v>4043</v>
      </c>
      <c r="DA10" s="111" t="n">
        <v>2940</v>
      </c>
      <c r="DB10" s="111" t="n">
        <v>1103</v>
      </c>
      <c r="DC10" s="111" t="n">
        <v>28295</v>
      </c>
      <c r="DD10" s="111" t="n">
        <v>527</v>
      </c>
      <c r="DE10" s="111" t="n">
        <v>25554</v>
      </c>
      <c r="DF10" s="111" t="n">
        <v>24880</v>
      </c>
      <c r="DG10" s="111" t="n">
        <v>674</v>
      </c>
      <c r="DH10" s="111" t="n">
        <v>2741</v>
      </c>
      <c r="DI10" s="111" t="n">
        <v>2006</v>
      </c>
      <c r="DJ10" s="111" t="n">
        <v>735</v>
      </c>
      <c r="DK10" s="111" t="n">
        <v>9043</v>
      </c>
      <c r="DL10" s="111" t="n">
        <v>7946</v>
      </c>
      <c r="DM10" s="111" t="n">
        <v>7725</v>
      </c>
      <c r="DN10" s="111" t="n">
        <v>221</v>
      </c>
      <c r="DO10" s="111" t="n">
        <v>1097</v>
      </c>
      <c r="DP10" s="111" t="n">
        <v>823</v>
      </c>
      <c r="DQ10" s="111" t="n">
        <v>274</v>
      </c>
      <c r="DR10" s="111" t="n">
        <v>665</v>
      </c>
      <c r="DS10" s="111" t="n">
        <v>0</v>
      </c>
      <c r="DT10" s="111" t="n">
        <v>503</v>
      </c>
      <c r="DU10" s="111" t="n">
        <v>478</v>
      </c>
      <c r="DV10" s="111" t="n">
        <v>25</v>
      </c>
      <c r="DW10" s="111" t="n">
        <v>162</v>
      </c>
      <c r="DX10" s="111" t="n">
        <v>106</v>
      </c>
      <c r="DY10" s="111" t="n">
        <v>56</v>
      </c>
      <c r="DZ10" s="111" t="n">
        <v>0</v>
      </c>
      <c r="EA10" s="111" t="n">
        <v>0</v>
      </c>
      <c r="EB10" s="111" t="n">
        <v>0</v>
      </c>
      <c r="EC10" s="111" t="n">
        <v>0</v>
      </c>
      <c r="ED10" s="111" t="n">
        <v>0</v>
      </c>
      <c r="EE10" s="111" t="n">
        <v>0</v>
      </c>
      <c r="EF10" s="111" t="n">
        <v>0</v>
      </c>
      <c r="EG10" s="111" t="n">
        <v>1128</v>
      </c>
      <c r="EH10" s="111" t="n">
        <v>831</v>
      </c>
      <c r="EI10" s="111" t="n">
        <v>818</v>
      </c>
      <c r="EJ10" s="111" t="n">
        <v>13</v>
      </c>
      <c r="EK10" s="111" t="n">
        <v>297</v>
      </c>
      <c r="EL10" s="111" t="n">
        <v>291</v>
      </c>
      <c r="EM10" s="111" t="n">
        <v>6</v>
      </c>
      <c r="EN10" s="111" t="n">
        <v>314</v>
      </c>
      <c r="EO10" s="111" t="n">
        <v>63</v>
      </c>
      <c r="EP10" s="111" t="n">
        <v>0</v>
      </c>
      <c r="EQ10" s="111" t="n">
        <v>251</v>
      </c>
      <c r="ER10" s="111" t="n">
        <v>0</v>
      </c>
      <c r="ES10" s="111" t="n">
        <v>0</v>
      </c>
      <c r="ET10" s="111" t="n">
        <v>0</v>
      </c>
      <c r="EU10" s="111" t="n">
        <v>1</v>
      </c>
      <c r="EV10" s="111" t="n">
        <v>1</v>
      </c>
      <c r="EW10" s="111" t="n">
        <v>0</v>
      </c>
      <c r="EX10" s="111" t="n">
        <v>0</v>
      </c>
      <c r="EY10" s="111" t="n">
        <v>0</v>
      </c>
      <c r="EZ10" s="111" t="n">
        <v>0</v>
      </c>
      <c r="FA10" s="111" t="n">
        <v>0</v>
      </c>
      <c r="FB10" s="111" t="n">
        <v>695</v>
      </c>
    </row>
    <row r="11" ht="19.5" customHeight="1" s="247">
      <c r="A11" s="107" t="n">
        <v>8</v>
      </c>
      <c r="B11" s="107" t="inlineStr">
        <is>
          <t>成人非手术</t>
        </is>
      </c>
      <c r="C11" s="107" t="inlineStr">
        <is>
          <t>内分泌科</t>
        </is>
      </c>
      <c r="D11" s="110" t="n">
        <v>26642853.5</v>
      </c>
      <c r="E11" s="110" t="n">
        <v>17720780</v>
      </c>
      <c r="F11" s="110" t="n">
        <v>8922073.5</v>
      </c>
      <c r="G11" s="110" t="n">
        <v>81888</v>
      </c>
      <c r="H11" s="110" t="n">
        <v>941</v>
      </c>
      <c r="I11" s="110" t="n">
        <v>25730</v>
      </c>
      <c r="J11" s="110" t="n">
        <v>2400</v>
      </c>
      <c r="K11" s="110" t="n">
        <v>0</v>
      </c>
      <c r="L11" s="110" t="n">
        <v>911679.5</v>
      </c>
      <c r="M11" s="110" t="n">
        <v>24424</v>
      </c>
      <c r="N11" s="110" t="n">
        <v>0</v>
      </c>
      <c r="O11" s="110" t="n">
        <v>51068186.85</v>
      </c>
      <c r="P11" s="110" t="n">
        <v>45796583.84</v>
      </c>
      <c r="Q11" s="110" t="n">
        <v>44916436.62</v>
      </c>
      <c r="R11" s="110" t="n">
        <v>880147.22</v>
      </c>
      <c r="S11" s="110" t="n">
        <v>5271603.01</v>
      </c>
      <c r="T11" s="110" t="n">
        <v>4485299.24</v>
      </c>
      <c r="U11" s="110" t="n">
        <v>786303.77</v>
      </c>
      <c r="V11" s="110" t="n">
        <v>39736015.76</v>
      </c>
      <c r="W11" s="110" t="n">
        <v>36557656.83</v>
      </c>
      <c r="X11" s="110" t="n">
        <v>35722046.21</v>
      </c>
      <c r="Y11" s="110" t="n">
        <v>835610.62</v>
      </c>
      <c r="Z11" s="110" t="n">
        <v>3178358.93</v>
      </c>
      <c r="AA11" s="110" t="n">
        <v>2474158.71</v>
      </c>
      <c r="AB11" s="110" t="n">
        <v>704200.22</v>
      </c>
      <c r="AC11" s="110" t="n">
        <v>21614234.56</v>
      </c>
      <c r="AD11" s="110" t="n">
        <v>20051294.83</v>
      </c>
      <c r="AE11" s="110" t="n">
        <v>19730760.81</v>
      </c>
      <c r="AF11" s="110" t="n">
        <v>320534.02</v>
      </c>
      <c r="AG11" s="110" t="n">
        <v>1562939.73</v>
      </c>
      <c r="AH11" s="110" t="n">
        <v>1300158.11</v>
      </c>
      <c r="AI11" s="110" t="n">
        <v>262781.62</v>
      </c>
      <c r="AJ11" s="110" t="n">
        <v>401001.2</v>
      </c>
      <c r="AK11" s="110" t="n">
        <v>372005</v>
      </c>
      <c r="AL11" s="110" t="n">
        <v>365841.4</v>
      </c>
      <c r="AM11" s="110" t="n">
        <v>6163.6</v>
      </c>
      <c r="AN11" s="110" t="n">
        <v>28996.2</v>
      </c>
      <c r="AO11" s="110" t="n">
        <v>23496.6</v>
      </c>
      <c r="AP11" s="110" t="n">
        <v>5499.6</v>
      </c>
      <c r="AQ11" s="110" t="n">
        <v>14816470</v>
      </c>
      <c r="AR11" s="110" t="n">
        <v>13518455</v>
      </c>
      <c r="AS11" s="110" t="n">
        <v>13110981</v>
      </c>
      <c r="AT11" s="110" t="n">
        <v>407474</v>
      </c>
      <c r="AU11" s="110" t="n">
        <v>1298015</v>
      </c>
      <c r="AV11" s="110" t="n">
        <v>948824</v>
      </c>
      <c r="AW11" s="110" t="n">
        <v>349191</v>
      </c>
      <c r="AX11" s="110" t="n">
        <v>2904310</v>
      </c>
      <c r="AY11" s="110" t="n">
        <v>2615902</v>
      </c>
      <c r="AZ11" s="110" t="n">
        <v>2514463</v>
      </c>
      <c r="BA11" s="110" t="n">
        <v>101439</v>
      </c>
      <c r="BB11" s="110" t="n">
        <v>288408</v>
      </c>
      <c r="BC11" s="110" t="n">
        <v>201680</v>
      </c>
      <c r="BD11" s="110" t="n">
        <v>86728</v>
      </c>
      <c r="BE11" s="110" t="n">
        <v>11332171.09</v>
      </c>
      <c r="BF11" s="110" t="n">
        <v>9238927.01</v>
      </c>
      <c r="BG11" s="110" t="n">
        <v>9194390.41</v>
      </c>
      <c r="BH11" s="110" t="n">
        <v>44536.6</v>
      </c>
      <c r="BI11" s="110" t="n">
        <v>2093244.08</v>
      </c>
      <c r="BJ11" s="110" t="n">
        <v>2011140.53</v>
      </c>
      <c r="BK11" s="110" t="n">
        <v>82103.55</v>
      </c>
      <c r="BL11" s="110" t="n">
        <v>2188240.89</v>
      </c>
      <c r="BM11" s="110" t="n">
        <v>1784662.23</v>
      </c>
      <c r="BN11" s="110" t="n">
        <v>1777326.17</v>
      </c>
      <c r="BO11" s="110" t="n">
        <v>7336.06</v>
      </c>
      <c r="BP11" s="110" t="n">
        <v>403578.66</v>
      </c>
      <c r="BQ11" s="110" t="n">
        <v>385614.6</v>
      </c>
      <c r="BR11" s="110" t="n">
        <v>17964.06</v>
      </c>
      <c r="BS11" s="110" t="n">
        <v>221856.7</v>
      </c>
      <c r="BT11" s="110" t="n">
        <v>177685.78</v>
      </c>
      <c r="BU11" s="110" t="n">
        <v>177010.74</v>
      </c>
      <c r="BV11" s="110" t="n">
        <v>675.04</v>
      </c>
      <c r="BW11" s="110" t="n">
        <v>44170.92</v>
      </c>
      <c r="BX11" s="110" t="n">
        <v>42890.43</v>
      </c>
      <c r="BY11" s="110" t="n">
        <v>1280.49</v>
      </c>
      <c r="BZ11" s="110" t="n">
        <v>6874030</v>
      </c>
      <c r="CA11" s="110" t="n">
        <v>5601862</v>
      </c>
      <c r="CB11" s="110" t="n">
        <v>5573093</v>
      </c>
      <c r="CC11" s="110" t="n">
        <v>28769</v>
      </c>
      <c r="CD11" s="110" t="n">
        <v>1272168</v>
      </c>
      <c r="CE11" s="110" t="n">
        <v>1222441</v>
      </c>
      <c r="CF11" s="110" t="n">
        <v>49727</v>
      </c>
      <c r="CG11" s="110" t="n">
        <v>2048043.5</v>
      </c>
      <c r="CH11" s="110" t="n">
        <v>1674717</v>
      </c>
      <c r="CI11" s="110" t="n">
        <v>1666960.5</v>
      </c>
      <c r="CJ11" s="110" t="n">
        <v>7756.5</v>
      </c>
      <c r="CK11" s="110" t="n">
        <v>373326.5</v>
      </c>
      <c r="CL11" s="110" t="n">
        <v>360194.5</v>
      </c>
      <c r="CM11" s="110" t="n">
        <v>13132</v>
      </c>
      <c r="CN11" s="110" t="n">
        <v>-25</v>
      </c>
      <c r="CO11" s="110" t="n">
        <v>21498181.39</v>
      </c>
      <c r="CP11" s="110" t="n">
        <v>12916837.24</v>
      </c>
      <c r="CQ11" s="110" t="n">
        <v>3739715.69</v>
      </c>
      <c r="CR11" s="110" t="n">
        <v>1578779.8</v>
      </c>
      <c r="CS11" s="110" t="n">
        <v>2501.64</v>
      </c>
      <c r="CT11" s="110" t="n">
        <v>0</v>
      </c>
      <c r="CU11" s="110" t="n">
        <v>0</v>
      </c>
      <c r="CV11" s="111" t="n">
        <v>81888</v>
      </c>
      <c r="CW11" s="111" t="n">
        <v>74524</v>
      </c>
      <c r="CX11" s="111" t="n">
        <v>72412</v>
      </c>
      <c r="CY11" s="111" t="n">
        <v>2112</v>
      </c>
      <c r="CZ11" s="111" t="n">
        <v>7364</v>
      </c>
      <c r="DA11" s="111" t="n">
        <v>5465</v>
      </c>
      <c r="DB11" s="111" t="n">
        <v>1899</v>
      </c>
      <c r="DC11" s="111" t="n">
        <v>55840</v>
      </c>
      <c r="DD11" s="111" t="n">
        <v>914</v>
      </c>
      <c r="DE11" s="111" t="n">
        <v>50940</v>
      </c>
      <c r="DF11" s="111" t="n">
        <v>49625</v>
      </c>
      <c r="DG11" s="111" t="n">
        <v>1315</v>
      </c>
      <c r="DH11" s="111" t="n">
        <v>4900</v>
      </c>
      <c r="DI11" s="111" t="n">
        <v>3716</v>
      </c>
      <c r="DJ11" s="111" t="n">
        <v>1184</v>
      </c>
      <c r="DK11" s="111" t="n">
        <v>23074</v>
      </c>
      <c r="DL11" s="111" t="n">
        <v>20952</v>
      </c>
      <c r="DM11" s="111" t="n">
        <v>20283</v>
      </c>
      <c r="DN11" s="111" t="n">
        <v>669</v>
      </c>
      <c r="DO11" s="111" t="n">
        <v>2122</v>
      </c>
      <c r="DP11" s="111" t="n">
        <v>1568</v>
      </c>
      <c r="DQ11" s="111" t="n">
        <v>554</v>
      </c>
      <c r="DR11" s="111" t="n">
        <v>2045</v>
      </c>
      <c r="DS11" s="111" t="n">
        <v>15</v>
      </c>
      <c r="DT11" s="111" t="n">
        <v>1743</v>
      </c>
      <c r="DU11" s="111" t="n">
        <v>1630</v>
      </c>
      <c r="DV11" s="111" t="n">
        <v>113</v>
      </c>
      <c r="DW11" s="111" t="n">
        <v>302</v>
      </c>
      <c r="DX11" s="111" t="n">
        <v>179</v>
      </c>
      <c r="DY11" s="111" t="n">
        <v>123</v>
      </c>
      <c r="DZ11" s="111" t="n">
        <v>0</v>
      </c>
      <c r="EA11" s="111" t="n">
        <v>0</v>
      </c>
      <c r="EB11" s="111" t="n">
        <v>0</v>
      </c>
      <c r="EC11" s="111" t="n">
        <v>0</v>
      </c>
      <c r="ED11" s="111" t="n">
        <v>0</v>
      </c>
      <c r="EE11" s="111" t="n">
        <v>0</v>
      </c>
      <c r="EF11" s="111" t="n">
        <v>0</v>
      </c>
      <c r="EG11" s="111" t="n">
        <v>941</v>
      </c>
      <c r="EH11" s="111" t="n">
        <v>772</v>
      </c>
      <c r="EI11" s="111" t="n">
        <v>760</v>
      </c>
      <c r="EJ11" s="111" t="n">
        <v>12</v>
      </c>
      <c r="EK11" s="111" t="n">
        <v>169</v>
      </c>
      <c r="EL11" s="111" t="n">
        <v>158</v>
      </c>
      <c r="EM11" s="111" t="n">
        <v>11</v>
      </c>
      <c r="EN11" s="111" t="n">
        <v>6</v>
      </c>
      <c r="EO11" s="111" t="n">
        <v>0</v>
      </c>
      <c r="EP11" s="111" t="n">
        <v>0</v>
      </c>
      <c r="EQ11" s="111" t="n">
        <v>6</v>
      </c>
      <c r="ER11" s="111" t="n">
        <v>0</v>
      </c>
      <c r="ES11" s="111" t="n">
        <v>0</v>
      </c>
      <c r="ET11" s="111" t="n">
        <v>0</v>
      </c>
      <c r="EU11" s="111" t="n">
        <v>0</v>
      </c>
      <c r="EV11" s="111" t="n">
        <v>0</v>
      </c>
      <c r="EW11" s="111" t="n">
        <v>0</v>
      </c>
      <c r="EX11" s="111" t="n">
        <v>0</v>
      </c>
      <c r="EY11" s="111" t="n">
        <v>0</v>
      </c>
      <c r="EZ11" s="111" t="n">
        <v>0</v>
      </c>
      <c r="FA11" s="111" t="n">
        <v>0</v>
      </c>
      <c r="FB11" s="111" t="n">
        <v>878</v>
      </c>
    </row>
    <row r="12" ht="19.5" customHeight="1" s="247">
      <c r="A12" s="107" t="n">
        <v>9</v>
      </c>
      <c r="B12" s="107" t="inlineStr">
        <is>
          <t>成人非手术</t>
        </is>
      </c>
      <c r="C12" s="107" t="inlineStr">
        <is>
          <t>老年医学科</t>
        </is>
      </c>
      <c r="D12" s="110" t="n">
        <v>20550010</v>
      </c>
      <c r="E12" s="110" t="n">
        <v>1100484.5</v>
      </c>
      <c r="F12" s="110" t="n">
        <v>19449525.5</v>
      </c>
      <c r="G12" s="110" t="n">
        <v>10441</v>
      </c>
      <c r="H12" s="110" t="n">
        <v>335</v>
      </c>
      <c r="I12" s="110" t="n">
        <v>38675</v>
      </c>
      <c r="J12" s="110" t="n">
        <v>0</v>
      </c>
      <c r="K12" s="110" t="n">
        <v>261561.49</v>
      </c>
      <c r="L12" s="110" t="n">
        <v>3763650.5</v>
      </c>
      <c r="M12" s="110" t="n">
        <v>102851.5</v>
      </c>
      <c r="N12" s="110" t="n">
        <v>46235.51</v>
      </c>
      <c r="O12" s="110" t="n">
        <v>37188621.42</v>
      </c>
      <c r="P12" s="110" t="n">
        <v>37078220.31</v>
      </c>
      <c r="Q12" s="110" t="n">
        <v>36840678.75</v>
      </c>
      <c r="R12" s="110" t="n">
        <v>237541.56</v>
      </c>
      <c r="S12" s="110" t="n">
        <v>110401.11</v>
      </c>
      <c r="T12" s="110" t="n">
        <v>72114.47</v>
      </c>
      <c r="U12" s="110" t="n">
        <v>38286.64</v>
      </c>
      <c r="V12" s="110" t="n">
        <v>7076667.19</v>
      </c>
      <c r="W12" s="110" t="n">
        <v>6966266.08</v>
      </c>
      <c r="X12" s="110" t="n">
        <v>6940645.37</v>
      </c>
      <c r="Y12" s="110" t="n">
        <v>25620.71</v>
      </c>
      <c r="Z12" s="110" t="n">
        <v>110401.11</v>
      </c>
      <c r="AA12" s="110" t="n">
        <v>72114.47</v>
      </c>
      <c r="AB12" s="110" t="n">
        <v>38286.64</v>
      </c>
      <c r="AC12" s="110" t="n">
        <v>5951274.76</v>
      </c>
      <c r="AD12" s="110" t="n">
        <v>5867501.65</v>
      </c>
      <c r="AE12" s="110" t="n">
        <v>5850556.94</v>
      </c>
      <c r="AF12" s="110" t="n">
        <v>16944.71</v>
      </c>
      <c r="AG12" s="110" t="n">
        <v>83773.11</v>
      </c>
      <c r="AH12" s="110" t="n">
        <v>54650.47</v>
      </c>
      <c r="AI12" s="110" t="n">
        <v>29122.64</v>
      </c>
      <c r="AJ12" s="110" t="n">
        <v>24907.93</v>
      </c>
      <c r="AK12" s="110" t="n">
        <v>24512.93</v>
      </c>
      <c r="AL12" s="110" t="n">
        <v>24469.93</v>
      </c>
      <c r="AM12" s="110" t="n">
        <v>43</v>
      </c>
      <c r="AN12" s="110" t="n">
        <v>395</v>
      </c>
      <c r="AO12" s="110" t="n">
        <v>350</v>
      </c>
      <c r="AP12" s="110" t="n">
        <v>45</v>
      </c>
      <c r="AQ12" s="110" t="n">
        <v>788199</v>
      </c>
      <c r="AR12" s="110" t="n">
        <v>768613</v>
      </c>
      <c r="AS12" s="110" t="n">
        <v>761428</v>
      </c>
      <c r="AT12" s="110" t="n">
        <v>7185</v>
      </c>
      <c r="AU12" s="110" t="n">
        <v>19586</v>
      </c>
      <c r="AV12" s="110" t="n">
        <v>13487</v>
      </c>
      <c r="AW12" s="110" t="n">
        <v>6099</v>
      </c>
      <c r="AX12" s="110" t="n">
        <v>312285.5</v>
      </c>
      <c r="AY12" s="110" t="n">
        <v>305638.5</v>
      </c>
      <c r="AZ12" s="110" t="n">
        <v>304190.5</v>
      </c>
      <c r="BA12" s="110" t="n">
        <v>1448</v>
      </c>
      <c r="BB12" s="110" t="n">
        <v>6647</v>
      </c>
      <c r="BC12" s="110" t="n">
        <v>3627</v>
      </c>
      <c r="BD12" s="110" t="n">
        <v>3020</v>
      </c>
      <c r="BE12" s="110" t="n">
        <v>30111954.23</v>
      </c>
      <c r="BF12" s="110" t="n">
        <v>30111954.23</v>
      </c>
      <c r="BG12" s="110" t="n">
        <v>29900033.38</v>
      </c>
      <c r="BH12" s="110" t="n">
        <v>211920.85</v>
      </c>
      <c r="BI12" s="110" t="n">
        <v>0</v>
      </c>
      <c r="BJ12" s="110" t="n">
        <v>0</v>
      </c>
      <c r="BK12" s="110" t="n">
        <v>0</v>
      </c>
      <c r="BL12" s="110" t="n">
        <v>9757113.710000001</v>
      </c>
      <c r="BM12" s="110" t="n">
        <v>9757113.710000001</v>
      </c>
      <c r="BN12" s="110" t="n">
        <v>9683676.41</v>
      </c>
      <c r="BO12" s="110" t="n">
        <v>73437.3</v>
      </c>
      <c r="BP12" s="110" t="n">
        <v>0</v>
      </c>
      <c r="BQ12" s="110" t="n">
        <v>0</v>
      </c>
      <c r="BR12" s="110" t="n">
        <v>0</v>
      </c>
      <c r="BS12" s="110" t="n">
        <v>905315.02</v>
      </c>
      <c r="BT12" s="110" t="n">
        <v>905315.02</v>
      </c>
      <c r="BU12" s="110" t="n">
        <v>897060.97</v>
      </c>
      <c r="BV12" s="110" t="n">
        <v>8254.049999999999</v>
      </c>
      <c r="BW12" s="110" t="n">
        <v>0</v>
      </c>
      <c r="BX12" s="110" t="n">
        <v>0</v>
      </c>
      <c r="BY12" s="110" t="n">
        <v>0</v>
      </c>
      <c r="BZ12" s="110" t="n">
        <v>8824627.5</v>
      </c>
      <c r="CA12" s="110" t="n">
        <v>8824627.5</v>
      </c>
      <c r="CB12" s="110" t="n">
        <v>8756276.5</v>
      </c>
      <c r="CC12" s="110" t="n">
        <v>68351</v>
      </c>
      <c r="CD12" s="110" t="n">
        <v>0</v>
      </c>
      <c r="CE12" s="110" t="n">
        <v>0</v>
      </c>
      <c r="CF12" s="110" t="n">
        <v>0</v>
      </c>
      <c r="CG12" s="110" t="n">
        <v>10624898</v>
      </c>
      <c r="CH12" s="110" t="n">
        <v>10624898</v>
      </c>
      <c r="CI12" s="110" t="n">
        <v>10563019.5</v>
      </c>
      <c r="CJ12" s="110" t="n">
        <v>61878.5</v>
      </c>
      <c r="CK12" s="110" t="n">
        <v>0</v>
      </c>
      <c r="CL12" s="110" t="n">
        <v>0</v>
      </c>
      <c r="CM12" s="110" t="n">
        <v>0</v>
      </c>
      <c r="CN12" s="110" t="n">
        <v>0</v>
      </c>
      <c r="CO12" s="110" t="n">
        <v>7041654.19</v>
      </c>
      <c r="CP12" s="110" t="n">
        <v>0</v>
      </c>
      <c r="CQ12" s="110" t="n">
        <v>275</v>
      </c>
      <c r="CR12" s="110" t="n">
        <v>34738</v>
      </c>
      <c r="CS12" s="110" t="n">
        <v>0</v>
      </c>
      <c r="CT12" s="110" t="n">
        <v>0</v>
      </c>
      <c r="CU12" s="110" t="n">
        <v>0</v>
      </c>
      <c r="CV12" s="111" t="n">
        <v>10441</v>
      </c>
      <c r="CW12" s="111" t="n">
        <v>10276</v>
      </c>
      <c r="CX12" s="111" t="n">
        <v>10241</v>
      </c>
      <c r="CY12" s="111" t="n">
        <v>35</v>
      </c>
      <c r="CZ12" s="111" t="n">
        <v>165</v>
      </c>
      <c r="DA12" s="111" t="n">
        <v>132</v>
      </c>
      <c r="DB12" s="111" t="n">
        <v>33</v>
      </c>
      <c r="DC12" s="111" t="n">
        <v>10417</v>
      </c>
      <c r="DD12" s="111" t="n">
        <v>0</v>
      </c>
      <c r="DE12" s="111" t="n">
        <v>10271</v>
      </c>
      <c r="DF12" s="111" t="n">
        <v>10241</v>
      </c>
      <c r="DG12" s="111" t="n">
        <v>30</v>
      </c>
      <c r="DH12" s="111" t="n">
        <v>146</v>
      </c>
      <c r="DI12" s="111" t="n">
        <v>132</v>
      </c>
      <c r="DJ12" s="111" t="n">
        <v>14</v>
      </c>
      <c r="DK12" s="111" t="n">
        <v>0</v>
      </c>
      <c r="DL12" s="111" t="n">
        <v>0</v>
      </c>
      <c r="DM12" s="111" t="n">
        <v>0</v>
      </c>
      <c r="DN12" s="111" t="n">
        <v>0</v>
      </c>
      <c r="DO12" s="111" t="n">
        <v>0</v>
      </c>
      <c r="DP12" s="111" t="n">
        <v>0</v>
      </c>
      <c r="DQ12" s="111" t="n">
        <v>0</v>
      </c>
      <c r="DR12" s="111" t="n">
        <v>24</v>
      </c>
      <c r="DS12" s="111" t="n">
        <v>0</v>
      </c>
      <c r="DT12" s="111" t="n">
        <v>5</v>
      </c>
      <c r="DU12" s="111" t="n">
        <v>0</v>
      </c>
      <c r="DV12" s="111" t="n">
        <v>5</v>
      </c>
      <c r="DW12" s="111" t="n">
        <v>19</v>
      </c>
      <c r="DX12" s="111" t="n">
        <v>0</v>
      </c>
      <c r="DY12" s="111" t="n">
        <v>19</v>
      </c>
      <c r="DZ12" s="111" t="n">
        <v>0</v>
      </c>
      <c r="EA12" s="111" t="n">
        <v>0</v>
      </c>
      <c r="EB12" s="111" t="n">
        <v>0</v>
      </c>
      <c r="EC12" s="111" t="n">
        <v>0</v>
      </c>
      <c r="ED12" s="111" t="n">
        <v>0</v>
      </c>
      <c r="EE12" s="111" t="n">
        <v>0</v>
      </c>
      <c r="EF12" s="111" t="n">
        <v>0</v>
      </c>
      <c r="EG12" s="111" t="n">
        <v>335</v>
      </c>
      <c r="EH12" s="111" t="n">
        <v>335</v>
      </c>
      <c r="EI12" s="111" t="n">
        <v>334</v>
      </c>
      <c r="EJ12" s="111" t="n">
        <v>1</v>
      </c>
      <c r="EK12" s="111" t="n">
        <v>0</v>
      </c>
      <c r="EL12" s="111" t="n">
        <v>0</v>
      </c>
      <c r="EM12" s="111" t="n">
        <v>0</v>
      </c>
      <c r="EN12" s="111" t="n">
        <v>183</v>
      </c>
      <c r="EO12" s="111" t="n">
        <v>0</v>
      </c>
      <c r="EP12" s="111" t="n">
        <v>0</v>
      </c>
      <c r="EQ12" s="111" t="n">
        <v>183</v>
      </c>
      <c r="ER12" s="111" t="n">
        <v>0</v>
      </c>
      <c r="ES12" s="111" t="n">
        <v>0</v>
      </c>
      <c r="ET12" s="111" t="n">
        <v>0</v>
      </c>
      <c r="EU12" s="111" t="n">
        <v>0</v>
      </c>
      <c r="EV12" s="111" t="n">
        <v>0</v>
      </c>
      <c r="EW12" s="111" t="n">
        <v>0</v>
      </c>
      <c r="EX12" s="111" t="n">
        <v>0</v>
      </c>
      <c r="EY12" s="111" t="n">
        <v>0</v>
      </c>
      <c r="EZ12" s="111" t="n">
        <v>0</v>
      </c>
      <c r="FA12" s="111" t="n">
        <v>0</v>
      </c>
      <c r="FB12" s="111" t="n">
        <v>0</v>
      </c>
    </row>
    <row r="13" ht="19.5" customHeight="1" s="247">
      <c r="A13" s="107" t="n">
        <v>10</v>
      </c>
      <c r="B13" s="107" t="inlineStr">
        <is>
          <t>成人非手术</t>
        </is>
      </c>
      <c r="C13" s="107" t="inlineStr">
        <is>
          <t>全科医学科</t>
        </is>
      </c>
      <c r="D13" s="110" t="n">
        <v>9279710.800000001</v>
      </c>
      <c r="E13" s="110" t="n">
        <v>2644243</v>
      </c>
      <c r="F13" s="110" t="n">
        <v>6635467.8</v>
      </c>
      <c r="G13" s="110" t="n">
        <v>15310</v>
      </c>
      <c r="H13" s="110" t="n">
        <v>362</v>
      </c>
      <c r="I13" s="110" t="n">
        <v>890</v>
      </c>
      <c r="J13" s="110" t="n">
        <v>0</v>
      </c>
      <c r="K13" s="110" t="n">
        <v>0</v>
      </c>
      <c r="L13" s="110" t="n">
        <v>307826.25</v>
      </c>
      <c r="M13" s="110" t="n">
        <v>161116.05</v>
      </c>
      <c r="N13" s="110" t="n">
        <v>129.15</v>
      </c>
      <c r="O13" s="110" t="n">
        <v>14543291.07</v>
      </c>
      <c r="P13" s="110" t="n">
        <v>11411953.02</v>
      </c>
      <c r="Q13" s="110" t="n">
        <v>11109525.56</v>
      </c>
      <c r="R13" s="110" t="n">
        <v>302427.46</v>
      </c>
      <c r="S13" s="110" t="n">
        <v>3131338.05</v>
      </c>
      <c r="T13" s="110" t="n">
        <v>2794806.07</v>
      </c>
      <c r="U13" s="110" t="n">
        <v>336531.98</v>
      </c>
      <c r="V13" s="110" t="n">
        <v>6323733.66</v>
      </c>
      <c r="W13" s="110" t="n">
        <v>5797046.15</v>
      </c>
      <c r="X13" s="110" t="n">
        <v>5704444.27</v>
      </c>
      <c r="Y13" s="110" t="n">
        <v>92601.88</v>
      </c>
      <c r="Z13" s="110" t="n">
        <v>526687.51</v>
      </c>
      <c r="AA13" s="110" t="n">
        <v>436781.68</v>
      </c>
      <c r="AB13" s="110" t="n">
        <v>89905.83</v>
      </c>
      <c r="AC13" s="110" t="n">
        <v>3673340.26</v>
      </c>
      <c r="AD13" s="110" t="n">
        <v>3456294.75</v>
      </c>
      <c r="AE13" s="110" t="n">
        <v>3426679.87</v>
      </c>
      <c r="AF13" s="110" t="n">
        <v>29614.88</v>
      </c>
      <c r="AG13" s="110" t="n">
        <v>217045.51</v>
      </c>
      <c r="AH13" s="110" t="n">
        <v>196192.68</v>
      </c>
      <c r="AI13" s="110" t="n">
        <v>20852.83</v>
      </c>
      <c r="AJ13" s="110" t="n">
        <v>6150.4</v>
      </c>
      <c r="AK13" s="110" t="n">
        <v>5215.4</v>
      </c>
      <c r="AL13" s="110" t="n">
        <v>5127.4</v>
      </c>
      <c r="AM13" s="110" t="n">
        <v>88</v>
      </c>
      <c r="AN13" s="110" t="n">
        <v>935</v>
      </c>
      <c r="AO13" s="110" t="n">
        <v>768</v>
      </c>
      <c r="AP13" s="110" t="n">
        <v>167</v>
      </c>
      <c r="AQ13" s="110" t="n">
        <v>2233454</v>
      </c>
      <c r="AR13" s="110" t="n">
        <v>1960944</v>
      </c>
      <c r="AS13" s="110" t="n">
        <v>1905154</v>
      </c>
      <c r="AT13" s="110" t="n">
        <v>55790</v>
      </c>
      <c r="AU13" s="110" t="n">
        <v>272510</v>
      </c>
      <c r="AV13" s="110" t="n">
        <v>210558</v>
      </c>
      <c r="AW13" s="110" t="n">
        <v>61952</v>
      </c>
      <c r="AX13" s="110" t="n">
        <v>410789</v>
      </c>
      <c r="AY13" s="110" t="n">
        <v>374592</v>
      </c>
      <c r="AZ13" s="110" t="n">
        <v>367483</v>
      </c>
      <c r="BA13" s="110" t="n">
        <v>7109</v>
      </c>
      <c r="BB13" s="110" t="n">
        <v>36197</v>
      </c>
      <c r="BC13" s="110" t="n">
        <v>29263</v>
      </c>
      <c r="BD13" s="110" t="n">
        <v>6934</v>
      </c>
      <c r="BE13" s="110" t="n">
        <v>8219557.41</v>
      </c>
      <c r="BF13" s="110" t="n">
        <v>5614906.87</v>
      </c>
      <c r="BG13" s="110" t="n">
        <v>5405081.29</v>
      </c>
      <c r="BH13" s="110" t="n">
        <v>209825.58</v>
      </c>
      <c r="BI13" s="110" t="n">
        <v>2604650.54</v>
      </c>
      <c r="BJ13" s="110" t="n">
        <v>2358024.39</v>
      </c>
      <c r="BK13" s="110" t="n">
        <v>246626.15</v>
      </c>
      <c r="BL13" s="110" t="n">
        <v>1143116.37</v>
      </c>
      <c r="BM13" s="110" t="n">
        <v>853931.28</v>
      </c>
      <c r="BN13" s="110" t="n">
        <v>829512.52</v>
      </c>
      <c r="BO13" s="110" t="n">
        <v>24418.76</v>
      </c>
      <c r="BP13" s="110" t="n">
        <v>289185.09</v>
      </c>
      <c r="BQ13" s="110" t="n">
        <v>259394.57</v>
      </c>
      <c r="BR13" s="110" t="n">
        <v>29790.52</v>
      </c>
      <c r="BS13" s="110" t="n">
        <v>440973.24</v>
      </c>
      <c r="BT13" s="110" t="n">
        <v>260491.64</v>
      </c>
      <c r="BU13" s="110" t="n">
        <v>257267.82</v>
      </c>
      <c r="BV13" s="110" t="n">
        <v>3223.82</v>
      </c>
      <c r="BW13" s="110" t="n">
        <v>180481.6</v>
      </c>
      <c r="BX13" s="110" t="n">
        <v>174710.47</v>
      </c>
      <c r="BY13" s="110" t="n">
        <v>5771.13</v>
      </c>
      <c r="BZ13" s="110" t="n">
        <v>2844933</v>
      </c>
      <c r="CA13" s="110" t="n">
        <v>1783252</v>
      </c>
      <c r="CB13" s="110" t="n">
        <v>1745756</v>
      </c>
      <c r="CC13" s="110" t="n">
        <v>37496</v>
      </c>
      <c r="CD13" s="110" t="n">
        <v>1061681</v>
      </c>
      <c r="CE13" s="110" t="n">
        <v>979205</v>
      </c>
      <c r="CF13" s="110" t="n">
        <v>82476</v>
      </c>
      <c r="CG13" s="110" t="n">
        <v>3790534.8</v>
      </c>
      <c r="CH13" s="110" t="n">
        <v>2717231.95</v>
      </c>
      <c r="CI13" s="110" t="n">
        <v>2572544.95</v>
      </c>
      <c r="CJ13" s="110" t="n">
        <v>144687</v>
      </c>
      <c r="CK13" s="110" t="n">
        <v>1073302.85</v>
      </c>
      <c r="CL13" s="110" t="n">
        <v>944714.35</v>
      </c>
      <c r="CM13" s="110" t="n">
        <v>128588.5</v>
      </c>
      <c r="CN13" s="110" t="n">
        <v>0</v>
      </c>
      <c r="CO13" s="110" t="n">
        <v>5461475.56</v>
      </c>
      <c r="CP13" s="110" t="n">
        <v>735726.4</v>
      </c>
      <c r="CQ13" s="110" t="n">
        <v>21261.04</v>
      </c>
      <c r="CR13" s="110" t="n">
        <v>105270.66</v>
      </c>
      <c r="CS13" s="110" t="n">
        <v>0</v>
      </c>
      <c r="CT13" s="110" t="n">
        <v>0</v>
      </c>
      <c r="CU13" s="110" t="n">
        <v>0</v>
      </c>
      <c r="CV13" s="111" t="n">
        <v>15310</v>
      </c>
      <c r="CW13" s="111" t="n">
        <v>14028</v>
      </c>
      <c r="CX13" s="111" t="n">
        <v>13761</v>
      </c>
      <c r="CY13" s="111" t="n">
        <v>267</v>
      </c>
      <c r="CZ13" s="111" t="n">
        <v>1282</v>
      </c>
      <c r="DA13" s="111" t="n">
        <v>1032</v>
      </c>
      <c r="DB13" s="111" t="n">
        <v>250</v>
      </c>
      <c r="DC13" s="111" t="n">
        <v>13853</v>
      </c>
      <c r="DD13" s="111" t="n">
        <v>265</v>
      </c>
      <c r="DE13" s="111" t="n">
        <v>12753</v>
      </c>
      <c r="DF13" s="111" t="n">
        <v>12548</v>
      </c>
      <c r="DG13" s="111" t="n">
        <v>205</v>
      </c>
      <c r="DH13" s="111" t="n">
        <v>1100</v>
      </c>
      <c r="DI13" s="111" t="n">
        <v>892</v>
      </c>
      <c r="DJ13" s="111" t="n">
        <v>208</v>
      </c>
      <c r="DK13" s="111" t="n">
        <v>1078</v>
      </c>
      <c r="DL13" s="111" t="n">
        <v>928</v>
      </c>
      <c r="DM13" s="111" t="n">
        <v>902</v>
      </c>
      <c r="DN13" s="111" t="n">
        <v>26</v>
      </c>
      <c r="DO13" s="111" t="n">
        <v>150</v>
      </c>
      <c r="DP13" s="111" t="n">
        <v>120</v>
      </c>
      <c r="DQ13" s="111" t="n">
        <v>30</v>
      </c>
      <c r="DR13" s="111" t="n">
        <v>114</v>
      </c>
      <c r="DS13" s="111" t="n">
        <v>0</v>
      </c>
      <c r="DT13" s="111" t="n">
        <v>98</v>
      </c>
      <c r="DU13" s="111" t="n">
        <v>95</v>
      </c>
      <c r="DV13" s="111" t="n">
        <v>3</v>
      </c>
      <c r="DW13" s="111" t="n">
        <v>16</v>
      </c>
      <c r="DX13" s="111" t="n">
        <v>13</v>
      </c>
      <c r="DY13" s="111" t="n">
        <v>3</v>
      </c>
      <c r="DZ13" s="111" t="n">
        <v>0</v>
      </c>
      <c r="EA13" s="111" t="n">
        <v>0</v>
      </c>
      <c r="EB13" s="111" t="n">
        <v>0</v>
      </c>
      <c r="EC13" s="111" t="n">
        <v>0</v>
      </c>
      <c r="ED13" s="111" t="n">
        <v>0</v>
      </c>
      <c r="EE13" s="111" t="n">
        <v>0</v>
      </c>
      <c r="EF13" s="111" t="n">
        <v>0</v>
      </c>
      <c r="EG13" s="111" t="n">
        <v>362</v>
      </c>
      <c r="EH13" s="111" t="n">
        <v>234</v>
      </c>
      <c r="EI13" s="111" t="n">
        <v>220</v>
      </c>
      <c r="EJ13" s="111" t="n">
        <v>14</v>
      </c>
      <c r="EK13" s="111" t="n">
        <v>128</v>
      </c>
      <c r="EL13" s="111" t="n">
        <v>118</v>
      </c>
      <c r="EM13" s="111" t="n">
        <v>10</v>
      </c>
      <c r="EN13" s="111" t="n">
        <v>31</v>
      </c>
      <c r="EO13" s="111" t="n">
        <v>0</v>
      </c>
      <c r="EP13" s="111" t="n">
        <v>0</v>
      </c>
      <c r="EQ13" s="111" t="n">
        <v>31</v>
      </c>
      <c r="ER13" s="111" t="n">
        <v>0</v>
      </c>
      <c r="ES13" s="111" t="n">
        <v>0</v>
      </c>
      <c r="ET13" s="111" t="n">
        <v>0</v>
      </c>
      <c r="EU13" s="111" t="n">
        <v>0</v>
      </c>
      <c r="EV13" s="111" t="n">
        <v>0</v>
      </c>
      <c r="EW13" s="111" t="n">
        <v>0</v>
      </c>
      <c r="EX13" s="111" t="n">
        <v>0</v>
      </c>
      <c r="EY13" s="111" t="n">
        <v>0</v>
      </c>
      <c r="EZ13" s="111" t="n">
        <v>0</v>
      </c>
      <c r="FA13" s="111" t="n">
        <v>0</v>
      </c>
      <c r="FB13" s="111" t="n">
        <v>0</v>
      </c>
    </row>
    <row r="14" ht="19.5" customHeight="1" s="247">
      <c r="A14" s="107" t="n">
        <v>11</v>
      </c>
      <c r="B14" s="107" t="inlineStr">
        <is>
          <t>成人手术</t>
        </is>
      </c>
      <c r="C14" s="107" t="inlineStr">
        <is>
          <t>普外科</t>
        </is>
      </c>
      <c r="D14" s="110" t="n">
        <v>66427263.85</v>
      </c>
      <c r="E14" s="110" t="n">
        <v>11737950.5</v>
      </c>
      <c r="F14" s="110" t="n">
        <v>54689313.35</v>
      </c>
      <c r="G14" s="110" t="n">
        <v>52728</v>
      </c>
      <c r="H14" s="110" t="n">
        <v>5138</v>
      </c>
      <c r="I14" s="110" t="n">
        <v>818568.5</v>
      </c>
      <c r="J14" s="110" t="n">
        <v>617534</v>
      </c>
      <c r="K14" s="110" t="n">
        <v>298.5</v>
      </c>
      <c r="L14" s="110" t="n">
        <v>3316322.5</v>
      </c>
      <c r="M14" s="110" t="n">
        <v>15288027.85</v>
      </c>
      <c r="N14" s="110" t="n">
        <v>13785.65</v>
      </c>
      <c r="O14" s="110" t="n">
        <v>144096911.3</v>
      </c>
      <c r="P14" s="110" t="n">
        <v>98674684.06</v>
      </c>
      <c r="Q14" s="110" t="n">
        <v>96336868.72</v>
      </c>
      <c r="R14" s="110" t="n">
        <v>2337815.34</v>
      </c>
      <c r="S14" s="110" t="n">
        <v>45422227.24</v>
      </c>
      <c r="T14" s="110" t="n">
        <v>43487601.29</v>
      </c>
      <c r="U14" s="110" t="n">
        <v>1934625.95</v>
      </c>
      <c r="V14" s="110" t="n">
        <v>20311856.55</v>
      </c>
      <c r="W14" s="110" t="n">
        <v>16752204.91</v>
      </c>
      <c r="X14" s="110" t="n">
        <v>16081951.7</v>
      </c>
      <c r="Y14" s="110" t="n">
        <v>670253.21</v>
      </c>
      <c r="Z14" s="110" t="n">
        <v>3559651.64</v>
      </c>
      <c r="AA14" s="110" t="n">
        <v>2725059.29</v>
      </c>
      <c r="AB14" s="110" t="n">
        <v>834592.35</v>
      </c>
      <c r="AC14" s="110" t="n">
        <v>6133792.4</v>
      </c>
      <c r="AD14" s="110" t="n">
        <v>4988174.13</v>
      </c>
      <c r="AE14" s="110" t="n">
        <v>4854895.5</v>
      </c>
      <c r="AF14" s="110" t="n">
        <v>133278.63</v>
      </c>
      <c r="AG14" s="110" t="n">
        <v>1145618.27</v>
      </c>
      <c r="AH14" s="110" t="n">
        <v>980822.01</v>
      </c>
      <c r="AI14" s="110" t="n">
        <v>164796.26</v>
      </c>
      <c r="AJ14" s="110" t="n">
        <v>2440113.65</v>
      </c>
      <c r="AK14" s="110" t="n">
        <v>2184471.28</v>
      </c>
      <c r="AL14" s="110" t="n">
        <v>2114318.7</v>
      </c>
      <c r="AM14" s="110" t="n">
        <v>70152.58</v>
      </c>
      <c r="AN14" s="110" t="n">
        <v>255642.37</v>
      </c>
      <c r="AO14" s="110" t="n">
        <v>208863.28</v>
      </c>
      <c r="AP14" s="110" t="n">
        <v>46779.09</v>
      </c>
      <c r="AQ14" s="110" t="n">
        <v>8341775</v>
      </c>
      <c r="AR14" s="110" t="n">
        <v>6712462</v>
      </c>
      <c r="AS14" s="110" t="n">
        <v>6413607</v>
      </c>
      <c r="AT14" s="110" t="n">
        <v>298855</v>
      </c>
      <c r="AU14" s="110" t="n">
        <v>1629313</v>
      </c>
      <c r="AV14" s="110" t="n">
        <v>1178788</v>
      </c>
      <c r="AW14" s="110" t="n">
        <v>450525</v>
      </c>
      <c r="AX14" s="110" t="n">
        <v>3396175.5</v>
      </c>
      <c r="AY14" s="110" t="n">
        <v>2867097.5</v>
      </c>
      <c r="AZ14" s="110" t="n">
        <v>2699130.5</v>
      </c>
      <c r="BA14" s="110" t="n">
        <v>167967</v>
      </c>
      <c r="BB14" s="110" t="n">
        <v>529078</v>
      </c>
      <c r="BC14" s="110" t="n">
        <v>356586</v>
      </c>
      <c r="BD14" s="110" t="n">
        <v>172492</v>
      </c>
      <c r="BE14" s="110" t="n">
        <v>123785054.75</v>
      </c>
      <c r="BF14" s="110" t="n">
        <v>81922479.15000001</v>
      </c>
      <c r="BG14" s="110" t="n">
        <v>80254917.02</v>
      </c>
      <c r="BH14" s="110" t="n">
        <v>1667562.13</v>
      </c>
      <c r="BI14" s="110" t="n">
        <v>41862575.6</v>
      </c>
      <c r="BJ14" s="110" t="n">
        <v>40762542</v>
      </c>
      <c r="BK14" s="110" t="n">
        <v>1100033.6</v>
      </c>
      <c r="BL14" s="110" t="n">
        <v>22567286.31</v>
      </c>
      <c r="BM14" s="110" t="n">
        <v>14517112.28</v>
      </c>
      <c r="BN14" s="110" t="n">
        <v>14257029.76</v>
      </c>
      <c r="BO14" s="110" t="n">
        <v>260082.52</v>
      </c>
      <c r="BP14" s="110" t="n">
        <v>8050174.03</v>
      </c>
      <c r="BQ14" s="110" t="n">
        <v>7874281.33</v>
      </c>
      <c r="BR14" s="110" t="n">
        <v>175892.7</v>
      </c>
      <c r="BS14" s="110" t="n">
        <v>46528455.09</v>
      </c>
      <c r="BT14" s="110" t="n">
        <v>31361154.12</v>
      </c>
      <c r="BU14" s="110" t="n">
        <v>30836830.01</v>
      </c>
      <c r="BV14" s="110" t="n">
        <v>524324.11</v>
      </c>
      <c r="BW14" s="110" t="n">
        <v>15167300.97</v>
      </c>
      <c r="BX14" s="110" t="n">
        <v>14803668.57</v>
      </c>
      <c r="BY14" s="110" t="n">
        <v>363632.4</v>
      </c>
      <c r="BZ14" s="110" t="n">
        <v>20660492</v>
      </c>
      <c r="CA14" s="110" t="n">
        <v>12832701</v>
      </c>
      <c r="CB14" s="110" t="n">
        <v>12609398</v>
      </c>
      <c r="CC14" s="110" t="n">
        <v>223303</v>
      </c>
      <c r="CD14" s="110" t="n">
        <v>7827791</v>
      </c>
      <c r="CE14" s="110" t="n">
        <v>7629876</v>
      </c>
      <c r="CF14" s="110" t="n">
        <v>197915</v>
      </c>
      <c r="CG14" s="110" t="n">
        <v>34028821.35</v>
      </c>
      <c r="CH14" s="110" t="n">
        <v>23211511.75</v>
      </c>
      <c r="CI14" s="110" t="n">
        <v>22551659.25</v>
      </c>
      <c r="CJ14" s="110" t="n">
        <v>659852.5</v>
      </c>
      <c r="CK14" s="110" t="n">
        <v>10817309.6</v>
      </c>
      <c r="CL14" s="110" t="n">
        <v>10454716.1</v>
      </c>
      <c r="CM14" s="110" t="n">
        <v>362593.5</v>
      </c>
      <c r="CN14" s="110" t="n">
        <v>5464291.12</v>
      </c>
      <c r="CO14" s="110" t="n">
        <v>6672575.17</v>
      </c>
      <c r="CP14" s="110" t="n">
        <v>4916138.76</v>
      </c>
      <c r="CQ14" s="110" t="n">
        <v>2743296.23</v>
      </c>
      <c r="CR14" s="110" t="n">
        <v>512147.68</v>
      </c>
      <c r="CS14" s="110" t="n">
        <v>3432.59</v>
      </c>
      <c r="CT14" s="110" t="n">
        <v>970783.62</v>
      </c>
      <c r="CU14" s="110" t="n">
        <v>0</v>
      </c>
      <c r="CV14" s="111" t="n">
        <v>52728</v>
      </c>
      <c r="CW14" s="111" t="n">
        <v>44274</v>
      </c>
      <c r="CX14" s="111" t="n">
        <v>42123</v>
      </c>
      <c r="CY14" s="111" t="n">
        <v>2151</v>
      </c>
      <c r="CZ14" s="111" t="n">
        <v>8454</v>
      </c>
      <c r="DA14" s="111" t="n">
        <v>5935</v>
      </c>
      <c r="DB14" s="111" t="n">
        <v>2519</v>
      </c>
      <c r="DC14" s="111" t="n">
        <v>26228</v>
      </c>
      <c r="DD14" s="111" t="n">
        <v>127</v>
      </c>
      <c r="DE14" s="111" t="n">
        <v>22581</v>
      </c>
      <c r="DF14" s="111" t="n">
        <v>21412</v>
      </c>
      <c r="DG14" s="111" t="n">
        <v>1169</v>
      </c>
      <c r="DH14" s="111" t="n">
        <v>3647</v>
      </c>
      <c r="DI14" s="111" t="n">
        <v>2509</v>
      </c>
      <c r="DJ14" s="111" t="n">
        <v>1138</v>
      </c>
      <c r="DK14" s="111" t="n">
        <v>13446</v>
      </c>
      <c r="DL14" s="111" t="n">
        <v>10879</v>
      </c>
      <c r="DM14" s="111" t="n">
        <v>10424</v>
      </c>
      <c r="DN14" s="111" t="n">
        <v>455</v>
      </c>
      <c r="DO14" s="111" t="n">
        <v>2567</v>
      </c>
      <c r="DP14" s="111" t="n">
        <v>1820</v>
      </c>
      <c r="DQ14" s="111" t="n">
        <v>747</v>
      </c>
      <c r="DR14" s="111" t="n">
        <v>700</v>
      </c>
      <c r="DS14" s="111" t="n">
        <v>0</v>
      </c>
      <c r="DT14" s="111" t="n">
        <v>459</v>
      </c>
      <c r="DU14" s="111" t="n">
        <v>413</v>
      </c>
      <c r="DV14" s="111" t="n">
        <v>46</v>
      </c>
      <c r="DW14" s="111" t="n">
        <v>241</v>
      </c>
      <c r="DX14" s="111" t="n">
        <v>157</v>
      </c>
      <c r="DY14" s="111" t="n">
        <v>84</v>
      </c>
      <c r="DZ14" s="111" t="n">
        <v>12227</v>
      </c>
      <c r="EA14" s="111" t="n">
        <v>10240</v>
      </c>
      <c r="EB14" s="111" t="n">
        <v>9764</v>
      </c>
      <c r="EC14" s="111" t="n">
        <v>476</v>
      </c>
      <c r="ED14" s="111" t="n">
        <v>1987</v>
      </c>
      <c r="EE14" s="111" t="n">
        <v>1448</v>
      </c>
      <c r="EF14" s="111" t="n">
        <v>539</v>
      </c>
      <c r="EG14" s="111" t="n">
        <v>5138</v>
      </c>
      <c r="EH14" s="111" t="n">
        <v>3626</v>
      </c>
      <c r="EI14" s="111" t="n">
        <v>3548</v>
      </c>
      <c r="EJ14" s="111" t="n">
        <v>78</v>
      </c>
      <c r="EK14" s="111" t="n">
        <v>1512</v>
      </c>
      <c r="EL14" s="111" t="n">
        <v>1459</v>
      </c>
      <c r="EM14" s="111" t="n">
        <v>53</v>
      </c>
      <c r="EN14" s="111" t="n">
        <v>4542</v>
      </c>
      <c r="EO14" s="111" t="n">
        <v>3411</v>
      </c>
      <c r="EP14" s="111" t="n">
        <v>0</v>
      </c>
      <c r="EQ14" s="111" t="n">
        <v>1131</v>
      </c>
      <c r="ER14" s="111" t="n">
        <v>1765</v>
      </c>
      <c r="ES14" s="111" t="n">
        <v>0</v>
      </c>
      <c r="ET14" s="111" t="n">
        <v>3</v>
      </c>
      <c r="EU14" s="111" t="n">
        <v>1313</v>
      </c>
      <c r="EV14" s="111" t="n">
        <v>1049</v>
      </c>
      <c r="EW14" s="111" t="n">
        <v>0</v>
      </c>
      <c r="EX14" s="111" t="n">
        <v>264</v>
      </c>
      <c r="EY14" s="111" t="n">
        <v>874</v>
      </c>
      <c r="EZ14" s="111" t="n">
        <v>874</v>
      </c>
      <c r="FA14" s="111" t="n">
        <v>0</v>
      </c>
      <c r="FB14" s="111" t="n">
        <v>2069</v>
      </c>
    </row>
    <row r="15" ht="19.5" customHeight="1" s="247">
      <c r="A15" s="107" t="n">
        <v>12</v>
      </c>
      <c r="B15" s="107" t="inlineStr">
        <is>
          <t>成人手术</t>
        </is>
      </c>
      <c r="C15" s="107" t="inlineStr">
        <is>
          <t>神经外科</t>
        </is>
      </c>
      <c r="D15" s="110" t="n">
        <v>42346378.6</v>
      </c>
      <c r="E15" s="110" t="n">
        <v>2979683</v>
      </c>
      <c r="F15" s="110" t="n">
        <v>39366695.6</v>
      </c>
      <c r="G15" s="110" t="n">
        <v>13685</v>
      </c>
      <c r="H15" s="110" t="n">
        <v>2615</v>
      </c>
      <c r="I15" s="110" t="n">
        <v>3120</v>
      </c>
      <c r="J15" s="110" t="n">
        <v>126</v>
      </c>
      <c r="K15" s="110" t="n">
        <v>0</v>
      </c>
      <c r="L15" s="110" t="n">
        <v>2652390</v>
      </c>
      <c r="M15" s="110" t="n">
        <v>10812285.8</v>
      </c>
      <c r="N15" s="110" t="n">
        <v>0</v>
      </c>
      <c r="O15" s="110" t="n">
        <v>162517785.52</v>
      </c>
      <c r="P15" s="110" t="n">
        <v>92300995.3</v>
      </c>
      <c r="Q15" s="110" t="n">
        <v>89600741.98</v>
      </c>
      <c r="R15" s="110" t="n">
        <v>2700253.32</v>
      </c>
      <c r="S15" s="110" t="n">
        <v>70216790.22</v>
      </c>
      <c r="T15" s="110" t="n">
        <v>67098568.45</v>
      </c>
      <c r="U15" s="110" t="n">
        <v>3118221.77</v>
      </c>
      <c r="V15" s="110" t="n">
        <v>4426126.2</v>
      </c>
      <c r="W15" s="110" t="n">
        <v>3476773.89</v>
      </c>
      <c r="X15" s="110" t="n">
        <v>3222090.39</v>
      </c>
      <c r="Y15" s="110" t="n">
        <v>254683.5</v>
      </c>
      <c r="Z15" s="110" t="n">
        <v>949352.3100000001</v>
      </c>
      <c r="AA15" s="110" t="n">
        <v>561569.53</v>
      </c>
      <c r="AB15" s="110" t="n">
        <v>387782.78</v>
      </c>
      <c r="AC15" s="110" t="n">
        <v>1402724.2</v>
      </c>
      <c r="AD15" s="110" t="n">
        <v>1169132.89</v>
      </c>
      <c r="AE15" s="110" t="n">
        <v>1113498.39</v>
      </c>
      <c r="AF15" s="110" t="n">
        <v>55634.5</v>
      </c>
      <c r="AG15" s="110" t="n">
        <v>233591.31</v>
      </c>
      <c r="AH15" s="110" t="n">
        <v>165789.53</v>
      </c>
      <c r="AI15" s="110" t="n">
        <v>67801.78</v>
      </c>
      <c r="AJ15" s="110" t="n">
        <v>43719</v>
      </c>
      <c r="AK15" s="110" t="n">
        <v>35248</v>
      </c>
      <c r="AL15" s="110" t="n">
        <v>33313</v>
      </c>
      <c r="AM15" s="110" t="n">
        <v>1935</v>
      </c>
      <c r="AN15" s="110" t="n">
        <v>8471</v>
      </c>
      <c r="AO15" s="110" t="n">
        <v>4601</v>
      </c>
      <c r="AP15" s="110" t="n">
        <v>3870</v>
      </c>
      <c r="AQ15" s="110" t="n">
        <v>2447786</v>
      </c>
      <c r="AR15" s="110" t="n">
        <v>1917086</v>
      </c>
      <c r="AS15" s="110" t="n">
        <v>1753303</v>
      </c>
      <c r="AT15" s="110" t="n">
        <v>163783</v>
      </c>
      <c r="AU15" s="110" t="n">
        <v>530700</v>
      </c>
      <c r="AV15" s="110" t="n">
        <v>291933</v>
      </c>
      <c r="AW15" s="110" t="n">
        <v>238767</v>
      </c>
      <c r="AX15" s="110" t="n">
        <v>531897</v>
      </c>
      <c r="AY15" s="110" t="n">
        <v>355307</v>
      </c>
      <c r="AZ15" s="110" t="n">
        <v>321976</v>
      </c>
      <c r="BA15" s="110" t="n">
        <v>33331</v>
      </c>
      <c r="BB15" s="110" t="n">
        <v>176590</v>
      </c>
      <c r="BC15" s="110" t="n">
        <v>99246</v>
      </c>
      <c r="BD15" s="110" t="n">
        <v>77344</v>
      </c>
      <c r="BE15" s="110" t="n">
        <v>158091659.32</v>
      </c>
      <c r="BF15" s="110" t="n">
        <v>88824221.41</v>
      </c>
      <c r="BG15" s="110" t="n">
        <v>86378651.59</v>
      </c>
      <c r="BH15" s="110" t="n">
        <v>2445569.82</v>
      </c>
      <c r="BI15" s="110" t="n">
        <v>69267437.91</v>
      </c>
      <c r="BJ15" s="110" t="n">
        <v>66536998.92</v>
      </c>
      <c r="BK15" s="110" t="n">
        <v>2730438.99</v>
      </c>
      <c r="BL15" s="110" t="n">
        <v>17014165.67</v>
      </c>
      <c r="BM15" s="110" t="n">
        <v>9057349.49</v>
      </c>
      <c r="BN15" s="110" t="n">
        <v>8697732.07</v>
      </c>
      <c r="BO15" s="110" t="n">
        <v>359617.42</v>
      </c>
      <c r="BP15" s="110" t="n">
        <v>7956816.18</v>
      </c>
      <c r="BQ15" s="110" t="n">
        <v>7535407.46</v>
      </c>
      <c r="BR15" s="110" t="n">
        <v>421408.72</v>
      </c>
      <c r="BS15" s="110" t="n">
        <v>101710798.05</v>
      </c>
      <c r="BT15" s="110" t="n">
        <v>59880197.62</v>
      </c>
      <c r="BU15" s="110" t="n">
        <v>58653340.72</v>
      </c>
      <c r="BV15" s="110" t="n">
        <v>1226856.9</v>
      </c>
      <c r="BW15" s="110" t="n">
        <v>41830600.43</v>
      </c>
      <c r="BX15" s="110" t="n">
        <v>40490578.66</v>
      </c>
      <c r="BY15" s="110" t="n">
        <v>1340021.77</v>
      </c>
      <c r="BZ15" s="110" t="n">
        <v>15257469</v>
      </c>
      <c r="CA15" s="110" t="n">
        <v>7856015</v>
      </c>
      <c r="CB15" s="110" t="n">
        <v>7586669</v>
      </c>
      <c r="CC15" s="110" t="n">
        <v>269346</v>
      </c>
      <c r="CD15" s="110" t="n">
        <v>7401454</v>
      </c>
      <c r="CE15" s="110" t="n">
        <v>7107115</v>
      </c>
      <c r="CF15" s="110" t="n">
        <v>294339</v>
      </c>
      <c r="CG15" s="110" t="n">
        <v>24109226.6</v>
      </c>
      <c r="CH15" s="110" t="n">
        <v>12030659.3</v>
      </c>
      <c r="CI15" s="110" t="n">
        <v>11440909.8</v>
      </c>
      <c r="CJ15" s="110" t="n">
        <v>589749.5</v>
      </c>
      <c r="CK15" s="110" t="n">
        <v>12078567.3</v>
      </c>
      <c r="CL15" s="110" t="n">
        <v>11403897.8</v>
      </c>
      <c r="CM15" s="110" t="n">
        <v>674669.5</v>
      </c>
      <c r="CN15" s="110" t="n">
        <v>-25</v>
      </c>
      <c r="CO15" s="110" t="n">
        <v>2446471.31</v>
      </c>
      <c r="CP15" s="110" t="n">
        <v>1588274.57</v>
      </c>
      <c r="CQ15" s="110" t="n">
        <v>251574.71</v>
      </c>
      <c r="CR15" s="110" t="n">
        <v>139805.61</v>
      </c>
      <c r="CS15" s="110" t="n">
        <v>0</v>
      </c>
      <c r="CT15" s="110" t="n">
        <v>1292815.13</v>
      </c>
      <c r="CU15" s="110" t="n">
        <v>0</v>
      </c>
      <c r="CV15" s="111" t="n">
        <v>13685</v>
      </c>
      <c r="CW15" s="111" t="n">
        <v>10349</v>
      </c>
      <c r="CX15" s="111" t="n">
        <v>9438</v>
      </c>
      <c r="CY15" s="111" t="n">
        <v>911</v>
      </c>
      <c r="CZ15" s="111" t="n">
        <v>3336</v>
      </c>
      <c r="DA15" s="111" t="n">
        <v>1946</v>
      </c>
      <c r="DB15" s="111" t="n">
        <v>1390</v>
      </c>
      <c r="DC15" s="111" t="n">
        <v>7861</v>
      </c>
      <c r="DD15" s="111" t="n">
        <v>88</v>
      </c>
      <c r="DE15" s="111" t="n">
        <v>6458</v>
      </c>
      <c r="DF15" s="111" t="n">
        <v>5901</v>
      </c>
      <c r="DG15" s="111" t="n">
        <v>557</v>
      </c>
      <c r="DH15" s="111" t="n">
        <v>1403</v>
      </c>
      <c r="DI15" s="111" t="n">
        <v>826</v>
      </c>
      <c r="DJ15" s="111" t="n">
        <v>577</v>
      </c>
      <c r="DK15" s="111" t="n">
        <v>5450</v>
      </c>
      <c r="DL15" s="111" t="n">
        <v>3746</v>
      </c>
      <c r="DM15" s="111" t="n">
        <v>3409</v>
      </c>
      <c r="DN15" s="111" t="n">
        <v>337</v>
      </c>
      <c r="DO15" s="111" t="n">
        <v>1704</v>
      </c>
      <c r="DP15" s="111" t="n">
        <v>1003</v>
      </c>
      <c r="DQ15" s="111" t="n">
        <v>701</v>
      </c>
      <c r="DR15" s="111" t="n">
        <v>286</v>
      </c>
      <c r="DS15" s="111" t="n">
        <v>0</v>
      </c>
      <c r="DT15" s="111" t="n">
        <v>67</v>
      </c>
      <c r="DU15" s="111" t="n">
        <v>56</v>
      </c>
      <c r="DV15" s="111" t="n">
        <v>11</v>
      </c>
      <c r="DW15" s="111" t="n">
        <v>219</v>
      </c>
      <c r="DX15" s="111" t="n">
        <v>116</v>
      </c>
      <c r="DY15" s="111" t="n">
        <v>103</v>
      </c>
      <c r="DZ15" s="111" t="n">
        <v>0</v>
      </c>
      <c r="EA15" s="111" t="n">
        <v>0</v>
      </c>
      <c r="EB15" s="111" t="n">
        <v>0</v>
      </c>
      <c r="EC15" s="111" t="n">
        <v>0</v>
      </c>
      <c r="ED15" s="111" t="n">
        <v>0</v>
      </c>
      <c r="EE15" s="111" t="n">
        <v>0</v>
      </c>
      <c r="EF15" s="111" t="n">
        <v>0</v>
      </c>
      <c r="EG15" s="111" t="n">
        <v>2615</v>
      </c>
      <c r="EH15" s="111" t="n">
        <v>1454</v>
      </c>
      <c r="EI15" s="111" t="n">
        <v>1386</v>
      </c>
      <c r="EJ15" s="111" t="n">
        <v>68</v>
      </c>
      <c r="EK15" s="111" t="n">
        <v>1161</v>
      </c>
      <c r="EL15" s="111" t="n">
        <v>1102</v>
      </c>
      <c r="EM15" s="111" t="n">
        <v>59</v>
      </c>
      <c r="EN15" s="111" t="n">
        <v>2284</v>
      </c>
      <c r="EO15" s="111" t="n">
        <v>1050</v>
      </c>
      <c r="EP15" s="111" t="n">
        <v>690</v>
      </c>
      <c r="EQ15" s="111" t="n">
        <v>544</v>
      </c>
      <c r="ER15" s="111" t="n">
        <v>482</v>
      </c>
      <c r="ES15" s="111" t="n">
        <v>0</v>
      </c>
      <c r="ET15" s="111" t="n">
        <v>0</v>
      </c>
      <c r="EU15" s="111" t="n">
        <v>410</v>
      </c>
      <c r="EV15" s="111" t="n">
        <v>292</v>
      </c>
      <c r="EW15" s="111" t="n">
        <v>30</v>
      </c>
      <c r="EX15" s="111" t="n">
        <v>88</v>
      </c>
      <c r="EY15" s="111" t="n">
        <v>1251</v>
      </c>
      <c r="EZ15" s="111" t="n">
        <v>591</v>
      </c>
      <c r="FA15" s="111" t="n">
        <v>660</v>
      </c>
      <c r="FB15" s="111" t="n">
        <v>1042</v>
      </c>
    </row>
    <row r="16" ht="19.5" customHeight="1" s="247">
      <c r="A16" s="107" t="n">
        <v>13</v>
      </c>
      <c r="B16" s="107" t="inlineStr">
        <is>
          <t>成人手术</t>
        </is>
      </c>
      <c r="C16" s="107" t="inlineStr">
        <is>
          <t>骨科</t>
        </is>
      </c>
      <c r="D16" s="110" t="n">
        <v>64843675.98</v>
      </c>
      <c r="E16" s="110" t="n">
        <v>15005720</v>
      </c>
      <c r="F16" s="110" t="n">
        <v>49837955.98</v>
      </c>
      <c r="G16" s="110" t="n">
        <v>81418</v>
      </c>
      <c r="H16" s="110" t="n">
        <v>4177</v>
      </c>
      <c r="I16" s="110" t="n">
        <v>351189</v>
      </c>
      <c r="J16" s="110" t="n">
        <v>217639</v>
      </c>
      <c r="K16" s="110" t="n">
        <v>0</v>
      </c>
      <c r="L16" s="110" t="n">
        <v>3789167.28</v>
      </c>
      <c r="M16" s="110" t="n">
        <v>21796142.2</v>
      </c>
      <c r="N16" s="110" t="n">
        <v>0</v>
      </c>
      <c r="O16" s="110" t="n">
        <v>207540425.72</v>
      </c>
      <c r="P16" s="110" t="n">
        <v>156992260.51</v>
      </c>
      <c r="Q16" s="110" t="n">
        <v>126458199.63</v>
      </c>
      <c r="R16" s="110" t="n">
        <v>30534060.88</v>
      </c>
      <c r="S16" s="110" t="n">
        <v>50548165.21</v>
      </c>
      <c r="T16" s="110" t="n">
        <v>41211290.44</v>
      </c>
      <c r="U16" s="110" t="n">
        <v>9336874.77</v>
      </c>
      <c r="V16" s="110" t="n">
        <v>32582351.54</v>
      </c>
      <c r="W16" s="110" t="n">
        <v>28162739.61</v>
      </c>
      <c r="X16" s="110" t="n">
        <v>22687366.55</v>
      </c>
      <c r="Y16" s="110" t="n">
        <v>5475373.06</v>
      </c>
      <c r="Z16" s="110" t="n">
        <v>4419611.93</v>
      </c>
      <c r="AA16" s="110" t="n">
        <v>2042630</v>
      </c>
      <c r="AB16" s="110" t="n">
        <v>2376981.93</v>
      </c>
      <c r="AC16" s="110" t="n">
        <v>10338196.12</v>
      </c>
      <c r="AD16" s="110" t="n">
        <v>9120889.42</v>
      </c>
      <c r="AE16" s="110" t="n">
        <v>7976831.5</v>
      </c>
      <c r="AF16" s="110" t="n">
        <v>1144057.92</v>
      </c>
      <c r="AG16" s="110" t="n">
        <v>1217306.7</v>
      </c>
      <c r="AH16" s="110" t="n">
        <v>639966.53</v>
      </c>
      <c r="AI16" s="110" t="n">
        <v>577340.17</v>
      </c>
      <c r="AJ16" s="110" t="n">
        <v>7238435.42</v>
      </c>
      <c r="AK16" s="110" t="n">
        <v>6419764.69</v>
      </c>
      <c r="AL16" s="110" t="n">
        <v>4488968.55</v>
      </c>
      <c r="AM16" s="110" t="n">
        <v>1930796.14</v>
      </c>
      <c r="AN16" s="110" t="n">
        <v>818670.73</v>
      </c>
      <c r="AO16" s="110" t="n">
        <v>272505.47</v>
      </c>
      <c r="AP16" s="110" t="n">
        <v>546165.26</v>
      </c>
      <c r="AQ16" s="110" t="n">
        <v>11369661</v>
      </c>
      <c r="AR16" s="110" t="n">
        <v>9749946</v>
      </c>
      <c r="AS16" s="110" t="n">
        <v>7859626</v>
      </c>
      <c r="AT16" s="110" t="n">
        <v>1890320</v>
      </c>
      <c r="AU16" s="110" t="n">
        <v>1619715</v>
      </c>
      <c r="AV16" s="110" t="n">
        <v>755971</v>
      </c>
      <c r="AW16" s="110" t="n">
        <v>863744</v>
      </c>
      <c r="AX16" s="110" t="n">
        <v>3636059</v>
      </c>
      <c r="AY16" s="110" t="n">
        <v>2872139.5</v>
      </c>
      <c r="AZ16" s="110" t="n">
        <v>2361940.5</v>
      </c>
      <c r="BA16" s="110" t="n">
        <v>510199</v>
      </c>
      <c r="BB16" s="110" t="n">
        <v>763919.5</v>
      </c>
      <c r="BC16" s="110" t="n">
        <v>374187</v>
      </c>
      <c r="BD16" s="110" t="n">
        <v>389732.5</v>
      </c>
      <c r="BE16" s="110" t="n">
        <v>174958074.18</v>
      </c>
      <c r="BF16" s="110" t="n">
        <v>128829520.9</v>
      </c>
      <c r="BG16" s="110" t="n">
        <v>103770833.08</v>
      </c>
      <c r="BH16" s="110" t="n">
        <v>25058687.82</v>
      </c>
      <c r="BI16" s="110" t="n">
        <v>46128553.28</v>
      </c>
      <c r="BJ16" s="110" t="n">
        <v>39168660.44</v>
      </c>
      <c r="BK16" s="110" t="n">
        <v>6959892.84</v>
      </c>
      <c r="BL16" s="110" t="n">
        <v>15123962.38</v>
      </c>
      <c r="BM16" s="110" t="n">
        <v>10971533.69</v>
      </c>
      <c r="BN16" s="110" t="n">
        <v>8829147.99</v>
      </c>
      <c r="BO16" s="110" t="n">
        <v>2142385.7</v>
      </c>
      <c r="BP16" s="110" t="n">
        <v>4152428.69</v>
      </c>
      <c r="BQ16" s="110" t="n">
        <v>3523225.09</v>
      </c>
      <c r="BR16" s="110" t="n">
        <v>629203.6</v>
      </c>
      <c r="BS16" s="110" t="n">
        <v>109996155.82</v>
      </c>
      <c r="BT16" s="110" t="n">
        <v>81285141.59999999</v>
      </c>
      <c r="BU16" s="110" t="n">
        <v>64965269.9</v>
      </c>
      <c r="BV16" s="110" t="n">
        <v>16319871.7</v>
      </c>
      <c r="BW16" s="110" t="n">
        <v>28711014.22</v>
      </c>
      <c r="BX16" s="110" t="n">
        <v>24140629.98</v>
      </c>
      <c r="BY16" s="110" t="n">
        <v>4570384.24</v>
      </c>
      <c r="BZ16" s="110" t="n">
        <v>11126916</v>
      </c>
      <c r="CA16" s="110" t="n">
        <v>8152598</v>
      </c>
      <c r="CB16" s="110" t="n">
        <v>6701557</v>
      </c>
      <c r="CC16" s="110" t="n">
        <v>1451041</v>
      </c>
      <c r="CD16" s="110" t="n">
        <v>2974318</v>
      </c>
      <c r="CE16" s="110" t="n">
        <v>2561660</v>
      </c>
      <c r="CF16" s="110" t="n">
        <v>412658</v>
      </c>
      <c r="CG16" s="110" t="n">
        <v>38711039.98</v>
      </c>
      <c r="CH16" s="110" t="n">
        <v>28420247.61</v>
      </c>
      <c r="CI16" s="110" t="n">
        <v>23274858.19</v>
      </c>
      <c r="CJ16" s="110" t="n">
        <v>5145389.42</v>
      </c>
      <c r="CK16" s="110" t="n">
        <v>10290792.37</v>
      </c>
      <c r="CL16" s="110" t="n">
        <v>8943145.369999999</v>
      </c>
      <c r="CM16" s="110" t="n">
        <v>1347647</v>
      </c>
      <c r="CN16" s="110" t="n">
        <v>11720486.33</v>
      </c>
      <c r="CO16" s="110" t="n">
        <v>10114050.91</v>
      </c>
      <c r="CP16" s="110" t="n">
        <v>7175174.91</v>
      </c>
      <c r="CQ16" s="110" t="n">
        <v>2827403.66</v>
      </c>
      <c r="CR16" s="110" t="n">
        <v>744968.73</v>
      </c>
      <c r="CS16" s="110" t="n">
        <v>272</v>
      </c>
      <c r="CT16" s="110" t="n">
        <v>1294911.31</v>
      </c>
      <c r="CU16" s="110" t="n">
        <v>0</v>
      </c>
      <c r="CV16" s="111" t="n">
        <v>81418</v>
      </c>
      <c r="CW16" s="111" t="n">
        <v>68760</v>
      </c>
      <c r="CX16" s="111" t="n">
        <v>58060</v>
      </c>
      <c r="CY16" s="111" t="n">
        <v>10700</v>
      </c>
      <c r="CZ16" s="111" t="n">
        <v>12658</v>
      </c>
      <c r="DA16" s="111" t="n">
        <v>6196</v>
      </c>
      <c r="DB16" s="111" t="n">
        <v>6462</v>
      </c>
      <c r="DC16" s="111" t="n">
        <v>37189</v>
      </c>
      <c r="DD16" s="111" t="n">
        <v>116</v>
      </c>
      <c r="DE16" s="111" t="n">
        <v>32631</v>
      </c>
      <c r="DF16" s="111" t="n">
        <v>29226</v>
      </c>
      <c r="DG16" s="111" t="n">
        <v>3405</v>
      </c>
      <c r="DH16" s="111" t="n">
        <v>4558</v>
      </c>
      <c r="DI16" s="111" t="n">
        <v>2334</v>
      </c>
      <c r="DJ16" s="111" t="n">
        <v>2224</v>
      </c>
      <c r="DK16" s="111" t="n">
        <v>27060</v>
      </c>
      <c r="DL16" s="111" t="n">
        <v>22352</v>
      </c>
      <c r="DM16" s="111" t="n">
        <v>19592</v>
      </c>
      <c r="DN16" s="111" t="n">
        <v>2760</v>
      </c>
      <c r="DO16" s="111" t="n">
        <v>4708</v>
      </c>
      <c r="DP16" s="111" t="n">
        <v>2699</v>
      </c>
      <c r="DQ16" s="111" t="n">
        <v>2009</v>
      </c>
      <c r="DR16" s="111" t="n">
        <v>1501</v>
      </c>
      <c r="DS16" s="111" t="n">
        <v>0</v>
      </c>
      <c r="DT16" s="111" t="n">
        <v>726</v>
      </c>
      <c r="DU16" s="111" t="n">
        <v>590</v>
      </c>
      <c r="DV16" s="111" t="n">
        <v>136</v>
      </c>
      <c r="DW16" s="111" t="n">
        <v>775</v>
      </c>
      <c r="DX16" s="111" t="n">
        <v>383</v>
      </c>
      <c r="DY16" s="111" t="n">
        <v>392</v>
      </c>
      <c r="DZ16" s="111" t="n">
        <v>15552</v>
      </c>
      <c r="EA16" s="111" t="n">
        <v>12937</v>
      </c>
      <c r="EB16" s="111" t="n">
        <v>8538</v>
      </c>
      <c r="EC16" s="111" t="n">
        <v>4399</v>
      </c>
      <c r="ED16" s="111" t="n">
        <v>2615</v>
      </c>
      <c r="EE16" s="111" t="n">
        <v>779</v>
      </c>
      <c r="EF16" s="111" t="n">
        <v>1836</v>
      </c>
      <c r="EG16" s="111" t="n">
        <v>4177</v>
      </c>
      <c r="EH16" s="111" t="n">
        <v>3153</v>
      </c>
      <c r="EI16" s="111" t="n">
        <v>2603</v>
      </c>
      <c r="EJ16" s="111" t="n">
        <v>550</v>
      </c>
      <c r="EK16" s="111" t="n">
        <v>1024</v>
      </c>
      <c r="EL16" s="111" t="n">
        <v>864</v>
      </c>
      <c r="EM16" s="111" t="n">
        <v>160</v>
      </c>
      <c r="EN16" s="111" t="n">
        <v>3895</v>
      </c>
      <c r="EO16" s="111" t="n">
        <v>3568</v>
      </c>
      <c r="EP16" s="111" t="n">
        <v>0</v>
      </c>
      <c r="EQ16" s="111" t="n">
        <v>327</v>
      </c>
      <c r="ER16" s="111" t="n">
        <v>1212</v>
      </c>
      <c r="ES16" s="111" t="n">
        <v>0</v>
      </c>
      <c r="ET16" s="111" t="n">
        <v>0</v>
      </c>
      <c r="EU16" s="111" t="n">
        <v>1238</v>
      </c>
      <c r="EV16" s="111" t="n">
        <v>1238</v>
      </c>
      <c r="EW16" s="111" t="n">
        <v>0</v>
      </c>
      <c r="EX16" s="111" t="n">
        <v>0</v>
      </c>
      <c r="EY16" s="111" t="n">
        <v>1057</v>
      </c>
      <c r="EZ16" s="111" t="n">
        <v>1057</v>
      </c>
      <c r="FA16" s="111" t="n">
        <v>0</v>
      </c>
      <c r="FB16" s="111" t="n">
        <v>1758</v>
      </c>
    </row>
    <row r="17" ht="19.5" customHeight="1" s="247">
      <c r="A17" s="107" t="n">
        <v>14</v>
      </c>
      <c r="B17" s="107" t="inlineStr">
        <is>
          <t>成人手术</t>
        </is>
      </c>
      <c r="C17" s="107" t="inlineStr">
        <is>
          <t>泌尿外科</t>
        </is>
      </c>
      <c r="D17" s="110" t="n">
        <v>52315725.09</v>
      </c>
      <c r="E17" s="110" t="n">
        <v>8306516</v>
      </c>
      <c r="F17" s="110" t="n">
        <v>44009209.09</v>
      </c>
      <c r="G17" s="110" t="n">
        <v>45016</v>
      </c>
      <c r="H17" s="110" t="n">
        <v>3363</v>
      </c>
      <c r="I17" s="110" t="n">
        <v>544280</v>
      </c>
      <c r="J17" s="110" t="n">
        <v>29046</v>
      </c>
      <c r="K17" s="110" t="n">
        <v>0</v>
      </c>
      <c r="L17" s="110" t="n">
        <v>6326387.44</v>
      </c>
      <c r="M17" s="110" t="n">
        <v>17161522.65</v>
      </c>
      <c r="N17" s="110" t="n">
        <v>542.3</v>
      </c>
      <c r="O17" s="110" t="n">
        <v>112070246.43</v>
      </c>
      <c r="P17" s="110" t="n">
        <v>74410569.48999999</v>
      </c>
      <c r="Q17" s="110" t="n">
        <v>72542595.72</v>
      </c>
      <c r="R17" s="110" t="n">
        <v>1867973.77</v>
      </c>
      <c r="S17" s="110" t="n">
        <v>37659676.94</v>
      </c>
      <c r="T17" s="110" t="n">
        <v>35929342.71</v>
      </c>
      <c r="U17" s="110" t="n">
        <v>1730334.23</v>
      </c>
      <c r="V17" s="110" t="n">
        <v>34635987.85</v>
      </c>
      <c r="W17" s="110" t="n">
        <v>28079883.1</v>
      </c>
      <c r="X17" s="110" t="n">
        <v>27522160.02</v>
      </c>
      <c r="Y17" s="110" t="n">
        <v>557723.08</v>
      </c>
      <c r="Z17" s="110" t="n">
        <v>6556104.75</v>
      </c>
      <c r="AA17" s="110" t="n">
        <v>5583499.09</v>
      </c>
      <c r="AB17" s="110" t="n">
        <v>972605.66</v>
      </c>
      <c r="AC17" s="110" t="n">
        <v>24982195.71</v>
      </c>
      <c r="AD17" s="110" t="n">
        <v>20390413.46</v>
      </c>
      <c r="AE17" s="110" t="n">
        <v>20188315.47</v>
      </c>
      <c r="AF17" s="110" t="n">
        <v>202097.99</v>
      </c>
      <c r="AG17" s="110" t="n">
        <v>4591782.25</v>
      </c>
      <c r="AH17" s="110" t="n">
        <v>4118306.25</v>
      </c>
      <c r="AI17" s="110" t="n">
        <v>473476</v>
      </c>
      <c r="AJ17" s="110" t="n">
        <v>1347276.14</v>
      </c>
      <c r="AK17" s="110" t="n">
        <v>1159655.64</v>
      </c>
      <c r="AL17" s="110" t="n">
        <v>1112106.55</v>
      </c>
      <c r="AM17" s="110" t="n">
        <v>47549.09</v>
      </c>
      <c r="AN17" s="110" t="n">
        <v>187620.5</v>
      </c>
      <c r="AO17" s="110" t="n">
        <v>156347.84</v>
      </c>
      <c r="AP17" s="110" t="n">
        <v>31272.66</v>
      </c>
      <c r="AQ17" s="110" t="n">
        <v>5819514</v>
      </c>
      <c r="AR17" s="110" t="n">
        <v>4577600</v>
      </c>
      <c r="AS17" s="110" t="n">
        <v>4384340</v>
      </c>
      <c r="AT17" s="110" t="n">
        <v>193260</v>
      </c>
      <c r="AU17" s="110" t="n">
        <v>1241914</v>
      </c>
      <c r="AV17" s="110" t="n">
        <v>924770</v>
      </c>
      <c r="AW17" s="110" t="n">
        <v>317144</v>
      </c>
      <c r="AX17" s="110" t="n">
        <v>2487002</v>
      </c>
      <c r="AY17" s="110" t="n">
        <v>1952214</v>
      </c>
      <c r="AZ17" s="110" t="n">
        <v>1837398</v>
      </c>
      <c r="BA17" s="110" t="n">
        <v>114816</v>
      </c>
      <c r="BB17" s="110" t="n">
        <v>534788</v>
      </c>
      <c r="BC17" s="110" t="n">
        <v>384075</v>
      </c>
      <c r="BD17" s="110" t="n">
        <v>150713</v>
      </c>
      <c r="BE17" s="110" t="n">
        <v>77434258.58</v>
      </c>
      <c r="BF17" s="110" t="n">
        <v>46330686.39</v>
      </c>
      <c r="BG17" s="110" t="n">
        <v>45020435.7</v>
      </c>
      <c r="BH17" s="110" t="n">
        <v>1310250.69</v>
      </c>
      <c r="BI17" s="110" t="n">
        <v>31103572.19</v>
      </c>
      <c r="BJ17" s="110" t="n">
        <v>30345843.62</v>
      </c>
      <c r="BK17" s="110" t="n">
        <v>757728.5699999999</v>
      </c>
      <c r="BL17" s="110" t="n">
        <v>9852245.220000001</v>
      </c>
      <c r="BM17" s="110" t="n">
        <v>6049207.7</v>
      </c>
      <c r="BN17" s="110" t="n">
        <v>5966265.98</v>
      </c>
      <c r="BO17" s="110" t="n">
        <v>82941.72</v>
      </c>
      <c r="BP17" s="110" t="n">
        <v>3803037.52</v>
      </c>
      <c r="BQ17" s="110" t="n">
        <v>3712913.71</v>
      </c>
      <c r="BR17" s="110" t="n">
        <v>90123.81</v>
      </c>
      <c r="BS17" s="110" t="n">
        <v>23572804.27</v>
      </c>
      <c r="BT17" s="110" t="n">
        <v>14964662.5</v>
      </c>
      <c r="BU17" s="110" t="n">
        <v>14392199.53</v>
      </c>
      <c r="BV17" s="110" t="n">
        <v>572462.97</v>
      </c>
      <c r="BW17" s="110" t="n">
        <v>8608141.77</v>
      </c>
      <c r="BX17" s="110" t="n">
        <v>8372612.51</v>
      </c>
      <c r="BY17" s="110" t="n">
        <v>235529.26</v>
      </c>
      <c r="BZ17" s="110" t="n">
        <v>13191629</v>
      </c>
      <c r="CA17" s="110" t="n">
        <v>8052761</v>
      </c>
      <c r="CB17" s="110" t="n">
        <v>7924026</v>
      </c>
      <c r="CC17" s="110" t="n">
        <v>128735</v>
      </c>
      <c r="CD17" s="110" t="n">
        <v>5138868</v>
      </c>
      <c r="CE17" s="110" t="n">
        <v>5008886</v>
      </c>
      <c r="CF17" s="110" t="n">
        <v>129982</v>
      </c>
      <c r="CG17" s="110" t="n">
        <v>30817580.09</v>
      </c>
      <c r="CH17" s="110" t="n">
        <v>17264055.19</v>
      </c>
      <c r="CI17" s="110" t="n">
        <v>16737944.19</v>
      </c>
      <c r="CJ17" s="110" t="n">
        <v>526111</v>
      </c>
      <c r="CK17" s="110" t="n">
        <v>13553524.9</v>
      </c>
      <c r="CL17" s="110" t="n">
        <v>13251431.4</v>
      </c>
      <c r="CM17" s="110" t="n">
        <v>302093.5</v>
      </c>
      <c r="CN17" s="110" t="n">
        <v>917730.0699999999</v>
      </c>
      <c r="CO17" s="110" t="n">
        <v>10036012.14</v>
      </c>
      <c r="CP17" s="110" t="n">
        <v>19844148.82</v>
      </c>
      <c r="CQ17" s="110" t="n">
        <v>337032.37</v>
      </c>
      <c r="CR17" s="110" t="n">
        <v>3489615.45</v>
      </c>
      <c r="CS17" s="110" t="n">
        <v>11424</v>
      </c>
      <c r="CT17" s="110" t="n">
        <v>1159236.45</v>
      </c>
      <c r="CU17" s="110" t="n">
        <v>0</v>
      </c>
      <c r="CV17" s="111" t="n">
        <v>45016</v>
      </c>
      <c r="CW17" s="111" t="n">
        <v>38134</v>
      </c>
      <c r="CX17" s="111" t="n">
        <v>36557</v>
      </c>
      <c r="CY17" s="111" t="n">
        <v>1577</v>
      </c>
      <c r="CZ17" s="111" t="n">
        <v>6882</v>
      </c>
      <c r="DA17" s="111" t="n">
        <v>4844</v>
      </c>
      <c r="DB17" s="111" t="n">
        <v>2038</v>
      </c>
      <c r="DC17" s="111" t="n">
        <v>22330</v>
      </c>
      <c r="DD17" s="111" t="n">
        <v>144</v>
      </c>
      <c r="DE17" s="111" t="n">
        <v>19655</v>
      </c>
      <c r="DF17" s="111" t="n">
        <v>18915</v>
      </c>
      <c r="DG17" s="111" t="n">
        <v>740</v>
      </c>
      <c r="DH17" s="111" t="n">
        <v>2675</v>
      </c>
      <c r="DI17" s="111" t="n">
        <v>1845</v>
      </c>
      <c r="DJ17" s="111" t="n">
        <v>830</v>
      </c>
      <c r="DK17" s="111" t="n">
        <v>18395</v>
      </c>
      <c r="DL17" s="111" t="n">
        <v>15424</v>
      </c>
      <c r="DM17" s="111" t="n">
        <v>14848</v>
      </c>
      <c r="DN17" s="111" t="n">
        <v>576</v>
      </c>
      <c r="DO17" s="111" t="n">
        <v>2971</v>
      </c>
      <c r="DP17" s="111" t="n">
        <v>2181</v>
      </c>
      <c r="DQ17" s="111" t="n">
        <v>790</v>
      </c>
      <c r="DR17" s="111" t="n">
        <v>1690</v>
      </c>
      <c r="DS17" s="111" t="n">
        <v>0</v>
      </c>
      <c r="DT17" s="111" t="n">
        <v>843</v>
      </c>
      <c r="DU17" s="111" t="n">
        <v>774</v>
      </c>
      <c r="DV17" s="111" t="n">
        <v>69</v>
      </c>
      <c r="DW17" s="111" t="n">
        <v>847</v>
      </c>
      <c r="DX17" s="111" t="n">
        <v>602</v>
      </c>
      <c r="DY17" s="111" t="n">
        <v>245</v>
      </c>
      <c r="DZ17" s="111" t="n">
        <v>2457</v>
      </c>
      <c r="EA17" s="111" t="n">
        <v>2072</v>
      </c>
      <c r="EB17" s="111" t="n">
        <v>1884</v>
      </c>
      <c r="EC17" s="111" t="n">
        <v>188</v>
      </c>
      <c r="ED17" s="111" t="n">
        <v>385</v>
      </c>
      <c r="EE17" s="111" t="n">
        <v>214</v>
      </c>
      <c r="EF17" s="111" t="n">
        <v>171</v>
      </c>
      <c r="EG17" s="111" t="n">
        <v>3363</v>
      </c>
      <c r="EH17" s="111" t="n">
        <v>2281</v>
      </c>
      <c r="EI17" s="111" t="n">
        <v>2179</v>
      </c>
      <c r="EJ17" s="111" t="n">
        <v>102</v>
      </c>
      <c r="EK17" s="111" t="n">
        <v>1082</v>
      </c>
      <c r="EL17" s="111" t="n">
        <v>1038</v>
      </c>
      <c r="EM17" s="111" t="n">
        <v>44</v>
      </c>
      <c r="EN17" s="111" t="n">
        <v>3231</v>
      </c>
      <c r="EO17" s="111" t="n">
        <v>2416</v>
      </c>
      <c r="EP17" s="111" t="n">
        <v>0</v>
      </c>
      <c r="EQ17" s="111" t="n">
        <v>815</v>
      </c>
      <c r="ER17" s="111" t="n">
        <v>653</v>
      </c>
      <c r="ES17" s="111" t="n">
        <v>0</v>
      </c>
      <c r="ET17" s="111" t="n">
        <v>0</v>
      </c>
      <c r="EU17" s="111" t="n">
        <v>1375</v>
      </c>
      <c r="EV17" s="111" t="n">
        <v>1375</v>
      </c>
      <c r="EW17" s="111" t="n">
        <v>0</v>
      </c>
      <c r="EX17" s="111" t="n">
        <v>0</v>
      </c>
      <c r="EY17" s="111" t="n">
        <v>725</v>
      </c>
      <c r="EZ17" s="111" t="n">
        <v>725</v>
      </c>
      <c r="FA17" s="111" t="n">
        <v>0</v>
      </c>
      <c r="FB17" s="111" t="n">
        <v>1302</v>
      </c>
    </row>
    <row r="18" ht="19.5" customHeight="1" s="247">
      <c r="A18" s="107" t="n">
        <v>15</v>
      </c>
      <c r="B18" s="107" t="inlineStr">
        <is>
          <t>成人手术</t>
        </is>
      </c>
      <c r="C18" s="107" t="inlineStr">
        <is>
          <t>心胸外科</t>
        </is>
      </c>
      <c r="D18" s="110" t="n">
        <v>45121553.27</v>
      </c>
      <c r="E18" s="110" t="n">
        <v>3803000</v>
      </c>
      <c r="F18" s="110" t="n">
        <v>41318553.27</v>
      </c>
      <c r="G18" s="110" t="n">
        <v>15125</v>
      </c>
      <c r="H18" s="110" t="n">
        <v>1619</v>
      </c>
      <c r="I18" s="110" t="n">
        <v>9864</v>
      </c>
      <c r="J18" s="110" t="n">
        <v>758</v>
      </c>
      <c r="K18" s="110" t="n">
        <v>0</v>
      </c>
      <c r="L18" s="110" t="n">
        <v>3446012.37</v>
      </c>
      <c r="M18" s="110" t="n">
        <v>13947536</v>
      </c>
      <c r="N18" s="110" t="n">
        <v>74</v>
      </c>
      <c r="O18" s="110" t="n">
        <v>121865642.82</v>
      </c>
      <c r="P18" s="110" t="n">
        <v>49053584.63</v>
      </c>
      <c r="Q18" s="110" t="n">
        <v>47214050.83</v>
      </c>
      <c r="R18" s="110" t="n">
        <v>1839533.8</v>
      </c>
      <c r="S18" s="110" t="n">
        <v>72812058.19</v>
      </c>
      <c r="T18" s="110" t="n">
        <v>70924717.39</v>
      </c>
      <c r="U18" s="110" t="n">
        <v>1887340.8</v>
      </c>
      <c r="V18" s="110" t="n">
        <v>5350609.36</v>
      </c>
      <c r="W18" s="110" t="n">
        <v>3569042.03</v>
      </c>
      <c r="X18" s="110" t="n">
        <v>3266988.03</v>
      </c>
      <c r="Y18" s="110" t="n">
        <v>302054</v>
      </c>
      <c r="Z18" s="110" t="n">
        <v>1781567.33</v>
      </c>
      <c r="AA18" s="110" t="n">
        <v>1082193.99</v>
      </c>
      <c r="AB18" s="110" t="n">
        <v>699373.34</v>
      </c>
      <c r="AC18" s="110" t="n">
        <v>1520110.06</v>
      </c>
      <c r="AD18" s="110" t="n">
        <v>1174527.47</v>
      </c>
      <c r="AE18" s="110" t="n">
        <v>1107844.57</v>
      </c>
      <c r="AF18" s="110" t="n">
        <v>66682.89999999999</v>
      </c>
      <c r="AG18" s="110" t="n">
        <v>345582.59</v>
      </c>
      <c r="AH18" s="110" t="n">
        <v>238771.71</v>
      </c>
      <c r="AI18" s="110" t="n">
        <v>106810.88</v>
      </c>
      <c r="AJ18" s="110" t="n">
        <v>27499.3</v>
      </c>
      <c r="AK18" s="110" t="n">
        <v>18329.56</v>
      </c>
      <c r="AL18" s="110" t="n">
        <v>16823.46</v>
      </c>
      <c r="AM18" s="110" t="n">
        <v>1506.1</v>
      </c>
      <c r="AN18" s="110" t="n">
        <v>9169.74</v>
      </c>
      <c r="AO18" s="110" t="n">
        <v>5305.28</v>
      </c>
      <c r="AP18" s="110" t="n">
        <v>3864.46</v>
      </c>
      <c r="AQ18" s="110" t="n">
        <v>3130204</v>
      </c>
      <c r="AR18" s="110" t="n">
        <v>1952347</v>
      </c>
      <c r="AS18" s="110" t="n">
        <v>1762008</v>
      </c>
      <c r="AT18" s="110" t="n">
        <v>190339</v>
      </c>
      <c r="AU18" s="110" t="n">
        <v>1177857</v>
      </c>
      <c r="AV18" s="110" t="n">
        <v>695942</v>
      </c>
      <c r="AW18" s="110" t="n">
        <v>481915</v>
      </c>
      <c r="AX18" s="110" t="n">
        <v>672796</v>
      </c>
      <c r="AY18" s="110" t="n">
        <v>423838</v>
      </c>
      <c r="AZ18" s="110" t="n">
        <v>380312</v>
      </c>
      <c r="BA18" s="110" t="n">
        <v>43526</v>
      </c>
      <c r="BB18" s="110" t="n">
        <v>248958</v>
      </c>
      <c r="BC18" s="110" t="n">
        <v>142175</v>
      </c>
      <c r="BD18" s="110" t="n">
        <v>106783</v>
      </c>
      <c r="BE18" s="110" t="n">
        <v>116515033.46</v>
      </c>
      <c r="BF18" s="110" t="n">
        <v>45484542.6</v>
      </c>
      <c r="BG18" s="110" t="n">
        <v>43947062.8</v>
      </c>
      <c r="BH18" s="110" t="n">
        <v>1537479.8</v>
      </c>
      <c r="BI18" s="110" t="n">
        <v>71030490.86</v>
      </c>
      <c r="BJ18" s="110" t="n">
        <v>69842523.40000001</v>
      </c>
      <c r="BK18" s="110" t="n">
        <v>1187967.46</v>
      </c>
      <c r="BL18" s="110" t="n">
        <v>17970486.4</v>
      </c>
      <c r="BM18" s="110" t="n">
        <v>6619871.66</v>
      </c>
      <c r="BN18" s="110" t="n">
        <v>6411769.32</v>
      </c>
      <c r="BO18" s="110" t="n">
        <v>208102.34</v>
      </c>
      <c r="BP18" s="110" t="n">
        <v>11350614.74</v>
      </c>
      <c r="BQ18" s="110" t="n">
        <v>11167391.63</v>
      </c>
      <c r="BR18" s="110" t="n">
        <v>183223.11</v>
      </c>
      <c r="BS18" s="110" t="n">
        <v>57225993.79</v>
      </c>
      <c r="BT18" s="110" t="n">
        <v>23238122.59</v>
      </c>
      <c r="BU18" s="110" t="n">
        <v>22363966.08</v>
      </c>
      <c r="BV18" s="110" t="n">
        <v>874156.51</v>
      </c>
      <c r="BW18" s="110" t="n">
        <v>33987871.2</v>
      </c>
      <c r="BX18" s="110" t="n">
        <v>33427654.85</v>
      </c>
      <c r="BY18" s="110" t="n">
        <v>560216.35</v>
      </c>
      <c r="BZ18" s="110" t="n">
        <v>14114852.7</v>
      </c>
      <c r="CA18" s="110" t="n">
        <v>5140508</v>
      </c>
      <c r="CB18" s="110" t="n">
        <v>4993239.5</v>
      </c>
      <c r="CC18" s="110" t="n">
        <v>147268.5</v>
      </c>
      <c r="CD18" s="110" t="n">
        <v>8974344.699999999</v>
      </c>
      <c r="CE18" s="110" t="n">
        <v>8798251.699999999</v>
      </c>
      <c r="CF18" s="110" t="n">
        <v>176093</v>
      </c>
      <c r="CG18" s="110" t="n">
        <v>27203700.57</v>
      </c>
      <c r="CH18" s="110" t="n">
        <v>10486040.35</v>
      </c>
      <c r="CI18" s="110" t="n">
        <v>10178087.9</v>
      </c>
      <c r="CJ18" s="110" t="n">
        <v>307952.45</v>
      </c>
      <c r="CK18" s="110" t="n">
        <v>16717660.22</v>
      </c>
      <c r="CL18" s="110" t="n">
        <v>16449225.22</v>
      </c>
      <c r="CM18" s="110" t="n">
        <v>268435</v>
      </c>
      <c r="CN18" s="110" t="n">
        <v>0</v>
      </c>
      <c r="CO18" s="110" t="n">
        <v>1169174.32</v>
      </c>
      <c r="CP18" s="110" t="n">
        <v>3923631.72</v>
      </c>
      <c r="CQ18" s="110" t="n">
        <v>149843.17</v>
      </c>
      <c r="CR18" s="110" t="n">
        <v>94459.14999999999</v>
      </c>
      <c r="CS18" s="110" t="n">
        <v>13501</v>
      </c>
      <c r="CT18" s="110" t="n">
        <v>0</v>
      </c>
      <c r="CU18" s="110" t="n">
        <v>0</v>
      </c>
      <c r="CV18" s="111" t="n">
        <v>15125</v>
      </c>
      <c r="CW18" s="111" t="n">
        <v>10154</v>
      </c>
      <c r="CX18" s="111" t="n">
        <v>9158</v>
      </c>
      <c r="CY18" s="111" t="n">
        <v>996</v>
      </c>
      <c r="CZ18" s="111" t="n">
        <v>4971</v>
      </c>
      <c r="DA18" s="111" t="n">
        <v>2851</v>
      </c>
      <c r="DB18" s="111" t="n">
        <v>2120</v>
      </c>
      <c r="DC18" s="111" t="n">
        <v>4249</v>
      </c>
      <c r="DD18" s="111" t="n">
        <v>17</v>
      </c>
      <c r="DE18" s="111" t="n">
        <v>3160</v>
      </c>
      <c r="DF18" s="111" t="n">
        <v>2870</v>
      </c>
      <c r="DG18" s="111" t="n">
        <v>290</v>
      </c>
      <c r="DH18" s="111" t="n">
        <v>1089</v>
      </c>
      <c r="DI18" s="111" t="n">
        <v>611</v>
      </c>
      <c r="DJ18" s="111" t="n">
        <v>478</v>
      </c>
      <c r="DK18" s="111" t="n">
        <v>10594</v>
      </c>
      <c r="DL18" s="111" t="n">
        <v>6912</v>
      </c>
      <c r="DM18" s="111" t="n">
        <v>6227</v>
      </c>
      <c r="DN18" s="111" t="n">
        <v>685</v>
      </c>
      <c r="DO18" s="111" t="n">
        <v>3682</v>
      </c>
      <c r="DP18" s="111" t="n">
        <v>2158</v>
      </c>
      <c r="DQ18" s="111" t="n">
        <v>1524</v>
      </c>
      <c r="DR18" s="111" t="n">
        <v>229</v>
      </c>
      <c r="DS18" s="111" t="n">
        <v>36</v>
      </c>
      <c r="DT18" s="111" t="n">
        <v>65</v>
      </c>
      <c r="DU18" s="111" t="n">
        <v>50</v>
      </c>
      <c r="DV18" s="111" t="n">
        <v>15</v>
      </c>
      <c r="DW18" s="111" t="n">
        <v>164</v>
      </c>
      <c r="DX18" s="111" t="n">
        <v>81</v>
      </c>
      <c r="DY18" s="111" t="n">
        <v>83</v>
      </c>
      <c r="DZ18" s="111" t="n">
        <v>0</v>
      </c>
      <c r="EA18" s="111" t="n">
        <v>0</v>
      </c>
      <c r="EB18" s="111" t="n">
        <v>0</v>
      </c>
      <c r="EC18" s="111" t="n">
        <v>0</v>
      </c>
      <c r="ED18" s="111" t="n">
        <v>0</v>
      </c>
      <c r="EE18" s="111" t="n">
        <v>0</v>
      </c>
      <c r="EF18" s="111" t="n">
        <v>0</v>
      </c>
      <c r="EG18" s="111" t="n">
        <v>1619</v>
      </c>
      <c r="EH18" s="111" t="n">
        <v>629</v>
      </c>
      <c r="EI18" s="111" t="n">
        <v>603</v>
      </c>
      <c r="EJ18" s="111" t="n">
        <v>26</v>
      </c>
      <c r="EK18" s="111" t="n">
        <v>990</v>
      </c>
      <c r="EL18" s="111" t="n">
        <v>960</v>
      </c>
      <c r="EM18" s="111" t="n">
        <v>30</v>
      </c>
      <c r="EN18" s="111" t="n">
        <v>1347</v>
      </c>
      <c r="EO18" s="111" t="n">
        <v>1172</v>
      </c>
      <c r="EP18" s="111" t="n">
        <v>48</v>
      </c>
      <c r="EQ18" s="111" t="n">
        <v>127</v>
      </c>
      <c r="ER18" s="111" t="n">
        <v>855</v>
      </c>
      <c r="ES18" s="111" t="n">
        <v>0</v>
      </c>
      <c r="ET18" s="111" t="n">
        <v>0</v>
      </c>
      <c r="EU18" s="111" t="n">
        <v>33</v>
      </c>
      <c r="EV18" s="111" t="n">
        <v>29</v>
      </c>
      <c r="EW18" s="111" t="n">
        <v>4</v>
      </c>
      <c r="EX18" s="111" t="n">
        <v>0</v>
      </c>
      <c r="EY18" s="111" t="n">
        <v>1144</v>
      </c>
      <c r="EZ18" s="111" t="n">
        <v>1113</v>
      </c>
      <c r="FA18" s="111" t="n">
        <v>31</v>
      </c>
      <c r="FB18" s="111" t="n">
        <v>955</v>
      </c>
    </row>
    <row r="19" ht="19.5" customHeight="1" s="247">
      <c r="A19" s="107" t="n">
        <v>16</v>
      </c>
      <c r="B19" s="107" t="inlineStr">
        <is>
          <t>成人手术</t>
        </is>
      </c>
      <c r="C19" s="107" t="inlineStr">
        <is>
          <t>整形外科</t>
        </is>
      </c>
      <c r="D19" s="110" t="n">
        <v>11397397.04</v>
      </c>
      <c r="E19" s="110" t="n">
        <v>8434598.289999999</v>
      </c>
      <c r="F19" s="110" t="n">
        <v>2962798.75</v>
      </c>
      <c r="G19" s="110" t="n">
        <v>4469</v>
      </c>
      <c r="H19" s="110" t="n">
        <v>151</v>
      </c>
      <c r="I19" s="110" t="n">
        <v>496647</v>
      </c>
      <c r="J19" s="110" t="n">
        <v>7566833.29</v>
      </c>
      <c r="K19" s="110" t="n">
        <v>0</v>
      </c>
      <c r="L19" s="110" t="n">
        <v>216129.5</v>
      </c>
      <c r="M19" s="110" t="n">
        <v>1240628.25</v>
      </c>
      <c r="N19" s="110" t="n">
        <v>0</v>
      </c>
      <c r="O19" s="110" t="n">
        <v>13008533.2</v>
      </c>
      <c r="P19" s="110" t="n">
        <v>6675693.2</v>
      </c>
      <c r="Q19" s="110" t="n">
        <v>189227.93</v>
      </c>
      <c r="R19" s="110" t="n">
        <v>6486465.27</v>
      </c>
      <c r="S19" s="110" t="n">
        <v>6332840</v>
      </c>
      <c r="T19" s="110" t="n">
        <v>124419.44</v>
      </c>
      <c r="U19" s="110" t="n">
        <v>6208420.56</v>
      </c>
      <c r="V19" s="110" t="n">
        <v>9360591.42</v>
      </c>
      <c r="W19" s="110" t="n">
        <v>5602061.46</v>
      </c>
      <c r="X19" s="110" t="n">
        <v>61028.9</v>
      </c>
      <c r="Y19" s="110" t="n">
        <v>5541032.56</v>
      </c>
      <c r="Z19" s="110" t="n">
        <v>3758529.96</v>
      </c>
      <c r="AA19" s="110" t="n">
        <v>2431.4</v>
      </c>
      <c r="AB19" s="110" t="n">
        <v>3756098.56</v>
      </c>
      <c r="AC19" s="110" t="n">
        <v>760947.42</v>
      </c>
      <c r="AD19" s="110" t="n">
        <v>565562.84</v>
      </c>
      <c r="AE19" s="110" t="n">
        <v>785.3</v>
      </c>
      <c r="AF19" s="110" t="n">
        <v>564777.54</v>
      </c>
      <c r="AG19" s="110" t="n">
        <v>195384.58</v>
      </c>
      <c r="AH19" s="110" t="n">
        <v>0</v>
      </c>
      <c r="AI19" s="110" t="n">
        <v>195384.58</v>
      </c>
      <c r="AJ19" s="110" t="n">
        <v>165045.71</v>
      </c>
      <c r="AK19" s="110" t="n">
        <v>101646.66</v>
      </c>
      <c r="AL19" s="110" t="n">
        <v>2456.2</v>
      </c>
      <c r="AM19" s="110" t="n">
        <v>99190.46000000001</v>
      </c>
      <c r="AN19" s="110" t="n">
        <v>63399.05</v>
      </c>
      <c r="AO19" s="110" t="n">
        <v>73.40000000000001</v>
      </c>
      <c r="AP19" s="110" t="n">
        <v>63325.65</v>
      </c>
      <c r="AQ19" s="110" t="n">
        <v>54673</v>
      </c>
      <c r="AR19" s="110" t="n">
        <v>30479</v>
      </c>
      <c r="AS19" s="110" t="n">
        <v>1710</v>
      </c>
      <c r="AT19" s="110" t="n">
        <v>28769</v>
      </c>
      <c r="AU19" s="110" t="n">
        <v>24194</v>
      </c>
      <c r="AV19" s="110" t="n">
        <v>190</v>
      </c>
      <c r="AW19" s="110" t="n">
        <v>24004</v>
      </c>
      <c r="AX19" s="110" t="n">
        <v>8379925.29</v>
      </c>
      <c r="AY19" s="110" t="n">
        <v>4904372.96</v>
      </c>
      <c r="AZ19" s="110" t="n">
        <v>56077.4</v>
      </c>
      <c r="BA19" s="110" t="n">
        <v>4848295.56</v>
      </c>
      <c r="BB19" s="110" t="n">
        <v>3475552.33</v>
      </c>
      <c r="BC19" s="110" t="n">
        <v>2168</v>
      </c>
      <c r="BD19" s="110" t="n">
        <v>3473384.33</v>
      </c>
      <c r="BE19" s="110" t="n">
        <v>3647941.78</v>
      </c>
      <c r="BF19" s="110" t="n">
        <v>1073631.74</v>
      </c>
      <c r="BG19" s="110" t="n">
        <v>128199.03</v>
      </c>
      <c r="BH19" s="110" t="n">
        <v>945432.71</v>
      </c>
      <c r="BI19" s="110" t="n">
        <v>2574310.04</v>
      </c>
      <c r="BJ19" s="110" t="n">
        <v>121988.04</v>
      </c>
      <c r="BK19" s="110" t="n">
        <v>2452322</v>
      </c>
      <c r="BL19" s="110" t="n">
        <v>186965.15</v>
      </c>
      <c r="BM19" s="110" t="n">
        <v>49423.69</v>
      </c>
      <c r="BN19" s="110" t="n">
        <v>7820.22</v>
      </c>
      <c r="BO19" s="110" t="n">
        <v>41603.47</v>
      </c>
      <c r="BP19" s="110" t="n">
        <v>137541.46</v>
      </c>
      <c r="BQ19" s="110" t="n">
        <v>7207.54</v>
      </c>
      <c r="BR19" s="110" t="n">
        <v>130333.92</v>
      </c>
      <c r="BS19" s="110" t="n">
        <v>498177.88</v>
      </c>
      <c r="BT19" s="110" t="n">
        <v>171388.8</v>
      </c>
      <c r="BU19" s="110" t="n">
        <v>38800.56</v>
      </c>
      <c r="BV19" s="110" t="n">
        <v>132588.24</v>
      </c>
      <c r="BW19" s="110" t="n">
        <v>326789.08</v>
      </c>
      <c r="BX19" s="110" t="n">
        <v>38996.5</v>
      </c>
      <c r="BY19" s="110" t="n">
        <v>287792.58</v>
      </c>
      <c r="BZ19" s="110" t="n">
        <v>166621</v>
      </c>
      <c r="CA19" s="110" t="n">
        <v>58016</v>
      </c>
      <c r="CB19" s="110" t="n">
        <v>14412</v>
      </c>
      <c r="CC19" s="110" t="n">
        <v>43604</v>
      </c>
      <c r="CD19" s="110" t="n">
        <v>108605</v>
      </c>
      <c r="CE19" s="110" t="n">
        <v>7117</v>
      </c>
      <c r="CF19" s="110" t="n">
        <v>101488</v>
      </c>
      <c r="CG19" s="110" t="n">
        <v>2796177.75</v>
      </c>
      <c r="CH19" s="110" t="n">
        <v>794803.25</v>
      </c>
      <c r="CI19" s="110" t="n">
        <v>67166.25</v>
      </c>
      <c r="CJ19" s="110" t="n">
        <v>727637</v>
      </c>
      <c r="CK19" s="110" t="n">
        <v>2001374.5</v>
      </c>
      <c r="CL19" s="110" t="n">
        <v>68667</v>
      </c>
      <c r="CM19" s="110" t="n">
        <v>1932707.5</v>
      </c>
      <c r="CN19" s="110" t="n">
        <v>1886083.66</v>
      </c>
      <c r="CO19" s="110" t="n">
        <v>2500052.42</v>
      </c>
      <c r="CP19" s="110" t="n">
        <v>1998170.08</v>
      </c>
      <c r="CQ19" s="110" t="n">
        <v>1206981.76</v>
      </c>
      <c r="CR19" s="110" t="n">
        <v>1769303.5</v>
      </c>
      <c r="CS19" s="110" t="n">
        <v>0</v>
      </c>
      <c r="CT19" s="110" t="n">
        <v>2952978</v>
      </c>
      <c r="CU19" s="110" t="n">
        <v>0</v>
      </c>
      <c r="CV19" s="111" t="n">
        <v>4469</v>
      </c>
      <c r="CW19" s="111" t="n">
        <v>2732</v>
      </c>
      <c r="CX19" s="111" t="n">
        <v>39</v>
      </c>
      <c r="CY19" s="111" t="n">
        <v>2693</v>
      </c>
      <c r="CZ19" s="111" t="n">
        <v>1737</v>
      </c>
      <c r="DA19" s="111" t="n">
        <v>6</v>
      </c>
      <c r="DB19" s="111" t="n">
        <v>1731</v>
      </c>
      <c r="DC19" s="111" t="n">
        <v>2032</v>
      </c>
      <c r="DD19" s="111" t="n">
        <v>0</v>
      </c>
      <c r="DE19" s="111" t="n">
        <v>1429</v>
      </c>
      <c r="DF19" s="111" t="n">
        <v>30</v>
      </c>
      <c r="DG19" s="111" t="n">
        <v>1399</v>
      </c>
      <c r="DH19" s="111" t="n">
        <v>603</v>
      </c>
      <c r="DI19" s="111" t="n">
        <v>4</v>
      </c>
      <c r="DJ19" s="111" t="n">
        <v>599</v>
      </c>
      <c r="DK19" s="111" t="n">
        <v>1157</v>
      </c>
      <c r="DL19" s="111" t="n">
        <v>602</v>
      </c>
      <c r="DM19" s="111" t="n">
        <v>8</v>
      </c>
      <c r="DN19" s="111" t="n">
        <v>594</v>
      </c>
      <c r="DO19" s="111" t="n">
        <v>555</v>
      </c>
      <c r="DP19" s="111" t="n">
        <v>2</v>
      </c>
      <c r="DQ19" s="111" t="n">
        <v>553</v>
      </c>
      <c r="DR19" s="111" t="n">
        <v>695</v>
      </c>
      <c r="DS19" s="111" t="n">
        <v>0</v>
      </c>
      <c r="DT19" s="111" t="n">
        <v>242</v>
      </c>
      <c r="DU19" s="111" t="n">
        <v>1</v>
      </c>
      <c r="DV19" s="111" t="n">
        <v>241</v>
      </c>
      <c r="DW19" s="111" t="n">
        <v>453</v>
      </c>
      <c r="DX19" s="111" t="n">
        <v>0</v>
      </c>
      <c r="DY19" s="111" t="n">
        <v>453</v>
      </c>
      <c r="DZ19" s="111" t="n">
        <v>585</v>
      </c>
      <c r="EA19" s="111" t="n">
        <v>459</v>
      </c>
      <c r="EB19" s="111" t="n">
        <v>0</v>
      </c>
      <c r="EC19" s="111" t="n">
        <v>459</v>
      </c>
      <c r="ED19" s="111" t="n">
        <v>126</v>
      </c>
      <c r="EE19" s="111" t="n">
        <v>0</v>
      </c>
      <c r="EF19" s="111" t="n">
        <v>126</v>
      </c>
      <c r="EG19" s="111" t="n">
        <v>151</v>
      </c>
      <c r="EH19" s="111" t="n">
        <v>42</v>
      </c>
      <c r="EI19" s="111" t="n">
        <v>5</v>
      </c>
      <c r="EJ19" s="111" t="n">
        <v>37</v>
      </c>
      <c r="EK19" s="111" t="n">
        <v>109</v>
      </c>
      <c r="EL19" s="111" t="n">
        <v>4</v>
      </c>
      <c r="EM19" s="111" t="n">
        <v>105</v>
      </c>
      <c r="EN19" s="111" t="n">
        <v>152</v>
      </c>
      <c r="EO19" s="111" t="n">
        <v>119</v>
      </c>
      <c r="EP19" s="111" t="n">
        <v>0</v>
      </c>
      <c r="EQ19" s="111" t="n">
        <v>33</v>
      </c>
      <c r="ER19" s="111" t="n">
        <v>0</v>
      </c>
      <c r="ES19" s="111" t="n">
        <v>0</v>
      </c>
      <c r="ET19" s="111" t="n">
        <v>0</v>
      </c>
      <c r="EU19" s="111" t="n">
        <v>107</v>
      </c>
      <c r="EV19" s="111" t="n">
        <v>107</v>
      </c>
      <c r="EW19" s="111" t="n">
        <v>0</v>
      </c>
      <c r="EX19" s="111" t="n">
        <v>0</v>
      </c>
      <c r="EY19" s="111" t="n">
        <v>0</v>
      </c>
      <c r="EZ19" s="111" t="n">
        <v>0</v>
      </c>
      <c r="FA19" s="111" t="n">
        <v>0</v>
      </c>
      <c r="FB19" s="111" t="n">
        <v>7</v>
      </c>
    </row>
    <row r="20" ht="19.5" customHeight="1" s="247">
      <c r="A20" s="107" t="n">
        <v>17</v>
      </c>
      <c r="B20" s="107" t="inlineStr">
        <is>
          <t>成人手术</t>
        </is>
      </c>
      <c r="C20" s="107" t="inlineStr">
        <is>
          <t>肛肠外科</t>
        </is>
      </c>
      <c r="D20" s="110" t="n">
        <v>24615908</v>
      </c>
      <c r="E20" s="110" t="n">
        <v>5320908</v>
      </c>
      <c r="F20" s="110" t="n">
        <v>19295000</v>
      </c>
      <c r="G20" s="110" t="n">
        <v>23507</v>
      </c>
      <c r="H20" s="110" t="n">
        <v>1852</v>
      </c>
      <c r="I20" s="110" t="n">
        <v>331655</v>
      </c>
      <c r="J20" s="110" t="n">
        <v>1922</v>
      </c>
      <c r="K20" s="110" t="n">
        <v>3015.48</v>
      </c>
      <c r="L20" s="110" t="n">
        <v>1316343.25</v>
      </c>
      <c r="M20" s="110" t="n">
        <v>5032181.75</v>
      </c>
      <c r="N20" s="110" t="n">
        <v>20269.27</v>
      </c>
      <c r="O20" s="110" t="n">
        <v>54908006.33</v>
      </c>
      <c r="P20" s="110" t="n">
        <v>35186694.23</v>
      </c>
      <c r="Q20" s="110" t="n">
        <v>34544159.74</v>
      </c>
      <c r="R20" s="110" t="n">
        <v>642534.49</v>
      </c>
      <c r="S20" s="110" t="n">
        <v>19721312.1</v>
      </c>
      <c r="T20" s="110" t="n">
        <v>19094760.62</v>
      </c>
      <c r="U20" s="110" t="n">
        <v>626551.48</v>
      </c>
      <c r="V20" s="110" t="n">
        <v>14158423.7</v>
      </c>
      <c r="W20" s="110" t="n">
        <v>11668721.91</v>
      </c>
      <c r="X20" s="110" t="n">
        <v>11466699.41</v>
      </c>
      <c r="Y20" s="110" t="n">
        <v>202022.5</v>
      </c>
      <c r="Z20" s="110" t="n">
        <v>2489701.79</v>
      </c>
      <c r="AA20" s="110" t="n">
        <v>2147908.94</v>
      </c>
      <c r="AB20" s="110" t="n">
        <v>341792.85</v>
      </c>
      <c r="AC20" s="110" t="n">
        <v>8025888.85</v>
      </c>
      <c r="AD20" s="110" t="n">
        <v>6637259.51</v>
      </c>
      <c r="AE20" s="110" t="n">
        <v>6563855.18</v>
      </c>
      <c r="AF20" s="110" t="n">
        <v>73404.33</v>
      </c>
      <c r="AG20" s="110" t="n">
        <v>1388629.34</v>
      </c>
      <c r="AH20" s="110" t="n">
        <v>1250395.22</v>
      </c>
      <c r="AI20" s="110" t="n">
        <v>138234.12</v>
      </c>
      <c r="AJ20" s="110" t="n">
        <v>811626.85</v>
      </c>
      <c r="AK20" s="110" t="n">
        <v>638390.9</v>
      </c>
      <c r="AL20" s="110" t="n">
        <v>624044.23</v>
      </c>
      <c r="AM20" s="110" t="n">
        <v>14346.67</v>
      </c>
      <c r="AN20" s="110" t="n">
        <v>173235.95</v>
      </c>
      <c r="AO20" s="110" t="n">
        <v>147964.22</v>
      </c>
      <c r="AP20" s="110" t="n">
        <v>25271.73</v>
      </c>
      <c r="AQ20" s="110" t="n">
        <v>4116261</v>
      </c>
      <c r="AR20" s="110" t="n">
        <v>3398819</v>
      </c>
      <c r="AS20" s="110" t="n">
        <v>3330026</v>
      </c>
      <c r="AT20" s="110" t="n">
        <v>68793</v>
      </c>
      <c r="AU20" s="110" t="n">
        <v>717442</v>
      </c>
      <c r="AV20" s="110" t="n">
        <v>593233</v>
      </c>
      <c r="AW20" s="110" t="n">
        <v>124209</v>
      </c>
      <c r="AX20" s="110" t="n">
        <v>1204647</v>
      </c>
      <c r="AY20" s="110" t="n">
        <v>994252.5</v>
      </c>
      <c r="AZ20" s="110" t="n">
        <v>948774</v>
      </c>
      <c r="BA20" s="110" t="n">
        <v>45478.5</v>
      </c>
      <c r="BB20" s="110" t="n">
        <v>210394.5</v>
      </c>
      <c r="BC20" s="110" t="n">
        <v>156316.5</v>
      </c>
      <c r="BD20" s="110" t="n">
        <v>54078</v>
      </c>
      <c r="BE20" s="110" t="n">
        <v>40749582.63</v>
      </c>
      <c r="BF20" s="110" t="n">
        <v>23517972.32</v>
      </c>
      <c r="BG20" s="110" t="n">
        <v>23077460.33</v>
      </c>
      <c r="BH20" s="110" t="n">
        <v>440511.99</v>
      </c>
      <c r="BI20" s="110" t="n">
        <v>17231610.31</v>
      </c>
      <c r="BJ20" s="110" t="n">
        <v>16946851.68</v>
      </c>
      <c r="BK20" s="110" t="n">
        <v>284758.63</v>
      </c>
      <c r="BL20" s="110" t="n">
        <v>7553587.81</v>
      </c>
      <c r="BM20" s="110" t="n">
        <v>4196657.47</v>
      </c>
      <c r="BN20" s="110" t="n">
        <v>4136018.14</v>
      </c>
      <c r="BO20" s="110" t="n">
        <v>60639.33</v>
      </c>
      <c r="BP20" s="110" t="n">
        <v>3356930.34</v>
      </c>
      <c r="BQ20" s="110" t="n">
        <v>3305836.47</v>
      </c>
      <c r="BR20" s="110" t="n">
        <v>51093.87</v>
      </c>
      <c r="BS20" s="110" t="n">
        <v>13900994.82</v>
      </c>
      <c r="BT20" s="110" t="n">
        <v>8396882.1</v>
      </c>
      <c r="BU20" s="110" t="n">
        <v>8266696.94</v>
      </c>
      <c r="BV20" s="110" t="n">
        <v>130185.16</v>
      </c>
      <c r="BW20" s="110" t="n">
        <v>5504112.72</v>
      </c>
      <c r="BX20" s="110" t="n">
        <v>5437734.71</v>
      </c>
      <c r="BY20" s="110" t="n">
        <v>66378.00999999999</v>
      </c>
      <c r="BZ20" s="110" t="n">
        <v>8584160</v>
      </c>
      <c r="CA20" s="110" t="n">
        <v>4463694</v>
      </c>
      <c r="CB20" s="110" t="n">
        <v>4419771</v>
      </c>
      <c r="CC20" s="110" t="n">
        <v>43923</v>
      </c>
      <c r="CD20" s="110" t="n">
        <v>4120466</v>
      </c>
      <c r="CE20" s="110" t="n">
        <v>4026412</v>
      </c>
      <c r="CF20" s="110" t="n">
        <v>94054</v>
      </c>
      <c r="CG20" s="110" t="n">
        <v>10710840</v>
      </c>
      <c r="CH20" s="110" t="n">
        <v>6460738.75</v>
      </c>
      <c r="CI20" s="110" t="n">
        <v>6254974.25</v>
      </c>
      <c r="CJ20" s="110" t="n">
        <v>205764.5</v>
      </c>
      <c r="CK20" s="110" t="n">
        <v>4250101.25</v>
      </c>
      <c r="CL20" s="110" t="n">
        <v>4176868.5</v>
      </c>
      <c r="CM20" s="110" t="n">
        <v>73232.75</v>
      </c>
      <c r="CN20" s="110" t="n">
        <v>485671.71</v>
      </c>
      <c r="CO20" s="110" t="n">
        <v>5120308.94</v>
      </c>
      <c r="CP20" s="110" t="n">
        <v>6563946.81</v>
      </c>
      <c r="CQ20" s="110" t="n">
        <v>1143361.64</v>
      </c>
      <c r="CR20" s="110" t="n">
        <v>845109.6</v>
      </c>
      <c r="CS20" s="110" t="n">
        <v>0</v>
      </c>
      <c r="CT20" s="110" t="n">
        <v>244575.52</v>
      </c>
      <c r="CU20" s="110" t="n">
        <v>0</v>
      </c>
      <c r="CV20" s="111" t="n">
        <v>23507</v>
      </c>
      <c r="CW20" s="111" t="n">
        <v>19648</v>
      </c>
      <c r="CX20" s="111" t="n">
        <v>18850</v>
      </c>
      <c r="CY20" s="111" t="n">
        <v>798</v>
      </c>
      <c r="CZ20" s="111" t="n">
        <v>3859</v>
      </c>
      <c r="DA20" s="111" t="n">
        <v>2803</v>
      </c>
      <c r="DB20" s="111" t="n">
        <v>1056</v>
      </c>
      <c r="DC20" s="111" t="n">
        <v>14944</v>
      </c>
      <c r="DD20" s="111" t="n">
        <v>22</v>
      </c>
      <c r="DE20" s="111" t="n">
        <v>12500</v>
      </c>
      <c r="DF20" s="111" t="n">
        <v>11964</v>
      </c>
      <c r="DG20" s="111" t="n">
        <v>536</v>
      </c>
      <c r="DH20" s="111" t="n">
        <v>2444</v>
      </c>
      <c r="DI20" s="111" t="n">
        <v>1748</v>
      </c>
      <c r="DJ20" s="111" t="n">
        <v>696</v>
      </c>
      <c r="DK20" s="111" t="n">
        <v>6811</v>
      </c>
      <c r="DL20" s="111" t="n">
        <v>5745</v>
      </c>
      <c r="DM20" s="111" t="n">
        <v>5551</v>
      </c>
      <c r="DN20" s="111" t="n">
        <v>194</v>
      </c>
      <c r="DO20" s="111" t="n">
        <v>1066</v>
      </c>
      <c r="DP20" s="111" t="n">
        <v>785</v>
      </c>
      <c r="DQ20" s="111" t="n">
        <v>281</v>
      </c>
      <c r="DR20" s="111" t="n">
        <v>528</v>
      </c>
      <c r="DS20" s="111" t="n">
        <v>0</v>
      </c>
      <c r="DT20" s="111" t="n">
        <v>410</v>
      </c>
      <c r="DU20" s="111" t="n">
        <v>380</v>
      </c>
      <c r="DV20" s="111" t="n">
        <v>30</v>
      </c>
      <c r="DW20" s="111" t="n">
        <v>118</v>
      </c>
      <c r="DX20" s="111" t="n">
        <v>80</v>
      </c>
      <c r="DY20" s="111" t="n">
        <v>38</v>
      </c>
      <c r="DZ20" s="111" t="n">
        <v>1202</v>
      </c>
      <c r="EA20" s="111" t="n">
        <v>971</v>
      </c>
      <c r="EB20" s="111" t="n">
        <v>934</v>
      </c>
      <c r="EC20" s="111" t="n">
        <v>37</v>
      </c>
      <c r="ED20" s="111" t="n">
        <v>231</v>
      </c>
      <c r="EE20" s="111" t="n">
        <v>190</v>
      </c>
      <c r="EF20" s="111" t="n">
        <v>41</v>
      </c>
      <c r="EG20" s="111" t="n">
        <v>1852</v>
      </c>
      <c r="EH20" s="111" t="n">
        <v>1134</v>
      </c>
      <c r="EI20" s="111" t="n">
        <v>1108</v>
      </c>
      <c r="EJ20" s="111" t="n">
        <v>26</v>
      </c>
      <c r="EK20" s="111" t="n">
        <v>718</v>
      </c>
      <c r="EL20" s="111" t="n">
        <v>701</v>
      </c>
      <c r="EM20" s="111" t="n">
        <v>17</v>
      </c>
      <c r="EN20" s="111" t="n">
        <v>1774</v>
      </c>
      <c r="EO20" s="111" t="n">
        <v>1039</v>
      </c>
      <c r="EP20" s="111" t="n">
        <v>0</v>
      </c>
      <c r="EQ20" s="111" t="n">
        <v>735</v>
      </c>
      <c r="ER20" s="111" t="n">
        <v>372</v>
      </c>
      <c r="ES20" s="111" t="n">
        <v>0</v>
      </c>
      <c r="ET20" s="111" t="n">
        <v>71</v>
      </c>
      <c r="EU20" s="111" t="n">
        <v>190</v>
      </c>
      <c r="EV20" s="111" t="n">
        <v>135</v>
      </c>
      <c r="EW20" s="111" t="n">
        <v>0</v>
      </c>
      <c r="EX20" s="111" t="n">
        <v>55</v>
      </c>
      <c r="EY20" s="111" t="n">
        <v>338</v>
      </c>
      <c r="EZ20" s="111" t="n">
        <v>338</v>
      </c>
      <c r="FA20" s="111" t="n">
        <v>0</v>
      </c>
      <c r="FB20" s="111" t="n">
        <v>279</v>
      </c>
    </row>
    <row r="21" ht="19.5" customHeight="1" s="247">
      <c r="A21" s="107" t="n">
        <v>18</v>
      </c>
      <c r="B21" s="107" t="inlineStr">
        <is>
          <t>成人手术</t>
        </is>
      </c>
      <c r="C21" s="107" t="inlineStr">
        <is>
          <t>脊柱中心</t>
        </is>
      </c>
      <c r="D21" s="110" t="n">
        <v>44578683.95</v>
      </c>
      <c r="E21" s="110" t="n">
        <v>9603753</v>
      </c>
      <c r="F21" s="110" t="n">
        <v>34974930.95</v>
      </c>
      <c r="G21" s="110" t="n">
        <v>34064</v>
      </c>
      <c r="H21" s="110" t="n">
        <v>2627</v>
      </c>
      <c r="I21" s="110" t="n">
        <v>2463</v>
      </c>
      <c r="J21" s="110" t="n">
        <v>179</v>
      </c>
      <c r="K21" s="110" t="n">
        <v>0</v>
      </c>
      <c r="L21" s="110" t="n">
        <v>985090</v>
      </c>
      <c r="M21" s="110" t="n">
        <v>15865112.45</v>
      </c>
      <c r="N21" s="110" t="n">
        <v>674.1</v>
      </c>
      <c r="O21" s="110" t="n">
        <v>129784169.26</v>
      </c>
      <c r="P21" s="110" t="n">
        <v>76871836.69</v>
      </c>
      <c r="Q21" s="110" t="n">
        <v>72895655.63</v>
      </c>
      <c r="R21" s="110" t="n">
        <v>3976181.06</v>
      </c>
      <c r="S21" s="110" t="n">
        <v>52912332.57</v>
      </c>
      <c r="T21" s="110" t="n">
        <v>48752898.96</v>
      </c>
      <c r="U21" s="110" t="n">
        <v>4159433.61</v>
      </c>
      <c r="V21" s="110" t="n">
        <v>10902274.9</v>
      </c>
      <c r="W21" s="110" t="n">
        <v>6948215.24</v>
      </c>
      <c r="X21" s="110" t="n">
        <v>6384454.52</v>
      </c>
      <c r="Y21" s="110" t="n">
        <v>563760.72</v>
      </c>
      <c r="Z21" s="110" t="n">
        <v>3954059.66</v>
      </c>
      <c r="AA21" s="110" t="n">
        <v>1488670.39</v>
      </c>
      <c r="AB21" s="110" t="n">
        <v>2465389.27</v>
      </c>
      <c r="AC21" s="110" t="n">
        <v>1194284.1</v>
      </c>
      <c r="AD21" s="110" t="n">
        <v>1047558.44</v>
      </c>
      <c r="AE21" s="110" t="n">
        <v>1001308.52</v>
      </c>
      <c r="AF21" s="110" t="n">
        <v>46249.92</v>
      </c>
      <c r="AG21" s="110" t="n">
        <v>146725.66</v>
      </c>
      <c r="AH21" s="110" t="n">
        <v>96615.39</v>
      </c>
      <c r="AI21" s="110" t="n">
        <v>50110.27</v>
      </c>
      <c r="AJ21" s="110" t="n">
        <v>104237.8</v>
      </c>
      <c r="AK21" s="110" t="n">
        <v>92347.8</v>
      </c>
      <c r="AL21" s="110" t="n">
        <v>88347</v>
      </c>
      <c r="AM21" s="110" t="n">
        <v>4000.8</v>
      </c>
      <c r="AN21" s="110" t="n">
        <v>11890</v>
      </c>
      <c r="AO21" s="110" t="n">
        <v>6009</v>
      </c>
      <c r="AP21" s="110" t="n">
        <v>5881</v>
      </c>
      <c r="AQ21" s="110" t="n">
        <v>7310337</v>
      </c>
      <c r="AR21" s="110" t="n">
        <v>4684325</v>
      </c>
      <c r="AS21" s="110" t="n">
        <v>4308582</v>
      </c>
      <c r="AT21" s="110" t="n">
        <v>375743</v>
      </c>
      <c r="AU21" s="110" t="n">
        <v>2626012</v>
      </c>
      <c r="AV21" s="110" t="n">
        <v>977819</v>
      </c>
      <c r="AW21" s="110" t="n">
        <v>1648193</v>
      </c>
      <c r="AX21" s="110" t="n">
        <v>2293416</v>
      </c>
      <c r="AY21" s="110" t="n">
        <v>1123984</v>
      </c>
      <c r="AZ21" s="110" t="n">
        <v>986217</v>
      </c>
      <c r="BA21" s="110" t="n">
        <v>137767</v>
      </c>
      <c r="BB21" s="110" t="n">
        <v>1169432</v>
      </c>
      <c r="BC21" s="110" t="n">
        <v>408227</v>
      </c>
      <c r="BD21" s="110" t="n">
        <v>761205</v>
      </c>
      <c r="BE21" s="110" t="n">
        <v>118881894.36</v>
      </c>
      <c r="BF21" s="110" t="n">
        <v>69923621.45</v>
      </c>
      <c r="BG21" s="110" t="n">
        <v>66511201.11</v>
      </c>
      <c r="BH21" s="110" t="n">
        <v>3412420.34</v>
      </c>
      <c r="BI21" s="110" t="n">
        <v>48958272.91</v>
      </c>
      <c r="BJ21" s="110" t="n">
        <v>47264228.57</v>
      </c>
      <c r="BK21" s="110" t="n">
        <v>1694044.34</v>
      </c>
      <c r="BL21" s="110" t="n">
        <v>7215036.03</v>
      </c>
      <c r="BM21" s="110" t="n">
        <v>4081170.04</v>
      </c>
      <c r="BN21" s="110" t="n">
        <v>3929562.89</v>
      </c>
      <c r="BO21" s="110" t="n">
        <v>151607.15</v>
      </c>
      <c r="BP21" s="110" t="n">
        <v>3133865.99</v>
      </c>
      <c r="BQ21" s="110" t="n">
        <v>3024846.65</v>
      </c>
      <c r="BR21" s="110" t="n">
        <v>109019.34</v>
      </c>
      <c r="BS21" s="110" t="n">
        <v>76691927.38</v>
      </c>
      <c r="BT21" s="110" t="n">
        <v>43732835.46</v>
      </c>
      <c r="BU21" s="110" t="n">
        <v>41434155.02</v>
      </c>
      <c r="BV21" s="110" t="n">
        <v>2298680.44</v>
      </c>
      <c r="BW21" s="110" t="n">
        <v>32959091.92</v>
      </c>
      <c r="BX21" s="110" t="n">
        <v>31852060.17</v>
      </c>
      <c r="BY21" s="110" t="n">
        <v>1107031.75</v>
      </c>
      <c r="BZ21" s="110" t="n">
        <v>11659862</v>
      </c>
      <c r="CA21" s="110" t="n">
        <v>7433705</v>
      </c>
      <c r="CB21" s="110" t="n">
        <v>7113633</v>
      </c>
      <c r="CC21" s="110" t="n">
        <v>320072</v>
      </c>
      <c r="CD21" s="110" t="n">
        <v>4226157</v>
      </c>
      <c r="CE21" s="110" t="n">
        <v>4084916</v>
      </c>
      <c r="CF21" s="110" t="n">
        <v>141241</v>
      </c>
      <c r="CG21" s="110" t="n">
        <v>23315068.95</v>
      </c>
      <c r="CH21" s="110" t="n">
        <v>14675910.95</v>
      </c>
      <c r="CI21" s="110" t="n">
        <v>14033850.2</v>
      </c>
      <c r="CJ21" s="110" t="n">
        <v>642060.75</v>
      </c>
      <c r="CK21" s="110" t="n">
        <v>8639158</v>
      </c>
      <c r="CL21" s="110" t="n">
        <v>8302405.75</v>
      </c>
      <c r="CM21" s="110" t="n">
        <v>336752.25</v>
      </c>
      <c r="CN21" s="110" t="n">
        <v>2498</v>
      </c>
      <c r="CO21" s="110" t="n">
        <v>377697.64</v>
      </c>
      <c r="CP21" s="110" t="n">
        <v>6011978.92</v>
      </c>
      <c r="CQ21" s="110" t="n">
        <v>2526111.06</v>
      </c>
      <c r="CR21" s="110" t="n">
        <v>1983914.28</v>
      </c>
      <c r="CS21" s="110" t="n">
        <v>0</v>
      </c>
      <c r="CT21" s="110" t="n">
        <v>368534.58</v>
      </c>
      <c r="CU21" s="110" t="n">
        <v>0</v>
      </c>
      <c r="CV21" s="111" t="n">
        <v>34064</v>
      </c>
      <c r="CW21" s="111" t="n">
        <v>23623</v>
      </c>
      <c r="CX21" s="111" t="n">
        <v>21707</v>
      </c>
      <c r="CY21" s="111" t="n">
        <v>1916</v>
      </c>
      <c r="CZ21" s="111" t="n">
        <v>10441</v>
      </c>
      <c r="DA21" s="111" t="n">
        <v>4322</v>
      </c>
      <c r="DB21" s="111" t="n">
        <v>6119</v>
      </c>
      <c r="DC21" s="111" t="n">
        <v>10099</v>
      </c>
      <c r="DD21" s="111" t="n">
        <v>8</v>
      </c>
      <c r="DE21" s="111" t="n">
        <v>7435</v>
      </c>
      <c r="DF21" s="111" t="n">
        <v>6941</v>
      </c>
      <c r="DG21" s="111" t="n">
        <v>494</v>
      </c>
      <c r="DH21" s="111" t="n">
        <v>2664</v>
      </c>
      <c r="DI21" s="111" t="n">
        <v>1149</v>
      </c>
      <c r="DJ21" s="111" t="n">
        <v>1515</v>
      </c>
      <c r="DK21" s="111" t="n">
        <v>21071</v>
      </c>
      <c r="DL21" s="111" t="n">
        <v>15531</v>
      </c>
      <c r="DM21" s="111" t="n">
        <v>14278</v>
      </c>
      <c r="DN21" s="111" t="n">
        <v>1253</v>
      </c>
      <c r="DO21" s="111" t="n">
        <v>5540</v>
      </c>
      <c r="DP21" s="111" t="n">
        <v>2445</v>
      </c>
      <c r="DQ21" s="111" t="n">
        <v>3095</v>
      </c>
      <c r="DR21" s="111" t="n">
        <v>2879</v>
      </c>
      <c r="DS21" s="111" t="n">
        <v>0</v>
      </c>
      <c r="DT21" s="111" t="n">
        <v>648</v>
      </c>
      <c r="DU21" s="111" t="n">
        <v>479</v>
      </c>
      <c r="DV21" s="111" t="n">
        <v>169</v>
      </c>
      <c r="DW21" s="111" t="n">
        <v>2231</v>
      </c>
      <c r="DX21" s="111" t="n">
        <v>726</v>
      </c>
      <c r="DY21" s="111" t="n">
        <v>1505</v>
      </c>
      <c r="DZ21" s="111" t="n">
        <v>7</v>
      </c>
      <c r="EA21" s="111" t="n">
        <v>3</v>
      </c>
      <c r="EB21" s="111" t="n">
        <v>3</v>
      </c>
      <c r="EC21" s="111" t="n">
        <v>0</v>
      </c>
      <c r="ED21" s="111" t="n">
        <v>4</v>
      </c>
      <c r="EE21" s="111" t="n">
        <v>2</v>
      </c>
      <c r="EF21" s="111" t="n">
        <v>2</v>
      </c>
      <c r="EG21" s="111" t="n">
        <v>2627</v>
      </c>
      <c r="EH21" s="111" t="n">
        <v>1805</v>
      </c>
      <c r="EI21" s="111" t="n">
        <v>1724</v>
      </c>
      <c r="EJ21" s="111" t="n">
        <v>81</v>
      </c>
      <c r="EK21" s="111" t="n">
        <v>822</v>
      </c>
      <c r="EL21" s="111" t="n">
        <v>787</v>
      </c>
      <c r="EM21" s="111" t="n">
        <v>35</v>
      </c>
      <c r="EN21" s="111" t="n">
        <v>2451</v>
      </c>
      <c r="EO21" s="111" t="n">
        <v>2414</v>
      </c>
      <c r="EP21" s="111" t="n">
        <v>0</v>
      </c>
      <c r="EQ21" s="111" t="n">
        <v>37</v>
      </c>
      <c r="ER21" s="111" t="n">
        <v>726</v>
      </c>
      <c r="ES21" s="111" t="n">
        <v>0</v>
      </c>
      <c r="ET21" s="111" t="n">
        <v>0</v>
      </c>
      <c r="EU21" s="111" t="n">
        <v>16</v>
      </c>
      <c r="EV21" s="111" t="n">
        <v>16</v>
      </c>
      <c r="EW21" s="111" t="n">
        <v>0</v>
      </c>
      <c r="EX21" s="111" t="n">
        <v>0</v>
      </c>
      <c r="EY21" s="111" t="n">
        <v>2262</v>
      </c>
      <c r="EZ21" s="111" t="n">
        <v>2262</v>
      </c>
      <c r="FA21" s="111" t="n">
        <v>0</v>
      </c>
      <c r="FB21" s="111" t="n">
        <v>2104</v>
      </c>
    </row>
    <row r="22" ht="19.5" customHeight="1" s="247">
      <c r="A22" s="107" t="n">
        <v>19</v>
      </c>
      <c r="B22" s="107" t="inlineStr">
        <is>
          <t>成人手术</t>
        </is>
      </c>
      <c r="C22" s="107" t="inlineStr">
        <is>
          <t>移植科</t>
        </is>
      </c>
      <c r="D22" s="110" t="n">
        <v>1660070.6</v>
      </c>
      <c r="E22" s="110" t="n">
        <v>31848</v>
      </c>
      <c r="F22" s="110" t="n">
        <v>1628222.6</v>
      </c>
      <c r="G22" s="110" t="n">
        <v>101</v>
      </c>
      <c r="H22" s="110" t="n">
        <v>118</v>
      </c>
      <c r="I22" s="110" t="n">
        <v>198</v>
      </c>
      <c r="J22" s="110" t="n">
        <v>0</v>
      </c>
      <c r="K22" s="110" t="n">
        <v>0</v>
      </c>
      <c r="L22" s="110" t="n">
        <v>119268.75</v>
      </c>
      <c r="M22" s="110" t="n">
        <v>327534.75</v>
      </c>
      <c r="N22" s="110" t="n">
        <v>0</v>
      </c>
      <c r="O22" s="110" t="n">
        <v>3868692.84</v>
      </c>
      <c r="P22" s="110" t="n">
        <v>1582478.89</v>
      </c>
      <c r="Q22" s="110" t="n">
        <v>1582398.89</v>
      </c>
      <c r="R22" s="110" t="n">
        <v>80</v>
      </c>
      <c r="S22" s="110" t="n">
        <v>2286213.95</v>
      </c>
      <c r="T22" s="110" t="n">
        <v>2264520.75</v>
      </c>
      <c r="U22" s="110" t="n">
        <v>21693.2</v>
      </c>
      <c r="V22" s="110" t="n">
        <v>173468.51</v>
      </c>
      <c r="W22" s="110" t="n">
        <v>107956.1</v>
      </c>
      <c r="X22" s="110" t="n">
        <v>107876.1</v>
      </c>
      <c r="Y22" s="110" t="n">
        <v>80</v>
      </c>
      <c r="Z22" s="110" t="n">
        <v>65512.41</v>
      </c>
      <c r="AA22" s="110" t="n">
        <v>60063.45</v>
      </c>
      <c r="AB22" s="110" t="n">
        <v>5448.96</v>
      </c>
      <c r="AC22" s="110" t="n">
        <v>141405.51</v>
      </c>
      <c r="AD22" s="110" t="n">
        <v>89931.10000000001</v>
      </c>
      <c r="AE22" s="110" t="n">
        <v>89931.10000000001</v>
      </c>
      <c r="AF22" s="110" t="n">
        <v>0</v>
      </c>
      <c r="AG22" s="110" t="n">
        <v>51474.41</v>
      </c>
      <c r="AH22" s="110" t="n">
        <v>49031.45</v>
      </c>
      <c r="AI22" s="110" t="n">
        <v>2442.96</v>
      </c>
      <c r="AJ22" s="110" t="n">
        <v>215</v>
      </c>
      <c r="AK22" s="110" t="n">
        <v>129</v>
      </c>
      <c r="AL22" s="110" t="n">
        <v>129</v>
      </c>
      <c r="AM22" s="110" t="n">
        <v>0</v>
      </c>
      <c r="AN22" s="110" t="n">
        <v>86</v>
      </c>
      <c r="AO22" s="110" t="n">
        <v>43</v>
      </c>
      <c r="AP22" s="110" t="n">
        <v>43</v>
      </c>
      <c r="AQ22" s="110" t="n">
        <v>27395</v>
      </c>
      <c r="AR22" s="110" t="n">
        <v>15142</v>
      </c>
      <c r="AS22" s="110" t="n">
        <v>15142</v>
      </c>
      <c r="AT22" s="110" t="n">
        <v>0</v>
      </c>
      <c r="AU22" s="110" t="n">
        <v>12253</v>
      </c>
      <c r="AV22" s="110" t="n">
        <v>9711</v>
      </c>
      <c r="AW22" s="110" t="n">
        <v>2542</v>
      </c>
      <c r="AX22" s="110" t="n">
        <v>4453</v>
      </c>
      <c r="AY22" s="110" t="n">
        <v>2754</v>
      </c>
      <c r="AZ22" s="110" t="n">
        <v>2674</v>
      </c>
      <c r="BA22" s="110" t="n">
        <v>80</v>
      </c>
      <c r="BB22" s="110" t="n">
        <v>1699</v>
      </c>
      <c r="BC22" s="110" t="n">
        <v>1278</v>
      </c>
      <c r="BD22" s="110" t="n">
        <v>421</v>
      </c>
      <c r="BE22" s="110" t="n">
        <v>3695224.33</v>
      </c>
      <c r="BF22" s="110" t="n">
        <v>1474522.79</v>
      </c>
      <c r="BG22" s="110" t="n">
        <v>1474522.79</v>
      </c>
      <c r="BH22" s="110" t="n">
        <v>0</v>
      </c>
      <c r="BI22" s="110" t="n">
        <v>2220701.54</v>
      </c>
      <c r="BJ22" s="110" t="n">
        <v>2204457.3</v>
      </c>
      <c r="BK22" s="110" t="n">
        <v>16244.24</v>
      </c>
      <c r="BL22" s="110" t="n">
        <v>1165001.64</v>
      </c>
      <c r="BM22" s="110" t="n">
        <v>323899.74</v>
      </c>
      <c r="BN22" s="110" t="n">
        <v>323899.74</v>
      </c>
      <c r="BO22" s="110" t="n">
        <v>0</v>
      </c>
      <c r="BP22" s="110" t="n">
        <v>841101.9</v>
      </c>
      <c r="BQ22" s="110" t="n">
        <v>839827.8</v>
      </c>
      <c r="BR22" s="110" t="n">
        <v>1274.1</v>
      </c>
      <c r="BS22" s="110" t="n">
        <v>902000.09</v>
      </c>
      <c r="BT22" s="110" t="n">
        <v>424537.05</v>
      </c>
      <c r="BU22" s="110" t="n">
        <v>424537.05</v>
      </c>
      <c r="BV22" s="110" t="n">
        <v>0</v>
      </c>
      <c r="BW22" s="110" t="n">
        <v>477463.04</v>
      </c>
      <c r="BX22" s="110" t="n">
        <v>476401.4</v>
      </c>
      <c r="BY22" s="110" t="n">
        <v>1061.64</v>
      </c>
      <c r="BZ22" s="110" t="n">
        <v>614726</v>
      </c>
      <c r="CA22" s="110" t="n">
        <v>234006</v>
      </c>
      <c r="CB22" s="110" t="n">
        <v>234006</v>
      </c>
      <c r="CC22" s="110" t="n">
        <v>0</v>
      </c>
      <c r="CD22" s="110" t="n">
        <v>380720</v>
      </c>
      <c r="CE22" s="110" t="n">
        <v>368392</v>
      </c>
      <c r="CF22" s="110" t="n">
        <v>12328</v>
      </c>
      <c r="CG22" s="110" t="n">
        <v>1013496.6</v>
      </c>
      <c r="CH22" s="110" t="n">
        <v>492080</v>
      </c>
      <c r="CI22" s="110" t="n">
        <v>492080</v>
      </c>
      <c r="CJ22" s="110" t="n">
        <v>0</v>
      </c>
      <c r="CK22" s="110" t="n">
        <v>521416.6</v>
      </c>
      <c r="CL22" s="110" t="n">
        <v>519836.1</v>
      </c>
      <c r="CM22" s="110" t="n">
        <v>1580.5</v>
      </c>
      <c r="CN22" s="110" t="n">
        <v>0</v>
      </c>
      <c r="CO22" s="110" t="n">
        <v>1109</v>
      </c>
      <c r="CP22" s="110" t="n">
        <v>172334.51</v>
      </c>
      <c r="CQ22" s="110" t="n">
        <v>25</v>
      </c>
      <c r="CR22" s="110" t="n">
        <v>0</v>
      </c>
      <c r="CS22" s="110" t="n">
        <v>0</v>
      </c>
      <c r="CT22" s="110" t="n">
        <v>0</v>
      </c>
      <c r="CU22" s="110" t="n">
        <v>0</v>
      </c>
      <c r="CV22" s="111" t="n">
        <v>101</v>
      </c>
      <c r="CW22" s="111" t="n">
        <v>62</v>
      </c>
      <c r="CX22" s="111" t="n">
        <v>60</v>
      </c>
      <c r="CY22" s="111" t="n">
        <v>2</v>
      </c>
      <c r="CZ22" s="111" t="n">
        <v>39</v>
      </c>
      <c r="DA22" s="111" t="n">
        <v>29</v>
      </c>
      <c r="DB22" s="111" t="n">
        <v>10</v>
      </c>
      <c r="DC22" s="111" t="n">
        <v>3</v>
      </c>
      <c r="DD22" s="111" t="n">
        <v>0</v>
      </c>
      <c r="DE22" s="111" t="n">
        <v>0</v>
      </c>
      <c r="DF22" s="111" t="n">
        <v>0</v>
      </c>
      <c r="DG22" s="111" t="n">
        <v>0</v>
      </c>
      <c r="DH22" s="111" t="n">
        <v>3</v>
      </c>
      <c r="DI22" s="111" t="n">
        <v>2</v>
      </c>
      <c r="DJ22" s="111" t="n">
        <v>1</v>
      </c>
      <c r="DK22" s="111" t="n">
        <v>98</v>
      </c>
      <c r="DL22" s="111" t="n">
        <v>62</v>
      </c>
      <c r="DM22" s="111" t="n">
        <v>60</v>
      </c>
      <c r="DN22" s="111" t="n">
        <v>2</v>
      </c>
      <c r="DO22" s="111" t="n">
        <v>36</v>
      </c>
      <c r="DP22" s="111" t="n">
        <v>27</v>
      </c>
      <c r="DQ22" s="111" t="n">
        <v>9</v>
      </c>
      <c r="DR22" s="111" t="n">
        <v>0</v>
      </c>
      <c r="DS22" s="111" t="n">
        <v>0</v>
      </c>
      <c r="DT22" s="111" t="n">
        <v>0</v>
      </c>
      <c r="DU22" s="111" t="n">
        <v>0</v>
      </c>
      <c r="DV22" s="111" t="n">
        <v>0</v>
      </c>
      <c r="DW22" s="111" t="n">
        <v>0</v>
      </c>
      <c r="DX22" s="111" t="n">
        <v>0</v>
      </c>
      <c r="DY22" s="111" t="n">
        <v>0</v>
      </c>
      <c r="DZ22" s="111" t="n">
        <v>0</v>
      </c>
      <c r="EA22" s="111" t="n">
        <v>0</v>
      </c>
      <c r="EB22" s="111" t="n">
        <v>0</v>
      </c>
      <c r="EC22" s="111" t="n">
        <v>0</v>
      </c>
      <c r="ED22" s="111" t="n">
        <v>0</v>
      </c>
      <c r="EE22" s="111" t="n">
        <v>0</v>
      </c>
      <c r="EF22" s="111" t="n">
        <v>0</v>
      </c>
      <c r="EG22" s="111" t="n">
        <v>118</v>
      </c>
      <c r="EH22" s="111" t="n">
        <v>51</v>
      </c>
      <c r="EI22" s="111" t="n">
        <v>51</v>
      </c>
      <c r="EJ22" s="111" t="n">
        <v>0</v>
      </c>
      <c r="EK22" s="111" t="n">
        <v>67</v>
      </c>
      <c r="EL22" s="111" t="n">
        <v>66</v>
      </c>
      <c r="EM22" s="111" t="n">
        <v>1</v>
      </c>
      <c r="EN22" s="111" t="n">
        <v>82</v>
      </c>
      <c r="EO22" s="111" t="n">
        <v>58</v>
      </c>
      <c r="EP22" s="111" t="n">
        <v>0</v>
      </c>
      <c r="EQ22" s="111" t="n">
        <v>24</v>
      </c>
      <c r="ER22" s="111" t="n">
        <v>26</v>
      </c>
      <c r="ES22" s="111" t="n">
        <v>0</v>
      </c>
      <c r="ET22" s="111" t="n">
        <v>0</v>
      </c>
      <c r="EU22" s="111" t="n">
        <v>19</v>
      </c>
      <c r="EV22" s="111" t="n">
        <v>19</v>
      </c>
      <c r="EW22" s="111" t="n">
        <v>0</v>
      </c>
      <c r="EX22" s="111" t="n">
        <v>0</v>
      </c>
      <c r="EY22" s="111" t="n">
        <v>25</v>
      </c>
      <c r="EZ22" s="111" t="n">
        <v>25</v>
      </c>
      <c r="FA22" s="111" t="n">
        <v>0</v>
      </c>
      <c r="FB22" s="111" t="n">
        <v>1</v>
      </c>
    </row>
    <row r="23" ht="19.5" customHeight="1" s="247">
      <c r="A23" s="107" t="n">
        <v>20</v>
      </c>
      <c r="B23" s="107" t="inlineStr">
        <is>
          <t>成人手术</t>
        </is>
      </c>
      <c r="C23" s="107" t="inlineStr">
        <is>
          <t>乳腺外科</t>
        </is>
      </c>
      <c r="D23" s="110" t="n">
        <v>16374766.25</v>
      </c>
      <c r="E23" s="110" t="n">
        <v>7645295</v>
      </c>
      <c r="F23" s="110" t="n">
        <v>8729471.25</v>
      </c>
      <c r="G23" s="110" t="n">
        <v>20220</v>
      </c>
      <c r="H23" s="110" t="n">
        <v>848</v>
      </c>
      <c r="I23" s="110" t="n">
        <v>60026</v>
      </c>
      <c r="J23" s="110" t="n">
        <v>13503</v>
      </c>
      <c r="K23" s="110" t="n">
        <v>75</v>
      </c>
      <c r="L23" s="110" t="n">
        <v>319948.25</v>
      </c>
      <c r="M23" s="110" t="n">
        <v>2523388</v>
      </c>
      <c r="N23" s="110" t="n">
        <v>785.03</v>
      </c>
      <c r="O23" s="110" t="n">
        <v>30806340.95</v>
      </c>
      <c r="P23" s="110" t="n">
        <v>21299488.31</v>
      </c>
      <c r="Q23" s="110" t="n">
        <v>20586449.89</v>
      </c>
      <c r="R23" s="110" t="n">
        <v>713038.42</v>
      </c>
      <c r="S23" s="110" t="n">
        <v>9506852.640000001</v>
      </c>
      <c r="T23" s="110" t="n">
        <v>8837150</v>
      </c>
      <c r="U23" s="110" t="n">
        <v>669702.64</v>
      </c>
      <c r="V23" s="110" t="n">
        <v>16963743.87</v>
      </c>
      <c r="W23" s="110" t="n">
        <v>13119662.2</v>
      </c>
      <c r="X23" s="110" t="n">
        <v>12811509.67</v>
      </c>
      <c r="Y23" s="110" t="n">
        <v>308152.53</v>
      </c>
      <c r="Z23" s="110" t="n">
        <v>3844081.67</v>
      </c>
      <c r="AA23" s="110" t="n">
        <v>3348291.84</v>
      </c>
      <c r="AB23" s="110" t="n">
        <v>495789.83</v>
      </c>
      <c r="AC23" s="110" t="n">
        <v>9077315.43</v>
      </c>
      <c r="AD23" s="110" t="n">
        <v>6848948</v>
      </c>
      <c r="AE23" s="110" t="n">
        <v>6773651.95</v>
      </c>
      <c r="AF23" s="110" t="n">
        <v>75296.05</v>
      </c>
      <c r="AG23" s="110" t="n">
        <v>2228367.43</v>
      </c>
      <c r="AH23" s="110" t="n">
        <v>2156503.6</v>
      </c>
      <c r="AI23" s="110" t="n">
        <v>71863.83</v>
      </c>
      <c r="AJ23" s="110" t="n">
        <v>241133.44</v>
      </c>
      <c r="AK23" s="110" t="n">
        <v>174416.2</v>
      </c>
      <c r="AL23" s="110" t="n">
        <v>170006.72</v>
      </c>
      <c r="AM23" s="110" t="n">
        <v>4409.48</v>
      </c>
      <c r="AN23" s="110" t="n">
        <v>66717.24000000001</v>
      </c>
      <c r="AO23" s="110" t="n">
        <v>58789.24</v>
      </c>
      <c r="AP23" s="110" t="n">
        <v>7928</v>
      </c>
      <c r="AQ23" s="110" t="n">
        <v>6508711</v>
      </c>
      <c r="AR23" s="110" t="n">
        <v>5235305</v>
      </c>
      <c r="AS23" s="110" t="n">
        <v>5052673</v>
      </c>
      <c r="AT23" s="110" t="n">
        <v>182632</v>
      </c>
      <c r="AU23" s="110" t="n">
        <v>1273406</v>
      </c>
      <c r="AV23" s="110" t="n">
        <v>938075</v>
      </c>
      <c r="AW23" s="110" t="n">
        <v>335331</v>
      </c>
      <c r="AX23" s="110" t="n">
        <v>1136584</v>
      </c>
      <c r="AY23" s="110" t="n">
        <v>860993</v>
      </c>
      <c r="AZ23" s="110" t="n">
        <v>815178</v>
      </c>
      <c r="BA23" s="110" t="n">
        <v>45815</v>
      </c>
      <c r="BB23" s="110" t="n">
        <v>275591</v>
      </c>
      <c r="BC23" s="110" t="n">
        <v>194924</v>
      </c>
      <c r="BD23" s="110" t="n">
        <v>80667</v>
      </c>
      <c r="BE23" s="110" t="n">
        <v>13842597.08</v>
      </c>
      <c r="BF23" s="110" t="n">
        <v>8179826.11</v>
      </c>
      <c r="BG23" s="110" t="n">
        <v>7774940.22</v>
      </c>
      <c r="BH23" s="110" t="n">
        <v>404885.89</v>
      </c>
      <c r="BI23" s="110" t="n">
        <v>5662770.97</v>
      </c>
      <c r="BJ23" s="110" t="n">
        <v>5488858.16</v>
      </c>
      <c r="BK23" s="110" t="n">
        <v>173912.81</v>
      </c>
      <c r="BL23" s="110" t="n">
        <v>2285822.77</v>
      </c>
      <c r="BM23" s="110" t="n">
        <v>1221493.26</v>
      </c>
      <c r="BN23" s="110" t="n">
        <v>1176454.22</v>
      </c>
      <c r="BO23" s="110" t="n">
        <v>45039.04</v>
      </c>
      <c r="BP23" s="110" t="n">
        <v>1064329.51</v>
      </c>
      <c r="BQ23" s="110" t="n">
        <v>1040835.97</v>
      </c>
      <c r="BR23" s="110" t="n">
        <v>23493.54</v>
      </c>
      <c r="BS23" s="110" t="n">
        <v>2827303.06</v>
      </c>
      <c r="BT23" s="110" t="n">
        <v>1688094.6</v>
      </c>
      <c r="BU23" s="110" t="n">
        <v>1637779.5</v>
      </c>
      <c r="BV23" s="110" t="n">
        <v>50315.1</v>
      </c>
      <c r="BW23" s="110" t="n">
        <v>1139208.46</v>
      </c>
      <c r="BX23" s="110" t="n">
        <v>1082236.19</v>
      </c>
      <c r="BY23" s="110" t="n">
        <v>56972.27</v>
      </c>
      <c r="BZ23" s="110" t="n">
        <v>4277721</v>
      </c>
      <c r="CA23" s="110" t="n">
        <v>2513134</v>
      </c>
      <c r="CB23" s="110" t="n">
        <v>2411651</v>
      </c>
      <c r="CC23" s="110" t="n">
        <v>101483</v>
      </c>
      <c r="CD23" s="110" t="n">
        <v>1764587</v>
      </c>
      <c r="CE23" s="110" t="n">
        <v>1728330</v>
      </c>
      <c r="CF23" s="110" t="n">
        <v>36257</v>
      </c>
      <c r="CG23" s="110" t="n">
        <v>4451750.25</v>
      </c>
      <c r="CH23" s="110" t="n">
        <v>2757104.25</v>
      </c>
      <c r="CI23" s="110" t="n">
        <v>2549055.5</v>
      </c>
      <c r="CJ23" s="110" t="n">
        <v>208048.75</v>
      </c>
      <c r="CK23" s="110" t="n">
        <v>1694646</v>
      </c>
      <c r="CL23" s="110" t="n">
        <v>1637456</v>
      </c>
      <c r="CM23" s="110" t="n">
        <v>57190</v>
      </c>
      <c r="CN23" s="110" t="n">
        <v>-25</v>
      </c>
      <c r="CO23" s="110" t="n">
        <v>8434464.9</v>
      </c>
      <c r="CP23" s="110" t="n">
        <v>6997498.14</v>
      </c>
      <c r="CQ23" s="110" t="n">
        <v>0</v>
      </c>
      <c r="CR23" s="110" t="n">
        <v>1407440.5</v>
      </c>
      <c r="CS23" s="110" t="n">
        <v>124340.33</v>
      </c>
      <c r="CT23" s="110" t="n">
        <v>223498.36</v>
      </c>
      <c r="CU23" s="110" t="n">
        <v>0</v>
      </c>
      <c r="CV23" s="111" t="n">
        <v>20220</v>
      </c>
      <c r="CW23" s="111" t="n">
        <v>16549</v>
      </c>
      <c r="CX23" s="111" t="n">
        <v>15887</v>
      </c>
      <c r="CY23" s="111" t="n">
        <v>662</v>
      </c>
      <c r="CZ23" s="111" t="n">
        <v>3671</v>
      </c>
      <c r="DA23" s="111" t="n">
        <v>2598</v>
      </c>
      <c r="DB23" s="111" t="n">
        <v>1073</v>
      </c>
      <c r="DC23" s="111" t="n">
        <v>9174</v>
      </c>
      <c r="DD23" s="111" t="n">
        <v>58</v>
      </c>
      <c r="DE23" s="111" t="n">
        <v>7761</v>
      </c>
      <c r="DF23" s="111" t="n">
        <v>7541</v>
      </c>
      <c r="DG23" s="111" t="n">
        <v>220</v>
      </c>
      <c r="DH23" s="111" t="n">
        <v>1413</v>
      </c>
      <c r="DI23" s="111" t="n">
        <v>1070</v>
      </c>
      <c r="DJ23" s="111" t="n">
        <v>343</v>
      </c>
      <c r="DK23" s="111" t="n">
        <v>9588</v>
      </c>
      <c r="DL23" s="111" t="n">
        <v>7738</v>
      </c>
      <c r="DM23" s="111" t="n">
        <v>7354</v>
      </c>
      <c r="DN23" s="111" t="n">
        <v>384</v>
      </c>
      <c r="DO23" s="111" t="n">
        <v>1850</v>
      </c>
      <c r="DP23" s="111" t="n">
        <v>1254</v>
      </c>
      <c r="DQ23" s="111" t="n">
        <v>596</v>
      </c>
      <c r="DR23" s="111" t="n">
        <v>1400</v>
      </c>
      <c r="DS23" s="111" t="n">
        <v>0</v>
      </c>
      <c r="DT23" s="111" t="n">
        <v>992</v>
      </c>
      <c r="DU23" s="111" t="n">
        <v>935</v>
      </c>
      <c r="DV23" s="111" t="n">
        <v>57</v>
      </c>
      <c r="DW23" s="111" t="n">
        <v>408</v>
      </c>
      <c r="DX23" s="111" t="n">
        <v>274</v>
      </c>
      <c r="DY23" s="111" t="n">
        <v>134</v>
      </c>
      <c r="DZ23" s="111" t="n">
        <v>0</v>
      </c>
      <c r="EA23" s="111" t="n">
        <v>0</v>
      </c>
      <c r="EB23" s="111" t="n">
        <v>0</v>
      </c>
      <c r="EC23" s="111" t="n">
        <v>0</v>
      </c>
      <c r="ED23" s="111" t="n">
        <v>0</v>
      </c>
      <c r="EE23" s="111" t="n">
        <v>0</v>
      </c>
      <c r="EF23" s="111" t="n">
        <v>0</v>
      </c>
      <c r="EG23" s="111" t="n">
        <v>848</v>
      </c>
      <c r="EH23" s="111" t="n">
        <v>506</v>
      </c>
      <c r="EI23" s="111" t="n">
        <v>489</v>
      </c>
      <c r="EJ23" s="111" t="n">
        <v>17</v>
      </c>
      <c r="EK23" s="111" t="n">
        <v>342</v>
      </c>
      <c r="EL23" s="111" t="n">
        <v>332</v>
      </c>
      <c r="EM23" s="111" t="n">
        <v>10</v>
      </c>
      <c r="EN23" s="111" t="n">
        <v>805</v>
      </c>
      <c r="EO23" s="111" t="n">
        <v>704</v>
      </c>
      <c r="EP23" s="111" t="n">
        <v>0</v>
      </c>
      <c r="EQ23" s="111" t="n">
        <v>101</v>
      </c>
      <c r="ER23" s="111" t="n">
        <v>0</v>
      </c>
      <c r="ES23" s="111" t="n">
        <v>0</v>
      </c>
      <c r="ET23" s="111" t="n">
        <v>0</v>
      </c>
      <c r="EU23" s="111" t="n">
        <v>554</v>
      </c>
      <c r="EV23" s="111" t="n">
        <v>554</v>
      </c>
      <c r="EW23" s="111" t="n">
        <v>0</v>
      </c>
      <c r="EX23" s="111" t="n">
        <v>0</v>
      </c>
      <c r="EY23" s="111" t="n">
        <v>13</v>
      </c>
      <c r="EZ23" s="111" t="n">
        <v>13</v>
      </c>
      <c r="FA23" s="111" t="n">
        <v>0</v>
      </c>
      <c r="FB23" s="111" t="n">
        <v>246</v>
      </c>
    </row>
    <row r="24" ht="19.5" customHeight="1" s="247">
      <c r="A24" s="107" t="n">
        <v>21</v>
      </c>
      <c r="B24" s="107" t="inlineStr">
        <is>
          <t>成人手术</t>
        </is>
      </c>
      <c r="C24" s="107" t="inlineStr">
        <is>
          <t>介入血管外科</t>
        </is>
      </c>
      <c r="D24" s="110" t="n">
        <v>9650704.75</v>
      </c>
      <c r="E24" s="110" t="n">
        <v>1386916</v>
      </c>
      <c r="F24" s="110" t="n">
        <v>8263788.75</v>
      </c>
      <c r="G24" s="110" t="n">
        <v>6817</v>
      </c>
      <c r="H24" s="110" t="n">
        <v>1338</v>
      </c>
      <c r="I24" s="110" t="n">
        <v>2532</v>
      </c>
      <c r="J24" s="110" t="n">
        <v>667</v>
      </c>
      <c r="K24" s="110" t="n">
        <v>0</v>
      </c>
      <c r="L24" s="110" t="n">
        <v>1484275.5</v>
      </c>
      <c r="M24" s="110" t="n">
        <v>749946.75</v>
      </c>
      <c r="N24" s="110" t="n">
        <v>1012.5</v>
      </c>
      <c r="O24" s="110" t="n">
        <v>70465175.66</v>
      </c>
      <c r="P24" s="110" t="n">
        <v>50621993.97</v>
      </c>
      <c r="Q24" s="110" t="n">
        <v>50151755.17</v>
      </c>
      <c r="R24" s="110" t="n">
        <v>470238.8</v>
      </c>
      <c r="S24" s="110" t="n">
        <v>19843181.69</v>
      </c>
      <c r="T24" s="110" t="n">
        <v>19243251.18</v>
      </c>
      <c r="U24" s="110" t="n">
        <v>599930.51</v>
      </c>
      <c r="V24" s="110" t="n">
        <v>2800027.4</v>
      </c>
      <c r="W24" s="110" t="n">
        <v>2396153.66</v>
      </c>
      <c r="X24" s="110" t="n">
        <v>2300094.86</v>
      </c>
      <c r="Y24" s="110" t="n">
        <v>96058.8</v>
      </c>
      <c r="Z24" s="110" t="n">
        <v>403873.74</v>
      </c>
      <c r="AA24" s="110" t="n">
        <v>293708.01</v>
      </c>
      <c r="AB24" s="110" t="n">
        <v>110165.73</v>
      </c>
      <c r="AC24" s="110" t="n">
        <v>1406053.5</v>
      </c>
      <c r="AD24" s="110" t="n">
        <v>1246837.76</v>
      </c>
      <c r="AE24" s="110" t="n">
        <v>1214436.96</v>
      </c>
      <c r="AF24" s="110" t="n">
        <v>32400.8</v>
      </c>
      <c r="AG24" s="110" t="n">
        <v>159215.74</v>
      </c>
      <c r="AH24" s="110" t="n">
        <v>116289.01</v>
      </c>
      <c r="AI24" s="110" t="n">
        <v>42926.73</v>
      </c>
      <c r="AJ24" s="110" t="n">
        <v>7057.9</v>
      </c>
      <c r="AK24" s="110" t="n">
        <v>5681.9</v>
      </c>
      <c r="AL24" s="110" t="n">
        <v>5337.9</v>
      </c>
      <c r="AM24" s="110" t="n">
        <v>344</v>
      </c>
      <c r="AN24" s="110" t="n">
        <v>1376</v>
      </c>
      <c r="AO24" s="110" t="n">
        <v>989</v>
      </c>
      <c r="AP24" s="110" t="n">
        <v>387</v>
      </c>
      <c r="AQ24" s="110" t="n">
        <v>1114747</v>
      </c>
      <c r="AR24" s="110" t="n">
        <v>920615</v>
      </c>
      <c r="AS24" s="110" t="n">
        <v>868808</v>
      </c>
      <c r="AT24" s="110" t="n">
        <v>51807</v>
      </c>
      <c r="AU24" s="110" t="n">
        <v>194132</v>
      </c>
      <c r="AV24" s="110" t="n">
        <v>141215</v>
      </c>
      <c r="AW24" s="110" t="n">
        <v>52917</v>
      </c>
      <c r="AX24" s="110" t="n">
        <v>272169</v>
      </c>
      <c r="AY24" s="110" t="n">
        <v>223019</v>
      </c>
      <c r="AZ24" s="110" t="n">
        <v>211512</v>
      </c>
      <c r="BA24" s="110" t="n">
        <v>11507</v>
      </c>
      <c r="BB24" s="110" t="n">
        <v>49150</v>
      </c>
      <c r="BC24" s="110" t="n">
        <v>35215</v>
      </c>
      <c r="BD24" s="110" t="n">
        <v>13935</v>
      </c>
      <c r="BE24" s="110" t="n">
        <v>67665148.26000001</v>
      </c>
      <c r="BF24" s="110" t="n">
        <v>48225840.31</v>
      </c>
      <c r="BG24" s="110" t="n">
        <v>47851660.31</v>
      </c>
      <c r="BH24" s="110" t="n">
        <v>374180</v>
      </c>
      <c r="BI24" s="110" t="n">
        <v>19439307.95</v>
      </c>
      <c r="BJ24" s="110" t="n">
        <v>18949543.17</v>
      </c>
      <c r="BK24" s="110" t="n">
        <v>489764.78</v>
      </c>
      <c r="BL24" s="110" t="n">
        <v>3437766.81</v>
      </c>
      <c r="BM24" s="110" t="n">
        <v>2309954.72</v>
      </c>
      <c r="BN24" s="110" t="n">
        <v>2299767.3</v>
      </c>
      <c r="BO24" s="110" t="n">
        <v>10187.42</v>
      </c>
      <c r="BP24" s="110" t="n">
        <v>1127812.09</v>
      </c>
      <c r="BQ24" s="110" t="n">
        <v>1098989.29</v>
      </c>
      <c r="BR24" s="110" t="n">
        <v>28822.8</v>
      </c>
      <c r="BS24" s="110" t="n">
        <v>55963592.7</v>
      </c>
      <c r="BT24" s="110" t="n">
        <v>40352035.94</v>
      </c>
      <c r="BU24" s="110" t="n">
        <v>40044470.36</v>
      </c>
      <c r="BV24" s="110" t="n">
        <v>307565.58</v>
      </c>
      <c r="BW24" s="110" t="n">
        <v>15611556.76</v>
      </c>
      <c r="BX24" s="110" t="n">
        <v>15278266.28</v>
      </c>
      <c r="BY24" s="110" t="n">
        <v>333290.48</v>
      </c>
      <c r="BZ24" s="110" t="n">
        <v>5064565</v>
      </c>
      <c r="CA24" s="110" t="n">
        <v>3426591</v>
      </c>
      <c r="CB24" s="110" t="n">
        <v>3393272</v>
      </c>
      <c r="CC24" s="110" t="n">
        <v>33319</v>
      </c>
      <c r="CD24" s="110" t="n">
        <v>1637974</v>
      </c>
      <c r="CE24" s="110" t="n">
        <v>1555035</v>
      </c>
      <c r="CF24" s="110" t="n">
        <v>82939</v>
      </c>
      <c r="CG24" s="110" t="n">
        <v>3199223.75</v>
      </c>
      <c r="CH24" s="110" t="n">
        <v>2137258.65</v>
      </c>
      <c r="CI24" s="110" t="n">
        <v>2114150.65</v>
      </c>
      <c r="CJ24" s="110" t="n">
        <v>23108</v>
      </c>
      <c r="CK24" s="110" t="n">
        <v>1061965.1</v>
      </c>
      <c r="CL24" s="110" t="n">
        <v>1017252.6</v>
      </c>
      <c r="CM24" s="110" t="n">
        <v>44712.5</v>
      </c>
      <c r="CN24" s="110" t="n">
        <v>0</v>
      </c>
      <c r="CO24" s="110" t="n">
        <v>11925.58</v>
      </c>
      <c r="CP24" s="110" t="n">
        <v>1768836.42</v>
      </c>
      <c r="CQ24" s="110" t="n">
        <v>1019265.4</v>
      </c>
      <c r="CR24" s="110" t="n">
        <v>0</v>
      </c>
      <c r="CS24" s="110" t="n">
        <v>0</v>
      </c>
      <c r="CT24" s="110" t="n">
        <v>356725.68</v>
      </c>
      <c r="CU24" s="110" t="n">
        <v>0</v>
      </c>
      <c r="CV24" s="111" t="n">
        <v>6817</v>
      </c>
      <c r="CW24" s="111" t="n">
        <v>5677</v>
      </c>
      <c r="CX24" s="111" t="n">
        <v>5396</v>
      </c>
      <c r="CY24" s="111" t="n">
        <v>281</v>
      </c>
      <c r="CZ24" s="111" t="n">
        <v>1140</v>
      </c>
      <c r="DA24" s="111" t="n">
        <v>808</v>
      </c>
      <c r="DB24" s="111" t="n">
        <v>332</v>
      </c>
      <c r="DC24" s="111" t="n">
        <v>2593</v>
      </c>
      <c r="DD24" s="111" t="n">
        <v>45</v>
      </c>
      <c r="DE24" s="111" t="n">
        <v>2274</v>
      </c>
      <c r="DF24" s="111" t="n">
        <v>2193</v>
      </c>
      <c r="DG24" s="111" t="n">
        <v>81</v>
      </c>
      <c r="DH24" s="111" t="n">
        <v>319</v>
      </c>
      <c r="DI24" s="111" t="n">
        <v>217</v>
      </c>
      <c r="DJ24" s="111" t="n">
        <v>102</v>
      </c>
      <c r="DK24" s="111" t="n">
        <v>4179</v>
      </c>
      <c r="DL24" s="111" t="n">
        <v>3363</v>
      </c>
      <c r="DM24" s="111" t="n">
        <v>3171</v>
      </c>
      <c r="DN24" s="111" t="n">
        <v>192</v>
      </c>
      <c r="DO24" s="111" t="n">
        <v>816</v>
      </c>
      <c r="DP24" s="111" t="n">
        <v>590</v>
      </c>
      <c r="DQ24" s="111" t="n">
        <v>226</v>
      </c>
      <c r="DR24" s="111" t="n">
        <v>0</v>
      </c>
      <c r="DS24" s="111" t="n">
        <v>0</v>
      </c>
      <c r="DT24" s="111" t="n">
        <v>0</v>
      </c>
      <c r="DU24" s="111" t="n">
        <v>0</v>
      </c>
      <c r="DV24" s="111" t="n">
        <v>0</v>
      </c>
      <c r="DW24" s="111" t="n">
        <v>0</v>
      </c>
      <c r="DX24" s="111" t="n">
        <v>0</v>
      </c>
      <c r="DY24" s="111" t="n">
        <v>0</v>
      </c>
      <c r="DZ24" s="111" t="n">
        <v>0</v>
      </c>
      <c r="EA24" s="111" t="n">
        <v>0</v>
      </c>
      <c r="EB24" s="111" t="n">
        <v>0</v>
      </c>
      <c r="EC24" s="111" t="n">
        <v>0</v>
      </c>
      <c r="ED24" s="111" t="n">
        <v>0</v>
      </c>
      <c r="EE24" s="111" t="n">
        <v>0</v>
      </c>
      <c r="EF24" s="111" t="n">
        <v>0</v>
      </c>
      <c r="EG24" s="111" t="n">
        <v>1338</v>
      </c>
      <c r="EH24" s="111" t="n">
        <v>900</v>
      </c>
      <c r="EI24" s="111" t="n">
        <v>887</v>
      </c>
      <c r="EJ24" s="111" t="n">
        <v>13</v>
      </c>
      <c r="EK24" s="111" t="n">
        <v>438</v>
      </c>
      <c r="EL24" s="111" t="n">
        <v>418</v>
      </c>
      <c r="EM24" s="111" t="n">
        <v>20</v>
      </c>
      <c r="EN24" s="111" t="n">
        <v>1605</v>
      </c>
      <c r="EO24" s="111" t="n">
        <v>459</v>
      </c>
      <c r="EP24" s="111" t="n">
        <v>852</v>
      </c>
      <c r="EQ24" s="111" t="n">
        <v>294</v>
      </c>
      <c r="ER24" s="111" t="n">
        <v>0</v>
      </c>
      <c r="ES24" s="111" t="n">
        <v>0</v>
      </c>
      <c r="ET24" s="111" t="n">
        <v>0</v>
      </c>
      <c r="EU24" s="111" t="n">
        <v>558</v>
      </c>
      <c r="EV24" s="111" t="n">
        <v>0</v>
      </c>
      <c r="EW24" s="111" t="n">
        <v>556</v>
      </c>
      <c r="EX24" s="111" t="n">
        <v>2</v>
      </c>
      <c r="EY24" s="111" t="n">
        <v>119</v>
      </c>
      <c r="EZ24" s="111" t="n">
        <v>0</v>
      </c>
      <c r="FA24" s="111" t="n">
        <v>119</v>
      </c>
      <c r="FB24" s="111" t="n">
        <v>424</v>
      </c>
    </row>
    <row r="25" ht="19.5" customHeight="1" s="247">
      <c r="A25" s="107" t="n">
        <v>22</v>
      </c>
      <c r="B25" s="107" t="inlineStr">
        <is>
          <t>成人手术</t>
        </is>
      </c>
      <c r="C25" s="107" t="inlineStr">
        <is>
          <t>妇产科</t>
        </is>
      </c>
      <c r="D25" s="110" t="n">
        <v>55694359.12</v>
      </c>
      <c r="E25" s="110" t="n">
        <v>23545246</v>
      </c>
      <c r="F25" s="110" t="n">
        <v>32149113.12</v>
      </c>
      <c r="G25" s="110" t="n">
        <v>62477</v>
      </c>
      <c r="H25" s="110" t="n">
        <v>4163</v>
      </c>
      <c r="I25" s="110" t="n">
        <v>360676</v>
      </c>
      <c r="J25" s="110" t="n">
        <v>40249</v>
      </c>
      <c r="K25" s="110" t="n">
        <v>163099.66</v>
      </c>
      <c r="L25" s="110" t="n">
        <v>2338782.77</v>
      </c>
      <c r="M25" s="110" t="n">
        <v>6240592.25</v>
      </c>
      <c r="N25" s="110" t="n">
        <v>15903.82</v>
      </c>
      <c r="O25" s="110" t="n">
        <v>78940343.81999999</v>
      </c>
      <c r="P25" s="110" t="n">
        <v>58583088.95</v>
      </c>
      <c r="Q25" s="110" t="n">
        <v>44809461.56</v>
      </c>
      <c r="R25" s="110" t="n">
        <v>13773627.39</v>
      </c>
      <c r="S25" s="110" t="n">
        <v>20357254.87</v>
      </c>
      <c r="T25" s="110" t="n">
        <v>13065564.36</v>
      </c>
      <c r="U25" s="110" t="n">
        <v>7291690.51</v>
      </c>
      <c r="V25" s="110" t="n">
        <v>29465621.68</v>
      </c>
      <c r="W25" s="110" t="n">
        <v>23425991.87</v>
      </c>
      <c r="X25" s="110" t="n">
        <v>16722627.45</v>
      </c>
      <c r="Y25" s="110" t="n">
        <v>6703364.42</v>
      </c>
      <c r="Z25" s="110" t="n">
        <v>6039629.81</v>
      </c>
      <c r="AA25" s="110" t="n">
        <v>2449207.74</v>
      </c>
      <c r="AB25" s="110" t="n">
        <v>3590422.07</v>
      </c>
      <c r="AC25" s="110" t="n">
        <v>5866416.89</v>
      </c>
      <c r="AD25" s="110" t="n">
        <v>4889112.75</v>
      </c>
      <c r="AE25" s="110" t="n">
        <v>4550182.84</v>
      </c>
      <c r="AF25" s="110" t="n">
        <v>338929.91</v>
      </c>
      <c r="AG25" s="110" t="n">
        <v>977304.14</v>
      </c>
      <c r="AH25" s="110" t="n">
        <v>627836.91</v>
      </c>
      <c r="AI25" s="110" t="n">
        <v>349467.23</v>
      </c>
      <c r="AJ25" s="110" t="n">
        <v>53958.79</v>
      </c>
      <c r="AK25" s="110" t="n">
        <v>40853.12</v>
      </c>
      <c r="AL25" s="110" t="n">
        <v>32441.61</v>
      </c>
      <c r="AM25" s="110" t="n">
        <v>8411.51</v>
      </c>
      <c r="AN25" s="110" t="n">
        <v>13105.67</v>
      </c>
      <c r="AO25" s="110" t="n">
        <v>5970.83</v>
      </c>
      <c r="AP25" s="110" t="n">
        <v>7134.84</v>
      </c>
      <c r="AQ25" s="110" t="n">
        <v>20139772.5</v>
      </c>
      <c r="AR25" s="110" t="n">
        <v>15816663</v>
      </c>
      <c r="AS25" s="110" t="n">
        <v>10372183.5</v>
      </c>
      <c r="AT25" s="110" t="n">
        <v>5444479.5</v>
      </c>
      <c r="AU25" s="110" t="n">
        <v>4323109.5</v>
      </c>
      <c r="AV25" s="110" t="n">
        <v>1549361.5</v>
      </c>
      <c r="AW25" s="110" t="n">
        <v>2773748</v>
      </c>
      <c r="AX25" s="110" t="n">
        <v>3405473.5</v>
      </c>
      <c r="AY25" s="110" t="n">
        <v>2679363</v>
      </c>
      <c r="AZ25" s="110" t="n">
        <v>1767819.5</v>
      </c>
      <c r="BA25" s="110" t="n">
        <v>911543.5</v>
      </c>
      <c r="BB25" s="110" t="n">
        <v>726110.5</v>
      </c>
      <c r="BC25" s="110" t="n">
        <v>266038.5</v>
      </c>
      <c r="BD25" s="110" t="n">
        <v>460072</v>
      </c>
      <c r="BE25" s="110" t="n">
        <v>49474722.14</v>
      </c>
      <c r="BF25" s="110" t="n">
        <v>35157097.08</v>
      </c>
      <c r="BG25" s="110" t="n">
        <v>28086834.11</v>
      </c>
      <c r="BH25" s="110" t="n">
        <v>7070262.97</v>
      </c>
      <c r="BI25" s="110" t="n">
        <v>14317625.06</v>
      </c>
      <c r="BJ25" s="110" t="n">
        <v>10616356.62</v>
      </c>
      <c r="BK25" s="110" t="n">
        <v>3701268.44</v>
      </c>
      <c r="BL25" s="110" t="n">
        <v>8017111.66</v>
      </c>
      <c r="BM25" s="110" t="n">
        <v>5515623.35</v>
      </c>
      <c r="BN25" s="110" t="n">
        <v>4629297.01</v>
      </c>
      <c r="BO25" s="110" t="n">
        <v>886326.34</v>
      </c>
      <c r="BP25" s="110" t="n">
        <v>2501488.31</v>
      </c>
      <c r="BQ25" s="110" t="n">
        <v>2059870.1</v>
      </c>
      <c r="BR25" s="110" t="n">
        <v>441618.21</v>
      </c>
      <c r="BS25" s="110" t="n">
        <v>9308497.359999999</v>
      </c>
      <c r="BT25" s="110" t="n">
        <v>6697633.11</v>
      </c>
      <c r="BU25" s="110" t="n">
        <v>5740695.58</v>
      </c>
      <c r="BV25" s="110" t="n">
        <v>956937.53</v>
      </c>
      <c r="BW25" s="110" t="n">
        <v>2610864.25</v>
      </c>
      <c r="BX25" s="110" t="n">
        <v>2142076.02</v>
      </c>
      <c r="BY25" s="110" t="n">
        <v>468788.23</v>
      </c>
      <c r="BZ25" s="110" t="n">
        <v>11613764</v>
      </c>
      <c r="CA25" s="110" t="n">
        <v>8119738.75</v>
      </c>
      <c r="CB25" s="110" t="n">
        <v>7129629.75</v>
      </c>
      <c r="CC25" s="110" t="n">
        <v>990109</v>
      </c>
      <c r="CD25" s="110" t="n">
        <v>3494025.25</v>
      </c>
      <c r="CE25" s="110" t="n">
        <v>2700096</v>
      </c>
      <c r="CF25" s="110" t="n">
        <v>793929.25</v>
      </c>
      <c r="CG25" s="110" t="n">
        <v>20535349.12</v>
      </c>
      <c r="CH25" s="110" t="n">
        <v>14824101.87</v>
      </c>
      <c r="CI25" s="110" t="n">
        <v>10587211.77</v>
      </c>
      <c r="CJ25" s="110" t="n">
        <v>4236890.1</v>
      </c>
      <c r="CK25" s="110" t="n">
        <v>5711247.25</v>
      </c>
      <c r="CL25" s="110" t="n">
        <v>3714314.5</v>
      </c>
      <c r="CM25" s="110" t="n">
        <v>1996932.75</v>
      </c>
      <c r="CN25" s="110" t="n">
        <v>612668.27</v>
      </c>
      <c r="CO25" s="110" t="n">
        <v>10304136.76</v>
      </c>
      <c r="CP25" s="110" t="n">
        <v>10742510.81</v>
      </c>
      <c r="CQ25" s="110" t="n">
        <v>3776062.31</v>
      </c>
      <c r="CR25" s="110" t="n">
        <v>3915225.61</v>
      </c>
      <c r="CS25" s="110" t="n">
        <v>113592.92</v>
      </c>
      <c r="CT25" s="110" t="n">
        <v>145672.36</v>
      </c>
      <c r="CU25" s="110" t="n">
        <v>0</v>
      </c>
      <c r="CV25" s="111" t="n">
        <v>62477</v>
      </c>
      <c r="CW25" s="111" t="n">
        <v>51330</v>
      </c>
      <c r="CX25" s="111" t="n">
        <v>39993</v>
      </c>
      <c r="CY25" s="111" t="n">
        <v>11337</v>
      </c>
      <c r="CZ25" s="111" t="n">
        <v>11147</v>
      </c>
      <c r="DA25" s="111" t="n">
        <v>4574</v>
      </c>
      <c r="DB25" s="111" t="n">
        <v>6573</v>
      </c>
      <c r="DC25" s="111" t="n">
        <v>36440</v>
      </c>
      <c r="DD25" s="111" t="n">
        <v>377</v>
      </c>
      <c r="DE25" s="111" t="n">
        <v>30901</v>
      </c>
      <c r="DF25" s="111" t="n">
        <v>25404</v>
      </c>
      <c r="DG25" s="111" t="n">
        <v>5497</v>
      </c>
      <c r="DH25" s="111" t="n">
        <v>5539</v>
      </c>
      <c r="DI25" s="111" t="n">
        <v>2032</v>
      </c>
      <c r="DJ25" s="111" t="n">
        <v>3507</v>
      </c>
      <c r="DK25" s="111" t="n">
        <v>19780</v>
      </c>
      <c r="DL25" s="111" t="n">
        <v>15579</v>
      </c>
      <c r="DM25" s="111" t="n">
        <v>12042</v>
      </c>
      <c r="DN25" s="111" t="n">
        <v>3537</v>
      </c>
      <c r="DO25" s="111" t="n">
        <v>4201</v>
      </c>
      <c r="DP25" s="111" t="n">
        <v>2167</v>
      </c>
      <c r="DQ25" s="111" t="n">
        <v>2034</v>
      </c>
      <c r="DR25" s="111" t="n">
        <v>4132</v>
      </c>
      <c r="DS25" s="111" t="n">
        <v>0</v>
      </c>
      <c r="DT25" s="111" t="n">
        <v>3084</v>
      </c>
      <c r="DU25" s="111" t="n">
        <v>1295</v>
      </c>
      <c r="DV25" s="111" t="n">
        <v>1789</v>
      </c>
      <c r="DW25" s="111" t="n">
        <v>1048</v>
      </c>
      <c r="DX25" s="111" t="n">
        <v>295</v>
      </c>
      <c r="DY25" s="111" t="n">
        <v>753</v>
      </c>
      <c r="DZ25" s="111" t="n">
        <v>1748</v>
      </c>
      <c r="EA25" s="111" t="n">
        <v>1396</v>
      </c>
      <c r="EB25" s="111" t="n">
        <v>885</v>
      </c>
      <c r="EC25" s="111" t="n">
        <v>511</v>
      </c>
      <c r="ED25" s="111" t="n">
        <v>352</v>
      </c>
      <c r="EE25" s="111" t="n">
        <v>78</v>
      </c>
      <c r="EF25" s="111" t="n">
        <v>274</v>
      </c>
      <c r="EG25" s="111" t="n">
        <v>4163</v>
      </c>
      <c r="EH25" s="111" t="n">
        <v>3117</v>
      </c>
      <c r="EI25" s="111" t="n">
        <v>2746</v>
      </c>
      <c r="EJ25" s="111" t="n">
        <v>371</v>
      </c>
      <c r="EK25" s="111" t="n">
        <v>1046</v>
      </c>
      <c r="EL25" s="111" t="n">
        <v>853</v>
      </c>
      <c r="EM25" s="111" t="n">
        <v>193</v>
      </c>
      <c r="EN25" s="111" t="n">
        <v>3707</v>
      </c>
      <c r="EO25" s="111" t="n">
        <v>2177</v>
      </c>
      <c r="EP25" s="111" t="n">
        <v>0</v>
      </c>
      <c r="EQ25" s="111" t="n">
        <v>1530</v>
      </c>
      <c r="ER25" s="111" t="n">
        <v>466</v>
      </c>
      <c r="ES25" s="111" t="n">
        <v>0</v>
      </c>
      <c r="ET25" s="111" t="n">
        <v>0</v>
      </c>
      <c r="EU25" s="111" t="n">
        <v>1242</v>
      </c>
      <c r="EV25" s="111" t="n">
        <v>1236</v>
      </c>
      <c r="EW25" s="111" t="n">
        <v>0</v>
      </c>
      <c r="EX25" s="111" t="n">
        <v>6</v>
      </c>
      <c r="EY25" s="111" t="n">
        <v>255</v>
      </c>
      <c r="EZ25" s="111" t="n">
        <v>255</v>
      </c>
      <c r="FA25" s="111" t="n">
        <v>0</v>
      </c>
      <c r="FB25" s="111" t="n">
        <v>1158</v>
      </c>
    </row>
    <row r="26" ht="19.5" customHeight="1" s="247">
      <c r="A26" s="107" t="n">
        <v>23</v>
      </c>
      <c r="B26" s="107" t="inlineStr">
        <is>
          <t>儿童非手术</t>
        </is>
      </c>
      <c r="C26" s="107" t="inlineStr">
        <is>
          <t>儿内科</t>
        </is>
      </c>
      <c r="D26" s="110" t="n">
        <v>8052816</v>
      </c>
      <c r="E26" s="110" t="n">
        <v>8052763</v>
      </c>
      <c r="F26" s="110" t="n">
        <v>53</v>
      </c>
      <c r="G26" s="110" t="n">
        <v>44738</v>
      </c>
      <c r="H26" s="110" t="n">
        <v>0</v>
      </c>
      <c r="I26" s="110" t="n">
        <v>158488</v>
      </c>
      <c r="J26" s="110" t="n">
        <v>0</v>
      </c>
      <c r="K26" s="110" t="n">
        <v>0</v>
      </c>
      <c r="L26" s="110" t="n">
        <v>8</v>
      </c>
      <c r="M26" s="110" t="n">
        <v>0</v>
      </c>
      <c r="N26" s="110" t="n">
        <v>0</v>
      </c>
      <c r="O26" s="110" t="n">
        <v>18394633.97</v>
      </c>
      <c r="P26" s="110" t="n">
        <v>17374835.57</v>
      </c>
      <c r="Q26" s="110" t="n">
        <v>16228743.57</v>
      </c>
      <c r="R26" s="110" t="n">
        <v>1146092</v>
      </c>
      <c r="S26" s="110" t="n">
        <v>1019798.4</v>
      </c>
      <c r="T26" s="110" t="n">
        <v>362930.76</v>
      </c>
      <c r="U26" s="110" t="n">
        <v>656867.64</v>
      </c>
      <c r="V26" s="110" t="n">
        <v>18394580.97</v>
      </c>
      <c r="W26" s="110" t="n">
        <v>17374835.57</v>
      </c>
      <c r="X26" s="110" t="n">
        <v>16228743.57</v>
      </c>
      <c r="Y26" s="110" t="n">
        <v>1146092</v>
      </c>
      <c r="Z26" s="110" t="n">
        <v>1019745.4</v>
      </c>
      <c r="AA26" s="110" t="n">
        <v>362877.76</v>
      </c>
      <c r="AB26" s="110" t="n">
        <v>656867.64</v>
      </c>
      <c r="AC26" s="110" t="n">
        <v>9983403.609999999</v>
      </c>
      <c r="AD26" s="110" t="n">
        <v>9484482.76</v>
      </c>
      <c r="AE26" s="110" t="n">
        <v>8913917.26</v>
      </c>
      <c r="AF26" s="110" t="n">
        <v>570565.5</v>
      </c>
      <c r="AG26" s="110" t="n">
        <v>498920.85</v>
      </c>
      <c r="AH26" s="110" t="n">
        <v>176370.25</v>
      </c>
      <c r="AI26" s="110" t="n">
        <v>322550.6</v>
      </c>
      <c r="AJ26" s="110" t="n">
        <v>358414.36</v>
      </c>
      <c r="AK26" s="110" t="n">
        <v>332245.81</v>
      </c>
      <c r="AL26" s="110" t="n">
        <v>305689.31</v>
      </c>
      <c r="AM26" s="110" t="n">
        <v>26556.5</v>
      </c>
      <c r="AN26" s="110" t="n">
        <v>26168.55</v>
      </c>
      <c r="AO26" s="110" t="n">
        <v>11362.51</v>
      </c>
      <c r="AP26" s="110" t="n">
        <v>14806.04</v>
      </c>
      <c r="AQ26" s="110" t="n">
        <v>6704301</v>
      </c>
      <c r="AR26" s="110" t="n">
        <v>6306906</v>
      </c>
      <c r="AS26" s="110" t="n">
        <v>5865135</v>
      </c>
      <c r="AT26" s="110" t="n">
        <v>441771</v>
      </c>
      <c r="AU26" s="110" t="n">
        <v>397395</v>
      </c>
      <c r="AV26" s="110" t="n">
        <v>138508</v>
      </c>
      <c r="AW26" s="110" t="n">
        <v>258887</v>
      </c>
      <c r="AX26" s="110" t="n">
        <v>1348462</v>
      </c>
      <c r="AY26" s="110" t="n">
        <v>1251201</v>
      </c>
      <c r="AZ26" s="110" t="n">
        <v>1144002</v>
      </c>
      <c r="BA26" s="110" t="n">
        <v>107199</v>
      </c>
      <c r="BB26" s="110" t="n">
        <v>97261</v>
      </c>
      <c r="BC26" s="110" t="n">
        <v>36637</v>
      </c>
      <c r="BD26" s="110" t="n">
        <v>60624</v>
      </c>
      <c r="BE26" s="110" t="n">
        <v>53</v>
      </c>
      <c r="BF26" s="110" t="n">
        <v>0</v>
      </c>
      <c r="BG26" s="110" t="n">
        <v>0</v>
      </c>
      <c r="BH26" s="110" t="n">
        <v>0</v>
      </c>
      <c r="BI26" s="110" t="n">
        <v>53</v>
      </c>
      <c r="BJ26" s="110" t="n">
        <v>53</v>
      </c>
      <c r="BK26" s="110" t="n">
        <v>0</v>
      </c>
      <c r="BL26" s="110" t="n">
        <v>0</v>
      </c>
      <c r="BM26" s="110" t="n">
        <v>0</v>
      </c>
      <c r="BN26" s="110" t="n">
        <v>0</v>
      </c>
      <c r="BO26" s="110" t="n">
        <v>0</v>
      </c>
      <c r="BP26" s="110" t="n">
        <v>0</v>
      </c>
      <c r="BQ26" s="110" t="n">
        <v>0</v>
      </c>
      <c r="BR26" s="110" t="n">
        <v>0</v>
      </c>
      <c r="BS26" s="110" t="n">
        <v>0</v>
      </c>
      <c r="BT26" s="110" t="n">
        <v>0</v>
      </c>
      <c r="BU26" s="110" t="n">
        <v>0</v>
      </c>
      <c r="BV26" s="110" t="n">
        <v>0</v>
      </c>
      <c r="BW26" s="110" t="n">
        <v>0</v>
      </c>
      <c r="BX26" s="110" t="n">
        <v>0</v>
      </c>
      <c r="BY26" s="110" t="n">
        <v>0</v>
      </c>
      <c r="BZ26" s="110" t="n">
        <v>0</v>
      </c>
      <c r="CA26" s="110" t="n">
        <v>0</v>
      </c>
      <c r="CB26" s="110" t="n">
        <v>0</v>
      </c>
      <c r="CC26" s="110" t="n">
        <v>0</v>
      </c>
      <c r="CD26" s="110" t="n">
        <v>0</v>
      </c>
      <c r="CE26" s="110" t="n">
        <v>0</v>
      </c>
      <c r="CF26" s="110" t="n">
        <v>0</v>
      </c>
      <c r="CG26" s="110" t="n">
        <v>53</v>
      </c>
      <c r="CH26" s="110" t="n">
        <v>0</v>
      </c>
      <c r="CI26" s="110" t="n">
        <v>0</v>
      </c>
      <c r="CJ26" s="110" t="n">
        <v>0</v>
      </c>
      <c r="CK26" s="110" t="n">
        <v>53</v>
      </c>
      <c r="CL26" s="110" t="n">
        <v>53</v>
      </c>
      <c r="CM26" s="110" t="n">
        <v>0</v>
      </c>
      <c r="CN26" s="110" t="n">
        <v>1459600.09</v>
      </c>
      <c r="CO26" s="110" t="n">
        <v>16815996.02</v>
      </c>
      <c r="CP26" s="110" t="n">
        <v>74555.62</v>
      </c>
      <c r="CQ26" s="110" t="n">
        <v>8409.74</v>
      </c>
      <c r="CR26" s="110" t="n">
        <v>35934.5</v>
      </c>
      <c r="CS26" s="110" t="n">
        <v>0</v>
      </c>
      <c r="CT26" s="110" t="n">
        <v>0</v>
      </c>
      <c r="CU26" s="110" t="n">
        <v>0</v>
      </c>
      <c r="CV26" s="111" t="n">
        <v>44738</v>
      </c>
      <c r="CW26" s="111" t="n">
        <v>41706</v>
      </c>
      <c r="CX26" s="111" t="n">
        <v>38247</v>
      </c>
      <c r="CY26" s="111" t="n">
        <v>3459</v>
      </c>
      <c r="CZ26" s="111" t="n">
        <v>3032</v>
      </c>
      <c r="DA26" s="111" t="n">
        <v>1132</v>
      </c>
      <c r="DB26" s="111" t="n">
        <v>1900</v>
      </c>
      <c r="DC26" s="111" t="n">
        <v>40639</v>
      </c>
      <c r="DD26" s="111" t="n">
        <v>1</v>
      </c>
      <c r="DE26" s="111" t="n">
        <v>37998</v>
      </c>
      <c r="DF26" s="111" t="n">
        <v>35066</v>
      </c>
      <c r="DG26" s="111" t="n">
        <v>2932</v>
      </c>
      <c r="DH26" s="111" t="n">
        <v>2641</v>
      </c>
      <c r="DI26" s="111" t="n">
        <v>977</v>
      </c>
      <c r="DJ26" s="111" t="n">
        <v>1664</v>
      </c>
      <c r="DK26" s="111" t="n">
        <v>398</v>
      </c>
      <c r="DL26" s="111" t="n">
        <v>340</v>
      </c>
      <c r="DM26" s="111" t="n">
        <v>269</v>
      </c>
      <c r="DN26" s="111" t="n">
        <v>71</v>
      </c>
      <c r="DO26" s="111" t="n">
        <v>58</v>
      </c>
      <c r="DP26" s="111" t="n">
        <v>13</v>
      </c>
      <c r="DQ26" s="111" t="n">
        <v>45</v>
      </c>
      <c r="DR26" s="111" t="n">
        <v>75</v>
      </c>
      <c r="DS26" s="111" t="n">
        <v>3</v>
      </c>
      <c r="DT26" s="111" t="n">
        <v>60</v>
      </c>
      <c r="DU26" s="111" t="n">
        <v>44</v>
      </c>
      <c r="DV26" s="111" t="n">
        <v>16</v>
      </c>
      <c r="DW26" s="111" t="n">
        <v>15</v>
      </c>
      <c r="DX26" s="111" t="n">
        <v>3</v>
      </c>
      <c r="DY26" s="111" t="n">
        <v>12</v>
      </c>
      <c r="DZ26" s="111" t="n">
        <v>3622</v>
      </c>
      <c r="EA26" s="111" t="n">
        <v>3307</v>
      </c>
      <c r="EB26" s="111" t="n">
        <v>2868</v>
      </c>
      <c r="EC26" s="111" t="n">
        <v>439</v>
      </c>
      <c r="ED26" s="111" t="n">
        <v>315</v>
      </c>
      <c r="EE26" s="111" t="n">
        <v>139</v>
      </c>
      <c r="EF26" s="111" t="n">
        <v>176</v>
      </c>
      <c r="EG26" s="111" t="n">
        <v>0</v>
      </c>
      <c r="EH26" s="111" t="n">
        <v>0</v>
      </c>
      <c r="EI26" s="111" t="n">
        <v>0</v>
      </c>
      <c r="EJ26" s="111" t="n">
        <v>0</v>
      </c>
      <c r="EK26" s="111" t="n">
        <v>0</v>
      </c>
      <c r="EL26" s="111" t="n">
        <v>0</v>
      </c>
      <c r="EM26" s="111" t="n">
        <v>0</v>
      </c>
      <c r="EN26" s="111" t="n">
        <v>0</v>
      </c>
      <c r="EO26" s="111" t="n">
        <v>0</v>
      </c>
      <c r="EP26" s="111" t="n">
        <v>0</v>
      </c>
      <c r="EQ26" s="111" t="n">
        <v>0</v>
      </c>
      <c r="ER26" s="111" t="n">
        <v>0</v>
      </c>
      <c r="ES26" s="111" t="n">
        <v>0</v>
      </c>
      <c r="ET26" s="111" t="n">
        <v>0</v>
      </c>
      <c r="EU26" s="111" t="n">
        <v>0</v>
      </c>
      <c r="EV26" s="111" t="n">
        <v>0</v>
      </c>
      <c r="EW26" s="111" t="n">
        <v>0</v>
      </c>
      <c r="EX26" s="111" t="n">
        <v>0</v>
      </c>
      <c r="EY26" s="111" t="n">
        <v>0</v>
      </c>
      <c r="EZ26" s="111" t="n">
        <v>0</v>
      </c>
      <c r="FA26" s="111" t="n">
        <v>0</v>
      </c>
      <c r="FB26" s="111" t="n">
        <v>0</v>
      </c>
    </row>
    <row r="27" ht="19.5" customHeight="1" s="247">
      <c r="A27" s="107" t="n">
        <v>24</v>
      </c>
      <c r="B27" s="107" t="inlineStr">
        <is>
          <t>儿童非手术</t>
        </is>
      </c>
      <c r="C27" s="107" t="inlineStr">
        <is>
          <t>儿消化营养科</t>
        </is>
      </c>
      <c r="D27" s="110" t="n">
        <v>11948313</v>
      </c>
      <c r="E27" s="110" t="n">
        <v>6144973</v>
      </c>
      <c r="F27" s="110" t="n">
        <v>5803340</v>
      </c>
      <c r="G27" s="110" t="n">
        <v>22834</v>
      </c>
      <c r="H27" s="110" t="n">
        <v>584</v>
      </c>
      <c r="I27" s="110" t="n">
        <v>56524</v>
      </c>
      <c r="J27" s="110" t="n">
        <v>5792</v>
      </c>
      <c r="K27" s="110" t="n">
        <v>0</v>
      </c>
      <c r="L27" s="110" t="n">
        <v>302777.5</v>
      </c>
      <c r="M27" s="110" t="n">
        <v>386162</v>
      </c>
      <c r="N27" s="110" t="n">
        <v>480.613</v>
      </c>
      <c r="O27" s="110" t="n">
        <v>18602748.523</v>
      </c>
      <c r="P27" s="110" t="n">
        <v>11741812.98</v>
      </c>
      <c r="Q27" s="110" t="n">
        <v>10475237.03</v>
      </c>
      <c r="R27" s="110" t="n">
        <v>1266575.95</v>
      </c>
      <c r="S27" s="110" t="n">
        <v>6860935.543</v>
      </c>
      <c r="T27" s="110" t="n">
        <v>4487529.523</v>
      </c>
      <c r="U27" s="110" t="n">
        <v>2373406.02</v>
      </c>
      <c r="V27" s="110" t="n">
        <v>9539645.73</v>
      </c>
      <c r="W27" s="110" t="n">
        <v>8565971.51</v>
      </c>
      <c r="X27" s="110" t="n">
        <v>7684011.69</v>
      </c>
      <c r="Y27" s="110" t="n">
        <v>881959.8199999999</v>
      </c>
      <c r="Z27" s="110" t="n">
        <v>973674.22</v>
      </c>
      <c r="AA27" s="110" t="n">
        <v>359396.43</v>
      </c>
      <c r="AB27" s="110" t="n">
        <v>614277.79</v>
      </c>
      <c r="AC27" s="110" t="n">
        <v>3257273.64</v>
      </c>
      <c r="AD27" s="110" t="n">
        <v>2975836.64</v>
      </c>
      <c r="AE27" s="110" t="n">
        <v>2707852.69</v>
      </c>
      <c r="AF27" s="110" t="n">
        <v>267983.95</v>
      </c>
      <c r="AG27" s="110" t="n">
        <v>281437</v>
      </c>
      <c r="AH27" s="110" t="n">
        <v>106269.65</v>
      </c>
      <c r="AI27" s="110" t="n">
        <v>175167.35</v>
      </c>
      <c r="AJ27" s="110" t="n">
        <v>137399.09</v>
      </c>
      <c r="AK27" s="110" t="n">
        <v>122330.87</v>
      </c>
      <c r="AL27" s="110" t="n">
        <v>109954</v>
      </c>
      <c r="AM27" s="110" t="n">
        <v>12376.87</v>
      </c>
      <c r="AN27" s="110" t="n">
        <v>15068.22</v>
      </c>
      <c r="AO27" s="110" t="n">
        <v>6117.78</v>
      </c>
      <c r="AP27" s="110" t="n">
        <v>8950.440000000001</v>
      </c>
      <c r="AQ27" s="110" t="n">
        <v>4940028</v>
      </c>
      <c r="AR27" s="110" t="n">
        <v>4441950</v>
      </c>
      <c r="AS27" s="110" t="n">
        <v>4005216</v>
      </c>
      <c r="AT27" s="110" t="n">
        <v>436734</v>
      </c>
      <c r="AU27" s="110" t="n">
        <v>498078</v>
      </c>
      <c r="AV27" s="110" t="n">
        <v>189109</v>
      </c>
      <c r="AW27" s="110" t="n">
        <v>308969</v>
      </c>
      <c r="AX27" s="110" t="n">
        <v>1204945</v>
      </c>
      <c r="AY27" s="110" t="n">
        <v>1025854</v>
      </c>
      <c r="AZ27" s="110" t="n">
        <v>860989</v>
      </c>
      <c r="BA27" s="110" t="n">
        <v>164865</v>
      </c>
      <c r="BB27" s="110" t="n">
        <v>179091</v>
      </c>
      <c r="BC27" s="110" t="n">
        <v>57900</v>
      </c>
      <c r="BD27" s="110" t="n">
        <v>121191</v>
      </c>
      <c r="BE27" s="110" t="n">
        <v>9063102.793</v>
      </c>
      <c r="BF27" s="110" t="n">
        <v>3175841.47</v>
      </c>
      <c r="BG27" s="110" t="n">
        <v>2791225.34</v>
      </c>
      <c r="BH27" s="110" t="n">
        <v>384616.13</v>
      </c>
      <c r="BI27" s="110" t="n">
        <v>5887261.323</v>
      </c>
      <c r="BJ27" s="110" t="n">
        <v>4128133.093</v>
      </c>
      <c r="BK27" s="110" t="n">
        <v>1759128.23</v>
      </c>
      <c r="BL27" s="110" t="n">
        <v>2258237.403</v>
      </c>
      <c r="BM27" s="110" t="n">
        <v>823680.6800000001</v>
      </c>
      <c r="BN27" s="110" t="n">
        <v>804321.9399999999</v>
      </c>
      <c r="BO27" s="110" t="n">
        <v>19358.74</v>
      </c>
      <c r="BP27" s="110" t="n">
        <v>1434556.723</v>
      </c>
      <c r="BQ27" s="110" t="n">
        <v>1241362.393</v>
      </c>
      <c r="BR27" s="110" t="n">
        <v>193194.33</v>
      </c>
      <c r="BS27" s="110" t="n">
        <v>1001525.39</v>
      </c>
      <c r="BT27" s="110" t="n">
        <v>358780.29</v>
      </c>
      <c r="BU27" s="110" t="n">
        <v>335531.4</v>
      </c>
      <c r="BV27" s="110" t="n">
        <v>23248.89</v>
      </c>
      <c r="BW27" s="110" t="n">
        <v>642745.1</v>
      </c>
      <c r="BX27" s="110" t="n">
        <v>503803.7</v>
      </c>
      <c r="BY27" s="110" t="n">
        <v>138941.4</v>
      </c>
      <c r="BZ27" s="110" t="n">
        <v>2601722</v>
      </c>
      <c r="CA27" s="110" t="n">
        <v>1189678</v>
      </c>
      <c r="CB27" s="110" t="n">
        <v>1081874</v>
      </c>
      <c r="CC27" s="110" t="n">
        <v>107804</v>
      </c>
      <c r="CD27" s="110" t="n">
        <v>1412044</v>
      </c>
      <c r="CE27" s="110" t="n">
        <v>1196695</v>
      </c>
      <c r="CF27" s="110" t="n">
        <v>215349</v>
      </c>
      <c r="CG27" s="110" t="n">
        <v>3201618</v>
      </c>
      <c r="CH27" s="110" t="n">
        <v>803702.5</v>
      </c>
      <c r="CI27" s="110" t="n">
        <v>569498</v>
      </c>
      <c r="CJ27" s="110" t="n">
        <v>234204.5</v>
      </c>
      <c r="CK27" s="110" t="n">
        <v>2397915.5</v>
      </c>
      <c r="CL27" s="110" t="n">
        <v>1186272</v>
      </c>
      <c r="CM27" s="110" t="n">
        <v>1211643.5</v>
      </c>
      <c r="CN27" s="110" t="n">
        <v>2748904.12</v>
      </c>
      <c r="CO27" s="110" t="n">
        <v>2001092.07</v>
      </c>
      <c r="CP27" s="110" t="n">
        <v>499899.98</v>
      </c>
      <c r="CQ27" s="110" t="n">
        <v>2523805.18</v>
      </c>
      <c r="CR27" s="110" t="n">
        <v>1764928.38</v>
      </c>
      <c r="CS27" s="110" t="n">
        <v>1016</v>
      </c>
      <c r="CT27" s="110" t="n">
        <v>1577269.75</v>
      </c>
      <c r="CU27" s="110" t="n">
        <v>0</v>
      </c>
      <c r="CV27" s="111" t="n">
        <v>22834</v>
      </c>
      <c r="CW27" s="111" t="n">
        <v>20145</v>
      </c>
      <c r="CX27" s="111" t="n">
        <v>17437</v>
      </c>
      <c r="CY27" s="111" t="n">
        <v>2708</v>
      </c>
      <c r="CZ27" s="111" t="n">
        <v>2689</v>
      </c>
      <c r="DA27" s="111" t="n">
        <v>947</v>
      </c>
      <c r="DB27" s="111" t="n">
        <v>1742</v>
      </c>
      <c r="DC27" s="111" t="n">
        <v>12017</v>
      </c>
      <c r="DD27" s="111" t="n">
        <v>505</v>
      </c>
      <c r="DE27" s="111" t="n">
        <v>10670</v>
      </c>
      <c r="DF27" s="111" t="n">
        <v>9409</v>
      </c>
      <c r="DG27" s="111" t="n">
        <v>1261</v>
      </c>
      <c r="DH27" s="111" t="n">
        <v>1347</v>
      </c>
      <c r="DI27" s="111" t="n">
        <v>484</v>
      </c>
      <c r="DJ27" s="111" t="n">
        <v>863</v>
      </c>
      <c r="DK27" s="111" t="n">
        <v>1423</v>
      </c>
      <c r="DL27" s="111" t="n">
        <v>1176</v>
      </c>
      <c r="DM27" s="111" t="n">
        <v>974</v>
      </c>
      <c r="DN27" s="111" t="n">
        <v>202</v>
      </c>
      <c r="DO27" s="111" t="n">
        <v>247</v>
      </c>
      <c r="DP27" s="111" t="n">
        <v>88</v>
      </c>
      <c r="DQ27" s="111" t="n">
        <v>159</v>
      </c>
      <c r="DR27" s="111" t="n">
        <v>3299</v>
      </c>
      <c r="DS27" s="111" t="n">
        <v>0</v>
      </c>
      <c r="DT27" s="111" t="n">
        <v>2819</v>
      </c>
      <c r="DU27" s="111" t="n">
        <v>2375</v>
      </c>
      <c r="DV27" s="111" t="n">
        <v>444</v>
      </c>
      <c r="DW27" s="111" t="n">
        <v>480</v>
      </c>
      <c r="DX27" s="111" t="n">
        <v>147</v>
      </c>
      <c r="DY27" s="111" t="n">
        <v>333</v>
      </c>
      <c r="DZ27" s="111" t="n">
        <v>5590</v>
      </c>
      <c r="EA27" s="111" t="n">
        <v>5080</v>
      </c>
      <c r="EB27" s="111" t="n">
        <v>4412</v>
      </c>
      <c r="EC27" s="111" t="n">
        <v>668</v>
      </c>
      <c r="ED27" s="111" t="n">
        <v>510</v>
      </c>
      <c r="EE27" s="111" t="n">
        <v>228</v>
      </c>
      <c r="EF27" s="111" t="n">
        <v>282</v>
      </c>
      <c r="EG27" s="111" t="n">
        <v>584</v>
      </c>
      <c r="EH27" s="111" t="n">
        <v>317</v>
      </c>
      <c r="EI27" s="111" t="n">
        <v>282</v>
      </c>
      <c r="EJ27" s="111" t="n">
        <v>35</v>
      </c>
      <c r="EK27" s="111" t="n">
        <v>267</v>
      </c>
      <c r="EL27" s="111" t="n">
        <v>235</v>
      </c>
      <c r="EM27" s="111" t="n">
        <v>32</v>
      </c>
      <c r="EN27" s="111" t="n">
        <v>358</v>
      </c>
      <c r="EO27" s="111" t="n">
        <v>2</v>
      </c>
      <c r="EP27" s="111" t="n">
        <v>0</v>
      </c>
      <c r="EQ27" s="111" t="n">
        <v>356</v>
      </c>
      <c r="ER27" s="111" t="n">
        <v>0</v>
      </c>
      <c r="ES27" s="111" t="n">
        <v>0</v>
      </c>
      <c r="ET27" s="111" t="n">
        <v>0</v>
      </c>
      <c r="EU27" s="111" t="n">
        <v>0</v>
      </c>
      <c r="EV27" s="111" t="n">
        <v>0</v>
      </c>
      <c r="EW27" s="111" t="n">
        <v>0</v>
      </c>
      <c r="EX27" s="111" t="n">
        <v>0</v>
      </c>
      <c r="EY27" s="111" t="n">
        <v>2</v>
      </c>
      <c r="EZ27" s="111" t="n">
        <v>2</v>
      </c>
      <c r="FA27" s="111" t="n">
        <v>0</v>
      </c>
      <c r="FB27" s="111" t="n">
        <v>171</v>
      </c>
    </row>
    <row r="28" ht="19.5" customHeight="1" s="247">
      <c r="A28" s="107" t="n">
        <v>25</v>
      </c>
      <c r="B28" s="107" t="inlineStr">
        <is>
          <t>儿童非手术</t>
        </is>
      </c>
      <c r="C28" s="107" t="inlineStr">
        <is>
          <t>儿呼吸内科</t>
        </is>
      </c>
      <c r="D28" s="110" t="n">
        <v>25497210</v>
      </c>
      <c r="E28" s="110" t="n">
        <v>13564439.5</v>
      </c>
      <c r="F28" s="110" t="n">
        <v>11932770.5</v>
      </c>
      <c r="G28" s="110" t="n">
        <v>39159</v>
      </c>
      <c r="H28" s="110" t="n">
        <v>1327</v>
      </c>
      <c r="I28" s="110" t="n">
        <v>120469.5</v>
      </c>
      <c r="J28" s="110" t="n">
        <v>0</v>
      </c>
      <c r="K28" s="110" t="n">
        <v>0</v>
      </c>
      <c r="L28" s="110" t="n">
        <v>484242</v>
      </c>
      <c r="M28" s="110" t="n">
        <v>2139</v>
      </c>
      <c r="N28" s="110" t="n">
        <v>0</v>
      </c>
      <c r="O28" s="110" t="n">
        <v>36885760</v>
      </c>
      <c r="P28" s="110" t="n">
        <v>32092460.66</v>
      </c>
      <c r="Q28" s="110" t="n">
        <v>28620094.31</v>
      </c>
      <c r="R28" s="110" t="n">
        <v>3472366.35</v>
      </c>
      <c r="S28" s="110" t="n">
        <v>4793299.34</v>
      </c>
      <c r="T28" s="110" t="n">
        <v>2988288.76</v>
      </c>
      <c r="U28" s="110" t="n">
        <v>1805010.58</v>
      </c>
      <c r="V28" s="110" t="n">
        <v>22534259.75</v>
      </c>
      <c r="W28" s="110" t="n">
        <v>19996379.21</v>
      </c>
      <c r="X28" s="110" t="n">
        <v>18012991.38</v>
      </c>
      <c r="Y28" s="110" t="n">
        <v>1983387.83</v>
      </c>
      <c r="Z28" s="110" t="n">
        <v>2537880.54</v>
      </c>
      <c r="AA28" s="110" t="n">
        <v>979907.77</v>
      </c>
      <c r="AB28" s="110" t="n">
        <v>1557972.77</v>
      </c>
      <c r="AC28" s="110" t="n">
        <v>8505078.84</v>
      </c>
      <c r="AD28" s="110" t="n">
        <v>7691584.26</v>
      </c>
      <c r="AE28" s="110" t="n">
        <v>7047626.11</v>
      </c>
      <c r="AF28" s="110" t="n">
        <v>643958.15</v>
      </c>
      <c r="AG28" s="110" t="n">
        <v>813494.58</v>
      </c>
      <c r="AH28" s="110" t="n">
        <v>313073.69</v>
      </c>
      <c r="AI28" s="110" t="n">
        <v>500420.89</v>
      </c>
      <c r="AJ28" s="110" t="n">
        <v>464741.41</v>
      </c>
      <c r="AK28" s="110" t="n">
        <v>409626.95</v>
      </c>
      <c r="AL28" s="110" t="n">
        <v>373623.77</v>
      </c>
      <c r="AM28" s="110" t="n">
        <v>36003.18</v>
      </c>
      <c r="AN28" s="110" t="n">
        <v>55114.46</v>
      </c>
      <c r="AO28" s="110" t="n">
        <v>21893.08</v>
      </c>
      <c r="AP28" s="110" t="n">
        <v>33221.38</v>
      </c>
      <c r="AQ28" s="110" t="n">
        <v>8946468</v>
      </c>
      <c r="AR28" s="110" t="n">
        <v>7994782</v>
      </c>
      <c r="AS28" s="110" t="n">
        <v>7293024</v>
      </c>
      <c r="AT28" s="110" t="n">
        <v>701758</v>
      </c>
      <c r="AU28" s="110" t="n">
        <v>951686</v>
      </c>
      <c r="AV28" s="110" t="n">
        <v>380994</v>
      </c>
      <c r="AW28" s="110" t="n">
        <v>570692</v>
      </c>
      <c r="AX28" s="110" t="n">
        <v>4617971.5</v>
      </c>
      <c r="AY28" s="110" t="n">
        <v>3900386</v>
      </c>
      <c r="AZ28" s="110" t="n">
        <v>3298717.5</v>
      </c>
      <c r="BA28" s="110" t="n">
        <v>601668.5</v>
      </c>
      <c r="BB28" s="110" t="n">
        <v>717585.5</v>
      </c>
      <c r="BC28" s="110" t="n">
        <v>263947</v>
      </c>
      <c r="BD28" s="110" t="n">
        <v>453638.5</v>
      </c>
      <c r="BE28" s="110" t="n">
        <v>14351500.25</v>
      </c>
      <c r="BF28" s="110" t="n">
        <v>12096081.45</v>
      </c>
      <c r="BG28" s="110" t="n">
        <v>10607102.93</v>
      </c>
      <c r="BH28" s="110" t="n">
        <v>1488978.52</v>
      </c>
      <c r="BI28" s="110" t="n">
        <v>2255418.8</v>
      </c>
      <c r="BJ28" s="110" t="n">
        <v>2008380.99</v>
      </c>
      <c r="BK28" s="110" t="n">
        <v>247037.81</v>
      </c>
      <c r="BL28" s="110" t="n">
        <v>1852593.67</v>
      </c>
      <c r="BM28" s="110" t="n">
        <v>1495229.18</v>
      </c>
      <c r="BN28" s="110" t="n">
        <v>1371335.91</v>
      </c>
      <c r="BO28" s="110" t="n">
        <v>123893.27</v>
      </c>
      <c r="BP28" s="110" t="n">
        <v>357364.49</v>
      </c>
      <c r="BQ28" s="110" t="n">
        <v>326650.28</v>
      </c>
      <c r="BR28" s="110" t="n">
        <v>30714.21</v>
      </c>
      <c r="BS28" s="110" t="n">
        <v>566136.08</v>
      </c>
      <c r="BT28" s="110" t="n">
        <v>460387.77</v>
      </c>
      <c r="BU28" s="110" t="n">
        <v>415111.52</v>
      </c>
      <c r="BV28" s="110" t="n">
        <v>45276.25</v>
      </c>
      <c r="BW28" s="110" t="n">
        <v>105748.31</v>
      </c>
      <c r="BX28" s="110" t="n">
        <v>96385.21000000001</v>
      </c>
      <c r="BY28" s="110" t="n">
        <v>9363.1</v>
      </c>
      <c r="BZ28" s="110" t="n">
        <v>7813061</v>
      </c>
      <c r="CA28" s="110" t="n">
        <v>6526512</v>
      </c>
      <c r="CB28" s="110" t="n">
        <v>6055635</v>
      </c>
      <c r="CC28" s="110" t="n">
        <v>470877</v>
      </c>
      <c r="CD28" s="110" t="n">
        <v>1286549</v>
      </c>
      <c r="CE28" s="110" t="n">
        <v>1174025</v>
      </c>
      <c r="CF28" s="110" t="n">
        <v>112524</v>
      </c>
      <c r="CG28" s="110" t="n">
        <v>4119709.5</v>
      </c>
      <c r="CH28" s="110" t="n">
        <v>3613952.5</v>
      </c>
      <c r="CI28" s="110" t="n">
        <v>2765020.5</v>
      </c>
      <c r="CJ28" s="110" t="n">
        <v>848932</v>
      </c>
      <c r="CK28" s="110" t="n">
        <v>505757</v>
      </c>
      <c r="CL28" s="110" t="n">
        <v>411320.5</v>
      </c>
      <c r="CM28" s="110" t="n">
        <v>94436.5</v>
      </c>
      <c r="CN28" s="110" t="n">
        <v>3338145.44</v>
      </c>
      <c r="CO28" s="110" t="n">
        <v>4326997.84</v>
      </c>
      <c r="CP28" s="110" t="n">
        <v>2588799.44</v>
      </c>
      <c r="CQ28" s="110" t="n">
        <v>3185217.66</v>
      </c>
      <c r="CR28" s="110" t="n">
        <v>9093251.369999999</v>
      </c>
      <c r="CS28" s="110" t="n">
        <v>0</v>
      </c>
      <c r="CT28" s="110" t="n">
        <v>1159376.7</v>
      </c>
      <c r="CU28" s="110" t="n">
        <v>0</v>
      </c>
      <c r="CV28" s="111" t="n">
        <v>39159</v>
      </c>
      <c r="CW28" s="111" t="n">
        <v>35057</v>
      </c>
      <c r="CX28" s="111" t="n">
        <v>31164</v>
      </c>
      <c r="CY28" s="111" t="n">
        <v>3893</v>
      </c>
      <c r="CZ28" s="111" t="n">
        <v>4102</v>
      </c>
      <c r="DA28" s="111" t="n">
        <v>1581</v>
      </c>
      <c r="DB28" s="111" t="n">
        <v>2521</v>
      </c>
      <c r="DC28" s="111" t="n">
        <v>15275</v>
      </c>
      <c r="DD28" s="111" t="n">
        <v>238</v>
      </c>
      <c r="DE28" s="111" t="n">
        <v>14100</v>
      </c>
      <c r="DF28" s="111" t="n">
        <v>12769</v>
      </c>
      <c r="DG28" s="111" t="n">
        <v>1331</v>
      </c>
      <c r="DH28" s="111" t="n">
        <v>1175</v>
      </c>
      <c r="DI28" s="111" t="n">
        <v>422</v>
      </c>
      <c r="DJ28" s="111" t="n">
        <v>753</v>
      </c>
      <c r="DK28" s="111" t="n">
        <v>5426</v>
      </c>
      <c r="DL28" s="111" t="n">
        <v>4826</v>
      </c>
      <c r="DM28" s="111" t="n">
        <v>4457</v>
      </c>
      <c r="DN28" s="111" t="n">
        <v>369</v>
      </c>
      <c r="DO28" s="111" t="n">
        <v>600</v>
      </c>
      <c r="DP28" s="111" t="n">
        <v>244</v>
      </c>
      <c r="DQ28" s="111" t="n">
        <v>356</v>
      </c>
      <c r="DR28" s="111" t="n">
        <v>10491</v>
      </c>
      <c r="DS28" s="111" t="n">
        <v>18</v>
      </c>
      <c r="DT28" s="111" t="n">
        <v>8844</v>
      </c>
      <c r="DU28" s="111" t="n">
        <v>7670</v>
      </c>
      <c r="DV28" s="111" t="n">
        <v>1174</v>
      </c>
      <c r="DW28" s="111" t="n">
        <v>1647</v>
      </c>
      <c r="DX28" s="111" t="n">
        <v>616</v>
      </c>
      <c r="DY28" s="111" t="n">
        <v>1031</v>
      </c>
      <c r="DZ28" s="111" t="n">
        <v>7711</v>
      </c>
      <c r="EA28" s="111" t="n">
        <v>7062</v>
      </c>
      <c r="EB28" s="111" t="n">
        <v>6079</v>
      </c>
      <c r="EC28" s="111" t="n">
        <v>983</v>
      </c>
      <c r="ED28" s="111" t="n">
        <v>649</v>
      </c>
      <c r="EE28" s="111" t="n">
        <v>299</v>
      </c>
      <c r="EF28" s="111" t="n">
        <v>350</v>
      </c>
      <c r="EG28" s="111" t="n">
        <v>1327</v>
      </c>
      <c r="EH28" s="111" t="n">
        <v>1111</v>
      </c>
      <c r="EI28" s="111" t="n">
        <v>1000</v>
      </c>
      <c r="EJ28" s="111" t="n">
        <v>111</v>
      </c>
      <c r="EK28" s="111" t="n">
        <v>216</v>
      </c>
      <c r="EL28" s="111" t="n">
        <v>195</v>
      </c>
      <c r="EM28" s="111" t="n">
        <v>21</v>
      </c>
      <c r="EN28" s="111" t="n">
        <v>41</v>
      </c>
      <c r="EO28" s="111" t="n">
        <v>0</v>
      </c>
      <c r="EP28" s="111" t="n">
        <v>0</v>
      </c>
      <c r="EQ28" s="111" t="n">
        <v>41</v>
      </c>
      <c r="ER28" s="111" t="n">
        <v>0</v>
      </c>
      <c r="ES28" s="111" t="n">
        <v>0</v>
      </c>
      <c r="ET28" s="111" t="n">
        <v>0</v>
      </c>
      <c r="EU28" s="111" t="n">
        <v>0</v>
      </c>
      <c r="EV28" s="111" t="n">
        <v>0</v>
      </c>
      <c r="EW28" s="111" t="n">
        <v>0</v>
      </c>
      <c r="EX28" s="111" t="n">
        <v>0</v>
      </c>
      <c r="EY28" s="111" t="n">
        <v>0</v>
      </c>
      <c r="EZ28" s="111" t="n">
        <v>0</v>
      </c>
      <c r="FA28" s="111" t="n">
        <v>0</v>
      </c>
      <c r="FB28" s="111" t="n">
        <v>871</v>
      </c>
    </row>
    <row r="29" ht="19.5" customHeight="1" s="247">
      <c r="A29" s="107" t="n">
        <v>26</v>
      </c>
      <c r="B29" s="107" t="inlineStr">
        <is>
          <t>儿童非手术</t>
        </is>
      </c>
      <c r="C29" s="107" t="inlineStr">
        <is>
          <t>儿肾脏内科</t>
        </is>
      </c>
      <c r="D29" s="110" t="n">
        <v>9876247.449999999</v>
      </c>
      <c r="E29" s="110" t="n">
        <v>5379283.5</v>
      </c>
      <c r="F29" s="110" t="n">
        <v>4496963.95</v>
      </c>
      <c r="G29" s="110" t="n">
        <v>24358</v>
      </c>
      <c r="H29" s="110" t="n">
        <v>530</v>
      </c>
      <c r="I29" s="110" t="n">
        <v>70955.5</v>
      </c>
      <c r="J29" s="110" t="n">
        <v>0</v>
      </c>
      <c r="K29" s="110" t="n">
        <v>0</v>
      </c>
      <c r="L29" s="110" t="n">
        <v>154167.25</v>
      </c>
      <c r="M29" s="110" t="n">
        <v>64378.7</v>
      </c>
      <c r="N29" s="110" t="n">
        <v>8207.889999999999</v>
      </c>
      <c r="O29" s="110" t="n">
        <v>16218820.27</v>
      </c>
      <c r="P29" s="110" t="n">
        <v>10917542.5</v>
      </c>
      <c r="Q29" s="110" t="n">
        <v>9744028.49</v>
      </c>
      <c r="R29" s="110" t="n">
        <v>1173514.01</v>
      </c>
      <c r="S29" s="110" t="n">
        <v>5301277.77</v>
      </c>
      <c r="T29" s="110" t="n">
        <v>4178243.38</v>
      </c>
      <c r="U29" s="110" t="n">
        <v>1123034.39</v>
      </c>
      <c r="V29" s="110" t="n">
        <v>9964357.619999999</v>
      </c>
      <c r="W29" s="110" t="n">
        <v>8657022.380000001</v>
      </c>
      <c r="X29" s="110" t="n">
        <v>7813108.05</v>
      </c>
      <c r="Y29" s="110" t="n">
        <v>843914.33</v>
      </c>
      <c r="Z29" s="110" t="n">
        <v>1307335.24</v>
      </c>
      <c r="AA29" s="110" t="n">
        <v>502557.89</v>
      </c>
      <c r="AB29" s="110" t="n">
        <v>804777.35</v>
      </c>
      <c r="AC29" s="110" t="n">
        <v>4425844.82</v>
      </c>
      <c r="AD29" s="110" t="n">
        <v>3945253.58</v>
      </c>
      <c r="AE29" s="110" t="n">
        <v>3628312.84</v>
      </c>
      <c r="AF29" s="110" t="n">
        <v>316940.74</v>
      </c>
      <c r="AG29" s="110" t="n">
        <v>480591.24</v>
      </c>
      <c r="AH29" s="110" t="n">
        <v>176402.73</v>
      </c>
      <c r="AI29" s="110" t="n">
        <v>304188.51</v>
      </c>
      <c r="AJ29" s="110" t="n">
        <v>159229.3</v>
      </c>
      <c r="AK29" s="110" t="n">
        <v>147908.3</v>
      </c>
      <c r="AL29" s="110" t="n">
        <v>131903.21</v>
      </c>
      <c r="AM29" s="110" t="n">
        <v>16005.09</v>
      </c>
      <c r="AN29" s="110" t="n">
        <v>11321</v>
      </c>
      <c r="AO29" s="110" t="n">
        <v>4107.16</v>
      </c>
      <c r="AP29" s="110" t="n">
        <v>7213.84</v>
      </c>
      <c r="AQ29" s="110" t="n">
        <v>3712269</v>
      </c>
      <c r="AR29" s="110" t="n">
        <v>3246866</v>
      </c>
      <c r="AS29" s="110" t="n">
        <v>2923224</v>
      </c>
      <c r="AT29" s="110" t="n">
        <v>323642</v>
      </c>
      <c r="AU29" s="110" t="n">
        <v>465403</v>
      </c>
      <c r="AV29" s="110" t="n">
        <v>192381</v>
      </c>
      <c r="AW29" s="110" t="n">
        <v>273022</v>
      </c>
      <c r="AX29" s="110" t="n">
        <v>1667014.5</v>
      </c>
      <c r="AY29" s="110" t="n">
        <v>1316994.5</v>
      </c>
      <c r="AZ29" s="110" t="n">
        <v>1129668</v>
      </c>
      <c r="BA29" s="110" t="n">
        <v>187326.5</v>
      </c>
      <c r="BB29" s="110" t="n">
        <v>350020</v>
      </c>
      <c r="BC29" s="110" t="n">
        <v>129667</v>
      </c>
      <c r="BD29" s="110" t="n">
        <v>220353</v>
      </c>
      <c r="BE29" s="110" t="n">
        <v>6254462.65</v>
      </c>
      <c r="BF29" s="110" t="n">
        <v>2260520.12</v>
      </c>
      <c r="BG29" s="110" t="n">
        <v>1930920.44</v>
      </c>
      <c r="BH29" s="110" t="n">
        <v>329599.68</v>
      </c>
      <c r="BI29" s="110" t="n">
        <v>3993942.53</v>
      </c>
      <c r="BJ29" s="110" t="n">
        <v>3675685.49</v>
      </c>
      <c r="BK29" s="110" t="n">
        <v>318257.04</v>
      </c>
      <c r="BL29" s="110" t="n">
        <v>1554954</v>
      </c>
      <c r="BM29" s="110" t="n">
        <v>465902.07</v>
      </c>
      <c r="BN29" s="110" t="n">
        <v>425446.09</v>
      </c>
      <c r="BO29" s="110" t="n">
        <v>40455.98</v>
      </c>
      <c r="BP29" s="110" t="n">
        <v>1089051.93</v>
      </c>
      <c r="BQ29" s="110" t="n">
        <v>1006372.26</v>
      </c>
      <c r="BR29" s="110" t="n">
        <v>82679.67</v>
      </c>
      <c r="BS29" s="110" t="n">
        <v>202544.7</v>
      </c>
      <c r="BT29" s="110" t="n">
        <v>50410.05</v>
      </c>
      <c r="BU29" s="110" t="n">
        <v>41400.85</v>
      </c>
      <c r="BV29" s="110" t="n">
        <v>9009.200000000001</v>
      </c>
      <c r="BW29" s="110" t="n">
        <v>152134.65</v>
      </c>
      <c r="BX29" s="110" t="n">
        <v>148923.28</v>
      </c>
      <c r="BY29" s="110" t="n">
        <v>3211.37</v>
      </c>
      <c r="BZ29" s="110" t="n">
        <v>3109146</v>
      </c>
      <c r="CA29" s="110" t="n">
        <v>1237263</v>
      </c>
      <c r="CB29" s="110" t="n">
        <v>1105210</v>
      </c>
      <c r="CC29" s="110" t="n">
        <v>132053</v>
      </c>
      <c r="CD29" s="110" t="n">
        <v>1871883</v>
      </c>
      <c r="CE29" s="110" t="n">
        <v>1740523</v>
      </c>
      <c r="CF29" s="110" t="n">
        <v>131360</v>
      </c>
      <c r="CG29" s="110" t="n">
        <v>1387817.95</v>
      </c>
      <c r="CH29" s="110" t="n">
        <v>506945</v>
      </c>
      <c r="CI29" s="110" t="n">
        <v>358863.5</v>
      </c>
      <c r="CJ29" s="110" t="n">
        <v>148081.5</v>
      </c>
      <c r="CK29" s="110" t="n">
        <v>880872.95</v>
      </c>
      <c r="CL29" s="110" t="n">
        <v>779866.95</v>
      </c>
      <c r="CM29" s="110" t="n">
        <v>101006</v>
      </c>
      <c r="CN29" s="110" t="n">
        <v>1865134.25</v>
      </c>
      <c r="CO29" s="110" t="n">
        <v>2217603.05</v>
      </c>
      <c r="CP29" s="110" t="n">
        <v>3217401.58</v>
      </c>
      <c r="CQ29" s="110" t="n">
        <v>253656.41</v>
      </c>
      <c r="CR29" s="110" t="n">
        <v>2410562.33</v>
      </c>
      <c r="CS29" s="110" t="n">
        <v>0</v>
      </c>
      <c r="CT29" s="110" t="n">
        <v>322022.23</v>
      </c>
      <c r="CU29" s="110" t="n">
        <v>0</v>
      </c>
      <c r="CV29" s="111" t="n">
        <v>24358</v>
      </c>
      <c r="CW29" s="111" t="n">
        <v>21252</v>
      </c>
      <c r="CX29" s="111" t="n">
        <v>18840</v>
      </c>
      <c r="CY29" s="111" t="n">
        <v>2412</v>
      </c>
      <c r="CZ29" s="111" t="n">
        <v>3106</v>
      </c>
      <c r="DA29" s="111" t="n">
        <v>1165</v>
      </c>
      <c r="DB29" s="111" t="n">
        <v>1941</v>
      </c>
      <c r="DC29" s="111" t="n">
        <v>7703</v>
      </c>
      <c r="DD29" s="111" t="n">
        <v>127</v>
      </c>
      <c r="DE29" s="111" t="n">
        <v>7048</v>
      </c>
      <c r="DF29" s="111" t="n">
        <v>6389</v>
      </c>
      <c r="DG29" s="111" t="n">
        <v>659</v>
      </c>
      <c r="DH29" s="111" t="n">
        <v>655</v>
      </c>
      <c r="DI29" s="111" t="n">
        <v>237</v>
      </c>
      <c r="DJ29" s="111" t="n">
        <v>418</v>
      </c>
      <c r="DK29" s="111" t="n">
        <v>6872</v>
      </c>
      <c r="DL29" s="111" t="n">
        <v>5618</v>
      </c>
      <c r="DM29" s="111" t="n">
        <v>5079</v>
      </c>
      <c r="DN29" s="111" t="n">
        <v>539</v>
      </c>
      <c r="DO29" s="111" t="n">
        <v>1254</v>
      </c>
      <c r="DP29" s="111" t="n">
        <v>462</v>
      </c>
      <c r="DQ29" s="111" t="n">
        <v>792</v>
      </c>
      <c r="DR29" s="111" t="n">
        <v>3733</v>
      </c>
      <c r="DS29" s="111" t="n">
        <v>0</v>
      </c>
      <c r="DT29" s="111" t="n">
        <v>3013</v>
      </c>
      <c r="DU29" s="111" t="n">
        <v>2635</v>
      </c>
      <c r="DV29" s="111" t="n">
        <v>378</v>
      </c>
      <c r="DW29" s="111" t="n">
        <v>720</v>
      </c>
      <c r="DX29" s="111" t="n">
        <v>254</v>
      </c>
      <c r="DY29" s="111" t="n">
        <v>466</v>
      </c>
      <c r="DZ29" s="111" t="n">
        <v>5923</v>
      </c>
      <c r="EA29" s="111" t="n">
        <v>5517</v>
      </c>
      <c r="EB29" s="111" t="n">
        <v>4693</v>
      </c>
      <c r="EC29" s="111" t="n">
        <v>824</v>
      </c>
      <c r="ED29" s="111" t="n">
        <v>406</v>
      </c>
      <c r="EE29" s="111" t="n">
        <v>212</v>
      </c>
      <c r="EF29" s="111" t="n">
        <v>194</v>
      </c>
      <c r="EG29" s="111" t="n">
        <v>530</v>
      </c>
      <c r="EH29" s="111" t="n">
        <v>222</v>
      </c>
      <c r="EI29" s="111" t="n">
        <v>197</v>
      </c>
      <c r="EJ29" s="111" t="n">
        <v>25</v>
      </c>
      <c r="EK29" s="111" t="n">
        <v>308</v>
      </c>
      <c r="EL29" s="111" t="n">
        <v>284</v>
      </c>
      <c r="EM29" s="111" t="n">
        <v>24</v>
      </c>
      <c r="EN29" s="111" t="n">
        <v>36</v>
      </c>
      <c r="EO29" s="111" t="n">
        <v>0</v>
      </c>
      <c r="EP29" s="111" t="n">
        <v>0</v>
      </c>
      <c r="EQ29" s="111" t="n">
        <v>36</v>
      </c>
      <c r="ER29" s="111" t="n">
        <v>0</v>
      </c>
      <c r="ES29" s="111" t="n">
        <v>0</v>
      </c>
      <c r="ET29" s="111" t="n">
        <v>0</v>
      </c>
      <c r="EU29" s="111" t="n">
        <v>0</v>
      </c>
      <c r="EV29" s="111" t="n">
        <v>0</v>
      </c>
      <c r="EW29" s="111" t="n">
        <v>0</v>
      </c>
      <c r="EX29" s="111" t="n">
        <v>0</v>
      </c>
      <c r="EY29" s="111" t="n">
        <v>0</v>
      </c>
      <c r="EZ29" s="111" t="n">
        <v>0</v>
      </c>
      <c r="FA29" s="111" t="n">
        <v>0</v>
      </c>
      <c r="FB29" s="111" t="n">
        <v>215</v>
      </c>
    </row>
    <row r="30" ht="19.5" customHeight="1" s="247">
      <c r="A30" s="107" t="n">
        <v>27</v>
      </c>
      <c r="B30" s="107" t="inlineStr">
        <is>
          <t>儿童非手术</t>
        </is>
      </c>
      <c r="C30" s="107" t="inlineStr">
        <is>
          <t>儿血液肿瘤科</t>
        </is>
      </c>
      <c r="D30" s="110" t="n">
        <v>19853183</v>
      </c>
      <c r="E30" s="110" t="n">
        <v>6290792.5</v>
      </c>
      <c r="F30" s="110" t="n">
        <v>13562390.5</v>
      </c>
      <c r="G30" s="110" t="n">
        <v>22159</v>
      </c>
      <c r="H30" s="110" t="n">
        <v>1454</v>
      </c>
      <c r="I30" s="110" t="n">
        <v>99212.5</v>
      </c>
      <c r="J30" s="110" t="n">
        <v>0</v>
      </c>
      <c r="K30" s="110" t="n">
        <v>32507.11</v>
      </c>
      <c r="L30" s="110" t="n">
        <v>2208768.5</v>
      </c>
      <c r="M30" s="110" t="n">
        <v>23648</v>
      </c>
      <c r="N30" s="110" t="n">
        <v>14699.83</v>
      </c>
      <c r="O30" s="110" t="n">
        <v>40933043.96</v>
      </c>
      <c r="P30" s="110" t="n">
        <v>12622670.1</v>
      </c>
      <c r="Q30" s="110" t="n">
        <v>11274889.58</v>
      </c>
      <c r="R30" s="110" t="n">
        <v>1347780.52</v>
      </c>
      <c r="S30" s="110" t="n">
        <v>28310373.86</v>
      </c>
      <c r="T30" s="110" t="n">
        <v>24732455.77</v>
      </c>
      <c r="U30" s="110" t="n">
        <v>3577918.09</v>
      </c>
      <c r="V30" s="110" t="n">
        <v>11886535.57</v>
      </c>
      <c r="W30" s="110" t="n">
        <v>7996178.79</v>
      </c>
      <c r="X30" s="110" t="n">
        <v>7273558.9</v>
      </c>
      <c r="Y30" s="110" t="n">
        <v>722619.89</v>
      </c>
      <c r="Z30" s="110" t="n">
        <v>3890356.78</v>
      </c>
      <c r="AA30" s="110" t="n">
        <v>2580655.45</v>
      </c>
      <c r="AB30" s="110" t="n">
        <v>1309701.33</v>
      </c>
      <c r="AC30" s="110" t="n">
        <v>5297945.69</v>
      </c>
      <c r="AD30" s="110" t="n">
        <v>3873316.59</v>
      </c>
      <c r="AE30" s="110" t="n">
        <v>3599970.47</v>
      </c>
      <c r="AF30" s="110" t="n">
        <v>273346.12</v>
      </c>
      <c r="AG30" s="110" t="n">
        <v>1424629.1</v>
      </c>
      <c r="AH30" s="110" t="n">
        <v>1103456.26</v>
      </c>
      <c r="AI30" s="110" t="n">
        <v>321172.84</v>
      </c>
      <c r="AJ30" s="110" t="n">
        <v>297797.38</v>
      </c>
      <c r="AK30" s="110" t="n">
        <v>155823.2</v>
      </c>
      <c r="AL30" s="110" t="n">
        <v>140804.93</v>
      </c>
      <c r="AM30" s="110" t="n">
        <v>15018.27</v>
      </c>
      <c r="AN30" s="110" t="n">
        <v>141974.18</v>
      </c>
      <c r="AO30" s="110" t="n">
        <v>120377.69</v>
      </c>
      <c r="AP30" s="110" t="n">
        <v>21596.49</v>
      </c>
      <c r="AQ30" s="110" t="n">
        <v>4950934</v>
      </c>
      <c r="AR30" s="110" t="n">
        <v>3069079</v>
      </c>
      <c r="AS30" s="110" t="n">
        <v>2743574</v>
      </c>
      <c r="AT30" s="110" t="n">
        <v>325505</v>
      </c>
      <c r="AU30" s="110" t="n">
        <v>1881855</v>
      </c>
      <c r="AV30" s="110" t="n">
        <v>1116331</v>
      </c>
      <c r="AW30" s="110" t="n">
        <v>765524</v>
      </c>
      <c r="AX30" s="110" t="n">
        <v>1339858.5</v>
      </c>
      <c r="AY30" s="110" t="n">
        <v>897960</v>
      </c>
      <c r="AZ30" s="110" t="n">
        <v>789209.5</v>
      </c>
      <c r="BA30" s="110" t="n">
        <v>108750.5</v>
      </c>
      <c r="BB30" s="110" t="n">
        <v>441898.5</v>
      </c>
      <c r="BC30" s="110" t="n">
        <v>240490.5</v>
      </c>
      <c r="BD30" s="110" t="n">
        <v>201408</v>
      </c>
      <c r="BE30" s="110" t="n">
        <v>29046508.39</v>
      </c>
      <c r="BF30" s="110" t="n">
        <v>4626491.31</v>
      </c>
      <c r="BG30" s="110" t="n">
        <v>4001330.68</v>
      </c>
      <c r="BH30" s="110" t="n">
        <v>625160.63</v>
      </c>
      <c r="BI30" s="110" t="n">
        <v>24420017.08</v>
      </c>
      <c r="BJ30" s="110" t="n">
        <v>22151800.32</v>
      </c>
      <c r="BK30" s="110" t="n">
        <v>2268216.76</v>
      </c>
      <c r="BL30" s="110" t="n">
        <v>14376076.64</v>
      </c>
      <c r="BM30" s="110" t="n">
        <v>1946899.08</v>
      </c>
      <c r="BN30" s="110" t="n">
        <v>1697527.73</v>
      </c>
      <c r="BO30" s="110" t="n">
        <v>249371.35</v>
      </c>
      <c r="BP30" s="110" t="n">
        <v>12429177.56</v>
      </c>
      <c r="BQ30" s="110" t="n">
        <v>11055405.8</v>
      </c>
      <c r="BR30" s="110" t="n">
        <v>1373771.76</v>
      </c>
      <c r="BS30" s="110" t="n">
        <v>1108041.25</v>
      </c>
      <c r="BT30" s="110" t="n">
        <v>173273.23</v>
      </c>
      <c r="BU30" s="110" t="n">
        <v>149237.95</v>
      </c>
      <c r="BV30" s="110" t="n">
        <v>24035.28</v>
      </c>
      <c r="BW30" s="110" t="n">
        <v>934768.02</v>
      </c>
      <c r="BX30" s="110" t="n">
        <v>873039.52</v>
      </c>
      <c r="BY30" s="110" t="n">
        <v>61728.5</v>
      </c>
      <c r="BZ30" s="110" t="n">
        <v>6953957</v>
      </c>
      <c r="CA30" s="110" t="n">
        <v>1396956</v>
      </c>
      <c r="CB30" s="110" t="n">
        <v>1257976</v>
      </c>
      <c r="CC30" s="110" t="n">
        <v>138980</v>
      </c>
      <c r="CD30" s="110" t="n">
        <v>5557001</v>
      </c>
      <c r="CE30" s="110" t="n">
        <v>5222438</v>
      </c>
      <c r="CF30" s="110" t="n">
        <v>334563</v>
      </c>
      <c r="CG30" s="110" t="n">
        <v>6608433.5</v>
      </c>
      <c r="CH30" s="110" t="n">
        <v>1109363</v>
      </c>
      <c r="CI30" s="110" t="n">
        <v>896589</v>
      </c>
      <c r="CJ30" s="110" t="n">
        <v>212774</v>
      </c>
      <c r="CK30" s="110" t="n">
        <v>5499070.5</v>
      </c>
      <c r="CL30" s="110" t="n">
        <v>5000917</v>
      </c>
      <c r="CM30" s="110" t="n">
        <v>498153.5</v>
      </c>
      <c r="CN30" s="110" t="n">
        <v>1544502.06</v>
      </c>
      <c r="CO30" s="110" t="n">
        <v>3689561.22</v>
      </c>
      <c r="CP30" s="110" t="n">
        <v>2586054.78</v>
      </c>
      <c r="CQ30" s="110" t="n">
        <v>1485445.42</v>
      </c>
      <c r="CR30" s="110" t="n">
        <v>2561332.26</v>
      </c>
      <c r="CS30" s="110" t="n">
        <v>19639.83</v>
      </c>
      <c r="CT30" s="110" t="n">
        <v>849348.62</v>
      </c>
      <c r="CU30" s="110" t="n">
        <v>0</v>
      </c>
      <c r="CV30" s="111" t="n">
        <v>22159</v>
      </c>
      <c r="CW30" s="111" t="n">
        <v>17256</v>
      </c>
      <c r="CX30" s="111" t="n">
        <v>15386</v>
      </c>
      <c r="CY30" s="111" t="n">
        <v>1870</v>
      </c>
      <c r="CZ30" s="111" t="n">
        <v>4903</v>
      </c>
      <c r="DA30" s="111" t="n">
        <v>2932</v>
      </c>
      <c r="DB30" s="111" t="n">
        <v>1971</v>
      </c>
      <c r="DC30" s="111" t="n">
        <v>10981</v>
      </c>
      <c r="DD30" s="111" t="n">
        <v>82</v>
      </c>
      <c r="DE30" s="111" t="n">
        <v>8788</v>
      </c>
      <c r="DF30" s="111" t="n">
        <v>7892</v>
      </c>
      <c r="DG30" s="111" t="n">
        <v>896</v>
      </c>
      <c r="DH30" s="111" t="n">
        <v>2193</v>
      </c>
      <c r="DI30" s="111" t="n">
        <v>1367</v>
      </c>
      <c r="DJ30" s="111" t="n">
        <v>826</v>
      </c>
      <c r="DK30" s="111" t="n">
        <v>3911</v>
      </c>
      <c r="DL30" s="111" t="n">
        <v>2533</v>
      </c>
      <c r="DM30" s="111" t="n">
        <v>2289</v>
      </c>
      <c r="DN30" s="111" t="n">
        <v>244</v>
      </c>
      <c r="DO30" s="111" t="n">
        <v>1378</v>
      </c>
      <c r="DP30" s="111" t="n">
        <v>960</v>
      </c>
      <c r="DQ30" s="111" t="n">
        <v>418</v>
      </c>
      <c r="DR30" s="111" t="n">
        <v>3020</v>
      </c>
      <c r="DS30" s="111" t="n">
        <v>57</v>
      </c>
      <c r="DT30" s="111" t="n">
        <v>2190</v>
      </c>
      <c r="DU30" s="111" t="n">
        <v>1979</v>
      </c>
      <c r="DV30" s="111" t="n">
        <v>211</v>
      </c>
      <c r="DW30" s="111" t="n">
        <v>830</v>
      </c>
      <c r="DX30" s="111" t="n">
        <v>403</v>
      </c>
      <c r="DY30" s="111" t="n">
        <v>427</v>
      </c>
      <c r="DZ30" s="111" t="n">
        <v>4108</v>
      </c>
      <c r="EA30" s="111" t="n">
        <v>3708</v>
      </c>
      <c r="EB30" s="111" t="n">
        <v>3202</v>
      </c>
      <c r="EC30" s="111" t="n">
        <v>506</v>
      </c>
      <c r="ED30" s="111" t="n">
        <v>400</v>
      </c>
      <c r="EE30" s="111" t="n">
        <v>202</v>
      </c>
      <c r="EF30" s="111" t="n">
        <v>198</v>
      </c>
      <c r="EG30" s="111" t="n">
        <v>1454</v>
      </c>
      <c r="EH30" s="111" t="n">
        <v>320</v>
      </c>
      <c r="EI30" s="111" t="n">
        <v>289</v>
      </c>
      <c r="EJ30" s="111" t="n">
        <v>31</v>
      </c>
      <c r="EK30" s="111" t="n">
        <v>1134</v>
      </c>
      <c r="EL30" s="111" t="n">
        <v>1054</v>
      </c>
      <c r="EM30" s="111" t="n">
        <v>80</v>
      </c>
      <c r="EN30" s="111" t="n">
        <v>1128</v>
      </c>
      <c r="EO30" s="111" t="n">
        <v>0</v>
      </c>
      <c r="EP30" s="111" t="n">
        <v>0</v>
      </c>
      <c r="EQ30" s="111" t="n">
        <v>1128</v>
      </c>
      <c r="ER30" s="111" t="n">
        <v>0</v>
      </c>
      <c r="ES30" s="111" t="n">
        <v>0</v>
      </c>
      <c r="ET30" s="111" t="n">
        <v>0</v>
      </c>
      <c r="EU30" s="111" t="n">
        <v>0</v>
      </c>
      <c r="EV30" s="111" t="n">
        <v>0</v>
      </c>
      <c r="EW30" s="111" t="n">
        <v>0</v>
      </c>
      <c r="EX30" s="111" t="n">
        <v>0</v>
      </c>
      <c r="EY30" s="111" t="n">
        <v>0</v>
      </c>
      <c r="EZ30" s="111" t="n">
        <v>0</v>
      </c>
      <c r="FA30" s="111" t="n">
        <v>0</v>
      </c>
      <c r="FB30" s="111" t="n">
        <v>210</v>
      </c>
    </row>
    <row r="31" ht="19.5" customHeight="1" s="247">
      <c r="A31" s="107" t="n">
        <v>28</v>
      </c>
      <c r="B31" s="107" t="inlineStr">
        <is>
          <t>儿童非手术</t>
        </is>
      </c>
      <c r="C31" s="107" t="inlineStr">
        <is>
          <t>儿内分泌遗传科</t>
        </is>
      </c>
      <c r="D31" s="110" t="n">
        <v>22972318.5</v>
      </c>
      <c r="E31" s="110" t="n">
        <v>18959572.5</v>
      </c>
      <c r="F31" s="110" t="n">
        <v>4012746</v>
      </c>
      <c r="G31" s="110" t="n">
        <v>31729</v>
      </c>
      <c r="H31" s="110" t="n">
        <v>692</v>
      </c>
      <c r="I31" s="110" t="n">
        <v>40990.5</v>
      </c>
      <c r="J31" s="110" t="n">
        <v>0</v>
      </c>
      <c r="K31" s="110" t="n">
        <v>9188.84</v>
      </c>
      <c r="L31" s="110" t="n">
        <v>62914</v>
      </c>
      <c r="M31" s="110" t="n">
        <v>21888</v>
      </c>
      <c r="N31" s="110" t="n">
        <v>0</v>
      </c>
      <c r="O31" s="110" t="n">
        <v>39834222.51</v>
      </c>
      <c r="P31" s="110" t="n">
        <v>28689654.15</v>
      </c>
      <c r="Q31" s="110" t="n">
        <v>25992646.64</v>
      </c>
      <c r="R31" s="110" t="n">
        <v>2697007.51</v>
      </c>
      <c r="S31" s="110" t="n">
        <v>11144568.36</v>
      </c>
      <c r="T31" s="110" t="n">
        <v>3948287.11</v>
      </c>
      <c r="U31" s="110" t="n">
        <v>7196281.25</v>
      </c>
      <c r="V31" s="110" t="n">
        <v>33882957.87</v>
      </c>
      <c r="W31" s="110" t="n">
        <v>26369568.58</v>
      </c>
      <c r="X31" s="110" t="n">
        <v>24581132.47</v>
      </c>
      <c r="Y31" s="110" t="n">
        <v>1788436.11</v>
      </c>
      <c r="Z31" s="110" t="n">
        <v>7513389.29</v>
      </c>
      <c r="AA31" s="110" t="n">
        <v>2098736.05</v>
      </c>
      <c r="AB31" s="110" t="n">
        <v>5414653.24</v>
      </c>
      <c r="AC31" s="110" t="n">
        <v>14897833.92</v>
      </c>
      <c r="AD31" s="110" t="n">
        <v>13985479.25</v>
      </c>
      <c r="AE31" s="110" t="n">
        <v>13682150.22</v>
      </c>
      <c r="AF31" s="110" t="n">
        <v>303329.03</v>
      </c>
      <c r="AG31" s="110" t="n">
        <v>912354.67</v>
      </c>
      <c r="AH31" s="110" t="n">
        <v>337881.95</v>
      </c>
      <c r="AI31" s="110" t="n">
        <v>574472.72</v>
      </c>
      <c r="AJ31" s="110" t="n">
        <v>25551.45</v>
      </c>
      <c r="AK31" s="110" t="n">
        <v>22681.83</v>
      </c>
      <c r="AL31" s="110" t="n">
        <v>20744.75</v>
      </c>
      <c r="AM31" s="110" t="n">
        <v>1937.08</v>
      </c>
      <c r="AN31" s="110" t="n">
        <v>2869.62</v>
      </c>
      <c r="AO31" s="110" t="n">
        <v>1702.1</v>
      </c>
      <c r="AP31" s="110" t="n">
        <v>1167.52</v>
      </c>
      <c r="AQ31" s="110" t="n">
        <v>14253215</v>
      </c>
      <c r="AR31" s="110" t="n">
        <v>9309862</v>
      </c>
      <c r="AS31" s="110" t="n">
        <v>8177681</v>
      </c>
      <c r="AT31" s="110" t="n">
        <v>1132181</v>
      </c>
      <c r="AU31" s="110" t="n">
        <v>4943353</v>
      </c>
      <c r="AV31" s="110" t="n">
        <v>1264831</v>
      </c>
      <c r="AW31" s="110" t="n">
        <v>3678522</v>
      </c>
      <c r="AX31" s="110" t="n">
        <v>4706357.5</v>
      </c>
      <c r="AY31" s="110" t="n">
        <v>3051545.5</v>
      </c>
      <c r="AZ31" s="110" t="n">
        <v>2700556.5</v>
      </c>
      <c r="BA31" s="110" t="n">
        <v>350989</v>
      </c>
      <c r="BB31" s="110" t="n">
        <v>1654812</v>
      </c>
      <c r="BC31" s="110" t="n">
        <v>494321</v>
      </c>
      <c r="BD31" s="110" t="n">
        <v>1160491</v>
      </c>
      <c r="BE31" s="110" t="n">
        <v>5951264.64</v>
      </c>
      <c r="BF31" s="110" t="n">
        <v>2320085.57</v>
      </c>
      <c r="BG31" s="110" t="n">
        <v>1411514.17</v>
      </c>
      <c r="BH31" s="110" t="n">
        <v>908571.4</v>
      </c>
      <c r="BI31" s="110" t="n">
        <v>3631179.07</v>
      </c>
      <c r="BJ31" s="110" t="n">
        <v>1849551.06</v>
      </c>
      <c r="BK31" s="110" t="n">
        <v>1781628.01</v>
      </c>
      <c r="BL31" s="110" t="n">
        <v>1861670.89</v>
      </c>
      <c r="BM31" s="110" t="n">
        <v>559469</v>
      </c>
      <c r="BN31" s="110" t="n">
        <v>517080.2</v>
      </c>
      <c r="BO31" s="110" t="n">
        <v>42388.8</v>
      </c>
      <c r="BP31" s="110" t="n">
        <v>1302201.89</v>
      </c>
      <c r="BQ31" s="110" t="n">
        <v>261727.9</v>
      </c>
      <c r="BR31" s="110" t="n">
        <v>1040473.99</v>
      </c>
      <c r="BS31" s="110" t="n">
        <v>76847.75</v>
      </c>
      <c r="BT31" s="110" t="n">
        <v>29323.57</v>
      </c>
      <c r="BU31" s="110" t="n">
        <v>16685.97</v>
      </c>
      <c r="BV31" s="110" t="n">
        <v>12637.6</v>
      </c>
      <c r="BW31" s="110" t="n">
        <v>47524.18</v>
      </c>
      <c r="BX31" s="110" t="n">
        <v>35483.66</v>
      </c>
      <c r="BY31" s="110" t="n">
        <v>12040.52</v>
      </c>
      <c r="BZ31" s="110" t="n">
        <v>3117812</v>
      </c>
      <c r="CA31" s="110" t="n">
        <v>1371239</v>
      </c>
      <c r="CB31" s="110" t="n">
        <v>721871</v>
      </c>
      <c r="CC31" s="110" t="n">
        <v>649368</v>
      </c>
      <c r="CD31" s="110" t="n">
        <v>1746573</v>
      </c>
      <c r="CE31" s="110" t="n">
        <v>1261157</v>
      </c>
      <c r="CF31" s="110" t="n">
        <v>485416</v>
      </c>
      <c r="CG31" s="110" t="n">
        <v>894934</v>
      </c>
      <c r="CH31" s="110" t="n">
        <v>360054</v>
      </c>
      <c r="CI31" s="110" t="n">
        <v>155877</v>
      </c>
      <c r="CJ31" s="110" t="n">
        <v>204177</v>
      </c>
      <c r="CK31" s="110" t="n">
        <v>534880</v>
      </c>
      <c r="CL31" s="110" t="n">
        <v>291182.5</v>
      </c>
      <c r="CM31" s="110" t="n">
        <v>243697.5</v>
      </c>
      <c r="CN31" s="110" t="n">
        <v>1359248.72</v>
      </c>
      <c r="CO31" s="110" t="n">
        <v>7902288.27</v>
      </c>
      <c r="CP31" s="110" t="n">
        <v>10484425.37</v>
      </c>
      <c r="CQ31" s="110" t="n">
        <v>433633.31</v>
      </c>
      <c r="CR31" s="110" t="n">
        <v>13703362.2</v>
      </c>
      <c r="CS31" s="110" t="n">
        <v>0</v>
      </c>
      <c r="CT31" s="110" t="n">
        <v>1389356.07</v>
      </c>
      <c r="CU31" s="110" t="n">
        <v>0</v>
      </c>
      <c r="CV31" s="111" t="n">
        <v>31729</v>
      </c>
      <c r="CW31" s="111" t="n">
        <v>23194</v>
      </c>
      <c r="CX31" s="111" t="n">
        <v>20304</v>
      </c>
      <c r="CY31" s="111" t="n">
        <v>2890</v>
      </c>
      <c r="CZ31" s="111" t="n">
        <v>8535</v>
      </c>
      <c r="DA31" s="111" t="n">
        <v>2352</v>
      </c>
      <c r="DB31" s="111" t="n">
        <v>6183</v>
      </c>
      <c r="DC31" s="111" t="n">
        <v>6099</v>
      </c>
      <c r="DD31" s="111" t="n">
        <v>238</v>
      </c>
      <c r="DE31" s="111" t="n">
        <v>5296</v>
      </c>
      <c r="DF31" s="111" t="n">
        <v>4521</v>
      </c>
      <c r="DG31" s="111" t="n">
        <v>775</v>
      </c>
      <c r="DH31" s="111" t="n">
        <v>803</v>
      </c>
      <c r="DI31" s="111" t="n">
        <v>142</v>
      </c>
      <c r="DJ31" s="111" t="n">
        <v>661</v>
      </c>
      <c r="DK31" s="111" t="n">
        <v>10744</v>
      </c>
      <c r="DL31" s="111" t="n">
        <v>7323</v>
      </c>
      <c r="DM31" s="111" t="n">
        <v>6289</v>
      </c>
      <c r="DN31" s="111" t="n">
        <v>1034</v>
      </c>
      <c r="DO31" s="111" t="n">
        <v>3421</v>
      </c>
      <c r="DP31" s="111" t="n">
        <v>853</v>
      </c>
      <c r="DQ31" s="111" t="n">
        <v>2568</v>
      </c>
      <c r="DR31" s="111" t="n">
        <v>12580</v>
      </c>
      <c r="DS31" s="111" t="n">
        <v>0</v>
      </c>
      <c r="DT31" s="111" t="n">
        <v>8551</v>
      </c>
      <c r="DU31" s="111" t="n">
        <v>7723</v>
      </c>
      <c r="DV31" s="111" t="n">
        <v>828</v>
      </c>
      <c r="DW31" s="111" t="n">
        <v>4029</v>
      </c>
      <c r="DX31" s="111" t="n">
        <v>1255</v>
      </c>
      <c r="DY31" s="111" t="n">
        <v>2774</v>
      </c>
      <c r="DZ31" s="111" t="n">
        <v>2068</v>
      </c>
      <c r="EA31" s="111" t="n">
        <v>1861</v>
      </c>
      <c r="EB31" s="111" t="n">
        <v>1640</v>
      </c>
      <c r="EC31" s="111" t="n">
        <v>221</v>
      </c>
      <c r="ED31" s="111" t="n">
        <v>207</v>
      </c>
      <c r="EE31" s="111" t="n">
        <v>102</v>
      </c>
      <c r="EF31" s="111" t="n">
        <v>105</v>
      </c>
      <c r="EG31" s="111" t="n">
        <v>692</v>
      </c>
      <c r="EH31" s="111" t="n">
        <v>303</v>
      </c>
      <c r="EI31" s="111" t="n">
        <v>152</v>
      </c>
      <c r="EJ31" s="111" t="n">
        <v>151</v>
      </c>
      <c r="EK31" s="111" t="n">
        <v>389</v>
      </c>
      <c r="EL31" s="111" t="n">
        <v>246</v>
      </c>
      <c r="EM31" s="111" t="n">
        <v>143</v>
      </c>
      <c r="EN31" s="111" t="n">
        <v>11</v>
      </c>
      <c r="EO31" s="111" t="n">
        <v>0</v>
      </c>
      <c r="EP31" s="111" t="n">
        <v>0</v>
      </c>
      <c r="EQ31" s="111" t="n">
        <v>11</v>
      </c>
      <c r="ER31" s="111" t="n">
        <v>0</v>
      </c>
      <c r="ES31" s="111" t="n">
        <v>0</v>
      </c>
      <c r="ET31" s="111" t="n">
        <v>0</v>
      </c>
      <c r="EU31" s="111" t="n">
        <v>0</v>
      </c>
      <c r="EV31" s="111" t="n">
        <v>0</v>
      </c>
      <c r="EW31" s="111" t="n">
        <v>0</v>
      </c>
      <c r="EX31" s="111" t="n">
        <v>0</v>
      </c>
      <c r="EY31" s="111" t="n">
        <v>0</v>
      </c>
      <c r="EZ31" s="111" t="n">
        <v>0</v>
      </c>
      <c r="FA31" s="111" t="n">
        <v>0</v>
      </c>
      <c r="FB31" s="111" t="n">
        <v>118</v>
      </c>
    </row>
    <row r="32" ht="19.5" customHeight="1" s="247">
      <c r="A32" s="107" t="n">
        <v>29</v>
      </c>
      <c r="B32" s="107" t="inlineStr">
        <is>
          <t>儿童非手术</t>
        </is>
      </c>
      <c r="C32" s="107" t="inlineStr">
        <is>
          <t>新生儿科</t>
        </is>
      </c>
      <c r="D32" s="110" t="n">
        <v>33227141.2</v>
      </c>
      <c r="E32" s="110" t="n">
        <v>6869011.5</v>
      </c>
      <c r="F32" s="110" t="n">
        <v>26358129.7</v>
      </c>
      <c r="G32" s="110" t="n">
        <v>24453</v>
      </c>
      <c r="H32" s="110" t="n">
        <v>1376</v>
      </c>
      <c r="I32" s="110" t="n">
        <v>75524.5</v>
      </c>
      <c r="J32" s="110" t="n">
        <v>0</v>
      </c>
      <c r="K32" s="110" t="n">
        <v>0</v>
      </c>
      <c r="L32" s="110" t="n">
        <v>4143043.25</v>
      </c>
      <c r="M32" s="110" t="n">
        <v>496570.7</v>
      </c>
      <c r="N32" s="110" t="n">
        <v>0</v>
      </c>
      <c r="O32" s="110" t="n">
        <v>41854276.29</v>
      </c>
      <c r="P32" s="110" t="n">
        <v>28250842.27</v>
      </c>
      <c r="Q32" s="110" t="n">
        <v>16857763.04</v>
      </c>
      <c r="R32" s="110" t="n">
        <v>11393079.23</v>
      </c>
      <c r="S32" s="110" t="n">
        <v>13603434.02</v>
      </c>
      <c r="T32" s="110" t="n">
        <v>10932594.93</v>
      </c>
      <c r="U32" s="110" t="n">
        <v>2670839.09</v>
      </c>
      <c r="V32" s="110" t="n">
        <v>10612255.84</v>
      </c>
      <c r="W32" s="110" t="n">
        <v>9753712.189999999</v>
      </c>
      <c r="X32" s="110" t="n">
        <v>8304454.54</v>
      </c>
      <c r="Y32" s="110" t="n">
        <v>1449257.65</v>
      </c>
      <c r="Z32" s="110" t="n">
        <v>858543.65</v>
      </c>
      <c r="AA32" s="110" t="n">
        <v>319035.28</v>
      </c>
      <c r="AB32" s="110" t="n">
        <v>539508.37</v>
      </c>
      <c r="AC32" s="110" t="n">
        <v>3565618.12</v>
      </c>
      <c r="AD32" s="110" t="n">
        <v>3362142.43</v>
      </c>
      <c r="AE32" s="110" t="n">
        <v>2992884.12</v>
      </c>
      <c r="AF32" s="110" t="n">
        <v>369258.31</v>
      </c>
      <c r="AG32" s="110" t="n">
        <v>203475.69</v>
      </c>
      <c r="AH32" s="110" t="n">
        <v>72769.88</v>
      </c>
      <c r="AI32" s="110" t="n">
        <v>130705.81</v>
      </c>
      <c r="AJ32" s="110" t="n">
        <v>177626.22</v>
      </c>
      <c r="AK32" s="110" t="n">
        <v>164061.76</v>
      </c>
      <c r="AL32" s="110" t="n">
        <v>146766.42</v>
      </c>
      <c r="AM32" s="110" t="n">
        <v>17295.34</v>
      </c>
      <c r="AN32" s="110" t="n">
        <v>13564.46</v>
      </c>
      <c r="AO32" s="110" t="n">
        <v>5309.9</v>
      </c>
      <c r="AP32" s="110" t="n">
        <v>8254.559999999999</v>
      </c>
      <c r="AQ32" s="110" t="n">
        <v>5076306</v>
      </c>
      <c r="AR32" s="110" t="n">
        <v>4658635</v>
      </c>
      <c r="AS32" s="110" t="n">
        <v>3991088</v>
      </c>
      <c r="AT32" s="110" t="n">
        <v>667547</v>
      </c>
      <c r="AU32" s="110" t="n">
        <v>417671</v>
      </c>
      <c r="AV32" s="110" t="n">
        <v>155461</v>
      </c>
      <c r="AW32" s="110" t="n">
        <v>262210</v>
      </c>
      <c r="AX32" s="110" t="n">
        <v>1792705.5</v>
      </c>
      <c r="AY32" s="110" t="n">
        <v>1568873</v>
      </c>
      <c r="AZ32" s="110" t="n">
        <v>1173716</v>
      </c>
      <c r="BA32" s="110" t="n">
        <v>395157</v>
      </c>
      <c r="BB32" s="110" t="n">
        <v>223832.5</v>
      </c>
      <c r="BC32" s="110" t="n">
        <v>85494.5</v>
      </c>
      <c r="BD32" s="110" t="n">
        <v>138338</v>
      </c>
      <c r="BE32" s="110" t="n">
        <v>31242020.45</v>
      </c>
      <c r="BF32" s="110" t="n">
        <v>18497130.08</v>
      </c>
      <c r="BG32" s="110" t="n">
        <v>8553308.5</v>
      </c>
      <c r="BH32" s="110" t="n">
        <v>9943821.58</v>
      </c>
      <c r="BI32" s="110" t="n">
        <v>12744890.37</v>
      </c>
      <c r="BJ32" s="110" t="n">
        <v>10613559.65</v>
      </c>
      <c r="BK32" s="110" t="n">
        <v>2131330.72</v>
      </c>
      <c r="BL32" s="110" t="n">
        <v>2995506.74</v>
      </c>
      <c r="BM32" s="110" t="n">
        <v>1470903.92</v>
      </c>
      <c r="BN32" s="110" t="n">
        <v>860398.72</v>
      </c>
      <c r="BO32" s="110" t="n">
        <v>610505.2</v>
      </c>
      <c r="BP32" s="110" t="n">
        <v>1524602.82</v>
      </c>
      <c r="BQ32" s="110" t="n">
        <v>1340167.26</v>
      </c>
      <c r="BR32" s="110" t="n">
        <v>184435.56</v>
      </c>
      <c r="BS32" s="110" t="n">
        <v>1888384.01</v>
      </c>
      <c r="BT32" s="110" t="n">
        <v>920277.3</v>
      </c>
      <c r="BU32" s="110" t="n">
        <v>546949.27</v>
      </c>
      <c r="BV32" s="110" t="n">
        <v>373328.03</v>
      </c>
      <c r="BW32" s="110" t="n">
        <v>968106.71</v>
      </c>
      <c r="BX32" s="110" t="n">
        <v>857468.55</v>
      </c>
      <c r="BY32" s="110" t="n">
        <v>110638.16</v>
      </c>
      <c r="BZ32" s="110" t="n">
        <v>10809010.5</v>
      </c>
      <c r="CA32" s="110" t="n">
        <v>6942783.5</v>
      </c>
      <c r="CB32" s="110" t="n">
        <v>3120423.5</v>
      </c>
      <c r="CC32" s="110" t="n">
        <v>3822360</v>
      </c>
      <c r="CD32" s="110" t="n">
        <v>3866227</v>
      </c>
      <c r="CE32" s="110" t="n">
        <v>3051612</v>
      </c>
      <c r="CF32" s="110" t="n">
        <v>814615</v>
      </c>
      <c r="CG32" s="110" t="n">
        <v>15549119.2</v>
      </c>
      <c r="CH32" s="110" t="n">
        <v>9163165.359999999</v>
      </c>
      <c r="CI32" s="110" t="n">
        <v>4025537.01</v>
      </c>
      <c r="CJ32" s="110" t="n">
        <v>5137628.35</v>
      </c>
      <c r="CK32" s="110" t="n">
        <v>6385953.84</v>
      </c>
      <c r="CL32" s="110" t="n">
        <v>5364311.84</v>
      </c>
      <c r="CM32" s="110" t="n">
        <v>1021642</v>
      </c>
      <c r="CN32" s="110" t="n">
        <v>3211221.62</v>
      </c>
      <c r="CO32" s="110" t="n">
        <v>791671.15</v>
      </c>
      <c r="CP32" s="110" t="n">
        <v>4097257.92</v>
      </c>
      <c r="CQ32" s="110" t="n">
        <v>5810.31</v>
      </c>
      <c r="CR32" s="110" t="n">
        <v>2373747.6</v>
      </c>
      <c r="CS32" s="110" t="n">
        <v>132547.24</v>
      </c>
      <c r="CT32" s="110" t="n">
        <v>3073693.3</v>
      </c>
      <c r="CU32" s="110" t="n">
        <v>0</v>
      </c>
      <c r="CV32" s="111" t="n">
        <v>24453</v>
      </c>
      <c r="CW32" s="111" t="n">
        <v>22100</v>
      </c>
      <c r="CX32" s="111" t="n">
        <v>17797</v>
      </c>
      <c r="CY32" s="111" t="n">
        <v>4303</v>
      </c>
      <c r="CZ32" s="111" t="n">
        <v>2353</v>
      </c>
      <c r="DA32" s="111" t="n">
        <v>796</v>
      </c>
      <c r="DB32" s="111" t="n">
        <v>1557</v>
      </c>
      <c r="DC32" s="111" t="n">
        <v>2415</v>
      </c>
      <c r="DD32" s="111" t="n">
        <v>1881</v>
      </c>
      <c r="DE32" s="111" t="n">
        <v>2171</v>
      </c>
      <c r="DF32" s="111" t="n">
        <v>1781</v>
      </c>
      <c r="DG32" s="111" t="n">
        <v>390</v>
      </c>
      <c r="DH32" s="111" t="n">
        <v>244</v>
      </c>
      <c r="DI32" s="111" t="n">
        <v>67</v>
      </c>
      <c r="DJ32" s="111" t="n">
        <v>177</v>
      </c>
      <c r="DK32" s="111" t="n">
        <v>8579</v>
      </c>
      <c r="DL32" s="111" t="n">
        <v>7890</v>
      </c>
      <c r="DM32" s="111" t="n">
        <v>6664</v>
      </c>
      <c r="DN32" s="111" t="n">
        <v>1226</v>
      </c>
      <c r="DO32" s="111" t="n">
        <v>689</v>
      </c>
      <c r="DP32" s="111" t="n">
        <v>245</v>
      </c>
      <c r="DQ32" s="111" t="n">
        <v>444</v>
      </c>
      <c r="DR32" s="111" t="n">
        <v>4107</v>
      </c>
      <c r="DS32" s="111" t="n">
        <v>51</v>
      </c>
      <c r="DT32" s="111" t="n">
        <v>3610</v>
      </c>
      <c r="DU32" s="111" t="n">
        <v>2696</v>
      </c>
      <c r="DV32" s="111" t="n">
        <v>914</v>
      </c>
      <c r="DW32" s="111" t="n">
        <v>497</v>
      </c>
      <c r="DX32" s="111" t="n">
        <v>183</v>
      </c>
      <c r="DY32" s="111" t="n">
        <v>314</v>
      </c>
      <c r="DZ32" s="111" t="n">
        <v>7420</v>
      </c>
      <c r="EA32" s="111" t="n">
        <v>6797</v>
      </c>
      <c r="EB32" s="111" t="n">
        <v>5809</v>
      </c>
      <c r="EC32" s="111" t="n">
        <v>988</v>
      </c>
      <c r="ED32" s="111" t="n">
        <v>623</v>
      </c>
      <c r="EE32" s="111" t="n">
        <v>301</v>
      </c>
      <c r="EF32" s="111" t="n">
        <v>322</v>
      </c>
      <c r="EG32" s="111" t="n">
        <v>1376</v>
      </c>
      <c r="EH32" s="111" t="n">
        <v>985</v>
      </c>
      <c r="EI32" s="111" t="n">
        <v>369</v>
      </c>
      <c r="EJ32" s="111" t="n">
        <v>616</v>
      </c>
      <c r="EK32" s="111" t="n">
        <v>391</v>
      </c>
      <c r="EL32" s="111" t="n">
        <v>270</v>
      </c>
      <c r="EM32" s="111" t="n">
        <v>121</v>
      </c>
      <c r="EN32" s="111" t="n">
        <v>783</v>
      </c>
      <c r="EO32" s="111" t="n">
        <v>0</v>
      </c>
      <c r="EP32" s="111" t="n">
        <v>0</v>
      </c>
      <c r="EQ32" s="111" t="n">
        <v>783</v>
      </c>
      <c r="ER32" s="111" t="n">
        <v>0</v>
      </c>
      <c r="ES32" s="111" t="n">
        <v>0</v>
      </c>
      <c r="ET32" s="111" t="n">
        <v>0</v>
      </c>
      <c r="EU32" s="111" t="n">
        <v>0</v>
      </c>
      <c r="EV32" s="111" t="n">
        <v>0</v>
      </c>
      <c r="EW32" s="111" t="n">
        <v>0</v>
      </c>
      <c r="EX32" s="111" t="n">
        <v>0</v>
      </c>
      <c r="EY32" s="111" t="n">
        <v>0</v>
      </c>
      <c r="EZ32" s="111" t="n">
        <v>0</v>
      </c>
      <c r="FA32" s="111" t="n">
        <v>0</v>
      </c>
      <c r="FB32" s="111" t="n">
        <v>653</v>
      </c>
    </row>
    <row r="33" ht="19.5" customHeight="1" s="247">
      <c r="A33" s="107" t="n">
        <v>30</v>
      </c>
      <c r="B33" s="107" t="inlineStr">
        <is>
          <t>儿童手术</t>
        </is>
      </c>
      <c r="C33" s="107" t="inlineStr">
        <is>
          <t>儿心脏中心</t>
        </is>
      </c>
      <c r="D33" s="110" t="n">
        <v>13527498.25</v>
      </c>
      <c r="E33" s="110" t="n">
        <v>4304024.5</v>
      </c>
      <c r="F33" s="110" t="n">
        <v>9223473.75</v>
      </c>
      <c r="G33" s="110" t="n">
        <v>12686</v>
      </c>
      <c r="H33" s="110" t="n">
        <v>696</v>
      </c>
      <c r="I33" s="110" t="n">
        <v>28669</v>
      </c>
      <c r="J33" s="110" t="n">
        <v>57</v>
      </c>
      <c r="K33" s="110" t="n">
        <v>0</v>
      </c>
      <c r="L33" s="110" t="n">
        <v>783587.25</v>
      </c>
      <c r="M33" s="110" t="n">
        <v>1568886.85</v>
      </c>
      <c r="N33" s="110" t="n">
        <v>0</v>
      </c>
      <c r="O33" s="110" t="n">
        <v>21182600.98</v>
      </c>
      <c r="P33" s="110" t="n">
        <v>9806106.18</v>
      </c>
      <c r="Q33" s="110" t="n">
        <v>8655939.65</v>
      </c>
      <c r="R33" s="110" t="n">
        <v>1150166.53</v>
      </c>
      <c r="S33" s="110" t="n">
        <v>11376494.8</v>
      </c>
      <c r="T33" s="110" t="n">
        <v>9745523.67</v>
      </c>
      <c r="U33" s="110" t="n">
        <v>1630971.13</v>
      </c>
      <c r="V33" s="110" t="n">
        <v>5498870.21</v>
      </c>
      <c r="W33" s="110" t="n">
        <v>4322530.84</v>
      </c>
      <c r="X33" s="110" t="n">
        <v>3607297.57</v>
      </c>
      <c r="Y33" s="110" t="n">
        <v>715233.27</v>
      </c>
      <c r="Z33" s="110" t="n">
        <v>1176339.37</v>
      </c>
      <c r="AA33" s="110" t="n">
        <v>304404.16</v>
      </c>
      <c r="AB33" s="110" t="n">
        <v>871935.21</v>
      </c>
      <c r="AC33" s="110" t="n">
        <v>1119181.9</v>
      </c>
      <c r="AD33" s="110" t="n">
        <v>1047920.06</v>
      </c>
      <c r="AE33" s="110" t="n">
        <v>969922.6899999999</v>
      </c>
      <c r="AF33" s="110" t="n">
        <v>77997.37</v>
      </c>
      <c r="AG33" s="110" t="n">
        <v>71261.84</v>
      </c>
      <c r="AH33" s="110" t="n">
        <v>23941.77</v>
      </c>
      <c r="AI33" s="110" t="n">
        <v>47320.07</v>
      </c>
      <c r="AJ33" s="110" t="n">
        <v>75663.81</v>
      </c>
      <c r="AK33" s="110" t="n">
        <v>67598.28</v>
      </c>
      <c r="AL33" s="110" t="n">
        <v>61001.88</v>
      </c>
      <c r="AM33" s="110" t="n">
        <v>6596.4</v>
      </c>
      <c r="AN33" s="110" t="n">
        <v>8065.53</v>
      </c>
      <c r="AO33" s="110" t="n">
        <v>3669.39</v>
      </c>
      <c r="AP33" s="110" t="n">
        <v>4396.14</v>
      </c>
      <c r="AQ33" s="110" t="n">
        <v>3024615.5</v>
      </c>
      <c r="AR33" s="110" t="n">
        <v>2372157.5</v>
      </c>
      <c r="AS33" s="110" t="n">
        <v>2012440</v>
      </c>
      <c r="AT33" s="110" t="n">
        <v>359717.5</v>
      </c>
      <c r="AU33" s="110" t="n">
        <v>652458</v>
      </c>
      <c r="AV33" s="110" t="n">
        <v>198664</v>
      </c>
      <c r="AW33" s="110" t="n">
        <v>453794</v>
      </c>
      <c r="AX33" s="110" t="n">
        <v>1279409</v>
      </c>
      <c r="AY33" s="110" t="n">
        <v>834855</v>
      </c>
      <c r="AZ33" s="110" t="n">
        <v>563933</v>
      </c>
      <c r="BA33" s="110" t="n">
        <v>270922</v>
      </c>
      <c r="BB33" s="110" t="n">
        <v>444554</v>
      </c>
      <c r="BC33" s="110" t="n">
        <v>78129</v>
      </c>
      <c r="BD33" s="110" t="n">
        <v>366425</v>
      </c>
      <c r="BE33" s="110" t="n">
        <v>15683730.77</v>
      </c>
      <c r="BF33" s="110" t="n">
        <v>5483575.34</v>
      </c>
      <c r="BG33" s="110" t="n">
        <v>5048642.08</v>
      </c>
      <c r="BH33" s="110" t="n">
        <v>434933.26</v>
      </c>
      <c r="BI33" s="110" t="n">
        <v>10200155.43</v>
      </c>
      <c r="BJ33" s="110" t="n">
        <v>9441119.51</v>
      </c>
      <c r="BK33" s="110" t="n">
        <v>759035.92</v>
      </c>
      <c r="BL33" s="110" t="n">
        <v>1672203.33</v>
      </c>
      <c r="BM33" s="110" t="n">
        <v>683002.8</v>
      </c>
      <c r="BN33" s="110" t="n">
        <v>646294.1</v>
      </c>
      <c r="BO33" s="110" t="n">
        <v>36708.7</v>
      </c>
      <c r="BP33" s="110" t="n">
        <v>989200.53</v>
      </c>
      <c r="BQ33" s="110" t="n">
        <v>919786.99</v>
      </c>
      <c r="BR33" s="110" t="n">
        <v>69413.53999999999</v>
      </c>
      <c r="BS33" s="110" t="n">
        <v>4788053.69</v>
      </c>
      <c r="BT33" s="110" t="n">
        <v>1324184.32</v>
      </c>
      <c r="BU33" s="110" t="n">
        <v>1247842.11</v>
      </c>
      <c r="BV33" s="110" t="n">
        <v>76342.21000000001</v>
      </c>
      <c r="BW33" s="110" t="n">
        <v>3463869.37</v>
      </c>
      <c r="BX33" s="110" t="n">
        <v>3247945.24</v>
      </c>
      <c r="BY33" s="110" t="n">
        <v>215924.13</v>
      </c>
      <c r="BZ33" s="110" t="n">
        <v>4500491</v>
      </c>
      <c r="CA33" s="110" t="n">
        <v>1856050</v>
      </c>
      <c r="CB33" s="110" t="n">
        <v>1744160</v>
      </c>
      <c r="CC33" s="110" t="n">
        <v>111890</v>
      </c>
      <c r="CD33" s="110" t="n">
        <v>2644441</v>
      </c>
      <c r="CE33" s="110" t="n">
        <v>2414015.5</v>
      </c>
      <c r="CF33" s="110" t="n">
        <v>230425.5</v>
      </c>
      <c r="CG33" s="110" t="n">
        <v>4722982.75</v>
      </c>
      <c r="CH33" s="110" t="n">
        <v>1620338.22</v>
      </c>
      <c r="CI33" s="110" t="n">
        <v>1410345.87</v>
      </c>
      <c r="CJ33" s="110" t="n">
        <v>209992.35</v>
      </c>
      <c r="CK33" s="110" t="n">
        <v>3102644.53</v>
      </c>
      <c r="CL33" s="110" t="n">
        <v>2859371.78</v>
      </c>
      <c r="CM33" s="110" t="n">
        <v>243272.75</v>
      </c>
      <c r="CN33" s="110" t="n">
        <v>1086817.85</v>
      </c>
      <c r="CO33" s="110" t="n">
        <v>116932.63</v>
      </c>
      <c r="CP33" s="110" t="n">
        <v>2632300.76</v>
      </c>
      <c r="CQ33" s="110" t="n">
        <v>121687.44</v>
      </c>
      <c r="CR33" s="110" t="n">
        <v>1541131.53</v>
      </c>
      <c r="CS33" s="110" t="n">
        <v>0</v>
      </c>
      <c r="CT33" s="110" t="n">
        <v>274133.03</v>
      </c>
      <c r="CU33" s="110" t="n">
        <v>0</v>
      </c>
      <c r="CV33" s="111" t="n">
        <v>12686</v>
      </c>
      <c r="CW33" s="111" t="n">
        <v>10270</v>
      </c>
      <c r="CX33" s="111" t="n">
        <v>8807</v>
      </c>
      <c r="CY33" s="111" t="n">
        <v>1463</v>
      </c>
      <c r="CZ33" s="111" t="n">
        <v>2416</v>
      </c>
      <c r="DA33" s="111" t="n">
        <v>780</v>
      </c>
      <c r="DB33" s="111" t="n">
        <v>1636</v>
      </c>
      <c r="DC33" s="111" t="n">
        <v>809</v>
      </c>
      <c r="DD33" s="111" t="n">
        <v>33</v>
      </c>
      <c r="DE33" s="111" t="n">
        <v>666</v>
      </c>
      <c r="DF33" s="111" t="n">
        <v>596</v>
      </c>
      <c r="DG33" s="111" t="n">
        <v>70</v>
      </c>
      <c r="DH33" s="111" t="n">
        <v>143</v>
      </c>
      <c r="DI33" s="111" t="n">
        <v>65</v>
      </c>
      <c r="DJ33" s="111" t="n">
        <v>78</v>
      </c>
      <c r="DK33" s="111" t="n">
        <v>7024</v>
      </c>
      <c r="DL33" s="111" t="n">
        <v>5786</v>
      </c>
      <c r="DM33" s="111" t="n">
        <v>5203</v>
      </c>
      <c r="DN33" s="111" t="n">
        <v>583</v>
      </c>
      <c r="DO33" s="111" t="n">
        <v>1238</v>
      </c>
      <c r="DP33" s="111" t="n">
        <v>473</v>
      </c>
      <c r="DQ33" s="111" t="n">
        <v>765</v>
      </c>
      <c r="DR33" s="111" t="n">
        <v>2014</v>
      </c>
      <c r="DS33" s="111" t="n">
        <v>13</v>
      </c>
      <c r="DT33" s="111" t="n">
        <v>1278</v>
      </c>
      <c r="DU33" s="111" t="n">
        <v>814</v>
      </c>
      <c r="DV33" s="111" t="n">
        <v>464</v>
      </c>
      <c r="DW33" s="111" t="n">
        <v>736</v>
      </c>
      <c r="DX33" s="111" t="n">
        <v>119</v>
      </c>
      <c r="DY33" s="111" t="n">
        <v>617</v>
      </c>
      <c r="DZ33" s="111" t="n">
        <v>2793</v>
      </c>
      <c r="EA33" s="111" t="n">
        <v>2520</v>
      </c>
      <c r="EB33" s="111" t="n">
        <v>2180</v>
      </c>
      <c r="EC33" s="111" t="n">
        <v>340</v>
      </c>
      <c r="ED33" s="111" t="n">
        <v>273</v>
      </c>
      <c r="EE33" s="111" t="n">
        <v>123</v>
      </c>
      <c r="EF33" s="111" t="n">
        <v>150</v>
      </c>
      <c r="EG33" s="111" t="n">
        <v>696</v>
      </c>
      <c r="EH33" s="111" t="n">
        <v>385</v>
      </c>
      <c r="EI33" s="111" t="n">
        <v>356</v>
      </c>
      <c r="EJ33" s="111" t="n">
        <v>29</v>
      </c>
      <c r="EK33" s="111" t="n">
        <v>311</v>
      </c>
      <c r="EL33" s="111" t="n">
        <v>270</v>
      </c>
      <c r="EM33" s="111" t="n">
        <v>41</v>
      </c>
      <c r="EN33" s="111" t="n">
        <v>261</v>
      </c>
      <c r="EO33" s="111" t="n">
        <v>116</v>
      </c>
      <c r="EP33" s="111" t="n">
        <v>78</v>
      </c>
      <c r="EQ33" s="111" t="n">
        <v>67</v>
      </c>
      <c r="ER33" s="111" t="n">
        <v>5</v>
      </c>
      <c r="ES33" s="111" t="n">
        <v>0</v>
      </c>
      <c r="ET33" s="111" t="n">
        <v>0</v>
      </c>
      <c r="EU33" s="111" t="n">
        <v>66</v>
      </c>
      <c r="EV33" s="111" t="n">
        <v>16</v>
      </c>
      <c r="EW33" s="111" t="n">
        <v>49</v>
      </c>
      <c r="EX33" s="111" t="n">
        <v>1</v>
      </c>
      <c r="EY33" s="111" t="n">
        <v>96</v>
      </c>
      <c r="EZ33" s="111" t="n">
        <v>90</v>
      </c>
      <c r="FA33" s="111" t="n">
        <v>6</v>
      </c>
      <c r="FB33" s="111" t="n">
        <v>116</v>
      </c>
    </row>
    <row r="34" ht="19.5" customHeight="1" s="247">
      <c r="A34" s="107" t="n">
        <v>31</v>
      </c>
      <c r="B34" s="107" t="inlineStr">
        <is>
          <t>儿童非手术</t>
        </is>
      </c>
      <c r="C34" s="107" t="inlineStr">
        <is>
          <t>儿神经内科</t>
        </is>
      </c>
      <c r="D34" s="110" t="n">
        <v>16298203.5</v>
      </c>
      <c r="E34" s="110" t="n">
        <v>7822259</v>
      </c>
      <c r="F34" s="110" t="n">
        <v>8475944.5</v>
      </c>
      <c r="G34" s="110" t="n">
        <v>19130</v>
      </c>
      <c r="H34" s="110" t="n">
        <v>1712</v>
      </c>
      <c r="I34" s="110" t="n">
        <v>33540</v>
      </c>
      <c r="J34" s="110" t="n">
        <v>0</v>
      </c>
      <c r="K34" s="110" t="n">
        <v>0</v>
      </c>
      <c r="L34" s="110" t="n">
        <v>122488.5</v>
      </c>
      <c r="M34" s="110" t="n">
        <v>40744</v>
      </c>
      <c r="N34" s="110" t="n">
        <v>1656.23</v>
      </c>
      <c r="O34" s="110" t="n">
        <v>31537815.51</v>
      </c>
      <c r="P34" s="110" t="n">
        <v>12542837.35</v>
      </c>
      <c r="Q34" s="110" t="n">
        <v>10947471.82</v>
      </c>
      <c r="R34" s="110" t="n">
        <v>1595365.53</v>
      </c>
      <c r="S34" s="110" t="n">
        <v>18994978.16</v>
      </c>
      <c r="T34" s="110" t="n">
        <v>14722660.51</v>
      </c>
      <c r="U34" s="110" t="n">
        <v>4272317.65</v>
      </c>
      <c r="V34" s="110" t="n">
        <v>11609154.45</v>
      </c>
      <c r="W34" s="110" t="n">
        <v>7991722.61</v>
      </c>
      <c r="X34" s="110" t="n">
        <v>7054276.67</v>
      </c>
      <c r="Y34" s="110" t="n">
        <v>937445.9399999999</v>
      </c>
      <c r="Z34" s="110" t="n">
        <v>3617431.84</v>
      </c>
      <c r="AA34" s="110" t="n">
        <v>1403042</v>
      </c>
      <c r="AB34" s="110" t="n">
        <v>2214389.84</v>
      </c>
      <c r="AC34" s="110" t="n">
        <v>3705948.89</v>
      </c>
      <c r="AD34" s="110" t="n">
        <v>2662226.77</v>
      </c>
      <c r="AE34" s="110" t="n">
        <v>2365390.09</v>
      </c>
      <c r="AF34" s="110" t="n">
        <v>296836.68</v>
      </c>
      <c r="AG34" s="110" t="n">
        <v>1043722.12</v>
      </c>
      <c r="AH34" s="110" t="n">
        <v>441643.96</v>
      </c>
      <c r="AI34" s="110" t="n">
        <v>602078.16</v>
      </c>
      <c r="AJ34" s="110" t="n">
        <v>80946.56</v>
      </c>
      <c r="AK34" s="110" t="n">
        <v>73535.84</v>
      </c>
      <c r="AL34" s="110" t="n">
        <v>65502.58</v>
      </c>
      <c r="AM34" s="110" t="n">
        <v>8033.26</v>
      </c>
      <c r="AN34" s="110" t="n">
        <v>7410.72</v>
      </c>
      <c r="AO34" s="110" t="n">
        <v>2702.04</v>
      </c>
      <c r="AP34" s="110" t="n">
        <v>4708.68</v>
      </c>
      <c r="AQ34" s="110" t="n">
        <v>5270183</v>
      </c>
      <c r="AR34" s="110" t="n">
        <v>3743125</v>
      </c>
      <c r="AS34" s="110" t="n">
        <v>3342352</v>
      </c>
      <c r="AT34" s="110" t="n">
        <v>400773</v>
      </c>
      <c r="AU34" s="110" t="n">
        <v>1527058</v>
      </c>
      <c r="AV34" s="110" t="n">
        <v>599889</v>
      </c>
      <c r="AW34" s="110" t="n">
        <v>927169</v>
      </c>
      <c r="AX34" s="110" t="n">
        <v>2552076</v>
      </c>
      <c r="AY34" s="110" t="n">
        <v>1512835</v>
      </c>
      <c r="AZ34" s="110" t="n">
        <v>1281032</v>
      </c>
      <c r="BA34" s="110" t="n">
        <v>231803</v>
      </c>
      <c r="BB34" s="110" t="n">
        <v>1039241</v>
      </c>
      <c r="BC34" s="110" t="n">
        <v>358807</v>
      </c>
      <c r="BD34" s="110" t="n">
        <v>680434</v>
      </c>
      <c r="BE34" s="110" t="n">
        <v>19928661.06</v>
      </c>
      <c r="BF34" s="110" t="n">
        <v>4551114.74</v>
      </c>
      <c r="BG34" s="110" t="n">
        <v>3893195.15</v>
      </c>
      <c r="BH34" s="110" t="n">
        <v>657919.59</v>
      </c>
      <c r="BI34" s="110" t="n">
        <v>15377546.32</v>
      </c>
      <c r="BJ34" s="110" t="n">
        <v>13319618.51</v>
      </c>
      <c r="BK34" s="110" t="n">
        <v>2057927.81</v>
      </c>
      <c r="BL34" s="110" t="n">
        <v>11197573.39</v>
      </c>
      <c r="BM34" s="110" t="n">
        <v>2162333.59</v>
      </c>
      <c r="BN34" s="110" t="n">
        <v>2042005.99</v>
      </c>
      <c r="BO34" s="110" t="n">
        <v>120327.6</v>
      </c>
      <c r="BP34" s="110" t="n">
        <v>9035239.800000001</v>
      </c>
      <c r="BQ34" s="110" t="n">
        <v>8293514.11</v>
      </c>
      <c r="BR34" s="110" t="n">
        <v>741725.6899999999</v>
      </c>
      <c r="BS34" s="110" t="n">
        <v>255143.17</v>
      </c>
      <c r="BT34" s="110" t="n">
        <v>64966.65</v>
      </c>
      <c r="BU34" s="110" t="n">
        <v>54514.66</v>
      </c>
      <c r="BV34" s="110" t="n">
        <v>10451.99</v>
      </c>
      <c r="BW34" s="110" t="n">
        <v>190176.52</v>
      </c>
      <c r="BX34" s="110" t="n">
        <v>167564.9</v>
      </c>
      <c r="BY34" s="110" t="n">
        <v>22611.62</v>
      </c>
      <c r="BZ34" s="110" t="n">
        <v>5529343</v>
      </c>
      <c r="CA34" s="110" t="n">
        <v>1326364</v>
      </c>
      <c r="CB34" s="110" t="n">
        <v>1149493</v>
      </c>
      <c r="CC34" s="110" t="n">
        <v>176871</v>
      </c>
      <c r="CD34" s="110" t="n">
        <v>4202979</v>
      </c>
      <c r="CE34" s="110" t="n">
        <v>3570067</v>
      </c>
      <c r="CF34" s="110" t="n">
        <v>632912</v>
      </c>
      <c r="CG34" s="110" t="n">
        <v>2946601.5</v>
      </c>
      <c r="CH34" s="110" t="n">
        <v>997450.5</v>
      </c>
      <c r="CI34" s="110" t="n">
        <v>647181.5</v>
      </c>
      <c r="CJ34" s="110" t="n">
        <v>350269</v>
      </c>
      <c r="CK34" s="110" t="n">
        <v>1949151</v>
      </c>
      <c r="CL34" s="110" t="n">
        <v>1288472.5</v>
      </c>
      <c r="CM34" s="110" t="n">
        <v>660678.5</v>
      </c>
      <c r="CN34" s="110" t="n">
        <v>2121279.27</v>
      </c>
      <c r="CO34" s="110" t="n">
        <v>541243.27</v>
      </c>
      <c r="CP34" s="110" t="n">
        <v>2166044.68</v>
      </c>
      <c r="CQ34" s="110" t="n">
        <v>895287.46</v>
      </c>
      <c r="CR34" s="110" t="n">
        <v>5885299.77</v>
      </c>
      <c r="CS34" s="110" t="n">
        <v>0</v>
      </c>
      <c r="CT34" s="110" t="n">
        <v>1767179.85</v>
      </c>
      <c r="CU34" s="110" t="n">
        <v>0</v>
      </c>
      <c r="CV34" s="111" t="n">
        <v>19130</v>
      </c>
      <c r="CW34" s="111" t="n">
        <v>13921</v>
      </c>
      <c r="CX34" s="111" t="n">
        <v>12231</v>
      </c>
      <c r="CY34" s="111" t="n">
        <v>1690</v>
      </c>
      <c r="CZ34" s="111" t="n">
        <v>5209</v>
      </c>
      <c r="DA34" s="111" t="n">
        <v>1606</v>
      </c>
      <c r="DB34" s="111" t="n">
        <v>3603</v>
      </c>
      <c r="DC34" s="111" t="n">
        <v>3521</v>
      </c>
      <c r="DD34" s="111" t="n">
        <v>1052</v>
      </c>
      <c r="DE34" s="111" t="n">
        <v>2984</v>
      </c>
      <c r="DF34" s="111" t="n">
        <v>2711</v>
      </c>
      <c r="DG34" s="111" t="n">
        <v>273</v>
      </c>
      <c r="DH34" s="111" t="n">
        <v>537</v>
      </c>
      <c r="DI34" s="111" t="n">
        <v>219</v>
      </c>
      <c r="DJ34" s="111" t="n">
        <v>318</v>
      </c>
      <c r="DK34" s="111" t="n">
        <v>3919</v>
      </c>
      <c r="DL34" s="111" t="n">
        <v>2815</v>
      </c>
      <c r="DM34" s="111" t="n">
        <v>2507</v>
      </c>
      <c r="DN34" s="111" t="n">
        <v>308</v>
      </c>
      <c r="DO34" s="111" t="n">
        <v>1104</v>
      </c>
      <c r="DP34" s="111" t="n">
        <v>438</v>
      </c>
      <c r="DQ34" s="111" t="n">
        <v>666</v>
      </c>
      <c r="DR34" s="111" t="n">
        <v>5669</v>
      </c>
      <c r="DS34" s="111" t="n">
        <v>298</v>
      </c>
      <c r="DT34" s="111" t="n">
        <v>3420</v>
      </c>
      <c r="DU34" s="111" t="n">
        <v>2929</v>
      </c>
      <c r="DV34" s="111" t="n">
        <v>491</v>
      </c>
      <c r="DW34" s="111" t="n">
        <v>2249</v>
      </c>
      <c r="DX34" s="111" t="n">
        <v>759</v>
      </c>
      <c r="DY34" s="111" t="n">
        <v>1490</v>
      </c>
      <c r="DZ34" s="111" t="n">
        <v>4671</v>
      </c>
      <c r="EA34" s="111" t="n">
        <v>4230</v>
      </c>
      <c r="EB34" s="111" t="n">
        <v>3718</v>
      </c>
      <c r="EC34" s="111" t="n">
        <v>512</v>
      </c>
      <c r="ED34" s="111" t="n">
        <v>441</v>
      </c>
      <c r="EE34" s="111" t="n">
        <v>190</v>
      </c>
      <c r="EF34" s="111" t="n">
        <v>251</v>
      </c>
      <c r="EG34" s="111" t="n">
        <v>1712</v>
      </c>
      <c r="EH34" s="111" t="n">
        <v>608</v>
      </c>
      <c r="EI34" s="111" t="n">
        <v>498</v>
      </c>
      <c r="EJ34" s="111" t="n">
        <v>110</v>
      </c>
      <c r="EK34" s="111" t="n">
        <v>1104</v>
      </c>
      <c r="EL34" s="111" t="n">
        <v>881</v>
      </c>
      <c r="EM34" s="111" t="n">
        <v>223</v>
      </c>
      <c r="EN34" s="111" t="n">
        <v>890</v>
      </c>
      <c r="EO34" s="111" t="n">
        <v>0</v>
      </c>
      <c r="EP34" s="111" t="n">
        <v>0</v>
      </c>
      <c r="EQ34" s="111" t="n">
        <v>890</v>
      </c>
      <c r="ER34" s="111" t="n">
        <v>0</v>
      </c>
      <c r="ES34" s="111" t="n">
        <v>0</v>
      </c>
      <c r="ET34" s="111" t="n">
        <v>0</v>
      </c>
      <c r="EU34" s="111" t="n">
        <v>0</v>
      </c>
      <c r="EV34" s="111" t="n">
        <v>0</v>
      </c>
      <c r="EW34" s="111" t="n">
        <v>0</v>
      </c>
      <c r="EX34" s="111" t="n">
        <v>0</v>
      </c>
      <c r="EY34" s="111" t="n">
        <v>0</v>
      </c>
      <c r="EZ34" s="111" t="n">
        <v>0</v>
      </c>
      <c r="FA34" s="111" t="n">
        <v>0</v>
      </c>
      <c r="FB34" s="111" t="n">
        <v>1575</v>
      </c>
    </row>
    <row r="35" ht="19.5" customHeight="1" s="247">
      <c r="A35" s="107" t="n">
        <v>32</v>
      </c>
      <c r="B35" s="107" t="inlineStr">
        <is>
          <t>儿童非手术</t>
        </is>
      </c>
      <c r="C35" s="107" t="inlineStr">
        <is>
          <t>儿感染科</t>
        </is>
      </c>
      <c r="D35" s="110" t="n">
        <v>16372149.5</v>
      </c>
      <c r="E35" s="110" t="n">
        <v>7520467.5</v>
      </c>
      <c r="F35" s="110" t="n">
        <v>8851682</v>
      </c>
      <c r="G35" s="110" t="n">
        <v>30716</v>
      </c>
      <c r="H35" s="110" t="n">
        <v>898</v>
      </c>
      <c r="I35" s="110" t="n">
        <v>105722.5</v>
      </c>
      <c r="J35" s="110" t="n">
        <v>0</v>
      </c>
      <c r="K35" s="110" t="n">
        <v>0</v>
      </c>
      <c r="L35" s="110" t="n">
        <v>197979</v>
      </c>
      <c r="M35" s="110" t="n">
        <v>19522</v>
      </c>
      <c r="N35" s="110" t="n">
        <v>507.89</v>
      </c>
      <c r="O35" s="110" t="n">
        <v>24862840.27</v>
      </c>
      <c r="P35" s="110" t="n">
        <v>21748569.21</v>
      </c>
      <c r="Q35" s="110" t="n">
        <v>16528760.8</v>
      </c>
      <c r="R35" s="110" t="n">
        <v>5219808.41</v>
      </c>
      <c r="S35" s="110" t="n">
        <v>3114271.06</v>
      </c>
      <c r="T35" s="110" t="n">
        <v>1767861.87</v>
      </c>
      <c r="U35" s="110" t="n">
        <v>1346409.19</v>
      </c>
      <c r="V35" s="110" t="n">
        <v>14380175.69</v>
      </c>
      <c r="W35" s="110" t="n">
        <v>13446854.24</v>
      </c>
      <c r="X35" s="110" t="n">
        <v>12067493.82</v>
      </c>
      <c r="Y35" s="110" t="n">
        <v>1379360.42</v>
      </c>
      <c r="Z35" s="110" t="n">
        <v>933321.45</v>
      </c>
      <c r="AA35" s="110" t="n">
        <v>344997.98</v>
      </c>
      <c r="AB35" s="110" t="n">
        <v>588323.47</v>
      </c>
      <c r="AC35" s="110" t="n">
        <v>6604929.32</v>
      </c>
      <c r="AD35" s="110" t="n">
        <v>6224811.35</v>
      </c>
      <c r="AE35" s="110" t="n">
        <v>5616672.56</v>
      </c>
      <c r="AF35" s="110" t="n">
        <v>608138.79</v>
      </c>
      <c r="AG35" s="110" t="n">
        <v>380117.97</v>
      </c>
      <c r="AH35" s="110" t="n">
        <v>125685.3</v>
      </c>
      <c r="AI35" s="110" t="n">
        <v>254432.67</v>
      </c>
      <c r="AJ35" s="110" t="n">
        <v>254778.87</v>
      </c>
      <c r="AK35" s="110" t="n">
        <v>234624.39</v>
      </c>
      <c r="AL35" s="110" t="n">
        <v>210644.76</v>
      </c>
      <c r="AM35" s="110" t="n">
        <v>23979.63</v>
      </c>
      <c r="AN35" s="110" t="n">
        <v>20154.48</v>
      </c>
      <c r="AO35" s="110" t="n">
        <v>8488.68</v>
      </c>
      <c r="AP35" s="110" t="n">
        <v>11665.8</v>
      </c>
      <c r="AQ35" s="110" t="n">
        <v>5594108</v>
      </c>
      <c r="AR35" s="110" t="n">
        <v>5211319</v>
      </c>
      <c r="AS35" s="110" t="n">
        <v>4733764</v>
      </c>
      <c r="AT35" s="110" t="n">
        <v>477555</v>
      </c>
      <c r="AU35" s="110" t="n">
        <v>382789</v>
      </c>
      <c r="AV35" s="110" t="n">
        <v>159877</v>
      </c>
      <c r="AW35" s="110" t="n">
        <v>222912</v>
      </c>
      <c r="AX35" s="110" t="n">
        <v>1926359.5</v>
      </c>
      <c r="AY35" s="110" t="n">
        <v>1776099.5</v>
      </c>
      <c r="AZ35" s="110" t="n">
        <v>1506412.5</v>
      </c>
      <c r="BA35" s="110" t="n">
        <v>269687</v>
      </c>
      <c r="BB35" s="110" t="n">
        <v>150260</v>
      </c>
      <c r="BC35" s="110" t="n">
        <v>50947</v>
      </c>
      <c r="BD35" s="110" t="n">
        <v>99313</v>
      </c>
      <c r="BE35" s="110" t="n">
        <v>10482664.58</v>
      </c>
      <c r="BF35" s="110" t="n">
        <v>8301714.97</v>
      </c>
      <c r="BG35" s="110" t="n">
        <v>4461266.98</v>
      </c>
      <c r="BH35" s="110" t="n">
        <v>3840447.99</v>
      </c>
      <c r="BI35" s="110" t="n">
        <v>2180949.61</v>
      </c>
      <c r="BJ35" s="110" t="n">
        <v>1422863.89</v>
      </c>
      <c r="BK35" s="110" t="n">
        <v>758085.72</v>
      </c>
      <c r="BL35" s="110" t="n">
        <v>1311003.13</v>
      </c>
      <c r="BM35" s="110" t="n">
        <v>1030283.44</v>
      </c>
      <c r="BN35" s="110" t="n">
        <v>704520.9</v>
      </c>
      <c r="BO35" s="110" t="n">
        <v>325762.54</v>
      </c>
      <c r="BP35" s="110" t="n">
        <v>280719.69</v>
      </c>
      <c r="BQ35" s="110" t="n">
        <v>240523.78</v>
      </c>
      <c r="BR35" s="110" t="n">
        <v>40195.91</v>
      </c>
      <c r="BS35" s="110" t="n">
        <v>319979.45</v>
      </c>
      <c r="BT35" s="110" t="n">
        <v>247497.03</v>
      </c>
      <c r="BU35" s="110" t="n">
        <v>155347.58</v>
      </c>
      <c r="BV35" s="110" t="n">
        <v>92149.45</v>
      </c>
      <c r="BW35" s="110" t="n">
        <v>72482.42</v>
      </c>
      <c r="BX35" s="110" t="n">
        <v>54032.11</v>
      </c>
      <c r="BY35" s="110" t="n">
        <v>18450.31</v>
      </c>
      <c r="BZ35" s="110" t="n">
        <v>4473021</v>
      </c>
      <c r="CA35" s="110" t="n">
        <v>3388934</v>
      </c>
      <c r="CB35" s="110" t="n">
        <v>2583026</v>
      </c>
      <c r="CC35" s="110" t="n">
        <v>805908</v>
      </c>
      <c r="CD35" s="110" t="n">
        <v>1084087</v>
      </c>
      <c r="CE35" s="110" t="n">
        <v>898317</v>
      </c>
      <c r="CF35" s="110" t="n">
        <v>185770</v>
      </c>
      <c r="CG35" s="110" t="n">
        <v>4378661</v>
      </c>
      <c r="CH35" s="110" t="n">
        <v>3635000.5</v>
      </c>
      <c r="CI35" s="110" t="n">
        <v>1018372.5</v>
      </c>
      <c r="CJ35" s="110" t="n">
        <v>2616628</v>
      </c>
      <c r="CK35" s="110" t="n">
        <v>743660.5</v>
      </c>
      <c r="CL35" s="110" t="n">
        <v>229991</v>
      </c>
      <c r="CM35" s="110" t="n">
        <v>513669.5</v>
      </c>
      <c r="CN35" s="110" t="n">
        <v>3773967.1</v>
      </c>
      <c r="CO35" s="110" t="n">
        <v>4005077.43</v>
      </c>
      <c r="CP35" s="110" t="n">
        <v>2429126.81</v>
      </c>
      <c r="CQ35" s="110" t="n">
        <v>29208.22</v>
      </c>
      <c r="CR35" s="110" t="n">
        <v>4142796.13</v>
      </c>
      <c r="CS35" s="110" t="n">
        <v>0</v>
      </c>
      <c r="CT35" s="110" t="n">
        <v>4394715.34</v>
      </c>
      <c r="CU35" s="110" t="n">
        <v>0</v>
      </c>
      <c r="CV35" s="111" t="n">
        <v>30716</v>
      </c>
      <c r="CW35" s="111" t="n">
        <v>28334</v>
      </c>
      <c r="CX35" s="111" t="n">
        <v>24963</v>
      </c>
      <c r="CY35" s="111" t="n">
        <v>3371</v>
      </c>
      <c r="CZ35" s="111" t="n">
        <v>2382</v>
      </c>
      <c r="DA35" s="111" t="n">
        <v>924</v>
      </c>
      <c r="DB35" s="111" t="n">
        <v>1458</v>
      </c>
      <c r="DC35" s="111" t="n">
        <v>11251</v>
      </c>
      <c r="DD35" s="111" t="n">
        <v>0</v>
      </c>
      <c r="DE35" s="111" t="n">
        <v>10354</v>
      </c>
      <c r="DF35" s="111" t="n">
        <v>9214</v>
      </c>
      <c r="DG35" s="111" t="n">
        <v>1140</v>
      </c>
      <c r="DH35" s="111" t="n">
        <v>897</v>
      </c>
      <c r="DI35" s="111" t="n">
        <v>337</v>
      </c>
      <c r="DJ35" s="111" t="n">
        <v>560</v>
      </c>
      <c r="DK35" s="111" t="n">
        <v>5186</v>
      </c>
      <c r="DL35" s="111" t="n">
        <v>4729</v>
      </c>
      <c r="DM35" s="111" t="n">
        <v>4191</v>
      </c>
      <c r="DN35" s="111" t="n">
        <v>538</v>
      </c>
      <c r="DO35" s="111" t="n">
        <v>457</v>
      </c>
      <c r="DP35" s="111" t="n">
        <v>170</v>
      </c>
      <c r="DQ35" s="111" t="n">
        <v>287</v>
      </c>
      <c r="DR35" s="111" t="n">
        <v>5592</v>
      </c>
      <c r="DS35" s="111" t="n">
        <v>0</v>
      </c>
      <c r="DT35" s="111" t="n">
        <v>5254</v>
      </c>
      <c r="DU35" s="111" t="n">
        <v>4585</v>
      </c>
      <c r="DV35" s="111" t="n">
        <v>669</v>
      </c>
      <c r="DW35" s="111" t="n">
        <v>338</v>
      </c>
      <c r="DX35" s="111" t="n">
        <v>104</v>
      </c>
      <c r="DY35" s="111" t="n">
        <v>234</v>
      </c>
      <c r="DZ35" s="111" t="n">
        <v>8687</v>
      </c>
      <c r="EA35" s="111" t="n">
        <v>7997</v>
      </c>
      <c r="EB35" s="111" t="n">
        <v>6973</v>
      </c>
      <c r="EC35" s="111" t="n">
        <v>1024</v>
      </c>
      <c r="ED35" s="111" t="n">
        <v>690</v>
      </c>
      <c r="EE35" s="111" t="n">
        <v>313</v>
      </c>
      <c r="EF35" s="111" t="n">
        <v>377</v>
      </c>
      <c r="EG35" s="111" t="n">
        <v>898</v>
      </c>
      <c r="EH35" s="111" t="n">
        <v>732</v>
      </c>
      <c r="EI35" s="111" t="n">
        <v>487</v>
      </c>
      <c r="EJ35" s="111" t="n">
        <v>245</v>
      </c>
      <c r="EK35" s="111" t="n">
        <v>166</v>
      </c>
      <c r="EL35" s="111" t="n">
        <v>111</v>
      </c>
      <c r="EM35" s="111" t="n">
        <v>55</v>
      </c>
      <c r="EN35" s="111" t="n">
        <v>46</v>
      </c>
      <c r="EO35" s="111" t="n">
        <v>0</v>
      </c>
      <c r="EP35" s="111" t="n">
        <v>0</v>
      </c>
      <c r="EQ35" s="111" t="n">
        <v>46</v>
      </c>
      <c r="ER35" s="111" t="n">
        <v>0</v>
      </c>
      <c r="ES35" s="111" t="n">
        <v>0</v>
      </c>
      <c r="ET35" s="111" t="n">
        <v>0</v>
      </c>
      <c r="EU35" s="111" t="n">
        <v>0</v>
      </c>
      <c r="EV35" s="111" t="n">
        <v>0</v>
      </c>
      <c r="EW35" s="111" t="n">
        <v>0</v>
      </c>
      <c r="EX35" s="111" t="n">
        <v>0</v>
      </c>
      <c r="EY35" s="111" t="n">
        <v>0</v>
      </c>
      <c r="EZ35" s="111" t="n">
        <v>0</v>
      </c>
      <c r="FA35" s="111" t="n">
        <v>0</v>
      </c>
      <c r="FB35" s="111" t="n">
        <v>268</v>
      </c>
    </row>
    <row r="36" ht="19.5" customHeight="1" s="247">
      <c r="A36" s="107" t="n">
        <v>33</v>
      </c>
      <c r="B36" s="107" t="inlineStr">
        <is>
          <t>儿童非手术</t>
        </is>
      </c>
      <c r="C36" s="107" t="inlineStr">
        <is>
          <t>儿急危重症医学科</t>
        </is>
      </c>
      <c r="D36" s="110" t="n">
        <v>31355363.45</v>
      </c>
      <c r="E36" s="110" t="n">
        <v>7094526</v>
      </c>
      <c r="F36" s="110" t="n">
        <v>24260837.45</v>
      </c>
      <c r="G36" s="110" t="n">
        <v>19354</v>
      </c>
      <c r="H36" s="110" t="n">
        <v>329</v>
      </c>
      <c r="I36" s="110" t="n">
        <v>197618</v>
      </c>
      <c r="J36" s="110" t="n">
        <v>0</v>
      </c>
      <c r="K36" s="110" t="n">
        <v>0</v>
      </c>
      <c r="L36" s="110" t="n">
        <v>1941590.03</v>
      </c>
      <c r="M36" s="110" t="n">
        <v>5461033.35</v>
      </c>
      <c r="N36" s="110" t="n">
        <v>1101.78</v>
      </c>
      <c r="O36" s="110" t="n">
        <v>45473103.21</v>
      </c>
      <c r="P36" s="110" t="n">
        <v>18575477.36</v>
      </c>
      <c r="Q36" s="110" t="n">
        <v>15611788.52</v>
      </c>
      <c r="R36" s="110" t="n">
        <v>2963688.84</v>
      </c>
      <c r="S36" s="110" t="n">
        <v>26897625.85</v>
      </c>
      <c r="T36" s="110" t="n">
        <v>24599290.75</v>
      </c>
      <c r="U36" s="110" t="n">
        <v>2298335.1</v>
      </c>
      <c r="V36" s="110" t="n">
        <v>10676197.21</v>
      </c>
      <c r="W36" s="110" t="n">
        <v>9946093.4</v>
      </c>
      <c r="X36" s="110" t="n">
        <v>8797758.92</v>
      </c>
      <c r="Y36" s="110" t="n">
        <v>1148334.48</v>
      </c>
      <c r="Z36" s="110" t="n">
        <v>730103.8100000001</v>
      </c>
      <c r="AA36" s="110" t="n">
        <v>306464.75</v>
      </c>
      <c r="AB36" s="110" t="n">
        <v>423639.06</v>
      </c>
      <c r="AC36" s="110" t="n">
        <v>3384506.75</v>
      </c>
      <c r="AD36" s="110" t="n">
        <v>3191776.11</v>
      </c>
      <c r="AE36" s="110" t="n">
        <v>2896254.7</v>
      </c>
      <c r="AF36" s="110" t="n">
        <v>295521.41</v>
      </c>
      <c r="AG36" s="110" t="n">
        <v>192730.64</v>
      </c>
      <c r="AH36" s="110" t="n">
        <v>82203.56</v>
      </c>
      <c r="AI36" s="110" t="n">
        <v>110527.08</v>
      </c>
      <c r="AJ36" s="110" t="n">
        <v>197164.46</v>
      </c>
      <c r="AK36" s="110" t="n">
        <v>170305.79</v>
      </c>
      <c r="AL36" s="110" t="n">
        <v>149424.22</v>
      </c>
      <c r="AM36" s="110" t="n">
        <v>20881.57</v>
      </c>
      <c r="AN36" s="110" t="n">
        <v>26858.67</v>
      </c>
      <c r="AO36" s="110" t="n">
        <v>15178.69</v>
      </c>
      <c r="AP36" s="110" t="n">
        <v>11679.98</v>
      </c>
      <c r="AQ36" s="110" t="n">
        <v>5915422</v>
      </c>
      <c r="AR36" s="110" t="n">
        <v>5526857</v>
      </c>
      <c r="AS36" s="110" t="n">
        <v>4967039</v>
      </c>
      <c r="AT36" s="110" t="n">
        <v>559818</v>
      </c>
      <c r="AU36" s="110" t="n">
        <v>388565</v>
      </c>
      <c r="AV36" s="110" t="n">
        <v>164185</v>
      </c>
      <c r="AW36" s="110" t="n">
        <v>224380</v>
      </c>
      <c r="AX36" s="110" t="n">
        <v>1179104</v>
      </c>
      <c r="AY36" s="110" t="n">
        <v>1057154.5</v>
      </c>
      <c r="AZ36" s="110" t="n">
        <v>785041</v>
      </c>
      <c r="BA36" s="110" t="n">
        <v>272113.5</v>
      </c>
      <c r="BB36" s="110" t="n">
        <v>121949.5</v>
      </c>
      <c r="BC36" s="110" t="n">
        <v>44897.5</v>
      </c>
      <c r="BD36" s="110" t="n">
        <v>77052</v>
      </c>
      <c r="BE36" s="110" t="n">
        <v>34796906</v>
      </c>
      <c r="BF36" s="110" t="n">
        <v>8629383.960000001</v>
      </c>
      <c r="BG36" s="110" t="n">
        <v>6814029.6</v>
      </c>
      <c r="BH36" s="110" t="n">
        <v>1815354.36</v>
      </c>
      <c r="BI36" s="110" t="n">
        <v>26167522.04</v>
      </c>
      <c r="BJ36" s="110" t="n">
        <v>24292826</v>
      </c>
      <c r="BK36" s="110" t="n">
        <v>1874696.04</v>
      </c>
      <c r="BL36" s="110" t="n">
        <v>4048912.18</v>
      </c>
      <c r="BM36" s="110" t="n">
        <v>1265218.17</v>
      </c>
      <c r="BN36" s="110" t="n">
        <v>1064448.89</v>
      </c>
      <c r="BO36" s="110" t="n">
        <v>200769.28</v>
      </c>
      <c r="BP36" s="110" t="n">
        <v>2783694.01</v>
      </c>
      <c r="BQ36" s="110" t="n">
        <v>2573523.11</v>
      </c>
      <c r="BR36" s="110" t="n">
        <v>210170.9</v>
      </c>
      <c r="BS36" s="110" t="n">
        <v>6487156.37</v>
      </c>
      <c r="BT36" s="110" t="n">
        <v>1052957.29</v>
      </c>
      <c r="BU36" s="110" t="n">
        <v>788055.2</v>
      </c>
      <c r="BV36" s="110" t="n">
        <v>264902.09</v>
      </c>
      <c r="BW36" s="110" t="n">
        <v>5434199.08</v>
      </c>
      <c r="BX36" s="110" t="n">
        <v>5062989.44</v>
      </c>
      <c r="BY36" s="110" t="n">
        <v>371209.64</v>
      </c>
      <c r="BZ36" s="110" t="n">
        <v>11430172</v>
      </c>
      <c r="CA36" s="110" t="n">
        <v>3560778</v>
      </c>
      <c r="CB36" s="110" t="n">
        <v>2982971.5</v>
      </c>
      <c r="CC36" s="110" t="n">
        <v>577806.5</v>
      </c>
      <c r="CD36" s="110" t="n">
        <v>7869394</v>
      </c>
      <c r="CE36" s="110" t="n">
        <v>7261239.5</v>
      </c>
      <c r="CF36" s="110" t="n">
        <v>608154.5</v>
      </c>
      <c r="CG36" s="110" t="n">
        <v>12830665.45</v>
      </c>
      <c r="CH36" s="110" t="n">
        <v>2750430.5</v>
      </c>
      <c r="CI36" s="110" t="n">
        <v>1978554.01</v>
      </c>
      <c r="CJ36" s="110" t="n">
        <v>771876.49</v>
      </c>
      <c r="CK36" s="110" t="n">
        <v>10080234.95</v>
      </c>
      <c r="CL36" s="110" t="n">
        <v>9395073.949999999</v>
      </c>
      <c r="CM36" s="110" t="n">
        <v>685161</v>
      </c>
      <c r="CN36" s="110" t="n">
        <v>3494746.48</v>
      </c>
      <c r="CO36" s="110" t="n">
        <v>4028176.02</v>
      </c>
      <c r="CP36" s="110" t="n">
        <v>1268535.28</v>
      </c>
      <c r="CQ36" s="110" t="n">
        <v>30364.19</v>
      </c>
      <c r="CR36" s="110" t="n">
        <v>1854375.24</v>
      </c>
      <c r="CS36" s="110" t="n">
        <v>0</v>
      </c>
      <c r="CT36" s="110" t="n">
        <v>497125.09</v>
      </c>
      <c r="CU36" s="110" t="n">
        <v>0</v>
      </c>
      <c r="CV36" s="111" t="n">
        <v>19354</v>
      </c>
      <c r="CW36" s="111" t="n">
        <v>17541</v>
      </c>
      <c r="CX36" s="111" t="n">
        <v>14862</v>
      </c>
      <c r="CY36" s="111" t="n">
        <v>2679</v>
      </c>
      <c r="CZ36" s="111" t="n">
        <v>1813</v>
      </c>
      <c r="DA36" s="111" t="n">
        <v>739</v>
      </c>
      <c r="DB36" s="111" t="n">
        <v>1074</v>
      </c>
      <c r="DC36" s="111" t="n">
        <v>7995</v>
      </c>
      <c r="DD36" s="111" t="n">
        <v>0</v>
      </c>
      <c r="DE36" s="111" t="n">
        <v>7388</v>
      </c>
      <c r="DF36" s="111" t="n">
        <v>6548</v>
      </c>
      <c r="DG36" s="111" t="n">
        <v>840</v>
      </c>
      <c r="DH36" s="111" t="n">
        <v>607</v>
      </c>
      <c r="DI36" s="111" t="n">
        <v>249</v>
      </c>
      <c r="DJ36" s="111" t="n">
        <v>358</v>
      </c>
      <c r="DK36" s="111" t="n">
        <v>2091</v>
      </c>
      <c r="DL36" s="111" t="n">
        <v>1926</v>
      </c>
      <c r="DM36" s="111" t="n">
        <v>1674</v>
      </c>
      <c r="DN36" s="111" t="n">
        <v>252</v>
      </c>
      <c r="DO36" s="111" t="n">
        <v>165</v>
      </c>
      <c r="DP36" s="111" t="n">
        <v>65</v>
      </c>
      <c r="DQ36" s="111" t="n">
        <v>100</v>
      </c>
      <c r="DR36" s="111" t="n">
        <v>1844</v>
      </c>
      <c r="DS36" s="111" t="n">
        <v>0</v>
      </c>
      <c r="DT36" s="111" t="n">
        <v>1727</v>
      </c>
      <c r="DU36" s="111" t="n">
        <v>1336</v>
      </c>
      <c r="DV36" s="111" t="n">
        <v>391</v>
      </c>
      <c r="DW36" s="111" t="n">
        <v>117</v>
      </c>
      <c r="DX36" s="111" t="n">
        <v>23</v>
      </c>
      <c r="DY36" s="111" t="n">
        <v>94</v>
      </c>
      <c r="DZ36" s="111" t="n">
        <v>7424</v>
      </c>
      <c r="EA36" s="111" t="n">
        <v>6500</v>
      </c>
      <c r="EB36" s="111" t="n">
        <v>5304</v>
      </c>
      <c r="EC36" s="111" t="n">
        <v>1196</v>
      </c>
      <c r="ED36" s="111" t="n">
        <v>924</v>
      </c>
      <c r="EE36" s="111" t="n">
        <v>402</v>
      </c>
      <c r="EF36" s="111" t="n">
        <v>522</v>
      </c>
      <c r="EG36" s="111" t="n">
        <v>329</v>
      </c>
      <c r="EH36" s="111" t="n">
        <v>245</v>
      </c>
      <c r="EI36" s="111" t="n">
        <v>198</v>
      </c>
      <c r="EJ36" s="111" t="n">
        <v>47</v>
      </c>
      <c r="EK36" s="111" t="n">
        <v>84</v>
      </c>
      <c r="EL36" s="111" t="n">
        <v>74</v>
      </c>
      <c r="EM36" s="111" t="n">
        <v>10</v>
      </c>
      <c r="EN36" s="111" t="n">
        <v>84</v>
      </c>
      <c r="EO36" s="111" t="n">
        <v>0</v>
      </c>
      <c r="EP36" s="111" t="n">
        <v>0</v>
      </c>
      <c r="EQ36" s="111" t="n">
        <v>84</v>
      </c>
      <c r="ER36" s="111" t="n">
        <v>0</v>
      </c>
      <c r="ES36" s="111" t="n">
        <v>0</v>
      </c>
      <c r="ET36" s="111" t="n">
        <v>0</v>
      </c>
      <c r="EU36" s="111" t="n">
        <v>0</v>
      </c>
      <c r="EV36" s="111" t="n">
        <v>0</v>
      </c>
      <c r="EW36" s="111" t="n">
        <v>0</v>
      </c>
      <c r="EX36" s="111" t="n">
        <v>0</v>
      </c>
      <c r="EY36" s="111" t="n">
        <v>0</v>
      </c>
      <c r="EZ36" s="111" t="n">
        <v>0</v>
      </c>
      <c r="FA36" s="111" t="n">
        <v>0</v>
      </c>
      <c r="FB36" s="111" t="n">
        <v>0</v>
      </c>
    </row>
    <row r="37" ht="19.5" customHeight="1" s="247">
      <c r="A37" s="107" t="n">
        <v>34</v>
      </c>
      <c r="B37" s="107" t="inlineStr">
        <is>
          <t>儿童手术</t>
        </is>
      </c>
      <c r="C37" s="107" t="inlineStr">
        <is>
          <t>儿普外科</t>
        </is>
      </c>
      <c r="D37" s="110" t="n">
        <v>12897942.42</v>
      </c>
      <c r="E37" s="110" t="n">
        <v>2445698</v>
      </c>
      <c r="F37" s="110" t="n">
        <v>10452244.42</v>
      </c>
      <c r="G37" s="110" t="n">
        <v>15631</v>
      </c>
      <c r="H37" s="110" t="n">
        <v>1310</v>
      </c>
      <c r="I37" s="110" t="n">
        <v>150072</v>
      </c>
      <c r="J37" s="110" t="n">
        <v>40516</v>
      </c>
      <c r="K37" s="110" t="n">
        <v>0</v>
      </c>
      <c r="L37" s="110" t="n">
        <v>707188.52</v>
      </c>
      <c r="M37" s="110" t="n">
        <v>2678751.9</v>
      </c>
      <c r="N37" s="110" t="n">
        <v>2878.37</v>
      </c>
      <c r="O37" s="110" t="n">
        <v>20981000.85</v>
      </c>
      <c r="P37" s="110" t="n">
        <v>10059990.29</v>
      </c>
      <c r="Q37" s="110" t="n">
        <v>7858587.12</v>
      </c>
      <c r="R37" s="110" t="n">
        <v>2201403.17</v>
      </c>
      <c r="S37" s="110" t="n">
        <v>10921010.56</v>
      </c>
      <c r="T37" s="110" t="n">
        <v>8874866.32</v>
      </c>
      <c r="U37" s="110" t="n">
        <v>2046144.24</v>
      </c>
      <c r="V37" s="110" t="n">
        <v>3092588.56</v>
      </c>
      <c r="W37" s="110" t="n">
        <v>2243968.02</v>
      </c>
      <c r="X37" s="110" t="n">
        <v>1790177.54</v>
      </c>
      <c r="Y37" s="110" t="n">
        <v>453790.48</v>
      </c>
      <c r="Z37" s="110" t="n">
        <v>848620.54</v>
      </c>
      <c r="AA37" s="110" t="n">
        <v>313692.03</v>
      </c>
      <c r="AB37" s="110" t="n">
        <v>534928.51</v>
      </c>
      <c r="AC37" s="110" t="n">
        <v>378366.2</v>
      </c>
      <c r="AD37" s="110" t="n">
        <v>321071.67</v>
      </c>
      <c r="AE37" s="110" t="n">
        <v>286593.4</v>
      </c>
      <c r="AF37" s="110" t="n">
        <v>34478.27</v>
      </c>
      <c r="AG37" s="110" t="n">
        <v>57294.53</v>
      </c>
      <c r="AH37" s="110" t="n">
        <v>22615.41</v>
      </c>
      <c r="AI37" s="110" t="n">
        <v>34679.12</v>
      </c>
      <c r="AJ37" s="110" t="n">
        <v>268524.36</v>
      </c>
      <c r="AK37" s="110" t="n">
        <v>229713.35</v>
      </c>
      <c r="AL37" s="110" t="n">
        <v>178905.14</v>
      </c>
      <c r="AM37" s="110" t="n">
        <v>50808.21</v>
      </c>
      <c r="AN37" s="110" t="n">
        <v>38811.01</v>
      </c>
      <c r="AO37" s="110" t="n">
        <v>6657.62</v>
      </c>
      <c r="AP37" s="110" t="n">
        <v>32153.39</v>
      </c>
      <c r="AQ37" s="110" t="n">
        <v>1328437</v>
      </c>
      <c r="AR37" s="110" t="n">
        <v>948740</v>
      </c>
      <c r="AS37" s="110" t="n">
        <v>756956</v>
      </c>
      <c r="AT37" s="110" t="n">
        <v>191784</v>
      </c>
      <c r="AU37" s="110" t="n">
        <v>379697</v>
      </c>
      <c r="AV37" s="110" t="n">
        <v>146056</v>
      </c>
      <c r="AW37" s="110" t="n">
        <v>233641</v>
      </c>
      <c r="AX37" s="110" t="n">
        <v>1117261</v>
      </c>
      <c r="AY37" s="110" t="n">
        <v>744443</v>
      </c>
      <c r="AZ37" s="110" t="n">
        <v>567723</v>
      </c>
      <c r="BA37" s="110" t="n">
        <v>176720</v>
      </c>
      <c r="BB37" s="110" t="n">
        <v>372818</v>
      </c>
      <c r="BC37" s="110" t="n">
        <v>138363</v>
      </c>
      <c r="BD37" s="110" t="n">
        <v>234455</v>
      </c>
      <c r="BE37" s="110" t="n">
        <v>17888412.29</v>
      </c>
      <c r="BF37" s="110" t="n">
        <v>7816022.27</v>
      </c>
      <c r="BG37" s="110" t="n">
        <v>6068409.58</v>
      </c>
      <c r="BH37" s="110" t="n">
        <v>1747612.69</v>
      </c>
      <c r="BI37" s="110" t="n">
        <v>10072390.02</v>
      </c>
      <c r="BJ37" s="110" t="n">
        <v>8561174.289999999</v>
      </c>
      <c r="BK37" s="110" t="n">
        <v>1511215.73</v>
      </c>
      <c r="BL37" s="110" t="n">
        <v>2530578.1</v>
      </c>
      <c r="BM37" s="110" t="n">
        <v>958368.97</v>
      </c>
      <c r="BN37" s="110" t="n">
        <v>866972.21</v>
      </c>
      <c r="BO37" s="110" t="n">
        <v>91396.75999999999</v>
      </c>
      <c r="BP37" s="110" t="n">
        <v>1572209.13</v>
      </c>
      <c r="BQ37" s="110" t="n">
        <v>1470889.53</v>
      </c>
      <c r="BR37" s="110" t="n">
        <v>101319.6</v>
      </c>
      <c r="BS37" s="110" t="n">
        <v>4905589.77</v>
      </c>
      <c r="BT37" s="110" t="n">
        <v>2195193.55</v>
      </c>
      <c r="BU37" s="110" t="n">
        <v>1947883.87</v>
      </c>
      <c r="BV37" s="110" t="n">
        <v>247309.68</v>
      </c>
      <c r="BW37" s="110" t="n">
        <v>2710396.22</v>
      </c>
      <c r="BX37" s="110" t="n">
        <v>2489952.04</v>
      </c>
      <c r="BY37" s="110" t="n">
        <v>220444.18</v>
      </c>
      <c r="BZ37" s="110" t="n">
        <v>2606678</v>
      </c>
      <c r="CA37" s="110" t="n">
        <v>1011304</v>
      </c>
      <c r="CB37" s="110" t="n">
        <v>858203</v>
      </c>
      <c r="CC37" s="110" t="n">
        <v>153101</v>
      </c>
      <c r="CD37" s="110" t="n">
        <v>1595374</v>
      </c>
      <c r="CE37" s="110" t="n">
        <v>1411442</v>
      </c>
      <c r="CF37" s="110" t="n">
        <v>183932</v>
      </c>
      <c r="CG37" s="110" t="n">
        <v>7845566.42</v>
      </c>
      <c r="CH37" s="110" t="n">
        <v>3651155.75</v>
      </c>
      <c r="CI37" s="110" t="n">
        <v>2395350.5</v>
      </c>
      <c r="CJ37" s="110" t="n">
        <v>1255805.25</v>
      </c>
      <c r="CK37" s="110" t="n">
        <v>4194410.67</v>
      </c>
      <c r="CL37" s="110" t="n">
        <v>3188890.72</v>
      </c>
      <c r="CM37" s="110" t="n">
        <v>1005519.95</v>
      </c>
      <c r="CN37" s="110" t="n">
        <v>1236248.79</v>
      </c>
      <c r="CO37" s="110" t="n">
        <v>666575.99</v>
      </c>
      <c r="CP37" s="110" t="n">
        <v>434341.73</v>
      </c>
      <c r="CQ37" s="110" t="n">
        <v>70450.95</v>
      </c>
      <c r="CR37" s="110" t="n">
        <v>684125.1</v>
      </c>
      <c r="CS37" s="110" t="n">
        <v>816</v>
      </c>
      <c r="CT37" s="110" t="n">
        <v>2477238.53</v>
      </c>
      <c r="CU37" s="110" t="n">
        <v>0</v>
      </c>
      <c r="CV37" s="111" t="n">
        <v>15631</v>
      </c>
      <c r="CW37" s="111" t="n">
        <v>12242</v>
      </c>
      <c r="CX37" s="111" t="n">
        <v>10016</v>
      </c>
      <c r="CY37" s="111" t="n">
        <v>2226</v>
      </c>
      <c r="CZ37" s="111" t="n">
        <v>3389</v>
      </c>
      <c r="DA37" s="111" t="n">
        <v>1321</v>
      </c>
      <c r="DB37" s="111" t="n">
        <v>2068</v>
      </c>
      <c r="DC37" s="111" t="n">
        <v>4928</v>
      </c>
      <c r="DD37" s="111" t="n">
        <v>38</v>
      </c>
      <c r="DE37" s="111" t="n">
        <v>4101</v>
      </c>
      <c r="DF37" s="111" t="n">
        <v>3434</v>
      </c>
      <c r="DG37" s="111" t="n">
        <v>667</v>
      </c>
      <c r="DH37" s="111" t="n">
        <v>827</v>
      </c>
      <c r="DI37" s="111" t="n">
        <v>326</v>
      </c>
      <c r="DJ37" s="111" t="n">
        <v>501</v>
      </c>
      <c r="DK37" s="111" t="n">
        <v>2552</v>
      </c>
      <c r="DL37" s="111" t="n">
        <v>1494</v>
      </c>
      <c r="DM37" s="111" t="n">
        <v>1167</v>
      </c>
      <c r="DN37" s="111" t="n">
        <v>327</v>
      </c>
      <c r="DO37" s="111" t="n">
        <v>1058</v>
      </c>
      <c r="DP37" s="111" t="n">
        <v>415</v>
      </c>
      <c r="DQ37" s="111" t="n">
        <v>643</v>
      </c>
      <c r="DR37" s="111" t="n">
        <v>1403</v>
      </c>
      <c r="DS37" s="111" t="n">
        <v>9</v>
      </c>
      <c r="DT37" s="111" t="n">
        <v>670</v>
      </c>
      <c r="DU37" s="111" t="n">
        <v>453</v>
      </c>
      <c r="DV37" s="111" t="n">
        <v>217</v>
      </c>
      <c r="DW37" s="111" t="n">
        <v>733</v>
      </c>
      <c r="DX37" s="111" t="n">
        <v>264</v>
      </c>
      <c r="DY37" s="111" t="n">
        <v>469</v>
      </c>
      <c r="DZ37" s="111" t="n">
        <v>6701</v>
      </c>
      <c r="EA37" s="111" t="n">
        <v>5948</v>
      </c>
      <c r="EB37" s="111" t="n">
        <v>4947</v>
      </c>
      <c r="EC37" s="111" t="n">
        <v>1001</v>
      </c>
      <c r="ED37" s="111" t="n">
        <v>753</v>
      </c>
      <c r="EE37" s="111" t="n">
        <v>316</v>
      </c>
      <c r="EF37" s="111" t="n">
        <v>437</v>
      </c>
      <c r="EG37" s="111" t="n">
        <v>1310</v>
      </c>
      <c r="EH37" s="111" t="n">
        <v>639</v>
      </c>
      <c r="EI37" s="111" t="n">
        <v>515</v>
      </c>
      <c r="EJ37" s="111" t="n">
        <v>124</v>
      </c>
      <c r="EK37" s="111" t="n">
        <v>671</v>
      </c>
      <c r="EL37" s="111" t="n">
        <v>514</v>
      </c>
      <c r="EM37" s="111" t="n">
        <v>157</v>
      </c>
      <c r="EN37" s="111" t="n">
        <v>1061</v>
      </c>
      <c r="EO37" s="111" t="n">
        <v>990</v>
      </c>
      <c r="EP37" s="111" t="n">
        <v>0</v>
      </c>
      <c r="EQ37" s="111" t="n">
        <v>71</v>
      </c>
      <c r="ER37" s="111" t="n">
        <v>512</v>
      </c>
      <c r="ES37" s="111" t="n">
        <v>0</v>
      </c>
      <c r="ET37" s="111" t="n">
        <v>0</v>
      </c>
      <c r="EU37" s="111" t="n">
        <v>247</v>
      </c>
      <c r="EV37" s="111" t="n">
        <v>247</v>
      </c>
      <c r="EW37" s="111" t="n">
        <v>0</v>
      </c>
      <c r="EX37" s="111" t="n">
        <v>0</v>
      </c>
      <c r="EY37" s="111" t="n">
        <v>169</v>
      </c>
      <c r="EZ37" s="111" t="n">
        <v>169</v>
      </c>
      <c r="FA37" s="111" t="n">
        <v>0</v>
      </c>
      <c r="FB37" s="111" t="n">
        <v>107</v>
      </c>
    </row>
    <row r="38" ht="19.5" customHeight="1" s="247">
      <c r="A38" s="107" t="n">
        <v>35</v>
      </c>
      <c r="B38" s="107" t="inlineStr">
        <is>
          <t>儿童手术</t>
        </is>
      </c>
      <c r="C38" s="107" t="inlineStr">
        <is>
          <t>儿泌尿外科</t>
        </is>
      </c>
      <c r="D38" s="110" t="n">
        <v>7089442.47</v>
      </c>
      <c r="E38" s="110" t="n">
        <v>678825</v>
      </c>
      <c r="F38" s="110" t="n">
        <v>6410617.47</v>
      </c>
      <c r="G38" s="110" t="n">
        <v>7609</v>
      </c>
      <c r="H38" s="110" t="n">
        <v>725</v>
      </c>
      <c r="I38" s="110" t="n">
        <v>12074</v>
      </c>
      <c r="J38" s="110" t="n">
        <v>7852</v>
      </c>
      <c r="K38" s="110" t="n">
        <v>0</v>
      </c>
      <c r="L38" s="110" t="n">
        <v>279080.37</v>
      </c>
      <c r="M38" s="110" t="n">
        <v>2433984.6</v>
      </c>
      <c r="N38" s="110" t="n">
        <v>0</v>
      </c>
      <c r="O38" s="110" t="n">
        <v>10243581.99</v>
      </c>
      <c r="P38" s="110" t="n">
        <v>4296026.4</v>
      </c>
      <c r="Q38" s="110" t="n">
        <v>2915795.41</v>
      </c>
      <c r="R38" s="110" t="n">
        <v>1380230.99</v>
      </c>
      <c r="S38" s="110" t="n">
        <v>5947555.59</v>
      </c>
      <c r="T38" s="110" t="n">
        <v>4400220.36</v>
      </c>
      <c r="U38" s="110" t="n">
        <v>1547335.23</v>
      </c>
      <c r="V38" s="110" t="n">
        <v>805247.72</v>
      </c>
      <c r="W38" s="110" t="n">
        <v>561566.5600000001</v>
      </c>
      <c r="X38" s="110" t="n">
        <v>476739.93</v>
      </c>
      <c r="Y38" s="110" t="n">
        <v>84826.63</v>
      </c>
      <c r="Z38" s="110" t="n">
        <v>243681.16</v>
      </c>
      <c r="AA38" s="110" t="n">
        <v>85535.97</v>
      </c>
      <c r="AB38" s="110" t="n">
        <v>158145.19</v>
      </c>
      <c r="AC38" s="110" t="n">
        <v>66920.49000000001</v>
      </c>
      <c r="AD38" s="110" t="n">
        <v>40352.41</v>
      </c>
      <c r="AE38" s="110" t="n">
        <v>34182.52</v>
      </c>
      <c r="AF38" s="110" t="n">
        <v>6169.89</v>
      </c>
      <c r="AG38" s="110" t="n">
        <v>26568.08</v>
      </c>
      <c r="AH38" s="110" t="n">
        <v>9825.93</v>
      </c>
      <c r="AI38" s="110" t="n">
        <v>16742.15</v>
      </c>
      <c r="AJ38" s="110" t="n">
        <v>59502.23</v>
      </c>
      <c r="AK38" s="110" t="n">
        <v>52390.15</v>
      </c>
      <c r="AL38" s="110" t="n">
        <v>52214.41</v>
      </c>
      <c r="AM38" s="110" t="n">
        <v>175.74</v>
      </c>
      <c r="AN38" s="110" t="n">
        <v>7112.08</v>
      </c>
      <c r="AO38" s="110" t="n">
        <v>3928.04</v>
      </c>
      <c r="AP38" s="110" t="n">
        <v>3184.04</v>
      </c>
      <c r="AQ38" s="110" t="n">
        <v>279004</v>
      </c>
      <c r="AR38" s="110" t="n">
        <v>191959</v>
      </c>
      <c r="AS38" s="110" t="n">
        <v>162892</v>
      </c>
      <c r="AT38" s="110" t="n">
        <v>29067</v>
      </c>
      <c r="AU38" s="110" t="n">
        <v>87045</v>
      </c>
      <c r="AV38" s="110" t="n">
        <v>31756</v>
      </c>
      <c r="AW38" s="110" t="n">
        <v>55289</v>
      </c>
      <c r="AX38" s="110" t="n">
        <v>399821</v>
      </c>
      <c r="AY38" s="110" t="n">
        <v>276865</v>
      </c>
      <c r="AZ38" s="110" t="n">
        <v>227451</v>
      </c>
      <c r="BA38" s="110" t="n">
        <v>49414</v>
      </c>
      <c r="BB38" s="110" t="n">
        <v>122956</v>
      </c>
      <c r="BC38" s="110" t="n">
        <v>40026</v>
      </c>
      <c r="BD38" s="110" t="n">
        <v>82930</v>
      </c>
      <c r="BE38" s="110" t="n">
        <v>9438334.27</v>
      </c>
      <c r="BF38" s="110" t="n">
        <v>3734459.84</v>
      </c>
      <c r="BG38" s="110" t="n">
        <v>2439055.48</v>
      </c>
      <c r="BH38" s="110" t="n">
        <v>1295404.36</v>
      </c>
      <c r="BI38" s="110" t="n">
        <v>5703874.43</v>
      </c>
      <c r="BJ38" s="110" t="n">
        <v>4314684.39</v>
      </c>
      <c r="BK38" s="110" t="n">
        <v>1389190.04</v>
      </c>
      <c r="BL38" s="110" t="n">
        <v>839573.96</v>
      </c>
      <c r="BM38" s="110" t="n">
        <v>343508.15</v>
      </c>
      <c r="BN38" s="110" t="n">
        <v>265892.29</v>
      </c>
      <c r="BO38" s="110" t="n">
        <v>77615.86</v>
      </c>
      <c r="BP38" s="110" t="n">
        <v>496065.81</v>
      </c>
      <c r="BQ38" s="110" t="n">
        <v>408508.37</v>
      </c>
      <c r="BR38" s="110" t="n">
        <v>87557.44</v>
      </c>
      <c r="BS38" s="110" t="n">
        <v>2188142.84</v>
      </c>
      <c r="BT38" s="110" t="n">
        <v>893144.6</v>
      </c>
      <c r="BU38" s="110" t="n">
        <v>681886.85</v>
      </c>
      <c r="BV38" s="110" t="n">
        <v>211257.75</v>
      </c>
      <c r="BW38" s="110" t="n">
        <v>1294998.24</v>
      </c>
      <c r="BX38" s="110" t="n">
        <v>1055963.89</v>
      </c>
      <c r="BY38" s="110" t="n">
        <v>239034.35</v>
      </c>
      <c r="BZ38" s="110" t="n">
        <v>1176591</v>
      </c>
      <c r="CA38" s="110" t="n">
        <v>456237</v>
      </c>
      <c r="CB38" s="110" t="n">
        <v>352472</v>
      </c>
      <c r="CC38" s="110" t="n">
        <v>103765</v>
      </c>
      <c r="CD38" s="110" t="n">
        <v>720354</v>
      </c>
      <c r="CE38" s="110" t="n">
        <v>609648</v>
      </c>
      <c r="CF38" s="110" t="n">
        <v>110706</v>
      </c>
      <c r="CG38" s="110" t="n">
        <v>5234026.47</v>
      </c>
      <c r="CH38" s="110" t="n">
        <v>2041570.09</v>
      </c>
      <c r="CI38" s="110" t="n">
        <v>1138804.34</v>
      </c>
      <c r="CJ38" s="110" t="n">
        <v>902765.75</v>
      </c>
      <c r="CK38" s="110" t="n">
        <v>3192456.38</v>
      </c>
      <c r="CL38" s="110" t="n">
        <v>2240564.13</v>
      </c>
      <c r="CM38" s="110" t="n">
        <v>951892.25</v>
      </c>
      <c r="CN38" s="110" t="n">
        <v>17077.19</v>
      </c>
      <c r="CO38" s="110" t="n">
        <v>317900.64</v>
      </c>
      <c r="CP38" s="110" t="n">
        <v>241575.91</v>
      </c>
      <c r="CQ38" s="110" t="n">
        <v>44304.4</v>
      </c>
      <c r="CR38" s="110" t="n">
        <v>184364.58</v>
      </c>
      <c r="CS38" s="110" t="n">
        <v>0</v>
      </c>
      <c r="CT38" s="110" t="n">
        <v>2228666.56</v>
      </c>
      <c r="CU38" s="110" t="n">
        <v>0</v>
      </c>
      <c r="CV38" s="111" t="n">
        <v>7609</v>
      </c>
      <c r="CW38" s="111" t="n">
        <v>5825</v>
      </c>
      <c r="CX38" s="111" t="n">
        <v>5059</v>
      </c>
      <c r="CY38" s="111" t="n">
        <v>766</v>
      </c>
      <c r="CZ38" s="111" t="n">
        <v>1784</v>
      </c>
      <c r="DA38" s="111" t="n">
        <v>622</v>
      </c>
      <c r="DB38" s="111" t="n">
        <v>1162</v>
      </c>
      <c r="DC38" s="111" t="n">
        <v>4278</v>
      </c>
      <c r="DD38" s="111" t="n">
        <v>65</v>
      </c>
      <c r="DE38" s="111" t="n">
        <v>3464</v>
      </c>
      <c r="DF38" s="111" t="n">
        <v>3096</v>
      </c>
      <c r="DG38" s="111" t="n">
        <v>368</v>
      </c>
      <c r="DH38" s="111" t="n">
        <v>814</v>
      </c>
      <c r="DI38" s="111" t="n">
        <v>272</v>
      </c>
      <c r="DJ38" s="111" t="n">
        <v>542</v>
      </c>
      <c r="DK38" s="111" t="n">
        <v>2638</v>
      </c>
      <c r="DL38" s="111" t="n">
        <v>1932</v>
      </c>
      <c r="DM38" s="111" t="n">
        <v>1623</v>
      </c>
      <c r="DN38" s="111" t="n">
        <v>309</v>
      </c>
      <c r="DO38" s="111" t="n">
        <v>706</v>
      </c>
      <c r="DP38" s="111" t="n">
        <v>258</v>
      </c>
      <c r="DQ38" s="111" t="n">
        <v>448</v>
      </c>
      <c r="DR38" s="111" t="n">
        <v>511</v>
      </c>
      <c r="DS38" s="111" t="n">
        <v>0</v>
      </c>
      <c r="DT38" s="111" t="n">
        <v>318</v>
      </c>
      <c r="DU38" s="111" t="n">
        <v>255</v>
      </c>
      <c r="DV38" s="111" t="n">
        <v>63</v>
      </c>
      <c r="DW38" s="111" t="n">
        <v>193</v>
      </c>
      <c r="DX38" s="111" t="n">
        <v>57</v>
      </c>
      <c r="DY38" s="111" t="n">
        <v>136</v>
      </c>
      <c r="DZ38" s="111" t="n">
        <v>117</v>
      </c>
      <c r="EA38" s="111" t="n">
        <v>58</v>
      </c>
      <c r="EB38" s="111" t="n">
        <v>54</v>
      </c>
      <c r="EC38" s="111" t="n">
        <v>4</v>
      </c>
      <c r="ED38" s="111" t="n">
        <v>59</v>
      </c>
      <c r="EE38" s="111" t="n">
        <v>35</v>
      </c>
      <c r="EF38" s="111" t="n">
        <v>24</v>
      </c>
      <c r="EG38" s="111" t="n">
        <v>725</v>
      </c>
      <c r="EH38" s="111" t="n">
        <v>328</v>
      </c>
      <c r="EI38" s="111" t="n">
        <v>251</v>
      </c>
      <c r="EJ38" s="111" t="n">
        <v>77</v>
      </c>
      <c r="EK38" s="111" t="n">
        <v>397</v>
      </c>
      <c r="EL38" s="111" t="n">
        <v>320</v>
      </c>
      <c r="EM38" s="111" t="n">
        <v>77</v>
      </c>
      <c r="EN38" s="111" t="n">
        <v>697</v>
      </c>
      <c r="EO38" s="111" t="n">
        <v>581</v>
      </c>
      <c r="EP38" s="111" t="n">
        <v>0</v>
      </c>
      <c r="EQ38" s="111" t="n">
        <v>116</v>
      </c>
      <c r="ER38" s="111" t="n">
        <v>259</v>
      </c>
      <c r="ES38" s="111" t="n">
        <v>0</v>
      </c>
      <c r="ET38" s="111" t="n">
        <v>0</v>
      </c>
      <c r="EU38" s="111" t="n">
        <v>211</v>
      </c>
      <c r="EV38" s="111" t="n">
        <v>211</v>
      </c>
      <c r="EW38" s="111" t="n">
        <v>0</v>
      </c>
      <c r="EX38" s="111" t="n">
        <v>0</v>
      </c>
      <c r="EY38" s="111" t="n">
        <v>87</v>
      </c>
      <c r="EZ38" s="111" t="n">
        <v>87</v>
      </c>
      <c r="FA38" s="111" t="n">
        <v>0</v>
      </c>
      <c r="FB38" s="111" t="n">
        <v>42</v>
      </c>
    </row>
    <row r="39" ht="19.5" customHeight="1" s="247">
      <c r="A39" s="107" t="n">
        <v>36</v>
      </c>
      <c r="B39" s="107" t="inlineStr">
        <is>
          <t>儿童手术</t>
        </is>
      </c>
      <c r="C39" s="107" t="inlineStr">
        <is>
          <t>儿骨科</t>
        </is>
      </c>
      <c r="D39" s="110" t="n">
        <v>17890225.22</v>
      </c>
      <c r="E39" s="110" t="n">
        <v>5536592</v>
      </c>
      <c r="F39" s="110" t="n">
        <v>12353633.22</v>
      </c>
      <c r="G39" s="110" t="n">
        <v>32364</v>
      </c>
      <c r="H39" s="110" t="n">
        <v>1156</v>
      </c>
      <c r="I39" s="110" t="n">
        <v>138510</v>
      </c>
      <c r="J39" s="110" t="n">
        <v>368923</v>
      </c>
      <c r="K39" s="110" t="n">
        <v>0</v>
      </c>
      <c r="L39" s="110" t="n">
        <v>576460.37</v>
      </c>
      <c r="M39" s="110" t="n">
        <v>6767128.85</v>
      </c>
      <c r="N39" s="110" t="n">
        <v>0</v>
      </c>
      <c r="O39" s="110" t="n">
        <v>45076661.95</v>
      </c>
      <c r="P39" s="110" t="n">
        <v>22935652.42</v>
      </c>
      <c r="Q39" s="110" t="n">
        <v>19796011.45</v>
      </c>
      <c r="R39" s="110" t="n">
        <v>3139640.97</v>
      </c>
      <c r="S39" s="110" t="n">
        <v>22141009.53</v>
      </c>
      <c r="T39" s="110" t="n">
        <v>18780403.2</v>
      </c>
      <c r="U39" s="110" t="n">
        <v>3360606.33</v>
      </c>
      <c r="V39" s="110" t="n">
        <v>10019436.15</v>
      </c>
      <c r="W39" s="110" t="n">
        <v>8440541.699999999</v>
      </c>
      <c r="X39" s="110" t="n">
        <v>7439890.54</v>
      </c>
      <c r="Y39" s="110" t="n">
        <v>1000651.16</v>
      </c>
      <c r="Z39" s="110" t="n">
        <v>1578894.45</v>
      </c>
      <c r="AA39" s="110" t="n">
        <v>541843.79</v>
      </c>
      <c r="AB39" s="110" t="n">
        <v>1037050.66</v>
      </c>
      <c r="AC39" s="110" t="n">
        <v>325009.1</v>
      </c>
      <c r="AD39" s="110" t="n">
        <v>292126.47</v>
      </c>
      <c r="AE39" s="110" t="n">
        <v>244252.75</v>
      </c>
      <c r="AF39" s="110" t="n">
        <v>47873.72</v>
      </c>
      <c r="AG39" s="110" t="n">
        <v>32882.63</v>
      </c>
      <c r="AH39" s="110" t="n">
        <v>7941.71</v>
      </c>
      <c r="AI39" s="110" t="n">
        <v>24940.92</v>
      </c>
      <c r="AJ39" s="110" t="n">
        <v>4157835.05</v>
      </c>
      <c r="AK39" s="110" t="n">
        <v>3829476.23</v>
      </c>
      <c r="AL39" s="110" t="n">
        <v>3518166.79</v>
      </c>
      <c r="AM39" s="110" t="n">
        <v>311309.44</v>
      </c>
      <c r="AN39" s="110" t="n">
        <v>328358.82</v>
      </c>
      <c r="AO39" s="110" t="n">
        <v>127922.08</v>
      </c>
      <c r="AP39" s="110" t="n">
        <v>200436.74</v>
      </c>
      <c r="AQ39" s="110" t="n">
        <v>3220974</v>
      </c>
      <c r="AR39" s="110" t="n">
        <v>2603964</v>
      </c>
      <c r="AS39" s="110" t="n">
        <v>2256238</v>
      </c>
      <c r="AT39" s="110" t="n">
        <v>347726</v>
      </c>
      <c r="AU39" s="110" t="n">
        <v>617010</v>
      </c>
      <c r="AV39" s="110" t="n">
        <v>193551</v>
      </c>
      <c r="AW39" s="110" t="n">
        <v>423459</v>
      </c>
      <c r="AX39" s="110" t="n">
        <v>2315618</v>
      </c>
      <c r="AY39" s="110" t="n">
        <v>1714975</v>
      </c>
      <c r="AZ39" s="110" t="n">
        <v>1421233</v>
      </c>
      <c r="BA39" s="110" t="n">
        <v>293742</v>
      </c>
      <c r="BB39" s="110" t="n">
        <v>600643</v>
      </c>
      <c r="BC39" s="110" t="n">
        <v>212429</v>
      </c>
      <c r="BD39" s="110" t="n">
        <v>388214</v>
      </c>
      <c r="BE39" s="110" t="n">
        <v>35057225.8</v>
      </c>
      <c r="BF39" s="110" t="n">
        <v>14495110.72</v>
      </c>
      <c r="BG39" s="110" t="n">
        <v>12356120.91</v>
      </c>
      <c r="BH39" s="110" t="n">
        <v>2138989.81</v>
      </c>
      <c r="BI39" s="110" t="n">
        <v>20562115.08</v>
      </c>
      <c r="BJ39" s="110" t="n">
        <v>18238559.41</v>
      </c>
      <c r="BK39" s="110" t="n">
        <v>2323555.67</v>
      </c>
      <c r="BL39" s="110" t="n">
        <v>2722063.33</v>
      </c>
      <c r="BM39" s="110" t="n">
        <v>905943.4</v>
      </c>
      <c r="BN39" s="110" t="n">
        <v>777947.86</v>
      </c>
      <c r="BO39" s="110" t="n">
        <v>127995.54</v>
      </c>
      <c r="BP39" s="110" t="n">
        <v>1816119.93</v>
      </c>
      <c r="BQ39" s="110" t="n">
        <v>1702657.4</v>
      </c>
      <c r="BR39" s="110" t="n">
        <v>113462.53</v>
      </c>
      <c r="BS39" s="110" t="n">
        <v>19981529.25</v>
      </c>
      <c r="BT39" s="110" t="n">
        <v>8525517.1</v>
      </c>
      <c r="BU39" s="110" t="n">
        <v>7443460.83</v>
      </c>
      <c r="BV39" s="110" t="n">
        <v>1082056.27</v>
      </c>
      <c r="BW39" s="110" t="n">
        <v>11456012.15</v>
      </c>
      <c r="BX39" s="110" t="n">
        <v>10086694.01</v>
      </c>
      <c r="BY39" s="110" t="n">
        <v>1369318.14</v>
      </c>
      <c r="BZ39" s="110" t="n">
        <v>2459704</v>
      </c>
      <c r="CA39" s="110" t="n">
        <v>886907</v>
      </c>
      <c r="CB39" s="110" t="n">
        <v>738584</v>
      </c>
      <c r="CC39" s="110" t="n">
        <v>148323</v>
      </c>
      <c r="CD39" s="110" t="n">
        <v>1572797</v>
      </c>
      <c r="CE39" s="110" t="n">
        <v>1451624</v>
      </c>
      <c r="CF39" s="110" t="n">
        <v>121173</v>
      </c>
      <c r="CG39" s="110" t="n">
        <v>9893929.220000001</v>
      </c>
      <c r="CH39" s="110" t="n">
        <v>4176743.22</v>
      </c>
      <c r="CI39" s="110" t="n">
        <v>3396128.22</v>
      </c>
      <c r="CJ39" s="110" t="n">
        <v>780615</v>
      </c>
      <c r="CK39" s="110" t="n">
        <v>5717186</v>
      </c>
      <c r="CL39" s="110" t="n">
        <v>4997584</v>
      </c>
      <c r="CM39" s="110" t="n">
        <v>719602</v>
      </c>
      <c r="CN39" s="110" t="n">
        <v>5561196.45</v>
      </c>
      <c r="CO39" s="110" t="n">
        <v>1252520.04</v>
      </c>
      <c r="CP39" s="110" t="n">
        <v>1797096.45</v>
      </c>
      <c r="CQ39" s="110" t="n">
        <v>59316.12</v>
      </c>
      <c r="CR39" s="110" t="n">
        <v>1349267.09</v>
      </c>
      <c r="CS39" s="110" t="n">
        <v>0</v>
      </c>
      <c r="CT39" s="110" t="n">
        <v>1072926.7</v>
      </c>
      <c r="CU39" s="110" t="n">
        <v>0</v>
      </c>
      <c r="CV39" s="111" t="n">
        <v>32364</v>
      </c>
      <c r="CW39" s="111" t="n">
        <v>26703</v>
      </c>
      <c r="CX39" s="111" t="n">
        <v>22929</v>
      </c>
      <c r="CY39" s="111" t="n">
        <v>3774</v>
      </c>
      <c r="CZ39" s="111" t="n">
        <v>5661</v>
      </c>
      <c r="DA39" s="111" t="n">
        <v>1964</v>
      </c>
      <c r="DB39" s="111" t="n">
        <v>3697</v>
      </c>
      <c r="DC39" s="111" t="n">
        <v>6645</v>
      </c>
      <c r="DD39" s="111" t="n">
        <v>13</v>
      </c>
      <c r="DE39" s="111" t="n">
        <v>6016</v>
      </c>
      <c r="DF39" s="111" t="n">
        <v>5301</v>
      </c>
      <c r="DG39" s="111" t="n">
        <v>715</v>
      </c>
      <c r="DH39" s="111" t="n">
        <v>629</v>
      </c>
      <c r="DI39" s="111" t="n">
        <v>186</v>
      </c>
      <c r="DJ39" s="111" t="n">
        <v>443</v>
      </c>
      <c r="DK39" s="111" t="n">
        <v>8764</v>
      </c>
      <c r="DL39" s="111" t="n">
        <v>5909</v>
      </c>
      <c r="DM39" s="111" t="n">
        <v>5019</v>
      </c>
      <c r="DN39" s="111" t="n">
        <v>890</v>
      </c>
      <c r="DO39" s="111" t="n">
        <v>2855</v>
      </c>
      <c r="DP39" s="111" t="n">
        <v>1088</v>
      </c>
      <c r="DQ39" s="111" t="n">
        <v>1767</v>
      </c>
      <c r="DR39" s="111" t="n">
        <v>2837</v>
      </c>
      <c r="DS39" s="111" t="n">
        <v>18</v>
      </c>
      <c r="DT39" s="111" t="n">
        <v>1836</v>
      </c>
      <c r="DU39" s="111" t="n">
        <v>1502</v>
      </c>
      <c r="DV39" s="111" t="n">
        <v>334</v>
      </c>
      <c r="DW39" s="111" t="n">
        <v>1001</v>
      </c>
      <c r="DX39" s="111" t="n">
        <v>350</v>
      </c>
      <c r="DY39" s="111" t="n">
        <v>651</v>
      </c>
      <c r="DZ39" s="111" t="n">
        <v>14087</v>
      </c>
      <c r="EA39" s="111" t="n">
        <v>12929</v>
      </c>
      <c r="EB39" s="111" t="n">
        <v>11099</v>
      </c>
      <c r="EC39" s="111" t="n">
        <v>1830</v>
      </c>
      <c r="ED39" s="111" t="n">
        <v>1158</v>
      </c>
      <c r="EE39" s="111" t="n">
        <v>340</v>
      </c>
      <c r="EF39" s="111" t="n">
        <v>818</v>
      </c>
      <c r="EG39" s="111" t="n">
        <v>1156</v>
      </c>
      <c r="EH39" s="111" t="n">
        <v>564</v>
      </c>
      <c r="EI39" s="111" t="n">
        <v>491</v>
      </c>
      <c r="EJ39" s="111" t="n">
        <v>73</v>
      </c>
      <c r="EK39" s="111" t="n">
        <v>592</v>
      </c>
      <c r="EL39" s="111" t="n">
        <v>524</v>
      </c>
      <c r="EM39" s="111" t="n">
        <v>68</v>
      </c>
      <c r="EN39" s="111" t="n">
        <v>1040</v>
      </c>
      <c r="EO39" s="111" t="n">
        <v>1032</v>
      </c>
      <c r="EP39" s="111" t="n">
        <v>0</v>
      </c>
      <c r="EQ39" s="111" t="n">
        <v>8</v>
      </c>
      <c r="ER39" s="111" t="n">
        <v>34</v>
      </c>
      <c r="ES39" s="111" t="n">
        <v>0</v>
      </c>
      <c r="ET39" s="111" t="n">
        <v>0</v>
      </c>
      <c r="EU39" s="111" t="n">
        <v>539</v>
      </c>
      <c r="EV39" s="111" t="n">
        <v>539</v>
      </c>
      <c r="EW39" s="111" t="n">
        <v>0</v>
      </c>
      <c r="EX39" s="111" t="n">
        <v>0</v>
      </c>
      <c r="EY39" s="111" t="n">
        <v>67</v>
      </c>
      <c r="EZ39" s="111" t="n">
        <v>67</v>
      </c>
      <c r="FA39" s="111" t="n">
        <v>0</v>
      </c>
      <c r="FB39" s="111" t="n">
        <v>72</v>
      </c>
    </row>
    <row r="40" ht="19.5" customHeight="1" s="247">
      <c r="A40" s="107" t="n">
        <v>37</v>
      </c>
      <c r="B40" s="107" t="inlineStr">
        <is>
          <t>儿童手术</t>
        </is>
      </c>
      <c r="C40" s="107" t="inlineStr">
        <is>
          <t>儿神经外科</t>
        </is>
      </c>
      <c r="D40" s="110" t="n">
        <v>20225662.27</v>
      </c>
      <c r="E40" s="110" t="n">
        <v>4242462.5</v>
      </c>
      <c r="F40" s="110" t="n">
        <v>15983199.77</v>
      </c>
      <c r="G40" s="110" t="n">
        <v>17929</v>
      </c>
      <c r="H40" s="110" t="n">
        <v>1357</v>
      </c>
      <c r="I40" s="110" t="n">
        <v>77604.5</v>
      </c>
      <c r="J40" s="110" t="n">
        <v>22</v>
      </c>
      <c r="K40" s="110" t="n">
        <v>0</v>
      </c>
      <c r="L40" s="110" t="n">
        <v>927824.12</v>
      </c>
      <c r="M40" s="110" t="n">
        <v>4574579.5</v>
      </c>
      <c r="N40" s="110" t="n">
        <v>429.35</v>
      </c>
      <c r="O40" s="110" t="n">
        <v>59291160.01</v>
      </c>
      <c r="P40" s="110" t="n">
        <v>7073807.4</v>
      </c>
      <c r="Q40" s="110" t="n">
        <v>5265224</v>
      </c>
      <c r="R40" s="110" t="n">
        <v>1808583.4</v>
      </c>
      <c r="S40" s="110" t="n">
        <v>52217352.61</v>
      </c>
      <c r="T40" s="110" t="n">
        <v>46960716.4</v>
      </c>
      <c r="U40" s="110" t="n">
        <v>5256636.21</v>
      </c>
      <c r="V40" s="110" t="n">
        <v>5408223.75</v>
      </c>
      <c r="W40" s="110" t="n">
        <v>2469072.58</v>
      </c>
      <c r="X40" s="110" t="n">
        <v>1931549.08</v>
      </c>
      <c r="Y40" s="110" t="n">
        <v>537523.5</v>
      </c>
      <c r="Z40" s="110" t="n">
        <v>2939151.17</v>
      </c>
      <c r="AA40" s="110" t="n">
        <v>888501.16</v>
      </c>
      <c r="AB40" s="110" t="n">
        <v>2050650.01</v>
      </c>
      <c r="AC40" s="110" t="n">
        <v>675775.92</v>
      </c>
      <c r="AD40" s="110" t="n">
        <v>586484.39</v>
      </c>
      <c r="AE40" s="110" t="n">
        <v>537623</v>
      </c>
      <c r="AF40" s="110" t="n">
        <v>48861.39</v>
      </c>
      <c r="AG40" s="110" t="n">
        <v>89291.53</v>
      </c>
      <c r="AH40" s="110" t="n">
        <v>27298.16</v>
      </c>
      <c r="AI40" s="110" t="n">
        <v>61993.37</v>
      </c>
      <c r="AJ40" s="110" t="n">
        <v>489985.33</v>
      </c>
      <c r="AK40" s="110" t="n">
        <v>412002.69</v>
      </c>
      <c r="AL40" s="110" t="n">
        <v>310621.58</v>
      </c>
      <c r="AM40" s="110" t="n">
        <v>101381.11</v>
      </c>
      <c r="AN40" s="110" t="n">
        <v>77982.64</v>
      </c>
      <c r="AO40" s="110" t="n">
        <v>19901</v>
      </c>
      <c r="AP40" s="110" t="n">
        <v>58081.64</v>
      </c>
      <c r="AQ40" s="110" t="n">
        <v>2726588</v>
      </c>
      <c r="AR40" s="110" t="n">
        <v>949484</v>
      </c>
      <c r="AS40" s="110" t="n">
        <v>720338</v>
      </c>
      <c r="AT40" s="110" t="n">
        <v>229146</v>
      </c>
      <c r="AU40" s="110" t="n">
        <v>1777104</v>
      </c>
      <c r="AV40" s="110" t="n">
        <v>539749</v>
      </c>
      <c r="AW40" s="110" t="n">
        <v>1237355</v>
      </c>
      <c r="AX40" s="110" t="n">
        <v>1515874.5</v>
      </c>
      <c r="AY40" s="110" t="n">
        <v>521101.5</v>
      </c>
      <c r="AZ40" s="110" t="n">
        <v>362966.5</v>
      </c>
      <c r="BA40" s="110" t="n">
        <v>158135</v>
      </c>
      <c r="BB40" s="110" t="n">
        <v>994773</v>
      </c>
      <c r="BC40" s="110" t="n">
        <v>301553</v>
      </c>
      <c r="BD40" s="110" t="n">
        <v>693220</v>
      </c>
      <c r="BE40" s="110" t="n">
        <v>53882936.26</v>
      </c>
      <c r="BF40" s="110" t="n">
        <v>4604734.82</v>
      </c>
      <c r="BG40" s="110" t="n">
        <v>3333674.92</v>
      </c>
      <c r="BH40" s="110" t="n">
        <v>1271059.9</v>
      </c>
      <c r="BI40" s="110" t="n">
        <v>49278201.44</v>
      </c>
      <c r="BJ40" s="110" t="n">
        <v>46072215.24</v>
      </c>
      <c r="BK40" s="110" t="n">
        <v>3205986.2</v>
      </c>
      <c r="BL40" s="110" t="n">
        <v>4837967.44</v>
      </c>
      <c r="BM40" s="110" t="n">
        <v>372925</v>
      </c>
      <c r="BN40" s="110" t="n">
        <v>287605.89</v>
      </c>
      <c r="BO40" s="110" t="n">
        <v>85319.11</v>
      </c>
      <c r="BP40" s="110" t="n">
        <v>4465042.44</v>
      </c>
      <c r="BQ40" s="110" t="n">
        <v>4226036.39</v>
      </c>
      <c r="BR40" s="110" t="n">
        <v>239006.05</v>
      </c>
      <c r="BS40" s="110" t="n">
        <v>33061769.05</v>
      </c>
      <c r="BT40" s="110" t="n">
        <v>2599374.97</v>
      </c>
      <c r="BU40" s="110" t="n">
        <v>2175368.93</v>
      </c>
      <c r="BV40" s="110" t="n">
        <v>424006.04</v>
      </c>
      <c r="BW40" s="110" t="n">
        <v>30462394.08</v>
      </c>
      <c r="BX40" s="110" t="n">
        <v>28966497.84</v>
      </c>
      <c r="BY40" s="110" t="n">
        <v>1495896.24</v>
      </c>
      <c r="BZ40" s="110" t="n">
        <v>4287156</v>
      </c>
      <c r="CA40" s="110" t="n">
        <v>349472</v>
      </c>
      <c r="CB40" s="110" t="n">
        <v>242223</v>
      </c>
      <c r="CC40" s="110" t="n">
        <v>107249</v>
      </c>
      <c r="CD40" s="110" t="n">
        <v>3937684</v>
      </c>
      <c r="CE40" s="110" t="n">
        <v>3704242</v>
      </c>
      <c r="CF40" s="110" t="n">
        <v>233442</v>
      </c>
      <c r="CG40" s="110" t="n">
        <v>11696043.77</v>
      </c>
      <c r="CH40" s="110" t="n">
        <v>1282962.85</v>
      </c>
      <c r="CI40" s="110" t="n">
        <v>628477.1</v>
      </c>
      <c r="CJ40" s="110" t="n">
        <v>654485.75</v>
      </c>
      <c r="CK40" s="110" t="n">
        <v>10413080.92</v>
      </c>
      <c r="CL40" s="110" t="n">
        <v>9175439.01</v>
      </c>
      <c r="CM40" s="110" t="n">
        <v>1237641.91</v>
      </c>
      <c r="CN40" s="110" t="n">
        <v>1306594.77</v>
      </c>
      <c r="CO40" s="110" t="n">
        <v>542517.26</v>
      </c>
      <c r="CP40" s="110" t="n">
        <v>2095689.09</v>
      </c>
      <c r="CQ40" s="110" t="n">
        <v>123349.02</v>
      </c>
      <c r="CR40" s="110" t="n">
        <v>1340073.61</v>
      </c>
      <c r="CS40" s="110" t="n">
        <v>0</v>
      </c>
      <c r="CT40" s="110" t="n">
        <v>2261392.82</v>
      </c>
      <c r="CU40" s="110" t="n">
        <v>0</v>
      </c>
      <c r="CV40" s="111" t="n">
        <v>17929</v>
      </c>
      <c r="CW40" s="111" t="n">
        <v>9128</v>
      </c>
      <c r="CX40" s="111" t="n">
        <v>6859</v>
      </c>
      <c r="CY40" s="111" t="n">
        <v>2269</v>
      </c>
      <c r="CZ40" s="111" t="n">
        <v>8801</v>
      </c>
      <c r="DA40" s="111" t="n">
        <v>2996</v>
      </c>
      <c r="DB40" s="111" t="n">
        <v>5805</v>
      </c>
      <c r="DC40" s="111" t="n">
        <v>2592</v>
      </c>
      <c r="DD40" s="111" t="n">
        <v>92</v>
      </c>
      <c r="DE40" s="111" t="n">
        <v>1562</v>
      </c>
      <c r="DF40" s="111" t="n">
        <v>1282</v>
      </c>
      <c r="DG40" s="111" t="n">
        <v>280</v>
      </c>
      <c r="DH40" s="111" t="n">
        <v>1030</v>
      </c>
      <c r="DI40" s="111" t="n">
        <v>315</v>
      </c>
      <c r="DJ40" s="111" t="n">
        <v>715</v>
      </c>
      <c r="DK40" s="111" t="n">
        <v>6999</v>
      </c>
      <c r="DL40" s="111" t="n">
        <v>2360</v>
      </c>
      <c r="DM40" s="111" t="n">
        <v>1678</v>
      </c>
      <c r="DN40" s="111" t="n">
        <v>682</v>
      </c>
      <c r="DO40" s="111" t="n">
        <v>4639</v>
      </c>
      <c r="DP40" s="111" t="n">
        <v>1611</v>
      </c>
      <c r="DQ40" s="111" t="n">
        <v>3028</v>
      </c>
      <c r="DR40" s="111" t="n">
        <v>2392</v>
      </c>
      <c r="DS40" s="111" t="n">
        <v>0</v>
      </c>
      <c r="DT40" s="111" t="n">
        <v>476</v>
      </c>
      <c r="DU40" s="111" t="n">
        <v>302</v>
      </c>
      <c r="DV40" s="111" t="n">
        <v>174</v>
      </c>
      <c r="DW40" s="111" t="n">
        <v>1916</v>
      </c>
      <c r="DX40" s="111" t="n">
        <v>558</v>
      </c>
      <c r="DY40" s="111" t="n">
        <v>1358</v>
      </c>
      <c r="DZ40" s="111" t="n">
        <v>5854</v>
      </c>
      <c r="EA40" s="111" t="n">
        <v>4699</v>
      </c>
      <c r="EB40" s="111" t="n">
        <v>3581</v>
      </c>
      <c r="EC40" s="111" t="n">
        <v>1118</v>
      </c>
      <c r="ED40" s="111" t="n">
        <v>1155</v>
      </c>
      <c r="EE40" s="111" t="n">
        <v>512</v>
      </c>
      <c r="EF40" s="111" t="n">
        <v>643</v>
      </c>
      <c r="EG40" s="111" t="n">
        <v>1357</v>
      </c>
      <c r="EH40" s="111" t="n">
        <v>188</v>
      </c>
      <c r="EI40" s="111" t="n">
        <v>109</v>
      </c>
      <c r="EJ40" s="111" t="n">
        <v>79</v>
      </c>
      <c r="EK40" s="111" t="n">
        <v>1169</v>
      </c>
      <c r="EL40" s="111" t="n">
        <v>1080</v>
      </c>
      <c r="EM40" s="111" t="n">
        <v>89</v>
      </c>
      <c r="EN40" s="111" t="n">
        <v>1190</v>
      </c>
      <c r="EO40" s="111" t="n">
        <v>1087</v>
      </c>
      <c r="EP40" s="111" t="n">
        <v>10</v>
      </c>
      <c r="EQ40" s="111" t="n">
        <v>93</v>
      </c>
      <c r="ER40" s="111" t="n">
        <v>528</v>
      </c>
      <c r="ES40" s="111" t="n">
        <v>0</v>
      </c>
      <c r="ET40" s="111" t="n">
        <v>0</v>
      </c>
      <c r="EU40" s="111" t="n">
        <v>228</v>
      </c>
      <c r="EV40" s="111" t="n">
        <v>221</v>
      </c>
      <c r="EW40" s="111" t="n">
        <v>7</v>
      </c>
      <c r="EX40" s="111" t="n">
        <v>0</v>
      </c>
      <c r="EY40" s="111" t="n">
        <v>638</v>
      </c>
      <c r="EZ40" s="111" t="n">
        <v>635</v>
      </c>
      <c r="FA40" s="111" t="n">
        <v>3</v>
      </c>
      <c r="FB40" s="111" t="n">
        <v>266</v>
      </c>
    </row>
    <row r="41" ht="19.5" customHeight="1" s="247">
      <c r="A41" s="107" t="n">
        <v>38</v>
      </c>
      <c r="B41" s="107" t="inlineStr">
        <is>
          <t>儿童非手术</t>
        </is>
      </c>
      <c r="C41" s="107" t="inlineStr">
        <is>
          <t>发育行为儿童保健科</t>
        </is>
      </c>
      <c r="D41" s="110" t="n">
        <v>19102676.88</v>
      </c>
      <c r="E41" s="110" t="n">
        <v>19102676.88</v>
      </c>
      <c r="F41" s="110" t="n">
        <v>0</v>
      </c>
      <c r="G41" s="110" t="n">
        <v>48211</v>
      </c>
      <c r="H41" s="110" t="n">
        <v>0</v>
      </c>
      <c r="I41" s="110" t="n">
        <v>4198468.88</v>
      </c>
      <c r="J41" s="110" t="n">
        <v>0</v>
      </c>
      <c r="K41" s="110" t="n">
        <v>0</v>
      </c>
      <c r="L41" s="110" t="n">
        <v>0</v>
      </c>
      <c r="M41" s="110" t="n">
        <v>0</v>
      </c>
      <c r="N41" s="110" t="n">
        <v>0</v>
      </c>
      <c r="O41" s="110" t="n">
        <v>26284033.7</v>
      </c>
      <c r="P41" s="110" t="n">
        <v>19530476.02</v>
      </c>
      <c r="Q41" s="110" t="n">
        <v>17186018.03</v>
      </c>
      <c r="R41" s="110" t="n">
        <v>2344457.99</v>
      </c>
      <c r="S41" s="110" t="n">
        <v>6753557.68</v>
      </c>
      <c r="T41" s="110" t="n">
        <v>2510573.05</v>
      </c>
      <c r="U41" s="110" t="n">
        <v>4242984.63</v>
      </c>
      <c r="V41" s="110" t="n">
        <v>26284033.7</v>
      </c>
      <c r="W41" s="110" t="n">
        <v>19530476.02</v>
      </c>
      <c r="X41" s="110" t="n">
        <v>17186018.03</v>
      </c>
      <c r="Y41" s="110" t="n">
        <v>2344457.99</v>
      </c>
      <c r="Z41" s="110" t="n">
        <v>6753557.68</v>
      </c>
      <c r="AA41" s="110" t="n">
        <v>2510573.05</v>
      </c>
      <c r="AB41" s="110" t="n">
        <v>4242984.63</v>
      </c>
      <c r="AC41" s="110" t="n">
        <v>7181270.82</v>
      </c>
      <c r="AD41" s="110" t="n">
        <v>5858909.99</v>
      </c>
      <c r="AE41" s="110" t="n">
        <v>5563848.4</v>
      </c>
      <c r="AF41" s="110" t="n">
        <v>295061.59</v>
      </c>
      <c r="AG41" s="110" t="n">
        <v>1322360.83</v>
      </c>
      <c r="AH41" s="110" t="n">
        <v>482420.55</v>
      </c>
      <c r="AI41" s="110" t="n">
        <v>839940.28</v>
      </c>
      <c r="AJ41" s="110" t="n">
        <v>86</v>
      </c>
      <c r="AK41" s="110" t="n">
        <v>43</v>
      </c>
      <c r="AL41" s="110" t="n">
        <v>43</v>
      </c>
      <c r="AM41" s="110" t="n">
        <v>0</v>
      </c>
      <c r="AN41" s="110" t="n">
        <v>43</v>
      </c>
      <c r="AO41" s="110" t="n">
        <v>0</v>
      </c>
      <c r="AP41" s="110" t="n">
        <v>43</v>
      </c>
      <c r="AQ41" s="110" t="n">
        <v>11487840</v>
      </c>
      <c r="AR41" s="110" t="n">
        <v>8288048</v>
      </c>
      <c r="AS41" s="110" t="n">
        <v>7014336</v>
      </c>
      <c r="AT41" s="110" t="n">
        <v>1273712</v>
      </c>
      <c r="AU41" s="110" t="n">
        <v>3199792</v>
      </c>
      <c r="AV41" s="110" t="n">
        <v>1203620</v>
      </c>
      <c r="AW41" s="110" t="n">
        <v>1996172</v>
      </c>
      <c r="AX41" s="110" t="n">
        <v>7614836.88</v>
      </c>
      <c r="AY41" s="110" t="n">
        <v>5383475.03</v>
      </c>
      <c r="AZ41" s="110" t="n">
        <v>4607790.63</v>
      </c>
      <c r="BA41" s="110" t="n">
        <v>775684.4</v>
      </c>
      <c r="BB41" s="110" t="n">
        <v>2231361.85</v>
      </c>
      <c r="BC41" s="110" t="n">
        <v>824532.5</v>
      </c>
      <c r="BD41" s="110" t="n">
        <v>1406829.35</v>
      </c>
      <c r="BE41" s="110" t="n">
        <v>0</v>
      </c>
      <c r="BF41" s="110" t="n">
        <v>0</v>
      </c>
      <c r="BG41" s="110" t="n">
        <v>0</v>
      </c>
      <c r="BH41" s="110" t="n">
        <v>0</v>
      </c>
      <c r="BI41" s="110" t="n">
        <v>0</v>
      </c>
      <c r="BJ41" s="110" t="n">
        <v>0</v>
      </c>
      <c r="BK41" s="110" t="n">
        <v>0</v>
      </c>
      <c r="BL41" s="110" t="n">
        <v>0</v>
      </c>
      <c r="BM41" s="110" t="n">
        <v>0</v>
      </c>
      <c r="BN41" s="110" t="n">
        <v>0</v>
      </c>
      <c r="BO41" s="110" t="n">
        <v>0</v>
      </c>
      <c r="BP41" s="110" t="n">
        <v>0</v>
      </c>
      <c r="BQ41" s="110" t="n">
        <v>0</v>
      </c>
      <c r="BR41" s="110" t="n">
        <v>0</v>
      </c>
      <c r="BS41" s="110" t="n">
        <v>0</v>
      </c>
      <c r="BT41" s="110" t="n">
        <v>0</v>
      </c>
      <c r="BU41" s="110" t="n">
        <v>0</v>
      </c>
      <c r="BV41" s="110" t="n">
        <v>0</v>
      </c>
      <c r="BW41" s="110" t="n">
        <v>0</v>
      </c>
      <c r="BX41" s="110" t="n">
        <v>0</v>
      </c>
      <c r="BY41" s="110" t="n">
        <v>0</v>
      </c>
      <c r="BZ41" s="110" t="n">
        <v>0</v>
      </c>
      <c r="CA41" s="110" t="n">
        <v>0</v>
      </c>
      <c r="CB41" s="110" t="n">
        <v>0</v>
      </c>
      <c r="CC41" s="110" t="n">
        <v>0</v>
      </c>
      <c r="CD41" s="110" t="n">
        <v>0</v>
      </c>
      <c r="CE41" s="110" t="n">
        <v>0</v>
      </c>
      <c r="CF41" s="110" t="n">
        <v>0</v>
      </c>
      <c r="CG41" s="110" t="n">
        <v>0</v>
      </c>
      <c r="CH41" s="110" t="n">
        <v>0</v>
      </c>
      <c r="CI41" s="110" t="n">
        <v>0</v>
      </c>
      <c r="CJ41" s="110" t="n">
        <v>0</v>
      </c>
      <c r="CK41" s="110" t="n">
        <v>0</v>
      </c>
      <c r="CL41" s="110" t="n">
        <v>0</v>
      </c>
      <c r="CM41" s="110" t="n">
        <v>0</v>
      </c>
      <c r="CN41" s="110" t="n">
        <v>-526</v>
      </c>
      <c r="CO41" s="110" t="n">
        <v>10026633.31</v>
      </c>
      <c r="CP41" s="110" t="n">
        <v>6726499.73</v>
      </c>
      <c r="CQ41" s="110" t="n">
        <v>2878742.04</v>
      </c>
      <c r="CR41" s="110" t="n">
        <v>6651087.62</v>
      </c>
      <c r="CS41" s="110" t="n">
        <v>1071</v>
      </c>
      <c r="CT41" s="110" t="n">
        <v>0</v>
      </c>
      <c r="CU41" s="110" t="n">
        <v>0</v>
      </c>
      <c r="CV41" s="111" t="n">
        <v>48211</v>
      </c>
      <c r="CW41" s="111" t="n">
        <v>40546</v>
      </c>
      <c r="CX41" s="111" t="n">
        <v>35111</v>
      </c>
      <c r="CY41" s="111" t="n">
        <v>5435</v>
      </c>
      <c r="CZ41" s="111" t="n">
        <v>7665</v>
      </c>
      <c r="DA41" s="111" t="n">
        <v>2565</v>
      </c>
      <c r="DB41" s="111" t="n">
        <v>5100</v>
      </c>
      <c r="DC41" s="111" t="n">
        <v>31277</v>
      </c>
      <c r="DD41" s="111" t="n">
        <v>411</v>
      </c>
      <c r="DE41" s="111" t="n">
        <v>27867</v>
      </c>
      <c r="DF41" s="111" t="n">
        <v>24256</v>
      </c>
      <c r="DG41" s="111" t="n">
        <v>3611</v>
      </c>
      <c r="DH41" s="111" t="n">
        <v>3410</v>
      </c>
      <c r="DI41" s="111" t="n">
        <v>1123</v>
      </c>
      <c r="DJ41" s="111" t="n">
        <v>2287</v>
      </c>
      <c r="DK41" s="111" t="n">
        <v>10046</v>
      </c>
      <c r="DL41" s="111" t="n">
        <v>8065</v>
      </c>
      <c r="DM41" s="111" t="n">
        <v>7142</v>
      </c>
      <c r="DN41" s="111" t="n">
        <v>923</v>
      </c>
      <c r="DO41" s="111" t="n">
        <v>1981</v>
      </c>
      <c r="DP41" s="111" t="n">
        <v>747</v>
      </c>
      <c r="DQ41" s="111" t="n">
        <v>1234</v>
      </c>
      <c r="DR41" s="111" t="n">
        <v>6477</v>
      </c>
      <c r="DS41" s="111" t="n">
        <v>0</v>
      </c>
      <c r="DT41" s="111" t="n">
        <v>4292</v>
      </c>
      <c r="DU41" s="111" t="n">
        <v>3434</v>
      </c>
      <c r="DV41" s="111" t="n">
        <v>858</v>
      </c>
      <c r="DW41" s="111" t="n">
        <v>2185</v>
      </c>
      <c r="DX41" s="111" t="n">
        <v>695</v>
      </c>
      <c r="DY41" s="111" t="n">
        <v>1490</v>
      </c>
      <c r="DZ41" s="111" t="n">
        <v>0</v>
      </c>
      <c r="EA41" s="111" t="n">
        <v>0</v>
      </c>
      <c r="EB41" s="111" t="n">
        <v>0</v>
      </c>
      <c r="EC41" s="111" t="n">
        <v>0</v>
      </c>
      <c r="ED41" s="111" t="n">
        <v>0</v>
      </c>
      <c r="EE41" s="111" t="n">
        <v>0</v>
      </c>
      <c r="EF41" s="111" t="n">
        <v>0</v>
      </c>
      <c r="EG41" s="111" t="n">
        <v>0</v>
      </c>
      <c r="EH41" s="111" t="n">
        <v>0</v>
      </c>
      <c r="EI41" s="111" t="n">
        <v>0</v>
      </c>
      <c r="EJ41" s="111" t="n">
        <v>0</v>
      </c>
      <c r="EK41" s="111" t="n">
        <v>0</v>
      </c>
      <c r="EL41" s="111" t="n">
        <v>0</v>
      </c>
      <c r="EM41" s="111" t="n">
        <v>0</v>
      </c>
      <c r="EN41" s="111" t="n">
        <v>0</v>
      </c>
      <c r="EO41" s="111" t="n">
        <v>0</v>
      </c>
      <c r="EP41" s="111" t="n">
        <v>0</v>
      </c>
      <c r="EQ41" s="111" t="n">
        <v>0</v>
      </c>
      <c r="ER41" s="111" t="n">
        <v>0</v>
      </c>
      <c r="ES41" s="111" t="n">
        <v>0</v>
      </c>
      <c r="ET41" s="111" t="n">
        <v>0</v>
      </c>
      <c r="EU41" s="111" t="n">
        <v>0</v>
      </c>
      <c r="EV41" s="111" t="n">
        <v>0</v>
      </c>
      <c r="EW41" s="111" t="n">
        <v>0</v>
      </c>
      <c r="EX41" s="111" t="n">
        <v>0</v>
      </c>
      <c r="EY41" s="111" t="n">
        <v>0</v>
      </c>
      <c r="EZ41" s="111" t="n">
        <v>0</v>
      </c>
      <c r="FA41" s="111" t="n">
        <v>0</v>
      </c>
      <c r="FB41" s="111" t="n">
        <v>0</v>
      </c>
    </row>
    <row r="42" ht="19.5" customHeight="1" s="247">
      <c r="A42" s="107" t="n">
        <v>39</v>
      </c>
      <c r="B42" s="107" t="inlineStr">
        <is>
          <t>成人手术</t>
        </is>
      </c>
      <c r="C42" s="107" t="inlineStr">
        <is>
          <t>眼科</t>
        </is>
      </c>
      <c r="D42" s="110" t="n">
        <v>54059575.03</v>
      </c>
      <c r="E42" s="110" t="n">
        <v>27052648.78</v>
      </c>
      <c r="F42" s="110" t="n">
        <v>27006926.25</v>
      </c>
      <c r="G42" s="110" t="n">
        <v>109509</v>
      </c>
      <c r="H42" s="110" t="n">
        <v>4214</v>
      </c>
      <c r="I42" s="110" t="n">
        <v>2429211</v>
      </c>
      <c r="J42" s="110" t="n">
        <v>674121</v>
      </c>
      <c r="K42" s="110" t="n">
        <v>44359.85</v>
      </c>
      <c r="L42" s="110" t="n">
        <v>396906</v>
      </c>
      <c r="M42" s="110" t="n">
        <v>14757703.25</v>
      </c>
      <c r="N42" s="110" t="n">
        <v>0</v>
      </c>
      <c r="O42" s="110" t="n">
        <v>79576709.41</v>
      </c>
      <c r="P42" s="110" t="n">
        <v>47460861.46</v>
      </c>
      <c r="Q42" s="110" t="n">
        <v>42450406.35</v>
      </c>
      <c r="R42" s="110" t="n">
        <v>5010455.11</v>
      </c>
      <c r="S42" s="110" t="n">
        <v>32115847.95</v>
      </c>
      <c r="T42" s="110" t="n">
        <v>15746828.42</v>
      </c>
      <c r="U42" s="110" t="n">
        <v>16369019.53</v>
      </c>
      <c r="V42" s="110" t="n">
        <v>39221930.36</v>
      </c>
      <c r="W42" s="110" t="n">
        <v>28227955.33</v>
      </c>
      <c r="X42" s="110" t="n">
        <v>26486743.01</v>
      </c>
      <c r="Y42" s="110" t="n">
        <v>1741212.32</v>
      </c>
      <c r="Z42" s="110" t="n">
        <v>10993975.03</v>
      </c>
      <c r="AA42" s="110" t="n">
        <v>5398105.28</v>
      </c>
      <c r="AB42" s="110" t="n">
        <v>5595869.75</v>
      </c>
      <c r="AC42" s="110" t="n">
        <v>12148180.11</v>
      </c>
      <c r="AD42" s="110" t="n">
        <v>9739792.939999999</v>
      </c>
      <c r="AE42" s="110" t="n">
        <v>9375694.85</v>
      </c>
      <c r="AF42" s="110" t="n">
        <v>364098.09</v>
      </c>
      <c r="AG42" s="110" t="n">
        <v>2408387.17</v>
      </c>
      <c r="AH42" s="110" t="n">
        <v>1443287.03</v>
      </c>
      <c r="AI42" s="110" t="n">
        <v>965100.14</v>
      </c>
      <c r="AJ42" s="110" t="n">
        <v>21101.47</v>
      </c>
      <c r="AK42" s="110" t="n">
        <v>8950.610000000001</v>
      </c>
      <c r="AL42" s="110" t="n">
        <v>7913.16</v>
      </c>
      <c r="AM42" s="110" t="n">
        <v>1037.45</v>
      </c>
      <c r="AN42" s="110" t="n">
        <v>12150.86</v>
      </c>
      <c r="AO42" s="110" t="n">
        <v>5413.25</v>
      </c>
      <c r="AP42" s="110" t="n">
        <v>6737.61</v>
      </c>
      <c r="AQ42" s="110" t="n">
        <v>17103032</v>
      </c>
      <c r="AR42" s="110" t="n">
        <v>12055744</v>
      </c>
      <c r="AS42" s="110" t="n">
        <v>11336918</v>
      </c>
      <c r="AT42" s="110" t="n">
        <v>718826</v>
      </c>
      <c r="AU42" s="110" t="n">
        <v>5047288</v>
      </c>
      <c r="AV42" s="110" t="n">
        <v>2449105</v>
      </c>
      <c r="AW42" s="110" t="n">
        <v>2598183</v>
      </c>
      <c r="AX42" s="110" t="n">
        <v>9949616.779999999</v>
      </c>
      <c r="AY42" s="110" t="n">
        <v>6423467.78</v>
      </c>
      <c r="AZ42" s="110" t="n">
        <v>5766217</v>
      </c>
      <c r="BA42" s="110" t="n">
        <v>657250.78</v>
      </c>
      <c r="BB42" s="110" t="n">
        <v>3526149</v>
      </c>
      <c r="BC42" s="110" t="n">
        <v>1500300</v>
      </c>
      <c r="BD42" s="110" t="n">
        <v>2025849</v>
      </c>
      <c r="BE42" s="110" t="n">
        <v>40354779.05</v>
      </c>
      <c r="BF42" s="110" t="n">
        <v>19232906.13</v>
      </c>
      <c r="BG42" s="110" t="n">
        <v>15963663.34</v>
      </c>
      <c r="BH42" s="110" t="n">
        <v>3269242.79</v>
      </c>
      <c r="BI42" s="110" t="n">
        <v>21121872.92</v>
      </c>
      <c r="BJ42" s="110" t="n">
        <v>10348723.14</v>
      </c>
      <c r="BK42" s="110" t="n">
        <v>10773149.78</v>
      </c>
      <c r="BL42" s="110" t="n">
        <v>1826548.99</v>
      </c>
      <c r="BM42" s="110" t="n">
        <v>623820.8</v>
      </c>
      <c r="BN42" s="110" t="n">
        <v>421536.16</v>
      </c>
      <c r="BO42" s="110" t="n">
        <v>202284.64</v>
      </c>
      <c r="BP42" s="110" t="n">
        <v>1202728.19</v>
      </c>
      <c r="BQ42" s="110" t="n">
        <v>592328.1899999999</v>
      </c>
      <c r="BR42" s="110" t="n">
        <v>610400</v>
      </c>
      <c r="BS42" s="110" t="n">
        <v>11521303.81</v>
      </c>
      <c r="BT42" s="110" t="n">
        <v>5883928.08</v>
      </c>
      <c r="BU42" s="110" t="n">
        <v>5244640.93</v>
      </c>
      <c r="BV42" s="110" t="n">
        <v>639287.15</v>
      </c>
      <c r="BW42" s="110" t="n">
        <v>5637375.73</v>
      </c>
      <c r="BX42" s="110" t="n">
        <v>3336836.95</v>
      </c>
      <c r="BY42" s="110" t="n">
        <v>2300538.78</v>
      </c>
      <c r="BZ42" s="110" t="n">
        <v>294600</v>
      </c>
      <c r="CA42" s="110" t="n">
        <v>83678</v>
      </c>
      <c r="CB42" s="110" t="n">
        <v>54076</v>
      </c>
      <c r="CC42" s="110" t="n">
        <v>29602</v>
      </c>
      <c r="CD42" s="110" t="n">
        <v>210922</v>
      </c>
      <c r="CE42" s="110" t="n">
        <v>96260</v>
      </c>
      <c r="CF42" s="110" t="n">
        <v>114662</v>
      </c>
      <c r="CG42" s="110" t="n">
        <v>26712326.25</v>
      </c>
      <c r="CH42" s="110" t="n">
        <v>12641479.25</v>
      </c>
      <c r="CI42" s="110" t="n">
        <v>10243410.25</v>
      </c>
      <c r="CJ42" s="110" t="n">
        <v>2398069</v>
      </c>
      <c r="CK42" s="110" t="n">
        <v>14070847</v>
      </c>
      <c r="CL42" s="110" t="n">
        <v>6323298</v>
      </c>
      <c r="CM42" s="110" t="n">
        <v>7747549</v>
      </c>
      <c r="CN42" s="110" t="n">
        <v>982932.3199999999</v>
      </c>
      <c r="CO42" s="110" t="n">
        <v>12862432.48</v>
      </c>
      <c r="CP42" s="110" t="n">
        <v>17138358.02</v>
      </c>
      <c r="CQ42" s="110" t="n">
        <v>964989.9399999999</v>
      </c>
      <c r="CR42" s="110" t="n">
        <v>7219090.47</v>
      </c>
      <c r="CS42" s="110" t="n">
        <v>53546.13</v>
      </c>
      <c r="CT42" s="110" t="n">
        <v>10736556.01</v>
      </c>
      <c r="CU42" s="110" t="n">
        <v>0</v>
      </c>
      <c r="CV42" s="111" t="n">
        <v>109509</v>
      </c>
      <c r="CW42" s="111" t="n">
        <v>89477</v>
      </c>
      <c r="CX42" s="111" t="n">
        <v>83428</v>
      </c>
      <c r="CY42" s="111" t="n">
        <v>6049</v>
      </c>
      <c r="CZ42" s="111" t="n">
        <v>20032</v>
      </c>
      <c r="DA42" s="111" t="n">
        <v>9589</v>
      </c>
      <c r="DB42" s="111" t="n">
        <v>10443</v>
      </c>
      <c r="DC42" s="111" t="n">
        <v>59031</v>
      </c>
      <c r="DD42" s="111" t="n">
        <v>12</v>
      </c>
      <c r="DE42" s="111" t="n">
        <v>51748</v>
      </c>
      <c r="DF42" s="111" t="n">
        <v>48815</v>
      </c>
      <c r="DG42" s="111" t="n">
        <v>2933</v>
      </c>
      <c r="DH42" s="111" t="n">
        <v>7283</v>
      </c>
      <c r="DI42" s="111" t="n">
        <v>3585</v>
      </c>
      <c r="DJ42" s="111" t="n">
        <v>3698</v>
      </c>
      <c r="DK42" s="111" t="n">
        <v>33916</v>
      </c>
      <c r="DL42" s="111" t="n">
        <v>26697</v>
      </c>
      <c r="DM42" s="111" t="n">
        <v>24928</v>
      </c>
      <c r="DN42" s="111" t="n">
        <v>1769</v>
      </c>
      <c r="DO42" s="111" t="n">
        <v>7219</v>
      </c>
      <c r="DP42" s="111" t="n">
        <v>3857</v>
      </c>
      <c r="DQ42" s="111" t="n">
        <v>3362</v>
      </c>
      <c r="DR42" s="111" t="n">
        <v>8774</v>
      </c>
      <c r="DS42" s="111" t="n">
        <v>0</v>
      </c>
      <c r="DT42" s="111" t="n">
        <v>4203</v>
      </c>
      <c r="DU42" s="111" t="n">
        <v>3645</v>
      </c>
      <c r="DV42" s="111" t="n">
        <v>558</v>
      </c>
      <c r="DW42" s="111" t="n">
        <v>4571</v>
      </c>
      <c r="DX42" s="111" t="n">
        <v>1811</v>
      </c>
      <c r="DY42" s="111" t="n">
        <v>2760</v>
      </c>
      <c r="DZ42" s="111" t="n">
        <v>7776</v>
      </c>
      <c r="EA42" s="111" t="n">
        <v>6823</v>
      </c>
      <c r="EB42" s="111" t="n">
        <v>6040</v>
      </c>
      <c r="EC42" s="111" t="n">
        <v>783</v>
      </c>
      <c r="ED42" s="111" t="n">
        <v>953</v>
      </c>
      <c r="EE42" s="111" t="n">
        <v>336</v>
      </c>
      <c r="EF42" s="111" t="n">
        <v>617</v>
      </c>
      <c r="EG42" s="111" t="n">
        <v>4214</v>
      </c>
      <c r="EH42" s="111" t="n">
        <v>2409</v>
      </c>
      <c r="EI42" s="111" t="n">
        <v>2149</v>
      </c>
      <c r="EJ42" s="111" t="n">
        <v>260</v>
      </c>
      <c r="EK42" s="111" t="n">
        <v>1805</v>
      </c>
      <c r="EL42" s="111" t="n">
        <v>1259</v>
      </c>
      <c r="EM42" s="111" t="n">
        <v>546</v>
      </c>
      <c r="EN42" s="111" t="n">
        <v>4230</v>
      </c>
      <c r="EO42" s="111" t="n">
        <v>4192</v>
      </c>
      <c r="EP42" s="111" t="n">
        <v>0</v>
      </c>
      <c r="EQ42" s="111" t="n">
        <v>38</v>
      </c>
      <c r="ER42" s="111" t="n">
        <v>0</v>
      </c>
      <c r="ES42" s="111" t="n">
        <v>0</v>
      </c>
      <c r="ET42" s="111" t="n">
        <v>0</v>
      </c>
      <c r="EU42" s="111" t="n">
        <v>2680</v>
      </c>
      <c r="EV42" s="111" t="n">
        <v>2679</v>
      </c>
      <c r="EW42" s="111" t="n">
        <v>0</v>
      </c>
      <c r="EX42" s="111" t="n">
        <v>1</v>
      </c>
      <c r="EY42" s="111" t="n">
        <v>902</v>
      </c>
      <c r="EZ42" s="111" t="n">
        <v>902</v>
      </c>
      <c r="FA42" s="111" t="n">
        <v>0</v>
      </c>
      <c r="FB42" s="111" t="n">
        <v>2856</v>
      </c>
    </row>
    <row r="43" ht="19.5" customHeight="1" s="247">
      <c r="A43" s="107" t="n">
        <v>40</v>
      </c>
      <c r="B43" s="107" t="inlineStr">
        <is>
          <t>成人手术</t>
        </is>
      </c>
      <c r="C43" s="107" t="inlineStr">
        <is>
          <t>耳鼻咽喉-头颈外科</t>
        </is>
      </c>
      <c r="D43" s="110" t="n">
        <v>36139483.5</v>
      </c>
      <c r="E43" s="110" t="n">
        <v>15394051</v>
      </c>
      <c r="F43" s="110" t="n">
        <v>20745432.5</v>
      </c>
      <c r="G43" s="110" t="n">
        <v>90327</v>
      </c>
      <c r="H43" s="110" t="n">
        <v>2215</v>
      </c>
      <c r="I43" s="110" t="n">
        <v>2456119</v>
      </c>
      <c r="J43" s="110" t="n">
        <v>89363</v>
      </c>
      <c r="K43" s="110" t="n">
        <v>176843.67</v>
      </c>
      <c r="L43" s="110" t="n">
        <v>601487.25</v>
      </c>
      <c r="M43" s="110" t="n">
        <v>8597182.75</v>
      </c>
      <c r="N43" s="110" t="n">
        <v>0</v>
      </c>
      <c r="O43" s="110" t="n">
        <v>66627059.66</v>
      </c>
      <c r="P43" s="110" t="n">
        <v>49328452.24</v>
      </c>
      <c r="Q43" s="110" t="n">
        <v>46444197.9</v>
      </c>
      <c r="R43" s="110" t="n">
        <v>2884254.34</v>
      </c>
      <c r="S43" s="110" t="n">
        <v>17298607.42</v>
      </c>
      <c r="T43" s="110" t="n">
        <v>14549834.31</v>
      </c>
      <c r="U43" s="110" t="n">
        <v>2748773.11</v>
      </c>
      <c r="V43" s="110" t="n">
        <v>31540221.74</v>
      </c>
      <c r="W43" s="110" t="n">
        <v>27168357.83</v>
      </c>
      <c r="X43" s="110" t="n">
        <v>25483244.19</v>
      </c>
      <c r="Y43" s="110" t="n">
        <v>1685113.64</v>
      </c>
      <c r="Z43" s="110" t="n">
        <v>4371863.91</v>
      </c>
      <c r="AA43" s="110" t="n">
        <v>2354282.89</v>
      </c>
      <c r="AB43" s="110" t="n">
        <v>2017581.02</v>
      </c>
      <c r="AC43" s="110" t="n">
        <v>15375792.22</v>
      </c>
      <c r="AD43" s="110" t="n">
        <v>13544921.2</v>
      </c>
      <c r="AE43" s="110" t="n">
        <v>12895680.66</v>
      </c>
      <c r="AF43" s="110" t="n">
        <v>649240.54</v>
      </c>
      <c r="AG43" s="110" t="n">
        <v>1830871.02</v>
      </c>
      <c r="AH43" s="110" t="n">
        <v>1004550.71</v>
      </c>
      <c r="AI43" s="110" t="n">
        <v>826320.3100000001</v>
      </c>
      <c r="AJ43" s="110" t="n">
        <v>770378.52</v>
      </c>
      <c r="AK43" s="110" t="n">
        <v>673855.63</v>
      </c>
      <c r="AL43" s="110" t="n">
        <v>623286.53</v>
      </c>
      <c r="AM43" s="110" t="n">
        <v>50569.1</v>
      </c>
      <c r="AN43" s="110" t="n">
        <v>96522.89</v>
      </c>
      <c r="AO43" s="110" t="n">
        <v>45484.18</v>
      </c>
      <c r="AP43" s="110" t="n">
        <v>51038.71</v>
      </c>
      <c r="AQ43" s="110" t="n">
        <v>8842160</v>
      </c>
      <c r="AR43" s="110" t="n">
        <v>7369559</v>
      </c>
      <c r="AS43" s="110" t="n">
        <v>6822727</v>
      </c>
      <c r="AT43" s="110" t="n">
        <v>546832</v>
      </c>
      <c r="AU43" s="110" t="n">
        <v>1472601</v>
      </c>
      <c r="AV43" s="110" t="n">
        <v>806711</v>
      </c>
      <c r="AW43" s="110" t="n">
        <v>665890</v>
      </c>
      <c r="AX43" s="110" t="n">
        <v>6551891</v>
      </c>
      <c r="AY43" s="110" t="n">
        <v>5580022</v>
      </c>
      <c r="AZ43" s="110" t="n">
        <v>5141550</v>
      </c>
      <c r="BA43" s="110" t="n">
        <v>438472</v>
      </c>
      <c r="BB43" s="110" t="n">
        <v>971869</v>
      </c>
      <c r="BC43" s="110" t="n">
        <v>497537</v>
      </c>
      <c r="BD43" s="110" t="n">
        <v>474332</v>
      </c>
      <c r="BE43" s="110" t="n">
        <v>35086837.92</v>
      </c>
      <c r="BF43" s="110" t="n">
        <v>22160094.41</v>
      </c>
      <c r="BG43" s="110" t="n">
        <v>20960953.71</v>
      </c>
      <c r="BH43" s="110" t="n">
        <v>1199140.7</v>
      </c>
      <c r="BI43" s="110" t="n">
        <v>12926743.51</v>
      </c>
      <c r="BJ43" s="110" t="n">
        <v>12195551.42</v>
      </c>
      <c r="BK43" s="110" t="n">
        <v>731192.09</v>
      </c>
      <c r="BL43" s="110" t="n">
        <v>4676435.28</v>
      </c>
      <c r="BM43" s="110" t="n">
        <v>2895674.15</v>
      </c>
      <c r="BN43" s="110" t="n">
        <v>2770252.48</v>
      </c>
      <c r="BO43" s="110" t="n">
        <v>125421.67</v>
      </c>
      <c r="BP43" s="110" t="n">
        <v>1780761.13</v>
      </c>
      <c r="BQ43" s="110" t="n">
        <v>1692890.89</v>
      </c>
      <c r="BR43" s="110" t="n">
        <v>87870.24000000001</v>
      </c>
      <c r="BS43" s="110" t="n">
        <v>9664970.140000001</v>
      </c>
      <c r="BT43" s="110" t="n">
        <v>6065912.26</v>
      </c>
      <c r="BU43" s="110" t="n">
        <v>5824464.48</v>
      </c>
      <c r="BV43" s="110" t="n">
        <v>241447.78</v>
      </c>
      <c r="BW43" s="110" t="n">
        <v>3599057.88</v>
      </c>
      <c r="BX43" s="110" t="n">
        <v>3433721.78</v>
      </c>
      <c r="BY43" s="110" t="n">
        <v>165336.1</v>
      </c>
      <c r="BZ43" s="110" t="n">
        <v>6135332</v>
      </c>
      <c r="CA43" s="110" t="n">
        <v>3888103</v>
      </c>
      <c r="CB43" s="110" t="n">
        <v>3721034</v>
      </c>
      <c r="CC43" s="110" t="n">
        <v>167069</v>
      </c>
      <c r="CD43" s="110" t="n">
        <v>2247229</v>
      </c>
      <c r="CE43" s="110" t="n">
        <v>2136421</v>
      </c>
      <c r="CF43" s="110" t="n">
        <v>110808</v>
      </c>
      <c r="CG43" s="110" t="n">
        <v>14610100.5</v>
      </c>
      <c r="CH43" s="110" t="n">
        <v>9310405</v>
      </c>
      <c r="CI43" s="110" t="n">
        <v>8645202.75</v>
      </c>
      <c r="CJ43" s="110" t="n">
        <v>665202.25</v>
      </c>
      <c r="CK43" s="110" t="n">
        <v>5299695.5</v>
      </c>
      <c r="CL43" s="110" t="n">
        <v>4932517.75</v>
      </c>
      <c r="CM43" s="110" t="n">
        <v>367177.75</v>
      </c>
      <c r="CN43" s="110" t="n">
        <v>2542891.09</v>
      </c>
      <c r="CO43" s="110" t="n">
        <v>7126237.94</v>
      </c>
      <c r="CP43" s="110" t="n">
        <v>6761625.31</v>
      </c>
      <c r="CQ43" s="110" t="n">
        <v>11927034.2</v>
      </c>
      <c r="CR43" s="110" t="n">
        <v>3182368.2</v>
      </c>
      <c r="CS43" s="110" t="n">
        <v>0</v>
      </c>
      <c r="CT43" s="110" t="n">
        <v>906878.0600000001</v>
      </c>
      <c r="CU43" s="110" t="n">
        <v>0</v>
      </c>
      <c r="CV43" s="111" t="n">
        <v>90327</v>
      </c>
      <c r="CW43" s="111" t="n">
        <v>78782</v>
      </c>
      <c r="CX43" s="111" t="n">
        <v>73132</v>
      </c>
      <c r="CY43" s="111" t="n">
        <v>5650</v>
      </c>
      <c r="CZ43" s="111" t="n">
        <v>11545</v>
      </c>
      <c r="DA43" s="111" t="n">
        <v>5781</v>
      </c>
      <c r="DB43" s="111" t="n">
        <v>5764</v>
      </c>
      <c r="DC43" s="111" t="n">
        <v>51087</v>
      </c>
      <c r="DD43" s="111" t="n">
        <v>490</v>
      </c>
      <c r="DE43" s="111" t="n">
        <v>45647</v>
      </c>
      <c r="DF43" s="111" t="n">
        <v>42927</v>
      </c>
      <c r="DG43" s="111" t="n">
        <v>2720</v>
      </c>
      <c r="DH43" s="111" t="n">
        <v>5440</v>
      </c>
      <c r="DI43" s="111" t="n">
        <v>2814</v>
      </c>
      <c r="DJ43" s="111" t="n">
        <v>2626</v>
      </c>
      <c r="DK43" s="111" t="n">
        <v>18701</v>
      </c>
      <c r="DL43" s="111" t="n">
        <v>15032</v>
      </c>
      <c r="DM43" s="111" t="n">
        <v>13861</v>
      </c>
      <c r="DN43" s="111" t="n">
        <v>1171</v>
      </c>
      <c r="DO43" s="111" t="n">
        <v>3669</v>
      </c>
      <c r="DP43" s="111" t="n">
        <v>1984</v>
      </c>
      <c r="DQ43" s="111" t="n">
        <v>1685</v>
      </c>
      <c r="DR43" s="111" t="n">
        <v>5857</v>
      </c>
      <c r="DS43" s="111" t="n">
        <v>2</v>
      </c>
      <c r="DT43" s="111" t="n">
        <v>4802</v>
      </c>
      <c r="DU43" s="111" t="n">
        <v>4230</v>
      </c>
      <c r="DV43" s="111" t="n">
        <v>572</v>
      </c>
      <c r="DW43" s="111" t="n">
        <v>1055</v>
      </c>
      <c r="DX43" s="111" t="n">
        <v>446</v>
      </c>
      <c r="DY43" s="111" t="n">
        <v>609</v>
      </c>
      <c r="DZ43" s="111" t="n">
        <v>14190</v>
      </c>
      <c r="EA43" s="111" t="n">
        <v>12872</v>
      </c>
      <c r="EB43" s="111" t="n">
        <v>11730</v>
      </c>
      <c r="EC43" s="111" t="n">
        <v>1142</v>
      </c>
      <c r="ED43" s="111" t="n">
        <v>1318</v>
      </c>
      <c r="EE43" s="111" t="n">
        <v>536</v>
      </c>
      <c r="EF43" s="111" t="n">
        <v>782</v>
      </c>
      <c r="EG43" s="111" t="n">
        <v>2215</v>
      </c>
      <c r="EH43" s="111" t="n">
        <v>1471</v>
      </c>
      <c r="EI43" s="111" t="n">
        <v>1403</v>
      </c>
      <c r="EJ43" s="111" t="n">
        <v>68</v>
      </c>
      <c r="EK43" s="111" t="n">
        <v>744</v>
      </c>
      <c r="EL43" s="111" t="n">
        <v>698</v>
      </c>
      <c r="EM43" s="111" t="n">
        <v>46</v>
      </c>
      <c r="EN43" s="111" t="n">
        <v>2183</v>
      </c>
      <c r="EO43" s="111" t="n">
        <v>2047</v>
      </c>
      <c r="EP43" s="111" t="n">
        <v>0</v>
      </c>
      <c r="EQ43" s="111" t="n">
        <v>136</v>
      </c>
      <c r="ER43" s="111" t="n">
        <v>8</v>
      </c>
      <c r="ES43" s="111" t="n">
        <v>0</v>
      </c>
      <c r="ET43" s="111" t="n">
        <v>0</v>
      </c>
      <c r="EU43" s="111" t="n">
        <v>1513</v>
      </c>
      <c r="EV43" s="111" t="n">
        <v>1513</v>
      </c>
      <c r="EW43" s="111" t="n">
        <v>0</v>
      </c>
      <c r="EX43" s="111" t="n">
        <v>0</v>
      </c>
      <c r="EY43" s="111" t="n">
        <v>184</v>
      </c>
      <c r="EZ43" s="111" t="n">
        <v>184</v>
      </c>
      <c r="FA43" s="111" t="n">
        <v>0</v>
      </c>
      <c r="FB43" s="111" t="n">
        <v>171</v>
      </c>
    </row>
    <row r="44" ht="19.5" customHeight="1" s="247">
      <c r="A44" s="107" t="n">
        <v>41</v>
      </c>
      <c r="B44" s="107" t="inlineStr">
        <is>
          <t>成人非手术</t>
        </is>
      </c>
      <c r="C44" s="107" t="inlineStr">
        <is>
          <t>口腔科</t>
        </is>
      </c>
      <c r="D44" s="110" t="n">
        <v>24653915.12</v>
      </c>
      <c r="E44" s="110" t="n">
        <v>24361110.12</v>
      </c>
      <c r="F44" s="110" t="n">
        <v>292805</v>
      </c>
      <c r="G44" s="110" t="n">
        <v>60005</v>
      </c>
      <c r="H44" s="110" t="n">
        <v>18</v>
      </c>
      <c r="I44" s="110" t="n">
        <v>14787963</v>
      </c>
      <c r="J44" s="110" t="n">
        <v>3894454.12</v>
      </c>
      <c r="K44" s="110" t="n">
        <v>0</v>
      </c>
      <c r="L44" s="110" t="n">
        <v>142849</v>
      </c>
      <c r="M44" s="110" t="n">
        <v>22603</v>
      </c>
      <c r="N44" s="110" t="n">
        <v>0</v>
      </c>
      <c r="O44" s="110" t="n">
        <v>26555625.02</v>
      </c>
      <c r="P44" s="110" t="n">
        <v>22932861.62</v>
      </c>
      <c r="Q44" s="110" t="n">
        <v>15046186.77</v>
      </c>
      <c r="R44" s="110" t="n">
        <v>7886674.85</v>
      </c>
      <c r="S44" s="110" t="n">
        <v>3622763.4</v>
      </c>
      <c r="T44" s="110" t="n">
        <v>979769.76</v>
      </c>
      <c r="U44" s="110" t="n">
        <v>2642993.64</v>
      </c>
      <c r="V44" s="110" t="n">
        <v>26218020.43</v>
      </c>
      <c r="W44" s="110" t="n">
        <v>22662407.43</v>
      </c>
      <c r="X44" s="110" t="n">
        <v>15046186.77</v>
      </c>
      <c r="Y44" s="110" t="n">
        <v>7616220.66</v>
      </c>
      <c r="Z44" s="110" t="n">
        <v>3555613</v>
      </c>
      <c r="AA44" s="110" t="n">
        <v>979769.76</v>
      </c>
      <c r="AB44" s="110" t="n">
        <v>2575843.24</v>
      </c>
      <c r="AC44" s="110" t="n">
        <v>1026801.77</v>
      </c>
      <c r="AD44" s="110" t="n">
        <v>875854.4300000001</v>
      </c>
      <c r="AE44" s="110" t="n">
        <v>812599.72</v>
      </c>
      <c r="AF44" s="110" t="n">
        <v>63254.71</v>
      </c>
      <c r="AG44" s="110" t="n">
        <v>150947.34</v>
      </c>
      <c r="AH44" s="110" t="n">
        <v>75814.69</v>
      </c>
      <c r="AI44" s="110" t="n">
        <v>75132.64999999999</v>
      </c>
      <c r="AJ44" s="110" t="n">
        <v>830108.54</v>
      </c>
      <c r="AK44" s="110" t="n">
        <v>698962</v>
      </c>
      <c r="AL44" s="110" t="n">
        <v>62692.05</v>
      </c>
      <c r="AM44" s="110" t="n">
        <v>636269.95</v>
      </c>
      <c r="AN44" s="110" t="n">
        <v>131146.54</v>
      </c>
      <c r="AO44" s="110" t="n">
        <v>12339.07</v>
      </c>
      <c r="AP44" s="110" t="n">
        <v>118807.47</v>
      </c>
      <c r="AQ44" s="110" t="n">
        <v>2591330</v>
      </c>
      <c r="AR44" s="110" t="n">
        <v>2344172</v>
      </c>
      <c r="AS44" s="110" t="n">
        <v>1960248</v>
      </c>
      <c r="AT44" s="110" t="n">
        <v>383924</v>
      </c>
      <c r="AU44" s="110" t="n">
        <v>247158</v>
      </c>
      <c r="AV44" s="110" t="n">
        <v>109670</v>
      </c>
      <c r="AW44" s="110" t="n">
        <v>137488</v>
      </c>
      <c r="AX44" s="110" t="n">
        <v>21769780.12</v>
      </c>
      <c r="AY44" s="110" t="n">
        <v>18743419</v>
      </c>
      <c r="AZ44" s="110" t="n">
        <v>12210647</v>
      </c>
      <c r="BA44" s="110" t="n">
        <v>6532772</v>
      </c>
      <c r="BB44" s="110" t="n">
        <v>3026361.12</v>
      </c>
      <c r="BC44" s="110" t="n">
        <v>781946</v>
      </c>
      <c r="BD44" s="110" t="n">
        <v>2244415.12</v>
      </c>
      <c r="BE44" s="110" t="n">
        <v>337604.59</v>
      </c>
      <c r="BF44" s="110" t="n">
        <v>270454.19</v>
      </c>
      <c r="BG44" s="110" t="n">
        <v>0</v>
      </c>
      <c r="BH44" s="110" t="n">
        <v>270454.19</v>
      </c>
      <c r="BI44" s="110" t="n">
        <v>67150.39999999999</v>
      </c>
      <c r="BJ44" s="110" t="n">
        <v>0</v>
      </c>
      <c r="BK44" s="110" t="n">
        <v>67150.39999999999</v>
      </c>
      <c r="BL44" s="110" t="n">
        <v>21074.65</v>
      </c>
      <c r="BM44" s="110" t="n">
        <v>16821.75</v>
      </c>
      <c r="BN44" s="110" t="n">
        <v>0</v>
      </c>
      <c r="BO44" s="110" t="n">
        <v>16821.75</v>
      </c>
      <c r="BP44" s="110" t="n">
        <v>4252.9</v>
      </c>
      <c r="BQ44" s="110" t="n">
        <v>0</v>
      </c>
      <c r="BR44" s="110" t="n">
        <v>4252.9</v>
      </c>
      <c r="BS44" s="110" t="n">
        <v>23724.94</v>
      </c>
      <c r="BT44" s="110" t="n">
        <v>19384.44</v>
      </c>
      <c r="BU44" s="110" t="n">
        <v>0</v>
      </c>
      <c r="BV44" s="110" t="n">
        <v>19384.44</v>
      </c>
      <c r="BW44" s="110" t="n">
        <v>4340.5</v>
      </c>
      <c r="BX44" s="110" t="n">
        <v>0</v>
      </c>
      <c r="BY44" s="110" t="n">
        <v>4340.5</v>
      </c>
      <c r="BZ44" s="110" t="n">
        <v>3031</v>
      </c>
      <c r="CA44" s="110" t="n">
        <v>2378</v>
      </c>
      <c r="CB44" s="110" t="n">
        <v>0</v>
      </c>
      <c r="CC44" s="110" t="n">
        <v>2378</v>
      </c>
      <c r="CD44" s="110" t="n">
        <v>653</v>
      </c>
      <c r="CE44" s="110" t="n">
        <v>0</v>
      </c>
      <c r="CF44" s="110" t="n">
        <v>653</v>
      </c>
      <c r="CG44" s="110" t="n">
        <v>289774</v>
      </c>
      <c r="CH44" s="110" t="n">
        <v>231870</v>
      </c>
      <c r="CI44" s="110" t="n">
        <v>0</v>
      </c>
      <c r="CJ44" s="110" t="n">
        <v>231870</v>
      </c>
      <c r="CK44" s="110" t="n">
        <v>57904</v>
      </c>
      <c r="CL44" s="110" t="n">
        <v>0</v>
      </c>
      <c r="CM44" s="110" t="n">
        <v>57904</v>
      </c>
      <c r="CN44" s="110" t="n">
        <v>26128.86</v>
      </c>
      <c r="CO44" s="110" t="n">
        <v>12305066.31</v>
      </c>
      <c r="CP44" s="110" t="n">
        <v>5260860.53</v>
      </c>
      <c r="CQ44" s="110" t="n">
        <v>5266732.45</v>
      </c>
      <c r="CR44" s="110" t="n">
        <v>3278802.57</v>
      </c>
      <c r="CS44" s="110" t="n">
        <v>80454.71000000001</v>
      </c>
      <c r="CT44" s="110" t="n">
        <v>337604.59</v>
      </c>
      <c r="CU44" s="110" t="n">
        <v>0</v>
      </c>
      <c r="CV44" s="111" t="n">
        <v>60005</v>
      </c>
      <c r="CW44" s="111" t="n">
        <v>52997</v>
      </c>
      <c r="CX44" s="111" t="n">
        <v>43697</v>
      </c>
      <c r="CY44" s="111" t="n">
        <v>9300</v>
      </c>
      <c r="CZ44" s="111" t="n">
        <v>7008</v>
      </c>
      <c r="DA44" s="111" t="n">
        <v>2781</v>
      </c>
      <c r="DB44" s="111" t="n">
        <v>4227</v>
      </c>
      <c r="DC44" s="111" t="n">
        <v>46639</v>
      </c>
      <c r="DD44" s="111" t="n">
        <v>16</v>
      </c>
      <c r="DE44" s="111" t="n">
        <v>42276</v>
      </c>
      <c r="DF44" s="111" t="n">
        <v>35512</v>
      </c>
      <c r="DG44" s="111" t="n">
        <v>6764</v>
      </c>
      <c r="DH44" s="111" t="n">
        <v>4363</v>
      </c>
      <c r="DI44" s="111" t="n">
        <v>1942</v>
      </c>
      <c r="DJ44" s="111" t="n">
        <v>2421</v>
      </c>
      <c r="DK44" s="111" t="n">
        <v>8072</v>
      </c>
      <c r="DL44" s="111" t="n">
        <v>7027</v>
      </c>
      <c r="DM44" s="111" t="n">
        <v>5285</v>
      </c>
      <c r="DN44" s="111" t="n">
        <v>1742</v>
      </c>
      <c r="DO44" s="111" t="n">
        <v>1045</v>
      </c>
      <c r="DP44" s="111" t="n">
        <v>465</v>
      </c>
      <c r="DQ44" s="111" t="n">
        <v>580</v>
      </c>
      <c r="DR44" s="111" t="n">
        <v>5137</v>
      </c>
      <c r="DS44" s="111" t="n">
        <v>0</v>
      </c>
      <c r="DT44" s="111" t="n">
        <v>3559</v>
      </c>
      <c r="DU44" s="111" t="n">
        <v>2783</v>
      </c>
      <c r="DV44" s="111" t="n">
        <v>776</v>
      </c>
      <c r="DW44" s="111" t="n">
        <v>1578</v>
      </c>
      <c r="DX44" s="111" t="n">
        <v>368</v>
      </c>
      <c r="DY44" s="111" t="n">
        <v>1210</v>
      </c>
      <c r="DZ44" s="111" t="n">
        <v>141</v>
      </c>
      <c r="EA44" s="111" t="n">
        <v>124</v>
      </c>
      <c r="EB44" s="111" t="n">
        <v>107</v>
      </c>
      <c r="EC44" s="111" t="n">
        <v>17</v>
      </c>
      <c r="ED44" s="111" t="n">
        <v>17</v>
      </c>
      <c r="EE44" s="111" t="n">
        <v>6</v>
      </c>
      <c r="EF44" s="111" t="n">
        <v>11</v>
      </c>
      <c r="EG44" s="111" t="n">
        <v>18</v>
      </c>
      <c r="EH44" s="111" t="n">
        <v>15</v>
      </c>
      <c r="EI44" s="111" t="n">
        <v>0</v>
      </c>
      <c r="EJ44" s="111" t="n">
        <v>15</v>
      </c>
      <c r="EK44" s="111" t="n">
        <v>3</v>
      </c>
      <c r="EL44" s="111" t="n">
        <v>0</v>
      </c>
      <c r="EM44" s="111" t="n">
        <v>3</v>
      </c>
      <c r="EN44" s="111" t="n">
        <v>30</v>
      </c>
      <c r="EO44" s="111" t="n">
        <v>3</v>
      </c>
      <c r="EP44" s="111" t="n">
        <v>0</v>
      </c>
      <c r="EQ44" s="111" t="n">
        <v>27</v>
      </c>
      <c r="ER44" s="111" t="n">
        <v>0</v>
      </c>
      <c r="ES44" s="111" t="n">
        <v>0</v>
      </c>
      <c r="ET44" s="111" t="n">
        <v>0</v>
      </c>
      <c r="EU44" s="111" t="n">
        <v>0</v>
      </c>
      <c r="EV44" s="111" t="n">
        <v>0</v>
      </c>
      <c r="EW44" s="111" t="n">
        <v>0</v>
      </c>
      <c r="EX44" s="111" t="n">
        <v>0</v>
      </c>
      <c r="EY44" s="111" t="n">
        <v>0</v>
      </c>
      <c r="EZ44" s="111" t="n">
        <v>0</v>
      </c>
      <c r="FA44" s="111" t="n">
        <v>0</v>
      </c>
      <c r="FB44" s="111" t="n">
        <v>0</v>
      </c>
    </row>
    <row r="45" ht="19.5" customHeight="1" s="247">
      <c r="A45" s="107" t="n">
        <v>42</v>
      </c>
      <c r="B45" s="107" t="inlineStr">
        <is>
          <t>成人非手术</t>
        </is>
      </c>
      <c r="C45" s="107" t="inlineStr">
        <is>
          <t>皮肤疾病诊治中心</t>
        </is>
      </c>
      <c r="D45" s="110" t="n">
        <v>53896876.15</v>
      </c>
      <c r="E45" s="110" t="n">
        <v>49147052.75</v>
      </c>
      <c r="F45" s="110" t="n">
        <v>4749823.4</v>
      </c>
      <c r="G45" s="110" t="n">
        <v>231794</v>
      </c>
      <c r="H45" s="110" t="n">
        <v>611</v>
      </c>
      <c r="I45" s="110" t="n">
        <v>15104198.2</v>
      </c>
      <c r="J45" s="110" t="n">
        <v>7594385.55</v>
      </c>
      <c r="K45" s="110" t="n">
        <v>66476.7</v>
      </c>
      <c r="L45" s="110" t="n">
        <v>231488</v>
      </c>
      <c r="M45" s="110" t="n">
        <v>1166005.4</v>
      </c>
      <c r="N45" s="110" t="n">
        <v>1018.28</v>
      </c>
      <c r="O45" s="110" t="n">
        <v>81760311.03</v>
      </c>
      <c r="P45" s="110" t="n">
        <v>67949259.02</v>
      </c>
      <c r="Q45" s="110" t="n">
        <v>56994829.93</v>
      </c>
      <c r="R45" s="110" t="n">
        <v>10954429.09</v>
      </c>
      <c r="S45" s="110" t="n">
        <v>13811052.01</v>
      </c>
      <c r="T45" s="110" t="n">
        <v>6447118.37</v>
      </c>
      <c r="U45" s="110" t="n">
        <v>7363933.64</v>
      </c>
      <c r="V45" s="110" t="n">
        <v>75882777.67</v>
      </c>
      <c r="W45" s="110" t="n">
        <v>64563146.87</v>
      </c>
      <c r="X45" s="110" t="n">
        <v>54522027.71</v>
      </c>
      <c r="Y45" s="110" t="n">
        <v>10041119.16</v>
      </c>
      <c r="Z45" s="110" t="n">
        <v>11319630.8</v>
      </c>
      <c r="AA45" s="110" t="n">
        <v>4765238.13</v>
      </c>
      <c r="AB45" s="110" t="n">
        <v>6554392.67</v>
      </c>
      <c r="AC45" s="110" t="n">
        <v>25736924.3</v>
      </c>
      <c r="AD45" s="110" t="n">
        <v>22586439.52</v>
      </c>
      <c r="AE45" s="110" t="n">
        <v>21004720.49</v>
      </c>
      <c r="AF45" s="110" t="n">
        <v>1581719.03</v>
      </c>
      <c r="AG45" s="110" t="n">
        <v>3150484.78</v>
      </c>
      <c r="AH45" s="110" t="n">
        <v>1603918.75</v>
      </c>
      <c r="AI45" s="110" t="n">
        <v>1546566.03</v>
      </c>
      <c r="AJ45" s="110" t="n">
        <v>998800.62</v>
      </c>
      <c r="AK45" s="110" t="n">
        <v>869775.4</v>
      </c>
      <c r="AL45" s="110" t="n">
        <v>770509.72</v>
      </c>
      <c r="AM45" s="110" t="n">
        <v>99265.67999999999</v>
      </c>
      <c r="AN45" s="110" t="n">
        <v>129025.22</v>
      </c>
      <c r="AO45" s="110" t="n">
        <v>59410.63</v>
      </c>
      <c r="AP45" s="110" t="n">
        <v>69614.59</v>
      </c>
      <c r="AQ45" s="110" t="n">
        <v>12552088</v>
      </c>
      <c r="AR45" s="110" t="n">
        <v>10389691</v>
      </c>
      <c r="AS45" s="110" t="n">
        <v>9503254</v>
      </c>
      <c r="AT45" s="110" t="n">
        <v>886437</v>
      </c>
      <c r="AU45" s="110" t="n">
        <v>2162397</v>
      </c>
      <c r="AV45" s="110" t="n">
        <v>1093590</v>
      </c>
      <c r="AW45" s="110" t="n">
        <v>1068807</v>
      </c>
      <c r="AX45" s="110" t="n">
        <v>36594964.75</v>
      </c>
      <c r="AY45" s="110" t="n">
        <v>30717240.95</v>
      </c>
      <c r="AZ45" s="110" t="n">
        <v>23243543.5</v>
      </c>
      <c r="BA45" s="110" t="n">
        <v>7473697.45</v>
      </c>
      <c r="BB45" s="110" t="n">
        <v>5877723.8</v>
      </c>
      <c r="BC45" s="110" t="n">
        <v>2008318.75</v>
      </c>
      <c r="BD45" s="110" t="n">
        <v>3869405.05</v>
      </c>
      <c r="BE45" s="110" t="n">
        <v>5877533.36</v>
      </c>
      <c r="BF45" s="110" t="n">
        <v>3386112.15</v>
      </c>
      <c r="BG45" s="110" t="n">
        <v>2472802.22</v>
      </c>
      <c r="BH45" s="110" t="n">
        <v>913309.9300000001</v>
      </c>
      <c r="BI45" s="110" t="n">
        <v>2491421.21</v>
      </c>
      <c r="BJ45" s="110" t="n">
        <v>1681880.24</v>
      </c>
      <c r="BK45" s="110" t="n">
        <v>809540.97</v>
      </c>
      <c r="BL45" s="110" t="n">
        <v>755502.46</v>
      </c>
      <c r="BM45" s="110" t="n">
        <v>378488.59</v>
      </c>
      <c r="BN45" s="110" t="n">
        <v>349238.08</v>
      </c>
      <c r="BO45" s="110" t="n">
        <v>29250.51</v>
      </c>
      <c r="BP45" s="110" t="n">
        <v>377013.87</v>
      </c>
      <c r="BQ45" s="110" t="n">
        <v>329293.87</v>
      </c>
      <c r="BR45" s="110" t="n">
        <v>47720</v>
      </c>
      <c r="BS45" s="110" t="n">
        <v>372207.5</v>
      </c>
      <c r="BT45" s="110" t="n">
        <v>221692.86</v>
      </c>
      <c r="BU45" s="110" t="n">
        <v>144135.44</v>
      </c>
      <c r="BV45" s="110" t="n">
        <v>77557.42</v>
      </c>
      <c r="BW45" s="110" t="n">
        <v>150514.64</v>
      </c>
      <c r="BX45" s="110" t="n">
        <v>66740.87</v>
      </c>
      <c r="BY45" s="110" t="n">
        <v>83773.77</v>
      </c>
      <c r="BZ45" s="110" t="n">
        <v>1808600</v>
      </c>
      <c r="CA45" s="110" t="n">
        <v>1057490</v>
      </c>
      <c r="CB45" s="110" t="n">
        <v>955810</v>
      </c>
      <c r="CC45" s="110" t="n">
        <v>101680</v>
      </c>
      <c r="CD45" s="110" t="n">
        <v>751110</v>
      </c>
      <c r="CE45" s="110" t="n">
        <v>646641</v>
      </c>
      <c r="CF45" s="110" t="n">
        <v>104469</v>
      </c>
      <c r="CG45" s="110" t="n">
        <v>2941223.4</v>
      </c>
      <c r="CH45" s="110" t="n">
        <v>1728440.7</v>
      </c>
      <c r="CI45" s="110" t="n">
        <v>1023618.7</v>
      </c>
      <c r="CJ45" s="110" t="n">
        <v>704822</v>
      </c>
      <c r="CK45" s="110" t="n">
        <v>1212782.7</v>
      </c>
      <c r="CL45" s="110" t="n">
        <v>639204.5</v>
      </c>
      <c r="CM45" s="110" t="n">
        <v>573578.2</v>
      </c>
      <c r="CN45" s="110" t="n">
        <v>1760425.86</v>
      </c>
      <c r="CO45" s="110" t="n">
        <v>28648025.84</v>
      </c>
      <c r="CP45" s="110" t="n">
        <v>8252256.6</v>
      </c>
      <c r="CQ45" s="110" t="n">
        <v>14217759.78</v>
      </c>
      <c r="CR45" s="110" t="n">
        <v>22916173.65</v>
      </c>
      <c r="CS45" s="110" t="n">
        <v>87808.94</v>
      </c>
      <c r="CT45" s="110" t="n">
        <v>937654.24</v>
      </c>
      <c r="CU45" s="110" t="n">
        <v>0</v>
      </c>
      <c r="CV45" s="111" t="n">
        <v>231794</v>
      </c>
      <c r="CW45" s="111" t="n">
        <v>200542</v>
      </c>
      <c r="CX45" s="111" t="n">
        <v>175647</v>
      </c>
      <c r="CY45" s="111" t="n">
        <v>24895</v>
      </c>
      <c r="CZ45" s="111" t="n">
        <v>31252</v>
      </c>
      <c r="DA45" s="111" t="n">
        <v>12472</v>
      </c>
      <c r="DB45" s="111" t="n">
        <v>18780</v>
      </c>
      <c r="DC45" s="111" t="n">
        <v>139625</v>
      </c>
      <c r="DD45" s="111" t="n">
        <v>12276</v>
      </c>
      <c r="DE45" s="111" t="n">
        <v>124319</v>
      </c>
      <c r="DF45" s="111" t="n">
        <v>111261</v>
      </c>
      <c r="DG45" s="111" t="n">
        <v>13058</v>
      </c>
      <c r="DH45" s="111" t="n">
        <v>15306</v>
      </c>
      <c r="DI45" s="111" t="n">
        <v>6708</v>
      </c>
      <c r="DJ45" s="111" t="n">
        <v>8598</v>
      </c>
      <c r="DK45" s="111" t="n">
        <v>18698</v>
      </c>
      <c r="DL45" s="111" t="n">
        <v>15638</v>
      </c>
      <c r="DM45" s="111" t="n">
        <v>13076</v>
      </c>
      <c r="DN45" s="111" t="n">
        <v>2562</v>
      </c>
      <c r="DO45" s="111" t="n">
        <v>3060</v>
      </c>
      <c r="DP45" s="111" t="n">
        <v>1297</v>
      </c>
      <c r="DQ45" s="111" t="n">
        <v>1763</v>
      </c>
      <c r="DR45" s="111" t="n">
        <v>45805</v>
      </c>
      <c r="DS45" s="111" t="n">
        <v>149</v>
      </c>
      <c r="DT45" s="111" t="n">
        <v>37092</v>
      </c>
      <c r="DU45" s="111" t="n">
        <v>31757</v>
      </c>
      <c r="DV45" s="111" t="n">
        <v>5335</v>
      </c>
      <c r="DW45" s="111" t="n">
        <v>8713</v>
      </c>
      <c r="DX45" s="111" t="n">
        <v>3753</v>
      </c>
      <c r="DY45" s="111" t="n">
        <v>4960</v>
      </c>
      <c r="DZ45" s="111" t="n">
        <v>15241</v>
      </c>
      <c r="EA45" s="111" t="n">
        <v>13646</v>
      </c>
      <c r="EB45" s="111" t="n">
        <v>12757</v>
      </c>
      <c r="EC45" s="111" t="n">
        <v>889</v>
      </c>
      <c r="ED45" s="111" t="n">
        <v>1595</v>
      </c>
      <c r="EE45" s="111" t="n">
        <v>643</v>
      </c>
      <c r="EF45" s="111" t="n">
        <v>952</v>
      </c>
      <c r="EG45" s="111" t="n">
        <v>611</v>
      </c>
      <c r="EH45" s="111" t="n">
        <v>363</v>
      </c>
      <c r="EI45" s="111" t="n">
        <v>263</v>
      </c>
      <c r="EJ45" s="111" t="n">
        <v>100</v>
      </c>
      <c r="EK45" s="111" t="n">
        <v>248</v>
      </c>
      <c r="EL45" s="111" t="n">
        <v>156</v>
      </c>
      <c r="EM45" s="111" t="n">
        <v>92</v>
      </c>
      <c r="EN45" s="111" t="n">
        <v>462</v>
      </c>
      <c r="EO45" s="111" t="n">
        <v>382</v>
      </c>
      <c r="EP45" s="111" t="n">
        <v>0</v>
      </c>
      <c r="EQ45" s="111" t="n">
        <v>80</v>
      </c>
      <c r="ER45" s="111" t="n">
        <v>0</v>
      </c>
      <c r="ES45" s="111" t="n">
        <v>0</v>
      </c>
      <c r="ET45" s="111" t="n">
        <v>0</v>
      </c>
      <c r="EU45" s="111" t="n">
        <v>34</v>
      </c>
      <c r="EV45" s="111" t="n">
        <v>34</v>
      </c>
      <c r="EW45" s="111" t="n">
        <v>0</v>
      </c>
      <c r="EX45" s="111" t="n">
        <v>0</v>
      </c>
      <c r="EY45" s="111" t="n">
        <v>0</v>
      </c>
      <c r="EZ45" s="111" t="n">
        <v>0</v>
      </c>
      <c r="FA45" s="111" t="n">
        <v>0</v>
      </c>
      <c r="FB45" s="111" t="n">
        <v>0</v>
      </c>
    </row>
    <row r="46" ht="19.5" customHeight="1" s="247">
      <c r="A46" s="107" t="n">
        <v>43</v>
      </c>
      <c r="B46" s="107" t="inlineStr">
        <is>
          <t>成人非手术</t>
        </is>
      </c>
      <c r="C46" s="107" t="inlineStr">
        <is>
          <t>临床心理科</t>
        </is>
      </c>
      <c r="D46" s="110" t="n">
        <v>9496470.699999999</v>
      </c>
      <c r="E46" s="110" t="n">
        <v>9496470.699999999</v>
      </c>
      <c r="F46" s="110" t="n">
        <v>0</v>
      </c>
      <c r="G46" s="110" t="n">
        <v>27628</v>
      </c>
      <c r="H46" s="110" t="n">
        <v>0</v>
      </c>
      <c r="I46" s="110" t="n">
        <v>3531367.2</v>
      </c>
      <c r="J46" s="110" t="n">
        <v>0</v>
      </c>
      <c r="K46" s="110" t="n">
        <v>4701.55</v>
      </c>
      <c r="L46" s="110" t="n">
        <v>0</v>
      </c>
      <c r="M46" s="110" t="n">
        <v>0</v>
      </c>
      <c r="N46" s="110" t="n">
        <v>0</v>
      </c>
      <c r="O46" s="110" t="n">
        <v>15193246.72</v>
      </c>
      <c r="P46" s="110" t="n">
        <v>13272491.5</v>
      </c>
      <c r="Q46" s="110" t="n">
        <v>12481063.25</v>
      </c>
      <c r="R46" s="110" t="n">
        <v>791428.25</v>
      </c>
      <c r="S46" s="110" t="n">
        <v>1920755.22</v>
      </c>
      <c r="T46" s="110" t="n">
        <v>802509.65</v>
      </c>
      <c r="U46" s="110" t="n">
        <v>1118245.57</v>
      </c>
      <c r="V46" s="110" t="n">
        <v>15193246.72</v>
      </c>
      <c r="W46" s="110" t="n">
        <v>13272491.5</v>
      </c>
      <c r="X46" s="110" t="n">
        <v>12481063.25</v>
      </c>
      <c r="Y46" s="110" t="n">
        <v>791428.25</v>
      </c>
      <c r="Z46" s="110" t="n">
        <v>1920755.22</v>
      </c>
      <c r="AA46" s="110" t="n">
        <v>802509.65</v>
      </c>
      <c r="AB46" s="110" t="n">
        <v>1118245.57</v>
      </c>
      <c r="AC46" s="110" t="n">
        <v>5696733.02</v>
      </c>
      <c r="AD46" s="110" t="n">
        <v>5269508.2</v>
      </c>
      <c r="AE46" s="110" t="n">
        <v>5083545.05</v>
      </c>
      <c r="AF46" s="110" t="n">
        <v>185963.15</v>
      </c>
      <c r="AG46" s="110" t="n">
        <v>427224.82</v>
      </c>
      <c r="AH46" s="110" t="n">
        <v>185032.45</v>
      </c>
      <c r="AI46" s="110" t="n">
        <v>242192.37</v>
      </c>
      <c r="AJ46" s="110" t="n">
        <v>43</v>
      </c>
      <c r="AK46" s="110" t="n">
        <v>43</v>
      </c>
      <c r="AL46" s="110" t="n">
        <v>43</v>
      </c>
      <c r="AM46" s="110" t="n">
        <v>0</v>
      </c>
      <c r="AN46" s="110" t="n">
        <v>0</v>
      </c>
      <c r="AO46" s="110" t="n">
        <v>0</v>
      </c>
      <c r="AP46" s="110" t="n">
        <v>0</v>
      </c>
      <c r="AQ46" s="110" t="n">
        <v>4614509.5</v>
      </c>
      <c r="AR46" s="110" t="n">
        <v>3900738.5</v>
      </c>
      <c r="AS46" s="110" t="n">
        <v>3644811.5</v>
      </c>
      <c r="AT46" s="110" t="n">
        <v>255927</v>
      </c>
      <c r="AU46" s="110" t="n">
        <v>713771</v>
      </c>
      <c r="AV46" s="110" t="n">
        <v>302859</v>
      </c>
      <c r="AW46" s="110" t="n">
        <v>410912</v>
      </c>
      <c r="AX46" s="110" t="n">
        <v>4881961.2</v>
      </c>
      <c r="AY46" s="110" t="n">
        <v>4102201.8</v>
      </c>
      <c r="AZ46" s="110" t="n">
        <v>3752663.7</v>
      </c>
      <c r="BA46" s="110" t="n">
        <v>349538.1</v>
      </c>
      <c r="BB46" s="110" t="n">
        <v>779759.4</v>
      </c>
      <c r="BC46" s="110" t="n">
        <v>314618.2</v>
      </c>
      <c r="BD46" s="110" t="n">
        <v>465141.2</v>
      </c>
      <c r="BE46" s="110" t="n">
        <v>0</v>
      </c>
      <c r="BF46" s="110" t="n">
        <v>0</v>
      </c>
      <c r="BG46" s="110" t="n">
        <v>0</v>
      </c>
      <c r="BH46" s="110" t="n">
        <v>0</v>
      </c>
      <c r="BI46" s="110" t="n">
        <v>0</v>
      </c>
      <c r="BJ46" s="110" t="n">
        <v>0</v>
      </c>
      <c r="BK46" s="110" t="n">
        <v>0</v>
      </c>
      <c r="BL46" s="110" t="n">
        <v>0</v>
      </c>
      <c r="BM46" s="110" t="n">
        <v>0</v>
      </c>
      <c r="BN46" s="110" t="n">
        <v>0</v>
      </c>
      <c r="BO46" s="110" t="n">
        <v>0</v>
      </c>
      <c r="BP46" s="110" t="n">
        <v>0</v>
      </c>
      <c r="BQ46" s="110" t="n">
        <v>0</v>
      </c>
      <c r="BR46" s="110" t="n">
        <v>0</v>
      </c>
      <c r="BS46" s="110" t="n">
        <v>0</v>
      </c>
      <c r="BT46" s="110" t="n">
        <v>0</v>
      </c>
      <c r="BU46" s="110" t="n">
        <v>0</v>
      </c>
      <c r="BV46" s="110" t="n">
        <v>0</v>
      </c>
      <c r="BW46" s="110" t="n">
        <v>0</v>
      </c>
      <c r="BX46" s="110" t="n">
        <v>0</v>
      </c>
      <c r="BY46" s="110" t="n">
        <v>0</v>
      </c>
      <c r="BZ46" s="110" t="n">
        <v>0</v>
      </c>
      <c r="CA46" s="110" t="n">
        <v>0</v>
      </c>
      <c r="CB46" s="110" t="n">
        <v>0</v>
      </c>
      <c r="CC46" s="110" t="n">
        <v>0</v>
      </c>
      <c r="CD46" s="110" t="n">
        <v>0</v>
      </c>
      <c r="CE46" s="110" t="n">
        <v>0</v>
      </c>
      <c r="CF46" s="110" t="n">
        <v>0</v>
      </c>
      <c r="CG46" s="110" t="n">
        <v>0</v>
      </c>
      <c r="CH46" s="110" t="n">
        <v>0</v>
      </c>
      <c r="CI46" s="110" t="n">
        <v>0</v>
      </c>
      <c r="CJ46" s="110" t="n">
        <v>0</v>
      </c>
      <c r="CK46" s="110" t="n">
        <v>0</v>
      </c>
      <c r="CL46" s="110" t="n">
        <v>0</v>
      </c>
      <c r="CM46" s="110" t="n">
        <v>0</v>
      </c>
      <c r="CN46" s="110" t="n">
        <v>-376</v>
      </c>
      <c r="CO46" s="110" t="n">
        <v>9236322.76</v>
      </c>
      <c r="CP46" s="110" t="n">
        <v>577506.0600000001</v>
      </c>
      <c r="CQ46" s="110" t="n">
        <v>4075836.95</v>
      </c>
      <c r="CR46" s="110" t="n">
        <v>1303580.95</v>
      </c>
      <c r="CS46" s="110" t="n">
        <v>0</v>
      </c>
      <c r="CT46" s="110" t="n">
        <v>0</v>
      </c>
      <c r="CU46" s="110" t="n">
        <v>0</v>
      </c>
      <c r="CV46" s="111" t="n">
        <v>27628</v>
      </c>
      <c r="CW46" s="111" t="n">
        <v>24808</v>
      </c>
      <c r="CX46" s="111" t="n">
        <v>23172</v>
      </c>
      <c r="CY46" s="111" t="n">
        <v>1636</v>
      </c>
      <c r="CZ46" s="111" t="n">
        <v>2820</v>
      </c>
      <c r="DA46" s="111" t="n">
        <v>1219</v>
      </c>
      <c r="DB46" s="111" t="n">
        <v>1601</v>
      </c>
      <c r="DC46" s="111" t="n">
        <v>25366</v>
      </c>
      <c r="DD46" s="111" t="n">
        <v>0</v>
      </c>
      <c r="DE46" s="111" t="n">
        <v>23124</v>
      </c>
      <c r="DF46" s="111" t="n">
        <v>21648</v>
      </c>
      <c r="DG46" s="111" t="n">
        <v>1476</v>
      </c>
      <c r="DH46" s="111" t="n">
        <v>2242</v>
      </c>
      <c r="DI46" s="111" t="n">
        <v>977</v>
      </c>
      <c r="DJ46" s="111" t="n">
        <v>1265</v>
      </c>
      <c r="DK46" s="111" t="n">
        <v>903</v>
      </c>
      <c r="DL46" s="111" t="n">
        <v>760</v>
      </c>
      <c r="DM46" s="111" t="n">
        <v>723</v>
      </c>
      <c r="DN46" s="111" t="n">
        <v>37</v>
      </c>
      <c r="DO46" s="111" t="n">
        <v>143</v>
      </c>
      <c r="DP46" s="111" t="n">
        <v>61</v>
      </c>
      <c r="DQ46" s="111" t="n">
        <v>82</v>
      </c>
      <c r="DR46" s="111" t="n">
        <v>1359</v>
      </c>
      <c r="DS46" s="111" t="n">
        <v>0</v>
      </c>
      <c r="DT46" s="111" t="n">
        <v>924</v>
      </c>
      <c r="DU46" s="111" t="n">
        <v>801</v>
      </c>
      <c r="DV46" s="111" t="n">
        <v>123</v>
      </c>
      <c r="DW46" s="111" t="n">
        <v>435</v>
      </c>
      <c r="DX46" s="111" t="n">
        <v>181</v>
      </c>
      <c r="DY46" s="111" t="n">
        <v>254</v>
      </c>
      <c r="DZ46" s="111" t="n">
        <v>0</v>
      </c>
      <c r="EA46" s="111" t="n">
        <v>0</v>
      </c>
      <c r="EB46" s="111" t="n">
        <v>0</v>
      </c>
      <c r="EC46" s="111" t="n">
        <v>0</v>
      </c>
      <c r="ED46" s="111" t="n">
        <v>0</v>
      </c>
      <c r="EE46" s="111" t="n">
        <v>0</v>
      </c>
      <c r="EF46" s="111" t="n">
        <v>0</v>
      </c>
      <c r="EG46" s="111" t="n">
        <v>0</v>
      </c>
      <c r="EH46" s="111" t="n">
        <v>0</v>
      </c>
      <c r="EI46" s="111" t="n">
        <v>0</v>
      </c>
      <c r="EJ46" s="111" t="n">
        <v>0</v>
      </c>
      <c r="EK46" s="111" t="n">
        <v>0</v>
      </c>
      <c r="EL46" s="111" t="n">
        <v>0</v>
      </c>
      <c r="EM46" s="111" t="n">
        <v>0</v>
      </c>
      <c r="EN46" s="111" t="n">
        <v>0</v>
      </c>
      <c r="EO46" s="111" t="n">
        <v>0</v>
      </c>
      <c r="EP46" s="111" t="n">
        <v>0</v>
      </c>
      <c r="EQ46" s="111" t="n">
        <v>0</v>
      </c>
      <c r="ER46" s="111" t="n">
        <v>0</v>
      </c>
      <c r="ES46" s="111" t="n">
        <v>0</v>
      </c>
      <c r="ET46" s="111" t="n">
        <v>0</v>
      </c>
      <c r="EU46" s="111" t="n">
        <v>0</v>
      </c>
      <c r="EV46" s="111" t="n">
        <v>0</v>
      </c>
      <c r="EW46" s="111" t="n">
        <v>0</v>
      </c>
      <c r="EX46" s="111" t="n">
        <v>0</v>
      </c>
      <c r="EY46" s="111" t="n">
        <v>0</v>
      </c>
      <c r="EZ46" s="111" t="n">
        <v>0</v>
      </c>
      <c r="FA46" s="111" t="n">
        <v>0</v>
      </c>
      <c r="FB46" s="111" t="n">
        <v>0</v>
      </c>
    </row>
    <row r="47" ht="19.5" customHeight="1" s="247">
      <c r="A47" s="107" t="n">
        <v>44</v>
      </c>
      <c r="B47" s="107" t="inlineStr">
        <is>
          <t>成人非手术</t>
        </is>
      </c>
      <c r="C47" s="107" t="inlineStr">
        <is>
          <t>肿瘤内科</t>
        </is>
      </c>
      <c r="D47" s="110" t="n">
        <v>13121153</v>
      </c>
      <c r="E47" s="110" t="n">
        <v>6336599.5</v>
      </c>
      <c r="F47" s="110" t="n">
        <v>6784553.5</v>
      </c>
      <c r="G47" s="110" t="n">
        <v>25584</v>
      </c>
      <c r="H47" s="110" t="n">
        <v>2760</v>
      </c>
      <c r="I47" s="110" t="n">
        <v>231102</v>
      </c>
      <c r="J47" s="110" t="n">
        <v>1450</v>
      </c>
      <c r="K47" s="110" t="n">
        <v>1729.23</v>
      </c>
      <c r="L47" s="110" t="n">
        <v>2557477</v>
      </c>
      <c r="M47" s="110" t="n">
        <v>14390</v>
      </c>
      <c r="N47" s="110" t="n">
        <v>1726.85</v>
      </c>
      <c r="O47" s="110" t="n">
        <v>61527277.69</v>
      </c>
      <c r="P47" s="110" t="n">
        <v>37163466.54</v>
      </c>
      <c r="Q47" s="110" t="n">
        <v>36302081.7</v>
      </c>
      <c r="R47" s="110" t="n">
        <v>861384.84</v>
      </c>
      <c r="S47" s="110" t="n">
        <v>24363811.15</v>
      </c>
      <c r="T47" s="110" t="n">
        <v>23422230.48</v>
      </c>
      <c r="U47" s="110" t="n">
        <v>941580.67</v>
      </c>
      <c r="V47" s="110" t="n">
        <v>32252423.93</v>
      </c>
      <c r="W47" s="110" t="n">
        <v>24051627.35</v>
      </c>
      <c r="X47" s="110" t="n">
        <v>23593767.78</v>
      </c>
      <c r="Y47" s="110" t="n">
        <v>457859.57</v>
      </c>
      <c r="Z47" s="110" t="n">
        <v>8200796.58</v>
      </c>
      <c r="AA47" s="110" t="n">
        <v>7679222.41</v>
      </c>
      <c r="AB47" s="110" t="n">
        <v>521574.17</v>
      </c>
      <c r="AC47" s="110" t="n">
        <v>24844748.85</v>
      </c>
      <c r="AD47" s="110" t="n">
        <v>18638500.75</v>
      </c>
      <c r="AE47" s="110" t="n">
        <v>18344422.12</v>
      </c>
      <c r="AF47" s="110" t="n">
        <v>294078.63</v>
      </c>
      <c r="AG47" s="110" t="n">
        <v>6206248.1</v>
      </c>
      <c r="AH47" s="110" t="n">
        <v>5956040.12</v>
      </c>
      <c r="AI47" s="110" t="n">
        <v>250207.98</v>
      </c>
      <c r="AJ47" s="110" t="n">
        <v>1071075.58</v>
      </c>
      <c r="AK47" s="110" t="n">
        <v>736417.1</v>
      </c>
      <c r="AL47" s="110" t="n">
        <v>727053.16</v>
      </c>
      <c r="AM47" s="110" t="n">
        <v>9363.940000000001</v>
      </c>
      <c r="AN47" s="110" t="n">
        <v>334658.48</v>
      </c>
      <c r="AO47" s="110" t="n">
        <v>315535.29</v>
      </c>
      <c r="AP47" s="110" t="n">
        <v>19123.19</v>
      </c>
      <c r="AQ47" s="110" t="n">
        <v>5081621</v>
      </c>
      <c r="AR47" s="110" t="n">
        <v>3830520</v>
      </c>
      <c r="AS47" s="110" t="n">
        <v>3746207</v>
      </c>
      <c r="AT47" s="110" t="n">
        <v>84313</v>
      </c>
      <c r="AU47" s="110" t="n">
        <v>1251101</v>
      </c>
      <c r="AV47" s="110" t="n">
        <v>1097400</v>
      </c>
      <c r="AW47" s="110" t="n">
        <v>153701</v>
      </c>
      <c r="AX47" s="110" t="n">
        <v>1254978.5</v>
      </c>
      <c r="AY47" s="110" t="n">
        <v>846189.5</v>
      </c>
      <c r="AZ47" s="110" t="n">
        <v>776085.5</v>
      </c>
      <c r="BA47" s="110" t="n">
        <v>70104</v>
      </c>
      <c r="BB47" s="110" t="n">
        <v>408789</v>
      </c>
      <c r="BC47" s="110" t="n">
        <v>310247</v>
      </c>
      <c r="BD47" s="110" t="n">
        <v>98542</v>
      </c>
      <c r="BE47" s="110" t="n">
        <v>29274853.76</v>
      </c>
      <c r="BF47" s="110" t="n">
        <v>13111839.19</v>
      </c>
      <c r="BG47" s="110" t="n">
        <v>12708313.92</v>
      </c>
      <c r="BH47" s="110" t="n">
        <v>403525.27</v>
      </c>
      <c r="BI47" s="110" t="n">
        <v>16163014.57</v>
      </c>
      <c r="BJ47" s="110" t="n">
        <v>15743008.07</v>
      </c>
      <c r="BK47" s="110" t="n">
        <v>420006.5</v>
      </c>
      <c r="BL47" s="110" t="n">
        <v>21537376.1</v>
      </c>
      <c r="BM47" s="110" t="n">
        <v>10228040.82</v>
      </c>
      <c r="BN47" s="110" t="n">
        <v>9989421.83</v>
      </c>
      <c r="BO47" s="110" t="n">
        <v>238618.99</v>
      </c>
      <c r="BP47" s="110" t="n">
        <v>11309335.28</v>
      </c>
      <c r="BQ47" s="110" t="n">
        <v>11080114</v>
      </c>
      <c r="BR47" s="110" t="n">
        <v>229221.28</v>
      </c>
      <c r="BS47" s="110" t="n">
        <v>952924.16</v>
      </c>
      <c r="BT47" s="110" t="n">
        <v>440875.87</v>
      </c>
      <c r="BU47" s="110" t="n">
        <v>425124.59</v>
      </c>
      <c r="BV47" s="110" t="n">
        <v>15751.28</v>
      </c>
      <c r="BW47" s="110" t="n">
        <v>512048.29</v>
      </c>
      <c r="BX47" s="110" t="n">
        <v>495747.07</v>
      </c>
      <c r="BY47" s="110" t="n">
        <v>16301.22</v>
      </c>
      <c r="BZ47" s="110" t="n">
        <v>3456528</v>
      </c>
      <c r="CA47" s="110" t="n">
        <v>1331863</v>
      </c>
      <c r="CB47" s="110" t="n">
        <v>1277270</v>
      </c>
      <c r="CC47" s="110" t="n">
        <v>54593</v>
      </c>
      <c r="CD47" s="110" t="n">
        <v>2124665</v>
      </c>
      <c r="CE47" s="110" t="n">
        <v>2051590</v>
      </c>
      <c r="CF47" s="110" t="n">
        <v>73075</v>
      </c>
      <c r="CG47" s="110" t="n">
        <v>3328025.5</v>
      </c>
      <c r="CH47" s="110" t="n">
        <v>1111059.5</v>
      </c>
      <c r="CI47" s="110" t="n">
        <v>1016497.5</v>
      </c>
      <c r="CJ47" s="110" t="n">
        <v>94562</v>
      </c>
      <c r="CK47" s="110" t="n">
        <v>2216966</v>
      </c>
      <c r="CL47" s="110" t="n">
        <v>2115557</v>
      </c>
      <c r="CM47" s="110" t="n">
        <v>101409</v>
      </c>
      <c r="CN47" s="110" t="n">
        <v>0</v>
      </c>
      <c r="CO47" s="110" t="n">
        <v>12859439.22</v>
      </c>
      <c r="CP47" s="110" t="n">
        <v>17530785.59</v>
      </c>
      <c r="CQ47" s="110" t="n">
        <v>1064697.57</v>
      </c>
      <c r="CR47" s="110" t="n">
        <v>342808.8</v>
      </c>
      <c r="CS47" s="110" t="n">
        <v>454692.75</v>
      </c>
      <c r="CT47" s="110" t="n">
        <v>434146.37</v>
      </c>
      <c r="CU47" s="110" t="n">
        <v>0</v>
      </c>
      <c r="CV47" s="111" t="n">
        <v>25584</v>
      </c>
      <c r="CW47" s="111" t="n">
        <v>17829</v>
      </c>
      <c r="CX47" s="111" t="n">
        <v>17316</v>
      </c>
      <c r="CY47" s="111" t="n">
        <v>513</v>
      </c>
      <c r="CZ47" s="111" t="n">
        <v>7755</v>
      </c>
      <c r="DA47" s="111" t="n">
        <v>6994</v>
      </c>
      <c r="DB47" s="111" t="n">
        <v>761</v>
      </c>
      <c r="DC47" s="111" t="n">
        <v>18297</v>
      </c>
      <c r="DD47" s="111" t="n">
        <v>4</v>
      </c>
      <c r="DE47" s="111" t="n">
        <v>12149</v>
      </c>
      <c r="DF47" s="111" t="n">
        <v>11912</v>
      </c>
      <c r="DG47" s="111" t="n">
        <v>237</v>
      </c>
      <c r="DH47" s="111" t="n">
        <v>6148</v>
      </c>
      <c r="DI47" s="111" t="n">
        <v>5660</v>
      </c>
      <c r="DJ47" s="111" t="n">
        <v>488</v>
      </c>
      <c r="DK47" s="111" t="n">
        <v>6752</v>
      </c>
      <c r="DL47" s="111" t="n">
        <v>5381</v>
      </c>
      <c r="DM47" s="111" t="n">
        <v>5212</v>
      </c>
      <c r="DN47" s="111" t="n">
        <v>169</v>
      </c>
      <c r="DO47" s="111" t="n">
        <v>1371</v>
      </c>
      <c r="DP47" s="111" t="n">
        <v>1232</v>
      </c>
      <c r="DQ47" s="111" t="n">
        <v>139</v>
      </c>
      <c r="DR47" s="111" t="n">
        <v>531</v>
      </c>
      <c r="DS47" s="111" t="n">
        <v>0</v>
      </c>
      <c r="DT47" s="111" t="n">
        <v>295</v>
      </c>
      <c r="DU47" s="111" t="n">
        <v>188</v>
      </c>
      <c r="DV47" s="111" t="n">
        <v>107</v>
      </c>
      <c r="DW47" s="111" t="n">
        <v>236</v>
      </c>
      <c r="DX47" s="111" t="n">
        <v>102</v>
      </c>
      <c r="DY47" s="111" t="n">
        <v>134</v>
      </c>
      <c r="DZ47" s="111" t="n">
        <v>0</v>
      </c>
      <c r="EA47" s="111" t="n">
        <v>0</v>
      </c>
      <c r="EB47" s="111" t="n">
        <v>0</v>
      </c>
      <c r="EC47" s="111" t="n">
        <v>0</v>
      </c>
      <c r="ED47" s="111" t="n">
        <v>0</v>
      </c>
      <c r="EE47" s="111" t="n">
        <v>0</v>
      </c>
      <c r="EF47" s="111" t="n">
        <v>0</v>
      </c>
      <c r="EG47" s="111" t="n">
        <v>2760</v>
      </c>
      <c r="EH47" s="111" t="n">
        <v>1203</v>
      </c>
      <c r="EI47" s="111" t="n">
        <v>1182</v>
      </c>
      <c r="EJ47" s="111" t="n">
        <v>21</v>
      </c>
      <c r="EK47" s="111" t="n">
        <v>1557</v>
      </c>
      <c r="EL47" s="111" t="n">
        <v>1525</v>
      </c>
      <c r="EM47" s="111" t="n">
        <v>32</v>
      </c>
      <c r="EN47" s="111" t="n">
        <v>2017</v>
      </c>
      <c r="EO47" s="111" t="n">
        <v>0</v>
      </c>
      <c r="EP47" s="111" t="n">
        <v>0</v>
      </c>
      <c r="EQ47" s="111" t="n">
        <v>2017</v>
      </c>
      <c r="ER47" s="111" t="n">
        <v>0</v>
      </c>
      <c r="ES47" s="111" t="n">
        <v>0</v>
      </c>
      <c r="ET47" s="111" t="n">
        <v>0</v>
      </c>
      <c r="EU47" s="111" t="n">
        <v>0</v>
      </c>
      <c r="EV47" s="111" t="n">
        <v>0</v>
      </c>
      <c r="EW47" s="111" t="n">
        <v>0</v>
      </c>
      <c r="EX47" s="111" t="n">
        <v>0</v>
      </c>
      <c r="EY47" s="111" t="n">
        <v>0</v>
      </c>
      <c r="EZ47" s="111" t="n">
        <v>0</v>
      </c>
      <c r="FA47" s="111" t="n">
        <v>0</v>
      </c>
      <c r="FB47" s="111" t="n">
        <v>0</v>
      </c>
    </row>
    <row r="48" ht="19.5" customHeight="1" s="247">
      <c r="A48" s="107" t="n">
        <v>45</v>
      </c>
      <c r="B48" s="107" t="inlineStr">
        <is>
          <t>成人非手术</t>
        </is>
      </c>
      <c r="C48" s="107" t="inlineStr">
        <is>
          <t>急诊医学科</t>
        </is>
      </c>
      <c r="D48" s="110" t="n">
        <v>64221840.32</v>
      </c>
      <c r="E48" s="110" t="n">
        <v>52010447.92</v>
      </c>
      <c r="F48" s="110" t="n">
        <v>12211392.4</v>
      </c>
      <c r="G48" s="110" t="n">
        <v>115733</v>
      </c>
      <c r="H48" s="110" t="n">
        <v>669</v>
      </c>
      <c r="I48" s="110" t="n">
        <v>3142581</v>
      </c>
      <c r="J48" s="110" t="n">
        <v>32708</v>
      </c>
      <c r="K48" s="110" t="n">
        <v>15</v>
      </c>
      <c r="L48" s="110" t="n">
        <v>1243106.1</v>
      </c>
      <c r="M48" s="110" t="n">
        <v>204035.5</v>
      </c>
      <c r="N48" s="110" t="n">
        <v>6368.94</v>
      </c>
      <c r="O48" s="110" t="n">
        <v>107722507.14</v>
      </c>
      <c r="P48" s="110" t="n">
        <v>95184108.95</v>
      </c>
      <c r="Q48" s="110" t="n">
        <v>91068006.86</v>
      </c>
      <c r="R48" s="110" t="n">
        <v>4116102.09</v>
      </c>
      <c r="S48" s="110" t="n">
        <v>12538398.19</v>
      </c>
      <c r="T48" s="110" t="n">
        <v>9743286.9</v>
      </c>
      <c r="U48" s="110" t="n">
        <v>2795111.29</v>
      </c>
      <c r="V48" s="110" t="n">
        <v>83998248.56</v>
      </c>
      <c r="W48" s="110" t="n">
        <v>75712074.65000001</v>
      </c>
      <c r="X48" s="110" t="n">
        <v>72049900.86</v>
      </c>
      <c r="Y48" s="110" t="n">
        <v>3662173.79</v>
      </c>
      <c r="Z48" s="110" t="n">
        <v>8286173.91</v>
      </c>
      <c r="AA48" s="110" t="n">
        <v>5801992.62</v>
      </c>
      <c r="AB48" s="110" t="n">
        <v>2484181.29</v>
      </c>
      <c r="AC48" s="110" t="n">
        <v>27367482.38</v>
      </c>
      <c r="AD48" s="110" t="n">
        <v>24872765.82</v>
      </c>
      <c r="AE48" s="110" t="n">
        <v>23900377.92</v>
      </c>
      <c r="AF48" s="110" t="n">
        <v>972387.9</v>
      </c>
      <c r="AG48" s="110" t="n">
        <v>2494716.56</v>
      </c>
      <c r="AH48" s="110" t="n">
        <v>1823311.38</v>
      </c>
      <c r="AI48" s="110" t="n">
        <v>671405.1800000001</v>
      </c>
      <c r="AJ48" s="110" t="n">
        <v>4620318.26</v>
      </c>
      <c r="AK48" s="110" t="n">
        <v>4096313.41</v>
      </c>
      <c r="AL48" s="110" t="n">
        <v>3771926.02</v>
      </c>
      <c r="AM48" s="110" t="n">
        <v>324387.39</v>
      </c>
      <c r="AN48" s="110" t="n">
        <v>524004.85</v>
      </c>
      <c r="AO48" s="110" t="n">
        <v>355094.74</v>
      </c>
      <c r="AP48" s="110" t="n">
        <v>168910.11</v>
      </c>
      <c r="AQ48" s="110" t="n">
        <v>44430380.92</v>
      </c>
      <c r="AR48" s="110" t="n">
        <v>39958724.92</v>
      </c>
      <c r="AS48" s="110" t="n">
        <v>37943613.92</v>
      </c>
      <c r="AT48" s="110" t="n">
        <v>2015111</v>
      </c>
      <c r="AU48" s="110" t="n">
        <v>4471656</v>
      </c>
      <c r="AV48" s="110" t="n">
        <v>3050802</v>
      </c>
      <c r="AW48" s="110" t="n">
        <v>1420854</v>
      </c>
      <c r="AX48" s="110" t="n">
        <v>7580067</v>
      </c>
      <c r="AY48" s="110" t="n">
        <v>6784270.5</v>
      </c>
      <c r="AZ48" s="110" t="n">
        <v>6433983</v>
      </c>
      <c r="BA48" s="110" t="n">
        <v>350287.5</v>
      </c>
      <c r="BB48" s="110" t="n">
        <v>795796.5</v>
      </c>
      <c r="BC48" s="110" t="n">
        <v>572784.5</v>
      </c>
      <c r="BD48" s="110" t="n">
        <v>223012</v>
      </c>
      <c r="BE48" s="110" t="n">
        <v>23724258.58</v>
      </c>
      <c r="BF48" s="110" t="n">
        <v>19472034.3</v>
      </c>
      <c r="BG48" s="110" t="n">
        <v>19018106</v>
      </c>
      <c r="BH48" s="110" t="n">
        <v>453928.3</v>
      </c>
      <c r="BI48" s="110" t="n">
        <v>4252224.28</v>
      </c>
      <c r="BJ48" s="110" t="n">
        <v>3941294.28</v>
      </c>
      <c r="BK48" s="110" t="n">
        <v>310930</v>
      </c>
      <c r="BL48" s="110" t="n">
        <v>9294334.15</v>
      </c>
      <c r="BM48" s="110" t="n">
        <v>7621523.77</v>
      </c>
      <c r="BN48" s="110" t="n">
        <v>7485379.26</v>
      </c>
      <c r="BO48" s="110" t="n">
        <v>136144.51</v>
      </c>
      <c r="BP48" s="110" t="n">
        <v>1672810.38</v>
      </c>
      <c r="BQ48" s="110" t="n">
        <v>1585405.08</v>
      </c>
      <c r="BR48" s="110" t="n">
        <v>87405.3</v>
      </c>
      <c r="BS48" s="110" t="n">
        <v>2218532.03</v>
      </c>
      <c r="BT48" s="110" t="n">
        <v>1688346.63</v>
      </c>
      <c r="BU48" s="110" t="n">
        <v>1621381.34</v>
      </c>
      <c r="BV48" s="110" t="n">
        <v>66965.28999999999</v>
      </c>
      <c r="BW48" s="110" t="n">
        <v>530185.4</v>
      </c>
      <c r="BX48" s="110" t="n">
        <v>428772.2</v>
      </c>
      <c r="BY48" s="110" t="n">
        <v>101413.2</v>
      </c>
      <c r="BZ48" s="110" t="n">
        <v>6266541.6</v>
      </c>
      <c r="CA48" s="110" t="n">
        <v>5223865.1</v>
      </c>
      <c r="CB48" s="110" t="n">
        <v>5109818.1</v>
      </c>
      <c r="CC48" s="110" t="n">
        <v>114047</v>
      </c>
      <c r="CD48" s="110" t="n">
        <v>1042676.5</v>
      </c>
      <c r="CE48" s="110" t="n">
        <v>981738</v>
      </c>
      <c r="CF48" s="110" t="n">
        <v>60938.5</v>
      </c>
      <c r="CG48" s="110" t="n">
        <v>5944850.8</v>
      </c>
      <c r="CH48" s="110" t="n">
        <v>4938298.8</v>
      </c>
      <c r="CI48" s="110" t="n">
        <v>4801527.3</v>
      </c>
      <c r="CJ48" s="110" t="n">
        <v>136771.5</v>
      </c>
      <c r="CK48" s="110" t="n">
        <v>1006552</v>
      </c>
      <c r="CL48" s="110" t="n">
        <v>945379</v>
      </c>
      <c r="CM48" s="110" t="n">
        <v>61173</v>
      </c>
      <c r="CN48" s="110" t="n">
        <v>83755185.04000001</v>
      </c>
      <c r="CO48" s="110" t="n">
        <v>236536.94</v>
      </c>
      <c r="CP48" s="110" t="n">
        <v>2810.58</v>
      </c>
      <c r="CQ48" s="110" t="n">
        <v>1654</v>
      </c>
      <c r="CR48" s="110" t="n">
        <v>2002</v>
      </c>
      <c r="CS48" s="110" t="n">
        <v>0</v>
      </c>
      <c r="CT48" s="110" t="n">
        <v>39847.84</v>
      </c>
      <c r="CU48" s="110" t="n">
        <v>0</v>
      </c>
      <c r="CV48" s="111" t="n">
        <v>115733</v>
      </c>
      <c r="CW48" s="111" t="n">
        <v>103325</v>
      </c>
      <c r="CX48" s="111" t="n">
        <v>97926</v>
      </c>
      <c r="CY48" s="111" t="n">
        <v>5399</v>
      </c>
      <c r="CZ48" s="111" t="n">
        <v>12408</v>
      </c>
      <c r="DA48" s="111" t="n">
        <v>8001</v>
      </c>
      <c r="DB48" s="111" t="n">
        <v>4407</v>
      </c>
      <c r="DC48" s="111" t="n">
        <v>220</v>
      </c>
      <c r="DD48" s="111" t="n">
        <v>0</v>
      </c>
      <c r="DE48" s="111" t="n">
        <v>177</v>
      </c>
      <c r="DF48" s="111" t="n">
        <v>170</v>
      </c>
      <c r="DG48" s="111" t="n">
        <v>7</v>
      </c>
      <c r="DH48" s="111" t="n">
        <v>43</v>
      </c>
      <c r="DI48" s="111" t="n">
        <v>22</v>
      </c>
      <c r="DJ48" s="111" t="n">
        <v>21</v>
      </c>
      <c r="DK48" s="111" t="n">
        <v>1</v>
      </c>
      <c r="DL48" s="111" t="n">
        <v>1</v>
      </c>
      <c r="DM48" s="111" t="n">
        <v>1</v>
      </c>
      <c r="DN48" s="111" t="n">
        <v>0</v>
      </c>
      <c r="DO48" s="111" t="n">
        <v>0</v>
      </c>
      <c r="DP48" s="111" t="n">
        <v>0</v>
      </c>
      <c r="DQ48" s="111" t="n">
        <v>0</v>
      </c>
      <c r="DR48" s="111" t="n">
        <v>1</v>
      </c>
      <c r="DS48" s="111" t="n">
        <v>0</v>
      </c>
      <c r="DT48" s="111" t="n">
        <v>0</v>
      </c>
      <c r="DU48" s="111" t="n">
        <v>0</v>
      </c>
      <c r="DV48" s="111" t="n">
        <v>0</v>
      </c>
      <c r="DW48" s="111" t="n">
        <v>1</v>
      </c>
      <c r="DX48" s="111" t="n">
        <v>0</v>
      </c>
      <c r="DY48" s="111" t="n">
        <v>1</v>
      </c>
      <c r="DZ48" s="111" t="n">
        <v>115511</v>
      </c>
      <c r="EA48" s="111" t="n">
        <v>103147</v>
      </c>
      <c r="EB48" s="111" t="n">
        <v>97755</v>
      </c>
      <c r="EC48" s="111" t="n">
        <v>5392</v>
      </c>
      <c r="ED48" s="111" t="n">
        <v>12364</v>
      </c>
      <c r="EE48" s="111" t="n">
        <v>7979</v>
      </c>
      <c r="EF48" s="111" t="n">
        <v>4385</v>
      </c>
      <c r="EG48" s="111" t="n">
        <v>669</v>
      </c>
      <c r="EH48" s="111" t="n">
        <v>570</v>
      </c>
      <c r="EI48" s="111" t="n">
        <v>561</v>
      </c>
      <c r="EJ48" s="111" t="n">
        <v>9</v>
      </c>
      <c r="EK48" s="111" t="n">
        <v>99</v>
      </c>
      <c r="EL48" s="111" t="n">
        <v>93</v>
      </c>
      <c r="EM48" s="111" t="n">
        <v>6</v>
      </c>
      <c r="EN48" s="111" t="n">
        <v>247</v>
      </c>
      <c r="EO48" s="111" t="n">
        <v>1</v>
      </c>
      <c r="EP48" s="111" t="n">
        <v>0</v>
      </c>
      <c r="EQ48" s="111" t="n">
        <v>246</v>
      </c>
      <c r="ER48" s="111" t="n">
        <v>0</v>
      </c>
      <c r="ES48" s="111" t="n">
        <v>0</v>
      </c>
      <c r="ET48" s="111" t="n">
        <v>0</v>
      </c>
      <c r="EU48" s="111" t="n">
        <v>1</v>
      </c>
      <c r="EV48" s="111" t="n">
        <v>1</v>
      </c>
      <c r="EW48" s="111" t="n">
        <v>0</v>
      </c>
      <c r="EX48" s="111" t="n">
        <v>0</v>
      </c>
      <c r="EY48" s="111" t="n">
        <v>0</v>
      </c>
      <c r="EZ48" s="111" t="n">
        <v>0</v>
      </c>
      <c r="FA48" s="111" t="n">
        <v>0</v>
      </c>
      <c r="FB48" s="111" t="n">
        <v>0</v>
      </c>
    </row>
    <row r="49" ht="19.5" customHeight="1" s="247">
      <c r="A49" s="107" t="n">
        <v>46</v>
      </c>
      <c r="B49" s="107" t="inlineStr">
        <is>
          <t>成人非手术</t>
        </is>
      </c>
      <c r="C49" s="107" t="inlineStr">
        <is>
          <t>康复医学科</t>
        </is>
      </c>
      <c r="D49" s="110" t="n">
        <v>7158487.5</v>
      </c>
      <c r="E49" s="110" t="n">
        <v>6468293</v>
      </c>
      <c r="F49" s="110" t="n">
        <v>690194.5</v>
      </c>
      <c r="G49" s="110" t="n">
        <v>7069</v>
      </c>
      <c r="H49" s="110" t="n">
        <v>74</v>
      </c>
      <c r="I49" s="110" t="n">
        <v>5552608</v>
      </c>
      <c r="J49" s="110" t="n">
        <v>0</v>
      </c>
      <c r="K49" s="110" t="n">
        <v>0</v>
      </c>
      <c r="L49" s="110" t="n">
        <v>516740</v>
      </c>
      <c r="M49" s="110" t="n">
        <v>0</v>
      </c>
      <c r="N49" s="110" t="n">
        <v>831.95</v>
      </c>
      <c r="O49" s="110" t="n">
        <v>7206055.19</v>
      </c>
      <c r="P49" s="110" t="n">
        <v>6183175.39</v>
      </c>
      <c r="Q49" s="110" t="n">
        <v>5910046.76</v>
      </c>
      <c r="R49" s="110" t="n">
        <v>273128.63</v>
      </c>
      <c r="S49" s="110" t="n">
        <v>1022879.8</v>
      </c>
      <c r="T49" s="110" t="n">
        <v>822971.53</v>
      </c>
      <c r="U49" s="110" t="n">
        <v>199908.27</v>
      </c>
      <c r="V49" s="110" t="n">
        <v>6508266.32</v>
      </c>
      <c r="W49" s="110" t="n">
        <v>6056730.67</v>
      </c>
      <c r="X49" s="110" t="n">
        <v>5801234.08</v>
      </c>
      <c r="Y49" s="110" t="n">
        <v>255496.59</v>
      </c>
      <c r="Z49" s="110" t="n">
        <v>451535.65</v>
      </c>
      <c r="AA49" s="110" t="n">
        <v>251627.38</v>
      </c>
      <c r="AB49" s="110" t="n">
        <v>199908.27</v>
      </c>
      <c r="AC49" s="110" t="n">
        <v>22349.32</v>
      </c>
      <c r="AD49" s="110" t="n">
        <v>20296.67</v>
      </c>
      <c r="AE49" s="110" t="n">
        <v>18488.08</v>
      </c>
      <c r="AF49" s="110" t="n">
        <v>1808.59</v>
      </c>
      <c r="AG49" s="110" t="n">
        <v>2052.65</v>
      </c>
      <c r="AH49" s="110" t="n">
        <v>661.38</v>
      </c>
      <c r="AI49" s="110" t="n">
        <v>1391.27</v>
      </c>
      <c r="AJ49" s="110" t="n">
        <v>17624</v>
      </c>
      <c r="AK49" s="110" t="n">
        <v>16003</v>
      </c>
      <c r="AL49" s="110" t="n">
        <v>14984</v>
      </c>
      <c r="AM49" s="110" t="n">
        <v>1019</v>
      </c>
      <c r="AN49" s="110" t="n">
        <v>1621</v>
      </c>
      <c r="AO49" s="110" t="n">
        <v>766</v>
      </c>
      <c r="AP49" s="110" t="n">
        <v>855</v>
      </c>
      <c r="AQ49" s="110" t="n">
        <v>675389</v>
      </c>
      <c r="AR49" s="110" t="n">
        <v>602742</v>
      </c>
      <c r="AS49" s="110" t="n">
        <v>553565</v>
      </c>
      <c r="AT49" s="110" t="n">
        <v>49177</v>
      </c>
      <c r="AU49" s="110" t="n">
        <v>72647</v>
      </c>
      <c r="AV49" s="110" t="n">
        <v>35185</v>
      </c>
      <c r="AW49" s="110" t="n">
        <v>37462</v>
      </c>
      <c r="AX49" s="110" t="n">
        <v>5792904</v>
      </c>
      <c r="AY49" s="110" t="n">
        <v>5417689</v>
      </c>
      <c r="AZ49" s="110" t="n">
        <v>5214197</v>
      </c>
      <c r="BA49" s="110" t="n">
        <v>203492</v>
      </c>
      <c r="BB49" s="110" t="n">
        <v>375215</v>
      </c>
      <c r="BC49" s="110" t="n">
        <v>215015</v>
      </c>
      <c r="BD49" s="110" t="n">
        <v>160200</v>
      </c>
      <c r="BE49" s="110" t="n">
        <v>697788.87</v>
      </c>
      <c r="BF49" s="110" t="n">
        <v>126444.72</v>
      </c>
      <c r="BG49" s="110" t="n">
        <v>108812.68</v>
      </c>
      <c r="BH49" s="110" t="n">
        <v>17632.04</v>
      </c>
      <c r="BI49" s="110" t="n">
        <v>571344.15</v>
      </c>
      <c r="BJ49" s="110" t="n">
        <v>571344.15</v>
      </c>
      <c r="BK49" s="110" t="n">
        <v>0</v>
      </c>
      <c r="BL49" s="110" t="n">
        <v>5932.73</v>
      </c>
      <c r="BM49" s="110" t="n">
        <v>658.72</v>
      </c>
      <c r="BN49" s="110" t="n">
        <v>587.6799999999999</v>
      </c>
      <c r="BO49" s="110" t="n">
        <v>71.04000000000001</v>
      </c>
      <c r="BP49" s="110" t="n">
        <v>5274.01</v>
      </c>
      <c r="BQ49" s="110" t="n">
        <v>5274.01</v>
      </c>
      <c r="BR49" s="110" t="n">
        <v>0</v>
      </c>
      <c r="BS49" s="110" t="n">
        <v>1661.64</v>
      </c>
      <c r="BT49" s="110" t="n">
        <v>588</v>
      </c>
      <c r="BU49" s="110" t="n">
        <v>588</v>
      </c>
      <c r="BV49" s="110" t="n">
        <v>0</v>
      </c>
      <c r="BW49" s="110" t="n">
        <v>1073.64</v>
      </c>
      <c r="BX49" s="110" t="n">
        <v>1073.64</v>
      </c>
      <c r="BY49" s="110" t="n">
        <v>0</v>
      </c>
      <c r="BZ49" s="110" t="n">
        <v>66880</v>
      </c>
      <c r="CA49" s="110" t="n">
        <v>11361</v>
      </c>
      <c r="CB49" s="110" t="n">
        <v>10703</v>
      </c>
      <c r="CC49" s="110" t="n">
        <v>658</v>
      </c>
      <c r="CD49" s="110" t="n">
        <v>55519</v>
      </c>
      <c r="CE49" s="110" t="n">
        <v>55519</v>
      </c>
      <c r="CF49" s="110" t="n">
        <v>0</v>
      </c>
      <c r="CG49" s="110" t="n">
        <v>623314.5</v>
      </c>
      <c r="CH49" s="110" t="n">
        <v>113837</v>
      </c>
      <c r="CI49" s="110" t="n">
        <v>96934</v>
      </c>
      <c r="CJ49" s="110" t="n">
        <v>16903</v>
      </c>
      <c r="CK49" s="110" t="n">
        <v>509477.5</v>
      </c>
      <c r="CL49" s="110" t="n">
        <v>509477.5</v>
      </c>
      <c r="CM49" s="110" t="n">
        <v>0</v>
      </c>
      <c r="CN49" s="110" t="n">
        <v>0</v>
      </c>
      <c r="CO49" s="110" t="n">
        <v>3744217.4</v>
      </c>
      <c r="CP49" s="110" t="n">
        <v>251924</v>
      </c>
      <c r="CQ49" s="110" t="n">
        <v>2291087.27</v>
      </c>
      <c r="CR49" s="110" t="n">
        <v>161406.65</v>
      </c>
      <c r="CS49" s="110" t="n">
        <v>59631</v>
      </c>
      <c r="CT49" s="110" t="n">
        <v>0</v>
      </c>
      <c r="CU49" s="110" t="n">
        <v>0</v>
      </c>
      <c r="CV49" s="111" t="n">
        <v>7069</v>
      </c>
      <c r="CW49" s="111" t="n">
        <v>6305</v>
      </c>
      <c r="CX49" s="111" t="n">
        <v>5727</v>
      </c>
      <c r="CY49" s="111" t="n">
        <v>578</v>
      </c>
      <c r="CZ49" s="111" t="n">
        <v>764</v>
      </c>
      <c r="DA49" s="111" t="n">
        <v>356</v>
      </c>
      <c r="DB49" s="111" t="n">
        <v>408</v>
      </c>
      <c r="DC49" s="111" t="n">
        <v>6397</v>
      </c>
      <c r="DD49" s="111" t="n">
        <v>0</v>
      </c>
      <c r="DE49" s="111" t="n">
        <v>5758</v>
      </c>
      <c r="DF49" s="111" t="n">
        <v>5394</v>
      </c>
      <c r="DG49" s="111" t="n">
        <v>364</v>
      </c>
      <c r="DH49" s="111" t="n">
        <v>639</v>
      </c>
      <c r="DI49" s="111" t="n">
        <v>309</v>
      </c>
      <c r="DJ49" s="111" t="n">
        <v>330</v>
      </c>
      <c r="DK49" s="111" t="n">
        <v>536</v>
      </c>
      <c r="DL49" s="111" t="n">
        <v>463</v>
      </c>
      <c r="DM49" s="111" t="n">
        <v>269</v>
      </c>
      <c r="DN49" s="111" t="n">
        <v>194</v>
      </c>
      <c r="DO49" s="111" t="n">
        <v>73</v>
      </c>
      <c r="DP49" s="111" t="n">
        <v>31</v>
      </c>
      <c r="DQ49" s="111" t="n">
        <v>42</v>
      </c>
      <c r="DR49" s="111" t="n">
        <v>136</v>
      </c>
      <c r="DS49" s="111" t="n">
        <v>0</v>
      </c>
      <c r="DT49" s="111" t="n">
        <v>84</v>
      </c>
      <c r="DU49" s="111" t="n">
        <v>64</v>
      </c>
      <c r="DV49" s="111" t="n">
        <v>20</v>
      </c>
      <c r="DW49" s="111" t="n">
        <v>52</v>
      </c>
      <c r="DX49" s="111" t="n">
        <v>16</v>
      </c>
      <c r="DY49" s="111" t="n">
        <v>36</v>
      </c>
      <c r="DZ49" s="111" t="n">
        <v>0</v>
      </c>
      <c r="EA49" s="111" t="n">
        <v>0</v>
      </c>
      <c r="EB49" s="111" t="n">
        <v>0</v>
      </c>
      <c r="EC49" s="111" t="n">
        <v>0</v>
      </c>
      <c r="ED49" s="111" t="n">
        <v>0</v>
      </c>
      <c r="EE49" s="111" t="n">
        <v>0</v>
      </c>
      <c r="EF49" s="111" t="n">
        <v>0</v>
      </c>
      <c r="EG49" s="111" t="n">
        <v>74</v>
      </c>
      <c r="EH49" s="111" t="n">
        <v>12</v>
      </c>
      <c r="EI49" s="111" t="n">
        <v>11</v>
      </c>
      <c r="EJ49" s="111" t="n">
        <v>1</v>
      </c>
      <c r="EK49" s="111" t="n">
        <v>62</v>
      </c>
      <c r="EL49" s="111" t="n">
        <v>62</v>
      </c>
      <c r="EM49" s="111" t="n">
        <v>0</v>
      </c>
      <c r="EN49" s="111" t="n">
        <v>307</v>
      </c>
      <c r="EO49" s="111" t="n">
        <v>0</v>
      </c>
      <c r="EP49" s="111" t="n">
        <v>0</v>
      </c>
      <c r="EQ49" s="111" t="n">
        <v>307</v>
      </c>
      <c r="ER49" s="111" t="n">
        <v>0</v>
      </c>
      <c r="ES49" s="111" t="n">
        <v>0</v>
      </c>
      <c r="ET49" s="111" t="n">
        <v>0</v>
      </c>
      <c r="EU49" s="111" t="n">
        <v>0</v>
      </c>
      <c r="EV49" s="111" t="n">
        <v>0</v>
      </c>
      <c r="EW49" s="111" t="n">
        <v>0</v>
      </c>
      <c r="EX49" s="111" t="n">
        <v>0</v>
      </c>
      <c r="EY49" s="111" t="n">
        <v>0</v>
      </c>
      <c r="EZ49" s="111" t="n">
        <v>0</v>
      </c>
      <c r="FA49" s="111" t="n">
        <v>0</v>
      </c>
      <c r="FB49" s="111" t="n">
        <v>0</v>
      </c>
    </row>
    <row r="50" ht="19.5" customHeight="1" s="247">
      <c r="A50" s="107" t="n">
        <v>47</v>
      </c>
      <c r="B50" s="107" t="inlineStr">
        <is>
          <t>成人非手术</t>
        </is>
      </c>
      <c r="C50" s="107" t="inlineStr">
        <is>
          <t>中医科</t>
        </is>
      </c>
      <c r="D50" s="110" t="n">
        <v>18049132</v>
      </c>
      <c r="E50" s="110" t="n">
        <v>13161290</v>
      </c>
      <c r="F50" s="110" t="n">
        <v>4887842</v>
      </c>
      <c r="G50" s="110" t="n">
        <v>41531</v>
      </c>
      <c r="H50" s="110" t="n">
        <v>490</v>
      </c>
      <c r="I50" s="110" t="n">
        <v>9327290</v>
      </c>
      <c r="J50" s="110" t="n">
        <v>172</v>
      </c>
      <c r="K50" s="110" t="n">
        <v>11244116.23</v>
      </c>
      <c r="L50" s="110" t="n">
        <v>1501640</v>
      </c>
      <c r="M50" s="110" t="n">
        <v>95977</v>
      </c>
      <c r="N50" s="110" t="n">
        <v>22108.34</v>
      </c>
      <c r="O50" s="110" t="n">
        <v>40630428.34</v>
      </c>
      <c r="P50" s="110" t="n">
        <v>35509569.17</v>
      </c>
      <c r="Q50" s="110" t="n">
        <v>34573014.37</v>
      </c>
      <c r="R50" s="110" t="n">
        <v>936554.8</v>
      </c>
      <c r="S50" s="110" t="n">
        <v>5120859.17</v>
      </c>
      <c r="T50" s="110" t="n">
        <v>3402300.82</v>
      </c>
      <c r="U50" s="110" t="n">
        <v>1718558.35</v>
      </c>
      <c r="V50" s="110" t="n">
        <v>34625314.1</v>
      </c>
      <c r="W50" s="110" t="n">
        <v>30691223.13</v>
      </c>
      <c r="X50" s="110" t="n">
        <v>29771072.78</v>
      </c>
      <c r="Y50" s="110" t="n">
        <v>920150.35</v>
      </c>
      <c r="Z50" s="110" t="n">
        <v>3934090.97</v>
      </c>
      <c r="AA50" s="110" t="n">
        <v>2215532.62</v>
      </c>
      <c r="AB50" s="110" t="n">
        <v>1718558.35</v>
      </c>
      <c r="AC50" s="110" t="n">
        <v>21042753.02</v>
      </c>
      <c r="AD50" s="110" t="n">
        <v>18821072.19</v>
      </c>
      <c r="AE50" s="110" t="n">
        <v>18332526.74</v>
      </c>
      <c r="AF50" s="110" t="n">
        <v>488545.45</v>
      </c>
      <c r="AG50" s="110" t="n">
        <v>2221680.83</v>
      </c>
      <c r="AH50" s="110" t="n">
        <v>1282063.48</v>
      </c>
      <c r="AI50" s="110" t="n">
        <v>939617.35</v>
      </c>
      <c r="AJ50" s="110" t="n">
        <v>421271.08</v>
      </c>
      <c r="AK50" s="110" t="n">
        <v>392887.44</v>
      </c>
      <c r="AL50" s="110" t="n">
        <v>389842.54</v>
      </c>
      <c r="AM50" s="110" t="n">
        <v>3044.9</v>
      </c>
      <c r="AN50" s="110" t="n">
        <v>28383.64</v>
      </c>
      <c r="AO50" s="110" t="n">
        <v>27249.64</v>
      </c>
      <c r="AP50" s="110" t="n">
        <v>1134</v>
      </c>
      <c r="AQ50" s="110" t="n">
        <v>1359658</v>
      </c>
      <c r="AR50" s="110" t="n">
        <v>1174428</v>
      </c>
      <c r="AS50" s="110" t="n">
        <v>1129371</v>
      </c>
      <c r="AT50" s="110" t="n">
        <v>45057</v>
      </c>
      <c r="AU50" s="110" t="n">
        <v>185230</v>
      </c>
      <c r="AV50" s="110" t="n">
        <v>109152</v>
      </c>
      <c r="AW50" s="110" t="n">
        <v>76078</v>
      </c>
      <c r="AX50" s="110" t="n">
        <v>11801632</v>
      </c>
      <c r="AY50" s="110" t="n">
        <v>10302835.5</v>
      </c>
      <c r="AZ50" s="110" t="n">
        <v>9919332.5</v>
      </c>
      <c r="BA50" s="110" t="n">
        <v>383503</v>
      </c>
      <c r="BB50" s="110" t="n">
        <v>1498796.5</v>
      </c>
      <c r="BC50" s="110" t="n">
        <v>797067.5</v>
      </c>
      <c r="BD50" s="110" t="n">
        <v>701729</v>
      </c>
      <c r="BE50" s="110" t="n">
        <v>6005114.24</v>
      </c>
      <c r="BF50" s="110" t="n">
        <v>4818346.04</v>
      </c>
      <c r="BG50" s="110" t="n">
        <v>4801941.59</v>
      </c>
      <c r="BH50" s="110" t="n">
        <v>16404.45</v>
      </c>
      <c r="BI50" s="110" t="n">
        <v>1186768.2</v>
      </c>
      <c r="BJ50" s="110" t="n">
        <v>1186768.2</v>
      </c>
      <c r="BK50" s="110" t="n">
        <v>0</v>
      </c>
      <c r="BL50" s="110" t="n">
        <v>763899.92</v>
      </c>
      <c r="BM50" s="110" t="n">
        <v>612617.36</v>
      </c>
      <c r="BN50" s="110" t="n">
        <v>610102.26</v>
      </c>
      <c r="BO50" s="110" t="n">
        <v>2515.1</v>
      </c>
      <c r="BP50" s="110" t="n">
        <v>151282.56</v>
      </c>
      <c r="BQ50" s="110" t="n">
        <v>151282.56</v>
      </c>
      <c r="BR50" s="110" t="n">
        <v>0</v>
      </c>
      <c r="BS50" s="110" t="n">
        <v>353372.32</v>
      </c>
      <c r="BT50" s="110" t="n">
        <v>293289.18</v>
      </c>
      <c r="BU50" s="110" t="n">
        <v>292119.33</v>
      </c>
      <c r="BV50" s="110" t="n">
        <v>1169.85</v>
      </c>
      <c r="BW50" s="110" t="n">
        <v>60083.14</v>
      </c>
      <c r="BX50" s="110" t="n">
        <v>60083.14</v>
      </c>
      <c r="BY50" s="110" t="n">
        <v>0</v>
      </c>
      <c r="BZ50" s="110" t="n">
        <v>2634376</v>
      </c>
      <c r="CA50" s="110" t="n">
        <v>2098755</v>
      </c>
      <c r="CB50" s="110" t="n">
        <v>2089996</v>
      </c>
      <c r="CC50" s="110" t="n">
        <v>8759</v>
      </c>
      <c r="CD50" s="110" t="n">
        <v>535621</v>
      </c>
      <c r="CE50" s="110" t="n">
        <v>535621</v>
      </c>
      <c r="CF50" s="110" t="n">
        <v>0</v>
      </c>
      <c r="CG50" s="110" t="n">
        <v>2253466</v>
      </c>
      <c r="CH50" s="110" t="n">
        <v>1813684.5</v>
      </c>
      <c r="CI50" s="110" t="n">
        <v>1809724</v>
      </c>
      <c r="CJ50" s="110" t="n">
        <v>3960.5</v>
      </c>
      <c r="CK50" s="110" t="n">
        <v>439781.5</v>
      </c>
      <c r="CL50" s="110" t="n">
        <v>439781.5</v>
      </c>
      <c r="CM50" s="110" t="n">
        <v>0</v>
      </c>
      <c r="CN50" s="110" t="n">
        <v>0</v>
      </c>
      <c r="CO50" s="110" t="n">
        <v>12072908.37</v>
      </c>
      <c r="CP50" s="110" t="n">
        <v>17323797.13</v>
      </c>
      <c r="CQ50" s="110" t="n">
        <v>971812.67</v>
      </c>
      <c r="CR50" s="110" t="n">
        <v>4256795.93</v>
      </c>
      <c r="CS50" s="110" t="n">
        <v>0</v>
      </c>
      <c r="CT50" s="110" t="n">
        <v>2877</v>
      </c>
      <c r="CU50" s="110" t="n">
        <v>0</v>
      </c>
      <c r="CV50" s="111" t="n">
        <v>41531</v>
      </c>
      <c r="CW50" s="111" t="n">
        <v>37280</v>
      </c>
      <c r="CX50" s="111" t="n">
        <v>35914</v>
      </c>
      <c r="CY50" s="111" t="n">
        <v>1366</v>
      </c>
      <c r="CZ50" s="111" t="n">
        <v>4251</v>
      </c>
      <c r="DA50" s="111" t="n">
        <v>2398</v>
      </c>
      <c r="DB50" s="111" t="n">
        <v>1853</v>
      </c>
      <c r="DC50" s="111" t="n">
        <v>21244</v>
      </c>
      <c r="DD50" s="111" t="n">
        <v>68</v>
      </c>
      <c r="DE50" s="111" t="n">
        <v>19603</v>
      </c>
      <c r="DF50" s="111" t="n">
        <v>18993</v>
      </c>
      <c r="DG50" s="111" t="n">
        <v>610</v>
      </c>
      <c r="DH50" s="111" t="n">
        <v>1641</v>
      </c>
      <c r="DI50" s="111" t="n">
        <v>914</v>
      </c>
      <c r="DJ50" s="111" t="n">
        <v>727</v>
      </c>
      <c r="DK50" s="111" t="n">
        <v>17248</v>
      </c>
      <c r="DL50" s="111" t="n">
        <v>15368</v>
      </c>
      <c r="DM50" s="111" t="n">
        <v>14843</v>
      </c>
      <c r="DN50" s="111" t="n">
        <v>525</v>
      </c>
      <c r="DO50" s="111" t="n">
        <v>1880</v>
      </c>
      <c r="DP50" s="111" t="n">
        <v>1122</v>
      </c>
      <c r="DQ50" s="111" t="n">
        <v>758</v>
      </c>
      <c r="DR50" s="111" t="n">
        <v>2971</v>
      </c>
      <c r="DS50" s="111" t="n">
        <v>0</v>
      </c>
      <c r="DT50" s="111" t="n">
        <v>2259</v>
      </c>
      <c r="DU50" s="111" t="n">
        <v>2054</v>
      </c>
      <c r="DV50" s="111" t="n">
        <v>205</v>
      </c>
      <c r="DW50" s="111" t="n">
        <v>712</v>
      </c>
      <c r="DX50" s="111" t="n">
        <v>362</v>
      </c>
      <c r="DY50" s="111" t="n">
        <v>350</v>
      </c>
      <c r="DZ50" s="111" t="n">
        <v>0</v>
      </c>
      <c r="EA50" s="111" t="n">
        <v>0</v>
      </c>
      <c r="EB50" s="111" t="n">
        <v>0</v>
      </c>
      <c r="EC50" s="111" t="n">
        <v>0</v>
      </c>
      <c r="ED50" s="111" t="n">
        <v>0</v>
      </c>
      <c r="EE50" s="111" t="n">
        <v>0</v>
      </c>
      <c r="EF50" s="111" t="n">
        <v>0</v>
      </c>
      <c r="EG50" s="111" t="n">
        <v>490</v>
      </c>
      <c r="EH50" s="111" t="n">
        <v>398</v>
      </c>
      <c r="EI50" s="111" t="n">
        <v>396</v>
      </c>
      <c r="EJ50" s="111" t="n">
        <v>2</v>
      </c>
      <c r="EK50" s="111" t="n">
        <v>92</v>
      </c>
      <c r="EL50" s="111" t="n">
        <v>92</v>
      </c>
      <c r="EM50" s="111" t="n">
        <v>0</v>
      </c>
      <c r="EN50" s="111" t="n">
        <v>381</v>
      </c>
      <c r="EO50" s="111" t="n">
        <v>0</v>
      </c>
      <c r="EP50" s="111" t="n">
        <v>0</v>
      </c>
      <c r="EQ50" s="111" t="n">
        <v>381</v>
      </c>
      <c r="ER50" s="111" t="n">
        <v>0</v>
      </c>
      <c r="ES50" s="111" t="n">
        <v>0</v>
      </c>
      <c r="ET50" s="111" t="n">
        <v>0</v>
      </c>
      <c r="EU50" s="111" t="n">
        <v>0</v>
      </c>
      <c r="EV50" s="111" t="n">
        <v>0</v>
      </c>
      <c r="EW50" s="111" t="n">
        <v>0</v>
      </c>
      <c r="EX50" s="111" t="n">
        <v>0</v>
      </c>
      <c r="EY50" s="111" t="n">
        <v>0</v>
      </c>
      <c r="EZ50" s="111" t="n">
        <v>0</v>
      </c>
      <c r="FA50" s="111" t="n">
        <v>0</v>
      </c>
      <c r="FB50" s="111" t="n">
        <v>93</v>
      </c>
    </row>
    <row r="51" ht="19.5" customHeight="1" s="247">
      <c r="A51" s="107" t="n">
        <v>48</v>
      </c>
      <c r="B51" s="107" t="inlineStr">
        <is>
          <t>医技平台</t>
        </is>
      </c>
      <c r="C51" s="107" t="inlineStr">
        <is>
          <t>核医学科</t>
        </is>
      </c>
      <c r="D51" s="110" t="n">
        <v>1391597.5</v>
      </c>
      <c r="E51" s="110" t="n">
        <v>840195</v>
      </c>
      <c r="F51" s="110" t="n">
        <v>551402.5</v>
      </c>
      <c r="G51" s="110" t="n">
        <v>1966</v>
      </c>
      <c r="H51" s="110" t="n">
        <v>102</v>
      </c>
      <c r="I51" s="110" t="n">
        <v>2540</v>
      </c>
      <c r="J51" s="110" t="n">
        <v>0</v>
      </c>
      <c r="K51" s="110" t="n">
        <v>0</v>
      </c>
      <c r="L51" s="110" t="n">
        <v>43100</v>
      </c>
      <c r="M51" s="110" t="n">
        <v>0</v>
      </c>
      <c r="N51" s="110" t="n">
        <v>0</v>
      </c>
      <c r="O51" s="110" t="n">
        <v>2256017.47</v>
      </c>
      <c r="P51" s="110" t="n">
        <v>1349173.52</v>
      </c>
      <c r="Q51" s="110" t="n">
        <v>1279785.78</v>
      </c>
      <c r="R51" s="110" t="n">
        <v>69387.74000000001</v>
      </c>
      <c r="S51" s="110" t="n">
        <v>906843.95</v>
      </c>
      <c r="T51" s="110" t="n">
        <v>648335.89</v>
      </c>
      <c r="U51" s="110" t="n">
        <v>258508.06</v>
      </c>
      <c r="V51" s="110" t="n">
        <v>1108739.33</v>
      </c>
      <c r="W51" s="110" t="n">
        <v>661654.14</v>
      </c>
      <c r="X51" s="110" t="n">
        <v>592266.4</v>
      </c>
      <c r="Y51" s="110" t="n">
        <v>69387.74000000001</v>
      </c>
      <c r="Z51" s="110" t="n">
        <v>447085.19</v>
      </c>
      <c r="AA51" s="110" t="n">
        <v>188577.13</v>
      </c>
      <c r="AB51" s="110" t="n">
        <v>258508.06</v>
      </c>
      <c r="AC51" s="110" t="n">
        <v>268241.33</v>
      </c>
      <c r="AD51" s="110" t="n">
        <v>190319.14</v>
      </c>
      <c r="AE51" s="110" t="n">
        <v>177914.4</v>
      </c>
      <c r="AF51" s="110" t="n">
        <v>12404.74</v>
      </c>
      <c r="AG51" s="110" t="n">
        <v>77922.19</v>
      </c>
      <c r="AH51" s="110" t="n">
        <v>27913.13</v>
      </c>
      <c r="AI51" s="110" t="n">
        <v>50009.06</v>
      </c>
      <c r="AJ51" s="110" t="n">
        <v>303</v>
      </c>
      <c r="AK51" s="110" t="n">
        <v>131</v>
      </c>
      <c r="AL51" s="110" t="n">
        <v>131</v>
      </c>
      <c r="AM51" s="110" t="n">
        <v>0</v>
      </c>
      <c r="AN51" s="110" t="n">
        <v>172</v>
      </c>
      <c r="AO51" s="110" t="n">
        <v>129</v>
      </c>
      <c r="AP51" s="110" t="n">
        <v>43</v>
      </c>
      <c r="AQ51" s="110" t="n">
        <v>741063</v>
      </c>
      <c r="AR51" s="110" t="n">
        <v>416048</v>
      </c>
      <c r="AS51" s="110" t="n">
        <v>363568</v>
      </c>
      <c r="AT51" s="110" t="n">
        <v>52480</v>
      </c>
      <c r="AU51" s="110" t="n">
        <v>325015</v>
      </c>
      <c r="AV51" s="110" t="n">
        <v>142484</v>
      </c>
      <c r="AW51" s="110" t="n">
        <v>182531</v>
      </c>
      <c r="AX51" s="110" t="n">
        <v>99132</v>
      </c>
      <c r="AY51" s="110" t="n">
        <v>55156</v>
      </c>
      <c r="AZ51" s="110" t="n">
        <v>50653</v>
      </c>
      <c r="BA51" s="110" t="n">
        <v>4503</v>
      </c>
      <c r="BB51" s="110" t="n">
        <v>43976</v>
      </c>
      <c r="BC51" s="110" t="n">
        <v>18051</v>
      </c>
      <c r="BD51" s="110" t="n">
        <v>25925</v>
      </c>
      <c r="BE51" s="110" t="n">
        <v>1147278.14</v>
      </c>
      <c r="BF51" s="110" t="n">
        <v>687519.38</v>
      </c>
      <c r="BG51" s="110" t="n">
        <v>687519.38</v>
      </c>
      <c r="BH51" s="110" t="n">
        <v>0</v>
      </c>
      <c r="BI51" s="110" t="n">
        <v>459758.76</v>
      </c>
      <c r="BJ51" s="110" t="n">
        <v>459758.76</v>
      </c>
      <c r="BK51" s="110" t="n">
        <v>0</v>
      </c>
      <c r="BL51" s="110" t="n">
        <v>595875.64</v>
      </c>
      <c r="BM51" s="110" t="n">
        <v>358529.38</v>
      </c>
      <c r="BN51" s="110" t="n">
        <v>358529.38</v>
      </c>
      <c r="BO51" s="110" t="n">
        <v>0</v>
      </c>
      <c r="BP51" s="110" t="n">
        <v>237346.26</v>
      </c>
      <c r="BQ51" s="110" t="n">
        <v>237346.26</v>
      </c>
      <c r="BR51" s="110" t="n">
        <v>0</v>
      </c>
      <c r="BS51" s="110" t="n">
        <v>0</v>
      </c>
      <c r="BT51" s="110" t="n">
        <v>0</v>
      </c>
      <c r="BU51" s="110" t="n">
        <v>0</v>
      </c>
      <c r="BV51" s="110" t="n">
        <v>0</v>
      </c>
      <c r="BW51" s="110" t="n">
        <v>0</v>
      </c>
      <c r="BX51" s="110" t="n">
        <v>0</v>
      </c>
      <c r="BY51" s="110" t="n">
        <v>0</v>
      </c>
      <c r="BZ51" s="110" t="n">
        <v>460606</v>
      </c>
      <c r="CA51" s="110" t="n">
        <v>274537</v>
      </c>
      <c r="CB51" s="110" t="n">
        <v>274537</v>
      </c>
      <c r="CC51" s="110" t="n">
        <v>0</v>
      </c>
      <c r="CD51" s="110" t="n">
        <v>186069</v>
      </c>
      <c r="CE51" s="110" t="n">
        <v>186069</v>
      </c>
      <c r="CF51" s="110" t="n">
        <v>0</v>
      </c>
      <c r="CG51" s="110" t="n">
        <v>90796.5</v>
      </c>
      <c r="CH51" s="110" t="n">
        <v>54453</v>
      </c>
      <c r="CI51" s="110" t="n">
        <v>54453</v>
      </c>
      <c r="CJ51" s="110" t="n">
        <v>0</v>
      </c>
      <c r="CK51" s="110" t="n">
        <v>36343.5</v>
      </c>
      <c r="CL51" s="110" t="n">
        <v>36343.5</v>
      </c>
      <c r="CM51" s="110" t="n">
        <v>0</v>
      </c>
      <c r="CN51" s="110" t="n">
        <v>0</v>
      </c>
      <c r="CO51" s="110" t="n">
        <v>348137.82</v>
      </c>
      <c r="CP51" s="110" t="n">
        <v>566322.24</v>
      </c>
      <c r="CQ51" s="110" t="n">
        <v>163898.07</v>
      </c>
      <c r="CR51" s="110" t="n">
        <v>30381.2</v>
      </c>
      <c r="CS51" s="110" t="n">
        <v>0</v>
      </c>
      <c r="CT51" s="110" t="n">
        <v>0</v>
      </c>
      <c r="CU51" s="110" t="n">
        <v>0</v>
      </c>
      <c r="CV51" s="111" t="n">
        <v>1966</v>
      </c>
      <c r="CW51" s="111" t="n">
        <v>1352</v>
      </c>
      <c r="CX51" s="111" t="n">
        <v>1281</v>
      </c>
      <c r="CY51" s="111" t="n">
        <v>71</v>
      </c>
      <c r="CZ51" s="111" t="n">
        <v>614</v>
      </c>
      <c r="DA51" s="111" t="n">
        <v>277</v>
      </c>
      <c r="DB51" s="111" t="n">
        <v>337</v>
      </c>
      <c r="DC51" s="111" t="n">
        <v>767</v>
      </c>
      <c r="DD51" s="111" t="n">
        <v>7</v>
      </c>
      <c r="DE51" s="111" t="n">
        <v>629</v>
      </c>
      <c r="DF51" s="111" t="n">
        <v>607</v>
      </c>
      <c r="DG51" s="111" t="n">
        <v>22</v>
      </c>
      <c r="DH51" s="111" t="n">
        <v>138</v>
      </c>
      <c r="DI51" s="111" t="n">
        <v>82</v>
      </c>
      <c r="DJ51" s="111" t="n">
        <v>56</v>
      </c>
      <c r="DK51" s="111" t="n">
        <v>1079</v>
      </c>
      <c r="DL51" s="111" t="n">
        <v>697</v>
      </c>
      <c r="DM51" s="111" t="n">
        <v>656</v>
      </c>
      <c r="DN51" s="111" t="n">
        <v>41</v>
      </c>
      <c r="DO51" s="111" t="n">
        <v>382</v>
      </c>
      <c r="DP51" s="111" t="n">
        <v>159</v>
      </c>
      <c r="DQ51" s="111" t="n">
        <v>223</v>
      </c>
      <c r="DR51" s="111" t="n">
        <v>112</v>
      </c>
      <c r="DS51" s="111" t="n">
        <v>1</v>
      </c>
      <c r="DT51" s="111" t="n">
        <v>21</v>
      </c>
      <c r="DU51" s="111" t="n">
        <v>13</v>
      </c>
      <c r="DV51" s="111" t="n">
        <v>8</v>
      </c>
      <c r="DW51" s="111" t="n">
        <v>91</v>
      </c>
      <c r="DX51" s="111" t="n">
        <v>36</v>
      </c>
      <c r="DY51" s="111" t="n">
        <v>55</v>
      </c>
      <c r="DZ51" s="111" t="n">
        <v>0</v>
      </c>
      <c r="EA51" s="111" t="n">
        <v>0</v>
      </c>
      <c r="EB51" s="111" t="n">
        <v>0</v>
      </c>
      <c r="EC51" s="111" t="n">
        <v>0</v>
      </c>
      <c r="ED51" s="111" t="n">
        <v>0</v>
      </c>
      <c r="EE51" s="111" t="n">
        <v>0</v>
      </c>
      <c r="EF51" s="111" t="n">
        <v>0</v>
      </c>
      <c r="EG51" s="111" t="n">
        <v>102</v>
      </c>
      <c r="EH51" s="111" t="n">
        <v>62</v>
      </c>
      <c r="EI51" s="111" t="n">
        <v>62</v>
      </c>
      <c r="EJ51" s="111" t="n">
        <v>0</v>
      </c>
      <c r="EK51" s="111" t="n">
        <v>40</v>
      </c>
      <c r="EL51" s="111" t="n">
        <v>40</v>
      </c>
      <c r="EM51" s="111" t="n">
        <v>0</v>
      </c>
      <c r="EN51" s="111" t="n">
        <v>109</v>
      </c>
      <c r="EO51" s="111" t="n">
        <v>0</v>
      </c>
      <c r="EP51" s="111" t="n">
        <v>0</v>
      </c>
      <c r="EQ51" s="111" t="n">
        <v>109</v>
      </c>
      <c r="ER51" s="111" t="n">
        <v>0</v>
      </c>
      <c r="ES51" s="111" t="n">
        <v>0</v>
      </c>
      <c r="ET51" s="111" t="n">
        <v>0</v>
      </c>
      <c r="EU51" s="111" t="n">
        <v>0</v>
      </c>
      <c r="EV51" s="111" t="n">
        <v>0</v>
      </c>
      <c r="EW51" s="111" t="n">
        <v>0</v>
      </c>
      <c r="EX51" s="111" t="n">
        <v>0</v>
      </c>
      <c r="EY51" s="111" t="n">
        <v>0</v>
      </c>
      <c r="EZ51" s="111" t="n">
        <v>0</v>
      </c>
      <c r="FA51" s="111" t="n">
        <v>0</v>
      </c>
      <c r="FB51" s="111" t="n">
        <v>102</v>
      </c>
    </row>
    <row r="52" ht="19.5" customHeight="1" s="247">
      <c r="A52" s="107" t="n">
        <v>49</v>
      </c>
      <c r="B52" s="107" t="inlineStr">
        <is>
          <t>医技平台</t>
        </is>
      </c>
      <c r="C52" s="107" t="inlineStr">
        <is>
          <t>临床营养科</t>
        </is>
      </c>
      <c r="D52" s="110" t="n">
        <v>366521</v>
      </c>
      <c r="E52" s="110" t="n">
        <v>366521</v>
      </c>
      <c r="F52" s="110" t="n">
        <v>0</v>
      </c>
      <c r="G52" s="110" t="n">
        <v>2589</v>
      </c>
      <c r="H52" s="110" t="n">
        <v>0</v>
      </c>
      <c r="I52" s="110" t="n">
        <v>166</v>
      </c>
      <c r="J52" s="110" t="n">
        <v>0</v>
      </c>
      <c r="K52" s="110" t="n">
        <v>0</v>
      </c>
      <c r="L52" s="110" t="n">
        <v>0</v>
      </c>
      <c r="M52" s="110" t="n">
        <v>0</v>
      </c>
      <c r="N52" s="110" t="n">
        <v>0</v>
      </c>
      <c r="O52" s="110" t="n">
        <v>761543.74</v>
      </c>
      <c r="P52" s="110" t="n">
        <v>700720.36</v>
      </c>
      <c r="Q52" s="110" t="n">
        <v>678708.5699999999</v>
      </c>
      <c r="R52" s="110" t="n">
        <v>22011.79</v>
      </c>
      <c r="S52" s="110" t="n">
        <v>60823.38</v>
      </c>
      <c r="T52" s="110" t="n">
        <v>37074.18</v>
      </c>
      <c r="U52" s="110" t="n">
        <v>23749.2</v>
      </c>
      <c r="V52" s="110" t="n">
        <v>761543.74</v>
      </c>
      <c r="W52" s="110" t="n">
        <v>700720.36</v>
      </c>
      <c r="X52" s="110" t="n">
        <v>678708.5699999999</v>
      </c>
      <c r="Y52" s="110" t="n">
        <v>22011.79</v>
      </c>
      <c r="Z52" s="110" t="n">
        <v>60823.38</v>
      </c>
      <c r="AA52" s="110" t="n">
        <v>37074.18</v>
      </c>
      <c r="AB52" s="110" t="n">
        <v>23749.2</v>
      </c>
      <c r="AC52" s="110" t="n">
        <v>395022.74</v>
      </c>
      <c r="AD52" s="110" t="n">
        <v>364204.36</v>
      </c>
      <c r="AE52" s="110" t="n">
        <v>361674.57</v>
      </c>
      <c r="AF52" s="110" t="n">
        <v>2529.79</v>
      </c>
      <c r="AG52" s="110" t="n">
        <v>30818.38</v>
      </c>
      <c r="AH52" s="110" t="n">
        <v>22982.18</v>
      </c>
      <c r="AI52" s="110" t="n">
        <v>7836.2</v>
      </c>
      <c r="AJ52" s="110" t="n">
        <v>0</v>
      </c>
      <c r="AK52" s="110" t="n">
        <v>0</v>
      </c>
      <c r="AL52" s="110" t="n">
        <v>0</v>
      </c>
      <c r="AM52" s="110" t="n">
        <v>0</v>
      </c>
      <c r="AN52" s="110" t="n">
        <v>0</v>
      </c>
      <c r="AO52" s="110" t="n">
        <v>0</v>
      </c>
      <c r="AP52" s="110" t="n">
        <v>0</v>
      </c>
      <c r="AQ52" s="110" t="n">
        <v>281334</v>
      </c>
      <c r="AR52" s="110" t="n">
        <v>260586</v>
      </c>
      <c r="AS52" s="110" t="n">
        <v>245090</v>
      </c>
      <c r="AT52" s="110" t="n">
        <v>15496</v>
      </c>
      <c r="AU52" s="110" t="n">
        <v>20748</v>
      </c>
      <c r="AV52" s="110" t="n">
        <v>9440</v>
      </c>
      <c r="AW52" s="110" t="n">
        <v>11308</v>
      </c>
      <c r="AX52" s="110" t="n">
        <v>85187</v>
      </c>
      <c r="AY52" s="110" t="n">
        <v>75930</v>
      </c>
      <c r="AZ52" s="110" t="n">
        <v>71944</v>
      </c>
      <c r="BA52" s="110" t="n">
        <v>3986</v>
      </c>
      <c r="BB52" s="110" t="n">
        <v>9257</v>
      </c>
      <c r="BC52" s="110" t="n">
        <v>4652</v>
      </c>
      <c r="BD52" s="110" t="n">
        <v>4605</v>
      </c>
      <c r="BE52" s="110" t="n">
        <v>0</v>
      </c>
      <c r="BF52" s="110" t="n">
        <v>0</v>
      </c>
      <c r="BG52" s="110" t="n">
        <v>0</v>
      </c>
      <c r="BH52" s="110" t="n">
        <v>0</v>
      </c>
      <c r="BI52" s="110" t="n">
        <v>0</v>
      </c>
      <c r="BJ52" s="110" t="n">
        <v>0</v>
      </c>
      <c r="BK52" s="110" t="n">
        <v>0</v>
      </c>
      <c r="BL52" s="110" t="n">
        <v>0</v>
      </c>
      <c r="BM52" s="110" t="n">
        <v>0</v>
      </c>
      <c r="BN52" s="110" t="n">
        <v>0</v>
      </c>
      <c r="BO52" s="110" t="n">
        <v>0</v>
      </c>
      <c r="BP52" s="110" t="n">
        <v>0</v>
      </c>
      <c r="BQ52" s="110" t="n">
        <v>0</v>
      </c>
      <c r="BR52" s="110" t="n">
        <v>0</v>
      </c>
      <c r="BS52" s="110" t="n">
        <v>0</v>
      </c>
      <c r="BT52" s="110" t="n">
        <v>0</v>
      </c>
      <c r="BU52" s="110" t="n">
        <v>0</v>
      </c>
      <c r="BV52" s="110" t="n">
        <v>0</v>
      </c>
      <c r="BW52" s="110" t="n">
        <v>0</v>
      </c>
      <c r="BX52" s="110" t="n">
        <v>0</v>
      </c>
      <c r="BY52" s="110" t="n">
        <v>0</v>
      </c>
      <c r="BZ52" s="110" t="n">
        <v>0</v>
      </c>
      <c r="CA52" s="110" t="n">
        <v>0</v>
      </c>
      <c r="CB52" s="110" t="n">
        <v>0</v>
      </c>
      <c r="CC52" s="110" t="n">
        <v>0</v>
      </c>
      <c r="CD52" s="110" t="n">
        <v>0</v>
      </c>
      <c r="CE52" s="110" t="n">
        <v>0</v>
      </c>
      <c r="CF52" s="110" t="n">
        <v>0</v>
      </c>
      <c r="CG52" s="110" t="n">
        <v>0</v>
      </c>
      <c r="CH52" s="110" t="n">
        <v>0</v>
      </c>
      <c r="CI52" s="110" t="n">
        <v>0</v>
      </c>
      <c r="CJ52" s="110" t="n">
        <v>0</v>
      </c>
      <c r="CK52" s="110" t="n">
        <v>0</v>
      </c>
      <c r="CL52" s="110" t="n">
        <v>0</v>
      </c>
      <c r="CM52" s="110" t="n">
        <v>0</v>
      </c>
      <c r="CN52" s="110" t="n">
        <v>0</v>
      </c>
      <c r="CO52" s="110" t="n">
        <v>286885.9</v>
      </c>
      <c r="CP52" s="110" t="n">
        <v>208392.92</v>
      </c>
      <c r="CQ52" s="110" t="n">
        <v>240656.68</v>
      </c>
      <c r="CR52" s="110" t="n">
        <v>22600.24</v>
      </c>
      <c r="CS52" s="110" t="n">
        <v>3008</v>
      </c>
      <c r="CT52" s="110" t="n">
        <v>0</v>
      </c>
      <c r="CU52" s="110" t="n">
        <v>0</v>
      </c>
      <c r="CV52" s="111" t="n">
        <v>2589</v>
      </c>
      <c r="CW52" s="111" t="n">
        <v>2383</v>
      </c>
      <c r="CX52" s="111" t="n">
        <v>2324</v>
      </c>
      <c r="CY52" s="111" t="n">
        <v>59</v>
      </c>
      <c r="CZ52" s="111" t="n">
        <v>206</v>
      </c>
      <c r="DA52" s="111" t="n">
        <v>140</v>
      </c>
      <c r="DB52" s="111" t="n">
        <v>66</v>
      </c>
      <c r="DC52" s="111" t="n">
        <v>1837</v>
      </c>
      <c r="DD52" s="111" t="n">
        <v>154</v>
      </c>
      <c r="DE52" s="111" t="n">
        <v>1726</v>
      </c>
      <c r="DF52" s="111" t="n">
        <v>1696</v>
      </c>
      <c r="DG52" s="111" t="n">
        <v>30</v>
      </c>
      <c r="DH52" s="111" t="n">
        <v>111</v>
      </c>
      <c r="DI52" s="111" t="n">
        <v>84</v>
      </c>
      <c r="DJ52" s="111" t="n">
        <v>27</v>
      </c>
      <c r="DK52" s="111" t="n">
        <v>552</v>
      </c>
      <c r="DL52" s="111" t="n">
        <v>483</v>
      </c>
      <c r="DM52" s="111" t="n">
        <v>464</v>
      </c>
      <c r="DN52" s="111" t="n">
        <v>19</v>
      </c>
      <c r="DO52" s="111" t="n">
        <v>69</v>
      </c>
      <c r="DP52" s="111" t="n">
        <v>43</v>
      </c>
      <c r="DQ52" s="111" t="n">
        <v>26</v>
      </c>
      <c r="DR52" s="111" t="n">
        <v>46</v>
      </c>
      <c r="DS52" s="111" t="n">
        <v>0</v>
      </c>
      <c r="DT52" s="111" t="n">
        <v>34</v>
      </c>
      <c r="DU52" s="111" t="n">
        <v>28</v>
      </c>
      <c r="DV52" s="111" t="n">
        <v>6</v>
      </c>
      <c r="DW52" s="111" t="n">
        <v>12</v>
      </c>
      <c r="DX52" s="111" t="n">
        <v>2</v>
      </c>
      <c r="DY52" s="111" t="n">
        <v>10</v>
      </c>
      <c r="DZ52" s="111" t="n">
        <v>0</v>
      </c>
      <c r="EA52" s="111" t="n">
        <v>0</v>
      </c>
      <c r="EB52" s="111" t="n">
        <v>0</v>
      </c>
      <c r="EC52" s="111" t="n">
        <v>0</v>
      </c>
      <c r="ED52" s="111" t="n">
        <v>0</v>
      </c>
      <c r="EE52" s="111" t="n">
        <v>0</v>
      </c>
      <c r="EF52" s="111" t="n">
        <v>0</v>
      </c>
      <c r="EG52" s="111" t="n">
        <v>0</v>
      </c>
      <c r="EH52" s="111" t="n">
        <v>0</v>
      </c>
      <c r="EI52" s="111" t="n">
        <v>0</v>
      </c>
      <c r="EJ52" s="111" t="n">
        <v>0</v>
      </c>
      <c r="EK52" s="111" t="n">
        <v>0</v>
      </c>
      <c r="EL52" s="111" t="n">
        <v>0</v>
      </c>
      <c r="EM52" s="111" t="n">
        <v>0</v>
      </c>
      <c r="EN52" s="111" t="n">
        <v>0</v>
      </c>
      <c r="EO52" s="111" t="n">
        <v>0</v>
      </c>
      <c r="EP52" s="111" t="n">
        <v>0</v>
      </c>
      <c r="EQ52" s="111" t="n">
        <v>0</v>
      </c>
      <c r="ER52" s="111" t="n">
        <v>0</v>
      </c>
      <c r="ES52" s="111" t="n">
        <v>0</v>
      </c>
      <c r="ET52" s="111" t="n">
        <v>0</v>
      </c>
      <c r="EU52" s="111" t="n">
        <v>0</v>
      </c>
      <c r="EV52" s="111" t="n">
        <v>0</v>
      </c>
      <c r="EW52" s="111" t="n">
        <v>0</v>
      </c>
      <c r="EX52" s="111" t="n">
        <v>0</v>
      </c>
      <c r="EY52" s="111" t="n">
        <v>0</v>
      </c>
      <c r="EZ52" s="111" t="n">
        <v>0</v>
      </c>
      <c r="FA52" s="111" t="n">
        <v>0</v>
      </c>
      <c r="FB52" s="111" t="n">
        <v>0</v>
      </c>
    </row>
    <row r="53" ht="19.5" customHeight="1" s="247">
      <c r="A53" s="107" t="n">
        <v>50</v>
      </c>
      <c r="B53" s="107" t="inlineStr">
        <is>
          <t>医技平台</t>
        </is>
      </c>
      <c r="C53" s="107" t="inlineStr">
        <is>
          <t>重症医学科(筹)</t>
        </is>
      </c>
      <c r="D53" s="110" t="n">
        <v>20978422.69</v>
      </c>
      <c r="E53" s="110" t="n">
        <v>0</v>
      </c>
      <c r="F53" s="110" t="n">
        <v>20978422.69</v>
      </c>
      <c r="G53" s="110" t="n">
        <v>0</v>
      </c>
      <c r="H53" s="110" t="n">
        <v>29</v>
      </c>
      <c r="I53" s="110" t="n">
        <v>0</v>
      </c>
      <c r="J53" s="110" t="n">
        <v>0</v>
      </c>
      <c r="K53" s="110" t="n">
        <v>0</v>
      </c>
      <c r="L53" s="110" t="n">
        <v>2155882.99</v>
      </c>
      <c r="M53" s="110" t="n">
        <v>5945226</v>
      </c>
      <c r="N53" s="110" t="n">
        <v>7897.21</v>
      </c>
      <c r="O53" s="110" t="n">
        <v>40919275.74</v>
      </c>
      <c r="P53" s="110" t="n">
        <v>26289772.09</v>
      </c>
      <c r="Q53" s="110" t="n">
        <v>24651721.8</v>
      </c>
      <c r="R53" s="110" t="n">
        <v>1638050.29</v>
      </c>
      <c r="S53" s="110" t="n">
        <v>14629503.65</v>
      </c>
      <c r="T53" s="110" t="n">
        <v>13774631.58</v>
      </c>
      <c r="U53" s="110" t="n">
        <v>854872.0699999999</v>
      </c>
      <c r="V53" s="110" t="n">
        <v>0</v>
      </c>
      <c r="W53" s="110" t="n">
        <v>0</v>
      </c>
      <c r="X53" s="110" t="n">
        <v>0</v>
      </c>
      <c r="Y53" s="110" t="n">
        <v>0</v>
      </c>
      <c r="Z53" s="110" t="n">
        <v>0</v>
      </c>
      <c r="AA53" s="110" t="n">
        <v>0</v>
      </c>
      <c r="AB53" s="110" t="n">
        <v>0</v>
      </c>
      <c r="AC53" s="110" t="n">
        <v>0</v>
      </c>
      <c r="AD53" s="110" t="n">
        <v>0</v>
      </c>
      <c r="AE53" s="110" t="n">
        <v>0</v>
      </c>
      <c r="AF53" s="110" t="n">
        <v>0</v>
      </c>
      <c r="AG53" s="110" t="n">
        <v>0</v>
      </c>
      <c r="AH53" s="110" t="n">
        <v>0</v>
      </c>
      <c r="AI53" s="110" t="n">
        <v>0</v>
      </c>
      <c r="AJ53" s="110" t="n">
        <v>0</v>
      </c>
      <c r="AK53" s="110" t="n">
        <v>0</v>
      </c>
      <c r="AL53" s="110" t="n">
        <v>0</v>
      </c>
      <c r="AM53" s="110" t="n">
        <v>0</v>
      </c>
      <c r="AN53" s="110" t="n">
        <v>0</v>
      </c>
      <c r="AO53" s="110" t="n">
        <v>0</v>
      </c>
      <c r="AP53" s="110" t="n">
        <v>0</v>
      </c>
      <c r="AQ53" s="110" t="n">
        <v>0</v>
      </c>
      <c r="AR53" s="110" t="n">
        <v>0</v>
      </c>
      <c r="AS53" s="110" t="n">
        <v>0</v>
      </c>
      <c r="AT53" s="110" t="n">
        <v>0</v>
      </c>
      <c r="AU53" s="110" t="n">
        <v>0</v>
      </c>
      <c r="AV53" s="110" t="n">
        <v>0</v>
      </c>
      <c r="AW53" s="110" t="n">
        <v>0</v>
      </c>
      <c r="AX53" s="110" t="n">
        <v>0</v>
      </c>
      <c r="AY53" s="110" t="n">
        <v>0</v>
      </c>
      <c r="AZ53" s="110" t="n">
        <v>0</v>
      </c>
      <c r="BA53" s="110" t="n">
        <v>0</v>
      </c>
      <c r="BB53" s="110" t="n">
        <v>0</v>
      </c>
      <c r="BC53" s="110" t="n">
        <v>0</v>
      </c>
      <c r="BD53" s="110" t="n">
        <v>0</v>
      </c>
      <c r="BE53" s="110" t="n">
        <v>40919275.74</v>
      </c>
      <c r="BF53" s="110" t="n">
        <v>26289772.09</v>
      </c>
      <c r="BG53" s="110" t="n">
        <v>24651721.8</v>
      </c>
      <c r="BH53" s="110" t="n">
        <v>1638050.29</v>
      </c>
      <c r="BI53" s="110" t="n">
        <v>14629503.65</v>
      </c>
      <c r="BJ53" s="110" t="n">
        <v>13774631.58</v>
      </c>
      <c r="BK53" s="110" t="n">
        <v>854872.0699999999</v>
      </c>
      <c r="BL53" s="110" t="n">
        <v>8618074.67</v>
      </c>
      <c r="BM53" s="110" t="n">
        <v>5441044.24</v>
      </c>
      <c r="BN53" s="110" t="n">
        <v>5160041.5</v>
      </c>
      <c r="BO53" s="110" t="n">
        <v>281002.74</v>
      </c>
      <c r="BP53" s="110" t="n">
        <v>3177030.43</v>
      </c>
      <c r="BQ53" s="110" t="n">
        <v>2987038.91</v>
      </c>
      <c r="BR53" s="110" t="n">
        <v>189991.52</v>
      </c>
      <c r="BS53" s="110" t="n">
        <v>11322778.38</v>
      </c>
      <c r="BT53" s="110" t="n">
        <v>7412809.63</v>
      </c>
      <c r="BU53" s="110" t="n">
        <v>6823135.93</v>
      </c>
      <c r="BV53" s="110" t="n">
        <v>589673.7</v>
      </c>
      <c r="BW53" s="110" t="n">
        <v>3909968.75</v>
      </c>
      <c r="BX53" s="110" t="n">
        <v>3624564.7</v>
      </c>
      <c r="BY53" s="110" t="n">
        <v>285404.05</v>
      </c>
      <c r="BZ53" s="110" t="n">
        <v>8695232.9</v>
      </c>
      <c r="CA53" s="110" t="n">
        <v>5666072.2</v>
      </c>
      <c r="CB53" s="110" t="n">
        <v>5388975.7</v>
      </c>
      <c r="CC53" s="110" t="n">
        <v>277096.5</v>
      </c>
      <c r="CD53" s="110" t="n">
        <v>3029160.7</v>
      </c>
      <c r="CE53" s="110" t="n">
        <v>2883473</v>
      </c>
      <c r="CF53" s="110" t="n">
        <v>145687.7</v>
      </c>
      <c r="CG53" s="110" t="n">
        <v>12283189.79</v>
      </c>
      <c r="CH53" s="110" t="n">
        <v>7769846.02</v>
      </c>
      <c r="CI53" s="110" t="n">
        <v>7279568.67</v>
      </c>
      <c r="CJ53" s="110" t="n">
        <v>490277.35</v>
      </c>
      <c r="CK53" s="110" t="n">
        <v>4513343.77</v>
      </c>
      <c r="CL53" s="110" t="n">
        <v>4279554.97</v>
      </c>
      <c r="CM53" s="110" t="n">
        <v>233788.8</v>
      </c>
      <c r="CN53" s="110" t="n">
        <v>0</v>
      </c>
      <c r="CO53" s="110" t="n">
        <v>0</v>
      </c>
      <c r="CP53" s="110" t="n">
        <v>0</v>
      </c>
      <c r="CQ53" s="110" t="n">
        <v>0</v>
      </c>
      <c r="CR53" s="110" t="n">
        <v>0</v>
      </c>
      <c r="CS53" s="110" t="n">
        <v>0</v>
      </c>
      <c r="CT53" s="110" t="n">
        <v>0</v>
      </c>
      <c r="CU53" s="110" t="n">
        <v>0</v>
      </c>
      <c r="CV53" s="111" t="n">
        <v>0</v>
      </c>
      <c r="CW53" s="111" t="n">
        <v>0</v>
      </c>
      <c r="CX53" s="111" t="n">
        <v>0</v>
      </c>
      <c r="CY53" s="111" t="n">
        <v>0</v>
      </c>
      <c r="CZ53" s="111" t="n">
        <v>0</v>
      </c>
      <c r="DA53" s="111" t="n">
        <v>0</v>
      </c>
      <c r="DB53" s="111" t="n">
        <v>0</v>
      </c>
      <c r="DC53" s="111" t="n">
        <v>0</v>
      </c>
      <c r="DD53" s="111" t="n">
        <v>0</v>
      </c>
      <c r="DE53" s="111" t="n">
        <v>0</v>
      </c>
      <c r="DF53" s="111" t="n">
        <v>0</v>
      </c>
      <c r="DG53" s="111" t="n">
        <v>0</v>
      </c>
      <c r="DH53" s="111" t="n">
        <v>0</v>
      </c>
      <c r="DI53" s="111" t="n">
        <v>0</v>
      </c>
      <c r="DJ53" s="111" t="n">
        <v>0</v>
      </c>
      <c r="DK53" s="111" t="n">
        <v>0</v>
      </c>
      <c r="DL53" s="111" t="n">
        <v>0</v>
      </c>
      <c r="DM53" s="111" t="n">
        <v>0</v>
      </c>
      <c r="DN53" s="111" t="n">
        <v>0</v>
      </c>
      <c r="DO53" s="111" t="n">
        <v>0</v>
      </c>
      <c r="DP53" s="111" t="n">
        <v>0</v>
      </c>
      <c r="DQ53" s="111" t="n">
        <v>0</v>
      </c>
      <c r="DR53" s="111" t="n">
        <v>0</v>
      </c>
      <c r="DS53" s="111" t="n">
        <v>0</v>
      </c>
      <c r="DT53" s="111" t="n">
        <v>0</v>
      </c>
      <c r="DU53" s="111" t="n">
        <v>0</v>
      </c>
      <c r="DV53" s="111" t="n">
        <v>0</v>
      </c>
      <c r="DW53" s="111" t="n">
        <v>0</v>
      </c>
      <c r="DX53" s="111" t="n">
        <v>0</v>
      </c>
      <c r="DY53" s="111" t="n">
        <v>0</v>
      </c>
      <c r="DZ53" s="111" t="n">
        <v>0</v>
      </c>
      <c r="EA53" s="111" t="n">
        <v>0</v>
      </c>
      <c r="EB53" s="111" t="n">
        <v>0</v>
      </c>
      <c r="EC53" s="111" t="n">
        <v>0</v>
      </c>
      <c r="ED53" s="111" t="n">
        <v>0</v>
      </c>
      <c r="EE53" s="111" t="n">
        <v>0</v>
      </c>
      <c r="EF53" s="111" t="n">
        <v>0</v>
      </c>
      <c r="EG53" s="111" t="n">
        <v>29</v>
      </c>
      <c r="EH53" s="111" t="n">
        <v>22</v>
      </c>
      <c r="EI53" s="111" t="n">
        <v>22</v>
      </c>
      <c r="EJ53" s="111" t="n">
        <v>0</v>
      </c>
      <c r="EK53" s="111" t="n">
        <v>7</v>
      </c>
      <c r="EL53" s="111" t="n">
        <v>6</v>
      </c>
      <c r="EM53" s="111" t="n">
        <v>1</v>
      </c>
      <c r="EN53" s="111" t="n">
        <v>26</v>
      </c>
      <c r="EO53" s="111" t="n">
        <v>0</v>
      </c>
      <c r="EP53" s="111" t="n">
        <v>0</v>
      </c>
      <c r="EQ53" s="111" t="n">
        <v>26</v>
      </c>
      <c r="ER53" s="111" t="n">
        <v>0</v>
      </c>
      <c r="ES53" s="111" t="n">
        <v>0</v>
      </c>
      <c r="ET53" s="111" t="n">
        <v>0</v>
      </c>
      <c r="EU53" s="111" t="n">
        <v>0</v>
      </c>
      <c r="EV53" s="111" t="n">
        <v>0</v>
      </c>
      <c r="EW53" s="111" t="n">
        <v>0</v>
      </c>
      <c r="EX53" s="111" t="n">
        <v>0</v>
      </c>
      <c r="EY53" s="111" t="n">
        <v>0</v>
      </c>
      <c r="EZ53" s="111" t="n">
        <v>0</v>
      </c>
      <c r="FA53" s="111" t="n">
        <v>0</v>
      </c>
      <c r="FB53" s="111" t="n">
        <v>0</v>
      </c>
    </row>
    <row r="54" ht="19.5" customHeight="1" s="247">
      <c r="A54" s="107" t="n">
        <v>51</v>
      </c>
      <c r="B54" s="107" t="inlineStr">
        <is>
          <t>成人手术</t>
        </is>
      </c>
      <c r="C54" s="107" t="inlineStr">
        <is>
          <t>疼痛科</t>
        </is>
      </c>
      <c r="D54" s="110" t="n">
        <v>8798151.5</v>
      </c>
      <c r="E54" s="110" t="n">
        <v>1545585.5</v>
      </c>
      <c r="F54" s="110" t="n">
        <v>7252566</v>
      </c>
      <c r="G54" s="110" t="n">
        <v>10463</v>
      </c>
      <c r="H54" s="110" t="n">
        <v>1475</v>
      </c>
      <c r="I54" s="110" t="n">
        <v>138542</v>
      </c>
      <c r="J54" s="110" t="n">
        <v>0</v>
      </c>
      <c r="K54" s="110" t="n">
        <v>843.85</v>
      </c>
      <c r="L54" s="110" t="n">
        <v>440616</v>
      </c>
      <c r="M54" s="110" t="n">
        <v>3849740.5</v>
      </c>
      <c r="N54" s="110" t="n">
        <v>0</v>
      </c>
      <c r="O54" s="110" t="n">
        <v>24466403.48</v>
      </c>
      <c r="P54" s="110" t="n">
        <v>17700970.54</v>
      </c>
      <c r="Q54" s="110" t="n">
        <v>17270915.3</v>
      </c>
      <c r="R54" s="110" t="n">
        <v>430055.24</v>
      </c>
      <c r="S54" s="110" t="n">
        <v>6765432.94</v>
      </c>
      <c r="T54" s="110" t="n">
        <v>6576334.33</v>
      </c>
      <c r="U54" s="110" t="n">
        <v>189098.61</v>
      </c>
      <c r="V54" s="110" t="n">
        <v>3564789.09</v>
      </c>
      <c r="W54" s="110" t="n">
        <v>3104662.55</v>
      </c>
      <c r="X54" s="110" t="n">
        <v>2968680.29</v>
      </c>
      <c r="Y54" s="110" t="n">
        <v>135982.26</v>
      </c>
      <c r="Z54" s="110" t="n">
        <v>460126.54</v>
      </c>
      <c r="AA54" s="110" t="n">
        <v>339475.59</v>
      </c>
      <c r="AB54" s="110" t="n">
        <v>120650.95</v>
      </c>
      <c r="AC54" s="110" t="n">
        <v>1975543.32</v>
      </c>
      <c r="AD54" s="110" t="n">
        <v>1747835.58</v>
      </c>
      <c r="AE54" s="110" t="n">
        <v>1692642.33</v>
      </c>
      <c r="AF54" s="110" t="n">
        <v>55193.25</v>
      </c>
      <c r="AG54" s="110" t="n">
        <v>227707.74</v>
      </c>
      <c r="AH54" s="110" t="n">
        <v>173194.19</v>
      </c>
      <c r="AI54" s="110" t="n">
        <v>54513.55</v>
      </c>
      <c r="AJ54" s="110" t="n">
        <v>43660.27</v>
      </c>
      <c r="AK54" s="110" t="n">
        <v>31928.47</v>
      </c>
      <c r="AL54" s="110" t="n">
        <v>31556.46</v>
      </c>
      <c r="AM54" s="110" t="n">
        <v>372.01</v>
      </c>
      <c r="AN54" s="110" t="n">
        <v>11731.8</v>
      </c>
      <c r="AO54" s="110" t="n">
        <v>9925.4</v>
      </c>
      <c r="AP54" s="110" t="n">
        <v>1806.4</v>
      </c>
      <c r="AQ54" s="110" t="n">
        <v>1062404</v>
      </c>
      <c r="AR54" s="110" t="n">
        <v>927374</v>
      </c>
      <c r="AS54" s="110" t="n">
        <v>870491</v>
      </c>
      <c r="AT54" s="110" t="n">
        <v>56883</v>
      </c>
      <c r="AU54" s="110" t="n">
        <v>135030</v>
      </c>
      <c r="AV54" s="110" t="n">
        <v>98286</v>
      </c>
      <c r="AW54" s="110" t="n">
        <v>36744</v>
      </c>
      <c r="AX54" s="110" t="n">
        <v>483181.5</v>
      </c>
      <c r="AY54" s="110" t="n">
        <v>397524.5</v>
      </c>
      <c r="AZ54" s="110" t="n">
        <v>373990.5</v>
      </c>
      <c r="BA54" s="110" t="n">
        <v>23534</v>
      </c>
      <c r="BB54" s="110" t="n">
        <v>85657</v>
      </c>
      <c r="BC54" s="110" t="n">
        <v>58070</v>
      </c>
      <c r="BD54" s="110" t="n">
        <v>27587</v>
      </c>
      <c r="BE54" s="110" t="n">
        <v>20901614.39</v>
      </c>
      <c r="BF54" s="110" t="n">
        <v>14596307.99</v>
      </c>
      <c r="BG54" s="110" t="n">
        <v>14302235.01</v>
      </c>
      <c r="BH54" s="110" t="n">
        <v>294072.98</v>
      </c>
      <c r="BI54" s="110" t="n">
        <v>6305306.4</v>
      </c>
      <c r="BJ54" s="110" t="n">
        <v>6236858.74</v>
      </c>
      <c r="BK54" s="110" t="n">
        <v>68447.66</v>
      </c>
      <c r="BL54" s="110" t="n">
        <v>916954.73</v>
      </c>
      <c r="BM54" s="110" t="n">
        <v>614146.4300000001</v>
      </c>
      <c r="BN54" s="110" t="n">
        <v>606730.38</v>
      </c>
      <c r="BO54" s="110" t="n">
        <v>7416.05</v>
      </c>
      <c r="BP54" s="110" t="n">
        <v>302808.3</v>
      </c>
      <c r="BQ54" s="110" t="n">
        <v>300984.59</v>
      </c>
      <c r="BR54" s="110" t="n">
        <v>1823.71</v>
      </c>
      <c r="BS54" s="110" t="n">
        <v>12732093.66</v>
      </c>
      <c r="BT54" s="110" t="n">
        <v>8900043.060000001</v>
      </c>
      <c r="BU54" s="110" t="n">
        <v>8773912.630000001</v>
      </c>
      <c r="BV54" s="110" t="n">
        <v>126130.43</v>
      </c>
      <c r="BW54" s="110" t="n">
        <v>3832050.6</v>
      </c>
      <c r="BX54" s="110" t="n">
        <v>3800435.15</v>
      </c>
      <c r="BY54" s="110" t="n">
        <v>31615.45</v>
      </c>
      <c r="BZ54" s="110" t="n">
        <v>2208266</v>
      </c>
      <c r="CA54" s="110" t="n">
        <v>1486025</v>
      </c>
      <c r="CB54" s="110" t="n">
        <v>1457409</v>
      </c>
      <c r="CC54" s="110" t="n">
        <v>28616</v>
      </c>
      <c r="CD54" s="110" t="n">
        <v>722241</v>
      </c>
      <c r="CE54" s="110" t="n">
        <v>714379</v>
      </c>
      <c r="CF54" s="110" t="n">
        <v>7862</v>
      </c>
      <c r="CG54" s="110" t="n">
        <v>5044300</v>
      </c>
      <c r="CH54" s="110" t="n">
        <v>3596093.5</v>
      </c>
      <c r="CI54" s="110" t="n">
        <v>3464183</v>
      </c>
      <c r="CJ54" s="110" t="n">
        <v>131910.5</v>
      </c>
      <c r="CK54" s="110" t="n">
        <v>1448206.5</v>
      </c>
      <c r="CL54" s="110" t="n">
        <v>1421060</v>
      </c>
      <c r="CM54" s="110" t="n">
        <v>27146.5</v>
      </c>
      <c r="CN54" s="110" t="n">
        <v>0</v>
      </c>
      <c r="CO54" s="110" t="n">
        <v>2317554.41</v>
      </c>
      <c r="CP54" s="110" t="n">
        <v>1032670.72</v>
      </c>
      <c r="CQ54" s="110" t="n">
        <v>172412.34</v>
      </c>
      <c r="CR54" s="110" t="n">
        <v>42151.62</v>
      </c>
      <c r="CS54" s="110" t="n">
        <v>0</v>
      </c>
      <c r="CT54" s="110" t="n">
        <v>208504.99</v>
      </c>
      <c r="CU54" s="110" t="n">
        <v>0</v>
      </c>
      <c r="CV54" s="111" t="n">
        <v>10463</v>
      </c>
      <c r="CW54" s="111" t="n">
        <v>8808</v>
      </c>
      <c r="CX54" s="111" t="n">
        <v>8363</v>
      </c>
      <c r="CY54" s="111" t="n">
        <v>445</v>
      </c>
      <c r="CZ54" s="111" t="n">
        <v>1655</v>
      </c>
      <c r="DA54" s="111" t="n">
        <v>1172</v>
      </c>
      <c r="DB54" s="111" t="n">
        <v>483</v>
      </c>
      <c r="DC54" s="111" t="n">
        <v>7095</v>
      </c>
      <c r="DD54" s="111" t="n">
        <v>0</v>
      </c>
      <c r="DE54" s="111" t="n">
        <v>6155</v>
      </c>
      <c r="DF54" s="111" t="n">
        <v>5881</v>
      </c>
      <c r="DG54" s="111" t="n">
        <v>274</v>
      </c>
      <c r="DH54" s="111" t="n">
        <v>940</v>
      </c>
      <c r="DI54" s="111" t="n">
        <v>681</v>
      </c>
      <c r="DJ54" s="111" t="n">
        <v>259</v>
      </c>
      <c r="DK54" s="111" t="n">
        <v>3271</v>
      </c>
      <c r="DL54" s="111" t="n">
        <v>2602</v>
      </c>
      <c r="DM54" s="111" t="n">
        <v>2442</v>
      </c>
      <c r="DN54" s="111" t="n">
        <v>160</v>
      </c>
      <c r="DO54" s="111" t="n">
        <v>669</v>
      </c>
      <c r="DP54" s="111" t="n">
        <v>466</v>
      </c>
      <c r="DQ54" s="111" t="n">
        <v>203</v>
      </c>
      <c r="DR54" s="111" t="n">
        <v>97</v>
      </c>
      <c r="DS54" s="111" t="n">
        <v>0</v>
      </c>
      <c r="DT54" s="111" t="n">
        <v>51</v>
      </c>
      <c r="DU54" s="111" t="n">
        <v>40</v>
      </c>
      <c r="DV54" s="111" t="n">
        <v>11</v>
      </c>
      <c r="DW54" s="111" t="n">
        <v>46</v>
      </c>
      <c r="DX54" s="111" t="n">
        <v>25</v>
      </c>
      <c r="DY54" s="111" t="n">
        <v>21</v>
      </c>
      <c r="DZ54" s="111" t="n">
        <v>0</v>
      </c>
      <c r="EA54" s="111" t="n">
        <v>0</v>
      </c>
      <c r="EB54" s="111" t="n">
        <v>0</v>
      </c>
      <c r="EC54" s="111" t="n">
        <v>0</v>
      </c>
      <c r="ED54" s="111" t="n">
        <v>0</v>
      </c>
      <c r="EE54" s="111" t="n">
        <v>0</v>
      </c>
      <c r="EF54" s="111" t="n">
        <v>0</v>
      </c>
      <c r="EG54" s="111" t="n">
        <v>1475</v>
      </c>
      <c r="EH54" s="111" t="n">
        <v>1052</v>
      </c>
      <c r="EI54" s="111" t="n">
        <v>1034</v>
      </c>
      <c r="EJ54" s="111" t="n">
        <v>18</v>
      </c>
      <c r="EK54" s="111" t="n">
        <v>423</v>
      </c>
      <c r="EL54" s="111" t="n">
        <v>418</v>
      </c>
      <c r="EM54" s="111" t="n">
        <v>5</v>
      </c>
      <c r="EN54" s="111" t="n">
        <v>1336</v>
      </c>
      <c r="EO54" s="111" t="n">
        <v>1315</v>
      </c>
      <c r="EP54" s="111" t="n">
        <v>0</v>
      </c>
      <c r="EQ54" s="111" t="n">
        <v>21</v>
      </c>
      <c r="ER54" s="111" t="n">
        <v>11</v>
      </c>
      <c r="ES54" s="111" t="n">
        <v>0</v>
      </c>
      <c r="ET54" s="111" t="n">
        <v>0</v>
      </c>
      <c r="EU54" s="111" t="n">
        <v>54</v>
      </c>
      <c r="EV54" s="111" t="n">
        <v>53</v>
      </c>
      <c r="EW54" s="111" t="n">
        <v>0</v>
      </c>
      <c r="EX54" s="111" t="n">
        <v>1</v>
      </c>
      <c r="EY54" s="111" t="n">
        <v>43</v>
      </c>
      <c r="EZ54" s="111" t="n">
        <v>43</v>
      </c>
      <c r="FA54" s="111" t="n">
        <v>0</v>
      </c>
      <c r="FB54" s="111" t="n">
        <v>10</v>
      </c>
    </row>
    <row r="55" ht="19.5" customHeight="1" s="247">
      <c r="A55" s="107" t="n">
        <v>52</v>
      </c>
      <c r="B55" s="107" t="inlineStr">
        <is>
          <t>成人非手术</t>
        </is>
      </c>
      <c r="C55" s="107" t="inlineStr">
        <is>
          <t>生殖医学中心</t>
        </is>
      </c>
      <c r="D55" s="110" t="n">
        <v>12339282.5</v>
      </c>
      <c r="E55" s="110" t="n">
        <v>12339282.5</v>
      </c>
      <c r="F55" s="110" t="n">
        <v>0</v>
      </c>
      <c r="G55" s="110" t="n">
        <v>9876</v>
      </c>
      <c r="H55" s="110" t="n">
        <v>0</v>
      </c>
      <c r="I55" s="110" t="n">
        <v>6187755</v>
      </c>
      <c r="J55" s="110" t="n">
        <v>35420</v>
      </c>
      <c r="K55" s="110" t="n">
        <v>0</v>
      </c>
      <c r="L55" s="110" t="n">
        <v>0</v>
      </c>
      <c r="M55" s="110" t="n">
        <v>0</v>
      </c>
      <c r="N55" s="110" t="n">
        <v>0</v>
      </c>
      <c r="O55" s="110" t="n">
        <v>14797766.03</v>
      </c>
      <c r="P55" s="110" t="n">
        <v>11443003.31</v>
      </c>
      <c r="Q55" s="110" t="n">
        <v>10941920.73</v>
      </c>
      <c r="R55" s="110" t="n">
        <v>501082.58</v>
      </c>
      <c r="S55" s="110" t="n">
        <v>3354762.72</v>
      </c>
      <c r="T55" s="110" t="n">
        <v>2215683.18</v>
      </c>
      <c r="U55" s="110" t="n">
        <v>1139079.54</v>
      </c>
      <c r="V55" s="110" t="n">
        <v>14797766.03</v>
      </c>
      <c r="W55" s="110" t="n">
        <v>11443003.31</v>
      </c>
      <c r="X55" s="110" t="n">
        <v>10941920.73</v>
      </c>
      <c r="Y55" s="110" t="n">
        <v>501082.58</v>
      </c>
      <c r="Z55" s="110" t="n">
        <v>3354762.72</v>
      </c>
      <c r="AA55" s="110" t="n">
        <v>2215683.18</v>
      </c>
      <c r="AB55" s="110" t="n">
        <v>1139079.54</v>
      </c>
      <c r="AC55" s="110" t="n">
        <v>2454432.93</v>
      </c>
      <c r="AD55" s="110" t="n">
        <v>1991636.46</v>
      </c>
      <c r="AE55" s="110" t="n">
        <v>1909458.88</v>
      </c>
      <c r="AF55" s="110" t="n">
        <v>82177.58</v>
      </c>
      <c r="AG55" s="110" t="n">
        <v>462796.47</v>
      </c>
      <c r="AH55" s="110" t="n">
        <v>322308.02</v>
      </c>
      <c r="AI55" s="110" t="n">
        <v>140488.45</v>
      </c>
      <c r="AJ55" s="110" t="n">
        <v>4050.6</v>
      </c>
      <c r="AK55" s="110" t="n">
        <v>2604.35</v>
      </c>
      <c r="AL55" s="110" t="n">
        <v>2604.35</v>
      </c>
      <c r="AM55" s="110" t="n">
        <v>0</v>
      </c>
      <c r="AN55" s="110" t="n">
        <v>1446.25</v>
      </c>
      <c r="AO55" s="110" t="n">
        <v>791.16</v>
      </c>
      <c r="AP55" s="110" t="n">
        <v>655.09</v>
      </c>
      <c r="AQ55" s="110" t="n">
        <v>5379914.5</v>
      </c>
      <c r="AR55" s="110" t="n">
        <v>4093078.5</v>
      </c>
      <c r="AS55" s="110" t="n">
        <v>3896781.5</v>
      </c>
      <c r="AT55" s="110" t="n">
        <v>196297</v>
      </c>
      <c r="AU55" s="110" t="n">
        <v>1286836</v>
      </c>
      <c r="AV55" s="110" t="n">
        <v>753109</v>
      </c>
      <c r="AW55" s="110" t="n">
        <v>533727</v>
      </c>
      <c r="AX55" s="110" t="n">
        <v>6959368</v>
      </c>
      <c r="AY55" s="110" t="n">
        <v>5355684</v>
      </c>
      <c r="AZ55" s="110" t="n">
        <v>5133076</v>
      </c>
      <c r="BA55" s="110" t="n">
        <v>222608</v>
      </c>
      <c r="BB55" s="110" t="n">
        <v>1603684</v>
      </c>
      <c r="BC55" s="110" t="n">
        <v>1139475</v>
      </c>
      <c r="BD55" s="110" t="n">
        <v>464209</v>
      </c>
      <c r="BE55" s="110" t="n">
        <v>0</v>
      </c>
      <c r="BF55" s="110" t="n">
        <v>0</v>
      </c>
      <c r="BG55" s="110" t="n">
        <v>0</v>
      </c>
      <c r="BH55" s="110" t="n">
        <v>0</v>
      </c>
      <c r="BI55" s="110" t="n">
        <v>0</v>
      </c>
      <c r="BJ55" s="110" t="n">
        <v>0</v>
      </c>
      <c r="BK55" s="110" t="n">
        <v>0</v>
      </c>
      <c r="BL55" s="110" t="n">
        <v>0</v>
      </c>
      <c r="BM55" s="110" t="n">
        <v>0</v>
      </c>
      <c r="BN55" s="110" t="n">
        <v>0</v>
      </c>
      <c r="BO55" s="110" t="n">
        <v>0</v>
      </c>
      <c r="BP55" s="110" t="n">
        <v>0</v>
      </c>
      <c r="BQ55" s="110" t="n">
        <v>0</v>
      </c>
      <c r="BR55" s="110" t="n">
        <v>0</v>
      </c>
      <c r="BS55" s="110" t="n">
        <v>0</v>
      </c>
      <c r="BT55" s="110" t="n">
        <v>0</v>
      </c>
      <c r="BU55" s="110" t="n">
        <v>0</v>
      </c>
      <c r="BV55" s="110" t="n">
        <v>0</v>
      </c>
      <c r="BW55" s="110" t="n">
        <v>0</v>
      </c>
      <c r="BX55" s="110" t="n">
        <v>0</v>
      </c>
      <c r="BY55" s="110" t="n">
        <v>0</v>
      </c>
      <c r="BZ55" s="110" t="n">
        <v>0</v>
      </c>
      <c r="CA55" s="110" t="n">
        <v>0</v>
      </c>
      <c r="CB55" s="110" t="n">
        <v>0</v>
      </c>
      <c r="CC55" s="110" t="n">
        <v>0</v>
      </c>
      <c r="CD55" s="110" t="n">
        <v>0</v>
      </c>
      <c r="CE55" s="110" t="n">
        <v>0</v>
      </c>
      <c r="CF55" s="110" t="n">
        <v>0</v>
      </c>
      <c r="CG55" s="110" t="n">
        <v>0</v>
      </c>
      <c r="CH55" s="110" t="n">
        <v>0</v>
      </c>
      <c r="CI55" s="110" t="n">
        <v>0</v>
      </c>
      <c r="CJ55" s="110" t="n">
        <v>0</v>
      </c>
      <c r="CK55" s="110" t="n">
        <v>0</v>
      </c>
      <c r="CL55" s="110" t="n">
        <v>0</v>
      </c>
      <c r="CM55" s="110" t="n">
        <v>0</v>
      </c>
      <c r="CN55" s="110" t="n">
        <v>1771.36</v>
      </c>
      <c r="CO55" s="110" t="n">
        <v>2971015.13</v>
      </c>
      <c r="CP55" s="110" t="n">
        <v>7250347.43</v>
      </c>
      <c r="CQ55" s="110" t="n">
        <v>725766.9300000001</v>
      </c>
      <c r="CR55" s="110" t="n">
        <v>3807612.18</v>
      </c>
      <c r="CS55" s="110" t="n">
        <v>41253</v>
      </c>
      <c r="CT55" s="110" t="n">
        <v>0</v>
      </c>
      <c r="CU55" s="110" t="n">
        <v>0</v>
      </c>
      <c r="CV55" s="111" t="n">
        <v>9876</v>
      </c>
      <c r="CW55" s="111" t="n">
        <v>8434</v>
      </c>
      <c r="CX55" s="111" t="n">
        <v>7995</v>
      </c>
      <c r="CY55" s="111" t="n">
        <v>439</v>
      </c>
      <c r="CZ55" s="111" t="n">
        <v>1442</v>
      </c>
      <c r="DA55" s="111" t="n">
        <v>842</v>
      </c>
      <c r="DB55" s="111" t="n">
        <v>600</v>
      </c>
      <c r="DC55" s="111" t="n">
        <v>3553</v>
      </c>
      <c r="DD55" s="111" t="n">
        <v>0</v>
      </c>
      <c r="DE55" s="111" t="n">
        <v>3078</v>
      </c>
      <c r="DF55" s="111" t="n">
        <v>2939</v>
      </c>
      <c r="DG55" s="111" t="n">
        <v>139</v>
      </c>
      <c r="DH55" s="111" t="n">
        <v>475</v>
      </c>
      <c r="DI55" s="111" t="n">
        <v>262</v>
      </c>
      <c r="DJ55" s="111" t="n">
        <v>213</v>
      </c>
      <c r="DK55" s="111" t="n">
        <v>5676</v>
      </c>
      <c r="DL55" s="111" t="n">
        <v>4852</v>
      </c>
      <c r="DM55" s="111" t="n">
        <v>4573</v>
      </c>
      <c r="DN55" s="111" t="n">
        <v>279</v>
      </c>
      <c r="DO55" s="111" t="n">
        <v>824</v>
      </c>
      <c r="DP55" s="111" t="n">
        <v>491</v>
      </c>
      <c r="DQ55" s="111" t="n">
        <v>333</v>
      </c>
      <c r="DR55" s="111" t="n">
        <v>643</v>
      </c>
      <c r="DS55" s="111" t="n">
        <v>0</v>
      </c>
      <c r="DT55" s="111" t="n">
        <v>501</v>
      </c>
      <c r="DU55" s="111" t="n">
        <v>480</v>
      </c>
      <c r="DV55" s="111" t="n">
        <v>21</v>
      </c>
      <c r="DW55" s="111" t="n">
        <v>142</v>
      </c>
      <c r="DX55" s="111" t="n">
        <v>89</v>
      </c>
      <c r="DY55" s="111" t="n">
        <v>53</v>
      </c>
      <c r="DZ55" s="111" t="n">
        <v>4</v>
      </c>
      <c r="EA55" s="111" t="n">
        <v>3</v>
      </c>
      <c r="EB55" s="111" t="n">
        <v>3</v>
      </c>
      <c r="EC55" s="111" t="n">
        <v>0</v>
      </c>
      <c r="ED55" s="111" t="n">
        <v>1</v>
      </c>
      <c r="EE55" s="111" t="n">
        <v>0</v>
      </c>
      <c r="EF55" s="111" t="n">
        <v>1</v>
      </c>
      <c r="EG55" s="111" t="n">
        <v>0</v>
      </c>
      <c r="EH55" s="111" t="n">
        <v>0</v>
      </c>
      <c r="EI55" s="111" t="n">
        <v>0</v>
      </c>
      <c r="EJ55" s="111" t="n">
        <v>0</v>
      </c>
      <c r="EK55" s="111" t="n">
        <v>0</v>
      </c>
      <c r="EL55" s="111" t="n">
        <v>0</v>
      </c>
      <c r="EM55" s="111" t="n">
        <v>0</v>
      </c>
      <c r="EN55" s="111" t="n">
        <v>0</v>
      </c>
      <c r="EO55" s="111" t="n">
        <v>0</v>
      </c>
      <c r="EP55" s="111" t="n">
        <v>0</v>
      </c>
      <c r="EQ55" s="111" t="n">
        <v>0</v>
      </c>
      <c r="ER55" s="111" t="n">
        <v>0</v>
      </c>
      <c r="ES55" s="111" t="n">
        <v>0</v>
      </c>
      <c r="ET55" s="111" t="n">
        <v>0</v>
      </c>
      <c r="EU55" s="111" t="n">
        <v>0</v>
      </c>
      <c r="EV55" s="111" t="n">
        <v>0</v>
      </c>
      <c r="EW55" s="111" t="n">
        <v>0</v>
      </c>
      <c r="EX55" s="111" t="n">
        <v>0</v>
      </c>
      <c r="EY55" s="111" t="n">
        <v>0</v>
      </c>
      <c r="EZ55" s="111" t="n">
        <v>0</v>
      </c>
      <c r="FA55" s="111" t="n">
        <v>0</v>
      </c>
      <c r="FB55" s="111" t="n">
        <v>0</v>
      </c>
    </row>
    <row r="56" ht="19.5" customHeight="1" s="247">
      <c r="A56" s="107" t="n">
        <v>53</v>
      </c>
      <c r="B56" s="107" t="inlineStr">
        <is>
          <t>其他</t>
        </is>
      </c>
      <c r="C56" s="107" t="inlineStr">
        <is>
          <t>上海市罕见病诊治中心</t>
        </is>
      </c>
      <c r="D56" s="110" t="n">
        <v>16533</v>
      </c>
      <c r="E56" s="110" t="n">
        <v>16533</v>
      </c>
      <c r="F56" s="110" t="n">
        <v>0</v>
      </c>
      <c r="G56" s="110" t="n">
        <v>61</v>
      </c>
      <c r="H56" s="110" t="n">
        <v>0</v>
      </c>
      <c r="I56" s="110" t="n">
        <v>16</v>
      </c>
      <c r="J56" s="110" t="n">
        <v>0</v>
      </c>
      <c r="K56" s="110" t="n">
        <v>0</v>
      </c>
      <c r="L56" s="110" t="n">
        <v>0</v>
      </c>
      <c r="M56" s="110" t="n">
        <v>0</v>
      </c>
      <c r="N56" s="110" t="n">
        <v>0</v>
      </c>
      <c r="O56" s="110" t="n">
        <v>818120.27</v>
      </c>
      <c r="P56" s="110" t="n">
        <v>813352.27</v>
      </c>
      <c r="Q56" s="110" t="n">
        <v>813277.27</v>
      </c>
      <c r="R56" s="110" t="n">
        <v>75</v>
      </c>
      <c r="S56" s="110" t="n">
        <v>4768</v>
      </c>
      <c r="T56" s="110" t="n">
        <v>4668</v>
      </c>
      <c r="U56" s="110" t="n">
        <v>100</v>
      </c>
      <c r="V56" s="110" t="n">
        <v>818120.27</v>
      </c>
      <c r="W56" s="110" t="n">
        <v>813352.27</v>
      </c>
      <c r="X56" s="110" t="n">
        <v>813277.27</v>
      </c>
      <c r="Y56" s="110" t="n">
        <v>75</v>
      </c>
      <c r="Z56" s="110" t="n">
        <v>4768</v>
      </c>
      <c r="AA56" s="110" t="n">
        <v>4668</v>
      </c>
      <c r="AB56" s="110" t="n">
        <v>100</v>
      </c>
      <c r="AC56" s="110" t="n">
        <v>801544.27</v>
      </c>
      <c r="AD56" s="110" t="n">
        <v>801111.27</v>
      </c>
      <c r="AE56" s="110" t="n">
        <v>801111.27</v>
      </c>
      <c r="AF56" s="110" t="n">
        <v>0</v>
      </c>
      <c r="AG56" s="110" t="n">
        <v>433</v>
      </c>
      <c r="AH56" s="110" t="n">
        <v>433</v>
      </c>
      <c r="AI56" s="110" t="n">
        <v>0</v>
      </c>
      <c r="AJ56" s="110" t="n">
        <v>43</v>
      </c>
      <c r="AK56" s="110" t="n">
        <v>0</v>
      </c>
      <c r="AL56" s="110" t="n">
        <v>0</v>
      </c>
      <c r="AM56" s="110" t="n">
        <v>0</v>
      </c>
      <c r="AN56" s="110" t="n">
        <v>43</v>
      </c>
      <c r="AO56" s="110" t="n">
        <v>43</v>
      </c>
      <c r="AP56" s="110" t="n">
        <v>0</v>
      </c>
      <c r="AQ56" s="110" t="n">
        <v>14992</v>
      </c>
      <c r="AR56" s="110" t="n">
        <v>10875</v>
      </c>
      <c r="AS56" s="110" t="n">
        <v>10875</v>
      </c>
      <c r="AT56" s="110" t="n">
        <v>0</v>
      </c>
      <c r="AU56" s="110" t="n">
        <v>4117</v>
      </c>
      <c r="AV56" s="110" t="n">
        <v>4117</v>
      </c>
      <c r="AW56" s="110" t="n">
        <v>0</v>
      </c>
      <c r="AX56" s="110" t="n">
        <v>1541</v>
      </c>
      <c r="AY56" s="110" t="n">
        <v>1366</v>
      </c>
      <c r="AZ56" s="110" t="n">
        <v>1291</v>
      </c>
      <c r="BA56" s="110" t="n">
        <v>75</v>
      </c>
      <c r="BB56" s="110" t="n">
        <v>175</v>
      </c>
      <c r="BC56" s="110" t="n">
        <v>75</v>
      </c>
      <c r="BD56" s="110" t="n">
        <v>100</v>
      </c>
      <c r="BE56" s="110" t="n">
        <v>0</v>
      </c>
      <c r="BF56" s="110" t="n">
        <v>0</v>
      </c>
      <c r="BG56" s="110" t="n">
        <v>0</v>
      </c>
      <c r="BH56" s="110" t="n">
        <v>0</v>
      </c>
      <c r="BI56" s="110" t="n">
        <v>0</v>
      </c>
      <c r="BJ56" s="110" t="n">
        <v>0</v>
      </c>
      <c r="BK56" s="110" t="n">
        <v>0</v>
      </c>
      <c r="BL56" s="110" t="n">
        <v>0</v>
      </c>
      <c r="BM56" s="110" t="n">
        <v>0</v>
      </c>
      <c r="BN56" s="110" t="n">
        <v>0</v>
      </c>
      <c r="BO56" s="110" t="n">
        <v>0</v>
      </c>
      <c r="BP56" s="110" t="n">
        <v>0</v>
      </c>
      <c r="BQ56" s="110" t="n">
        <v>0</v>
      </c>
      <c r="BR56" s="110" t="n">
        <v>0</v>
      </c>
      <c r="BS56" s="110" t="n">
        <v>0</v>
      </c>
      <c r="BT56" s="110" t="n">
        <v>0</v>
      </c>
      <c r="BU56" s="110" t="n">
        <v>0</v>
      </c>
      <c r="BV56" s="110" t="n">
        <v>0</v>
      </c>
      <c r="BW56" s="110" t="n">
        <v>0</v>
      </c>
      <c r="BX56" s="110" t="n">
        <v>0</v>
      </c>
      <c r="BY56" s="110" t="n">
        <v>0</v>
      </c>
      <c r="BZ56" s="110" t="n">
        <v>0</v>
      </c>
      <c r="CA56" s="110" t="n">
        <v>0</v>
      </c>
      <c r="CB56" s="110" t="n">
        <v>0</v>
      </c>
      <c r="CC56" s="110" t="n">
        <v>0</v>
      </c>
      <c r="CD56" s="110" t="n">
        <v>0</v>
      </c>
      <c r="CE56" s="110" t="n">
        <v>0</v>
      </c>
      <c r="CF56" s="110" t="n">
        <v>0</v>
      </c>
      <c r="CG56" s="110" t="n">
        <v>0</v>
      </c>
      <c r="CH56" s="110" t="n">
        <v>0</v>
      </c>
      <c r="CI56" s="110" t="n">
        <v>0</v>
      </c>
      <c r="CJ56" s="110" t="n">
        <v>0</v>
      </c>
      <c r="CK56" s="110" t="n">
        <v>0</v>
      </c>
      <c r="CL56" s="110" t="n">
        <v>0</v>
      </c>
      <c r="CM56" s="110" t="n">
        <v>0</v>
      </c>
      <c r="CN56" s="110" t="n">
        <v>0</v>
      </c>
      <c r="CO56" s="110" t="n">
        <v>0</v>
      </c>
      <c r="CP56" s="110" t="n">
        <v>0</v>
      </c>
      <c r="CQ56" s="110" t="n">
        <v>818120.27</v>
      </c>
      <c r="CR56" s="110" t="n">
        <v>0</v>
      </c>
      <c r="CS56" s="110" t="n">
        <v>0</v>
      </c>
      <c r="CT56" s="110" t="n">
        <v>0</v>
      </c>
      <c r="CU56" s="110" t="n">
        <v>0</v>
      </c>
      <c r="CV56" s="111" t="n">
        <v>61</v>
      </c>
      <c r="CW56" s="111" t="n">
        <v>54</v>
      </c>
      <c r="CX56" s="111" t="n">
        <v>51</v>
      </c>
      <c r="CY56" s="111" t="n">
        <v>3</v>
      </c>
      <c r="CZ56" s="111" t="n">
        <v>7</v>
      </c>
      <c r="DA56" s="111" t="n">
        <v>3</v>
      </c>
      <c r="DB56" s="111" t="n">
        <v>4</v>
      </c>
      <c r="DC56" s="111" t="n">
        <v>61</v>
      </c>
      <c r="DD56" s="111" t="n">
        <v>0</v>
      </c>
      <c r="DE56" s="111" t="n">
        <v>54</v>
      </c>
      <c r="DF56" s="111" t="n">
        <v>51</v>
      </c>
      <c r="DG56" s="111" t="n">
        <v>3</v>
      </c>
      <c r="DH56" s="111" t="n">
        <v>7</v>
      </c>
      <c r="DI56" s="111" t="n">
        <v>3</v>
      </c>
      <c r="DJ56" s="111" t="n">
        <v>4</v>
      </c>
      <c r="DK56" s="111" t="n">
        <v>0</v>
      </c>
      <c r="DL56" s="111" t="n">
        <v>0</v>
      </c>
      <c r="DM56" s="111" t="n">
        <v>0</v>
      </c>
      <c r="DN56" s="111" t="n">
        <v>0</v>
      </c>
      <c r="DO56" s="111" t="n">
        <v>0</v>
      </c>
      <c r="DP56" s="111" t="n">
        <v>0</v>
      </c>
      <c r="DQ56" s="111" t="n">
        <v>0</v>
      </c>
      <c r="DR56" s="111" t="n">
        <v>0</v>
      </c>
      <c r="DS56" s="111" t="n">
        <v>0</v>
      </c>
      <c r="DT56" s="111" t="n">
        <v>0</v>
      </c>
      <c r="DU56" s="111" t="n">
        <v>0</v>
      </c>
      <c r="DV56" s="111" t="n">
        <v>0</v>
      </c>
      <c r="DW56" s="111" t="n">
        <v>0</v>
      </c>
      <c r="DX56" s="111" t="n">
        <v>0</v>
      </c>
      <c r="DY56" s="111" t="n">
        <v>0</v>
      </c>
      <c r="DZ56" s="111" t="n">
        <v>0</v>
      </c>
      <c r="EA56" s="111" t="n">
        <v>0</v>
      </c>
      <c r="EB56" s="111" t="n">
        <v>0</v>
      </c>
      <c r="EC56" s="111" t="n">
        <v>0</v>
      </c>
      <c r="ED56" s="111" t="n">
        <v>0</v>
      </c>
      <c r="EE56" s="111" t="n">
        <v>0</v>
      </c>
      <c r="EF56" s="111" t="n">
        <v>0</v>
      </c>
      <c r="EG56" s="111" t="n">
        <v>0</v>
      </c>
      <c r="EH56" s="111" t="n">
        <v>0</v>
      </c>
      <c r="EI56" s="111" t="n">
        <v>0</v>
      </c>
      <c r="EJ56" s="111" t="n">
        <v>0</v>
      </c>
      <c r="EK56" s="111" t="n">
        <v>0</v>
      </c>
      <c r="EL56" s="111" t="n">
        <v>0</v>
      </c>
      <c r="EM56" s="111" t="n">
        <v>0</v>
      </c>
      <c r="EN56" s="111" t="n">
        <v>0</v>
      </c>
      <c r="EO56" s="111" t="n">
        <v>0</v>
      </c>
      <c r="EP56" s="111" t="n">
        <v>0</v>
      </c>
      <c r="EQ56" s="111" t="n">
        <v>0</v>
      </c>
      <c r="ER56" s="111" t="n">
        <v>0</v>
      </c>
      <c r="ES56" s="111" t="n">
        <v>0</v>
      </c>
      <c r="ET56" s="111" t="n">
        <v>0</v>
      </c>
      <c r="EU56" s="111" t="n">
        <v>0</v>
      </c>
      <c r="EV56" s="111" t="n">
        <v>0</v>
      </c>
      <c r="EW56" s="111" t="n">
        <v>0</v>
      </c>
      <c r="EX56" s="111" t="n">
        <v>0</v>
      </c>
      <c r="EY56" s="111" t="n">
        <v>0</v>
      </c>
      <c r="EZ56" s="111" t="n">
        <v>0</v>
      </c>
      <c r="FA56" s="111" t="n">
        <v>0</v>
      </c>
      <c r="FB56" s="111" t="n">
        <v>0</v>
      </c>
    </row>
    <row r="57" ht="19.5" customHeight="1" s="247">
      <c r="A57" s="107" t="n">
        <v>54</v>
      </c>
      <c r="B57" s="107" t="inlineStr">
        <is>
          <t>医技平台</t>
        </is>
      </c>
      <c r="C57" s="107" t="inlineStr">
        <is>
          <t>健康管理中心</t>
        </is>
      </c>
      <c r="D57" s="110" t="n">
        <v>22643669.74</v>
      </c>
      <c r="E57" s="110" t="n">
        <v>22643669.74</v>
      </c>
      <c r="F57" s="110" t="n">
        <v>0</v>
      </c>
      <c r="G57" s="110" t="n">
        <v>3489</v>
      </c>
      <c r="H57" s="110" t="n">
        <v>0</v>
      </c>
      <c r="I57" s="110" t="n">
        <v>0</v>
      </c>
      <c r="J57" s="110" t="n">
        <v>0</v>
      </c>
      <c r="K57" s="110" t="n">
        <v>0</v>
      </c>
      <c r="L57" s="110" t="n">
        <v>0</v>
      </c>
      <c r="M57" s="110" t="n">
        <v>0</v>
      </c>
      <c r="N57" s="110" t="n">
        <v>0</v>
      </c>
      <c r="O57" s="110" t="n">
        <v>22643813.2</v>
      </c>
      <c r="P57" s="110" t="n">
        <v>2687298.61</v>
      </c>
      <c r="Q57" s="110" t="n">
        <v>143.46</v>
      </c>
      <c r="R57" s="110" t="n">
        <v>2687155.15</v>
      </c>
      <c r="S57" s="110" t="n">
        <v>19956514.59</v>
      </c>
      <c r="T57" s="110" t="n">
        <v>0</v>
      </c>
      <c r="U57" s="110" t="n">
        <v>19956514.59</v>
      </c>
      <c r="V57" s="110" t="n">
        <v>22643813.2</v>
      </c>
      <c r="W57" s="110" t="n">
        <v>2687298.61</v>
      </c>
      <c r="X57" s="110" t="n">
        <v>143.46</v>
      </c>
      <c r="Y57" s="110" t="n">
        <v>2687155.15</v>
      </c>
      <c r="Z57" s="110" t="n">
        <v>19956514.59</v>
      </c>
      <c r="AA57" s="110" t="n">
        <v>0</v>
      </c>
      <c r="AB57" s="110" t="n">
        <v>19956514.59</v>
      </c>
      <c r="AC57" s="110" t="n">
        <v>143.46</v>
      </c>
      <c r="AD57" s="110" t="n">
        <v>143.46</v>
      </c>
      <c r="AE57" s="110" t="n">
        <v>143.46</v>
      </c>
      <c r="AF57" s="110" t="n">
        <v>0</v>
      </c>
      <c r="AG57" s="110" t="n">
        <v>0</v>
      </c>
      <c r="AH57" s="110" t="n">
        <v>0</v>
      </c>
      <c r="AI57" s="110" t="n">
        <v>0</v>
      </c>
      <c r="AJ57" s="110" t="n">
        <v>0</v>
      </c>
      <c r="AK57" s="110" t="n">
        <v>0</v>
      </c>
      <c r="AL57" s="110" t="n">
        <v>0</v>
      </c>
      <c r="AM57" s="110" t="n">
        <v>0</v>
      </c>
      <c r="AN57" s="110" t="n">
        <v>0</v>
      </c>
      <c r="AO57" s="110" t="n">
        <v>0</v>
      </c>
      <c r="AP57" s="110" t="n">
        <v>0</v>
      </c>
      <c r="AQ57" s="110" t="n">
        <v>120</v>
      </c>
      <c r="AR57" s="110" t="n">
        <v>0</v>
      </c>
      <c r="AS57" s="110" t="n">
        <v>0</v>
      </c>
      <c r="AT57" s="110" t="n">
        <v>0</v>
      </c>
      <c r="AU57" s="110" t="n">
        <v>120</v>
      </c>
      <c r="AV57" s="110" t="n">
        <v>0</v>
      </c>
      <c r="AW57" s="110" t="n">
        <v>120</v>
      </c>
      <c r="AX57" s="110" t="n">
        <v>22643549.74</v>
      </c>
      <c r="AY57" s="110" t="n">
        <v>2687155.15</v>
      </c>
      <c r="AZ57" s="110" t="n">
        <v>0</v>
      </c>
      <c r="BA57" s="110" t="n">
        <v>2687155.15</v>
      </c>
      <c r="BB57" s="110" t="n">
        <v>19956394.59</v>
      </c>
      <c r="BC57" s="110" t="n">
        <v>0</v>
      </c>
      <c r="BD57" s="110" t="n">
        <v>19956394.59</v>
      </c>
      <c r="BE57" s="110" t="n">
        <v>0</v>
      </c>
      <c r="BF57" s="110" t="n">
        <v>0</v>
      </c>
      <c r="BG57" s="110" t="n">
        <v>0</v>
      </c>
      <c r="BH57" s="110" t="n">
        <v>0</v>
      </c>
      <c r="BI57" s="110" t="n">
        <v>0</v>
      </c>
      <c r="BJ57" s="110" t="n">
        <v>0</v>
      </c>
      <c r="BK57" s="110" t="n">
        <v>0</v>
      </c>
      <c r="BL57" s="110" t="n">
        <v>0</v>
      </c>
      <c r="BM57" s="110" t="n">
        <v>0</v>
      </c>
      <c r="BN57" s="110" t="n">
        <v>0</v>
      </c>
      <c r="BO57" s="110" t="n">
        <v>0</v>
      </c>
      <c r="BP57" s="110" t="n">
        <v>0</v>
      </c>
      <c r="BQ57" s="110" t="n">
        <v>0</v>
      </c>
      <c r="BR57" s="110" t="n">
        <v>0</v>
      </c>
      <c r="BS57" s="110" t="n">
        <v>0</v>
      </c>
      <c r="BT57" s="110" t="n">
        <v>0</v>
      </c>
      <c r="BU57" s="110" t="n">
        <v>0</v>
      </c>
      <c r="BV57" s="110" t="n">
        <v>0</v>
      </c>
      <c r="BW57" s="110" t="n">
        <v>0</v>
      </c>
      <c r="BX57" s="110" t="n">
        <v>0</v>
      </c>
      <c r="BY57" s="110" t="n">
        <v>0</v>
      </c>
      <c r="BZ57" s="110" t="n">
        <v>0</v>
      </c>
      <c r="CA57" s="110" t="n">
        <v>0</v>
      </c>
      <c r="CB57" s="110" t="n">
        <v>0</v>
      </c>
      <c r="CC57" s="110" t="n">
        <v>0</v>
      </c>
      <c r="CD57" s="110" t="n">
        <v>0</v>
      </c>
      <c r="CE57" s="110" t="n">
        <v>0</v>
      </c>
      <c r="CF57" s="110" t="n">
        <v>0</v>
      </c>
      <c r="CG57" s="110" t="n">
        <v>0</v>
      </c>
      <c r="CH57" s="110" t="n">
        <v>0</v>
      </c>
      <c r="CI57" s="110" t="n">
        <v>0</v>
      </c>
      <c r="CJ57" s="110" t="n">
        <v>0</v>
      </c>
      <c r="CK57" s="110" t="n">
        <v>0</v>
      </c>
      <c r="CL57" s="110" t="n">
        <v>0</v>
      </c>
      <c r="CM57" s="110" t="n">
        <v>0</v>
      </c>
      <c r="CN57" s="110" t="n">
        <v>0</v>
      </c>
      <c r="CO57" s="110" t="n">
        <v>22643813.2</v>
      </c>
      <c r="CP57" s="110" t="n">
        <v>0</v>
      </c>
      <c r="CQ57" s="110" t="n">
        <v>0</v>
      </c>
      <c r="CR57" s="110" t="n">
        <v>0</v>
      </c>
      <c r="CS57" s="110" t="n">
        <v>0</v>
      </c>
      <c r="CT57" s="110" t="n">
        <v>0</v>
      </c>
      <c r="CU57" s="110" t="n">
        <v>0</v>
      </c>
      <c r="CV57" s="111" t="n">
        <v>3489</v>
      </c>
      <c r="CW57" s="111" t="n">
        <v>1265</v>
      </c>
      <c r="CX57" s="111" t="n">
        <v>0</v>
      </c>
      <c r="CY57" s="111" t="n">
        <v>1265</v>
      </c>
      <c r="CZ57" s="111" t="n">
        <v>2224</v>
      </c>
      <c r="DA57" s="111" t="n">
        <v>0</v>
      </c>
      <c r="DB57" s="111" t="n">
        <v>2224</v>
      </c>
      <c r="DC57" s="111" t="n">
        <v>3489</v>
      </c>
      <c r="DD57" s="111" t="n">
        <v>0</v>
      </c>
      <c r="DE57" s="111" t="n">
        <v>1265</v>
      </c>
      <c r="DF57" s="111" t="n">
        <v>0</v>
      </c>
      <c r="DG57" s="111" t="n">
        <v>1265</v>
      </c>
      <c r="DH57" s="111" t="n">
        <v>2224</v>
      </c>
      <c r="DI57" s="111" t="n">
        <v>0</v>
      </c>
      <c r="DJ57" s="111" t="n">
        <v>2224</v>
      </c>
      <c r="DK57" s="111" t="n">
        <v>0</v>
      </c>
      <c r="DL57" s="111" t="n">
        <v>0</v>
      </c>
      <c r="DM57" s="111" t="n">
        <v>0</v>
      </c>
      <c r="DN57" s="111" t="n">
        <v>0</v>
      </c>
      <c r="DO57" s="111" t="n">
        <v>0</v>
      </c>
      <c r="DP57" s="111" t="n">
        <v>0</v>
      </c>
      <c r="DQ57" s="111" t="n">
        <v>0</v>
      </c>
      <c r="DR57" s="111" t="n">
        <v>0</v>
      </c>
      <c r="DS57" s="111" t="n">
        <v>0</v>
      </c>
      <c r="DT57" s="111" t="n">
        <v>0</v>
      </c>
      <c r="DU57" s="111" t="n">
        <v>0</v>
      </c>
      <c r="DV57" s="111" t="n">
        <v>0</v>
      </c>
      <c r="DW57" s="111" t="n">
        <v>0</v>
      </c>
      <c r="DX57" s="111" t="n">
        <v>0</v>
      </c>
      <c r="DY57" s="111" t="n">
        <v>0</v>
      </c>
      <c r="DZ57" s="111" t="n">
        <v>0</v>
      </c>
      <c r="EA57" s="111" t="n">
        <v>0</v>
      </c>
      <c r="EB57" s="111" t="n">
        <v>0</v>
      </c>
      <c r="EC57" s="111" t="n">
        <v>0</v>
      </c>
      <c r="ED57" s="111" t="n">
        <v>0</v>
      </c>
      <c r="EE57" s="111" t="n">
        <v>0</v>
      </c>
      <c r="EF57" s="111" t="n">
        <v>0</v>
      </c>
      <c r="EG57" s="111" t="n">
        <v>0</v>
      </c>
      <c r="EH57" s="111" t="n">
        <v>0</v>
      </c>
      <c r="EI57" s="111" t="n">
        <v>0</v>
      </c>
      <c r="EJ57" s="111" t="n">
        <v>0</v>
      </c>
      <c r="EK57" s="111" t="n">
        <v>0</v>
      </c>
      <c r="EL57" s="111" t="n">
        <v>0</v>
      </c>
      <c r="EM57" s="111" t="n">
        <v>0</v>
      </c>
      <c r="EN57" s="111" t="n">
        <v>0</v>
      </c>
      <c r="EO57" s="111" t="n">
        <v>0</v>
      </c>
      <c r="EP57" s="111" t="n">
        <v>0</v>
      </c>
      <c r="EQ57" s="111" t="n">
        <v>0</v>
      </c>
      <c r="ER57" s="111" t="n">
        <v>0</v>
      </c>
      <c r="ES57" s="111" t="n">
        <v>0</v>
      </c>
      <c r="ET57" s="111" t="n">
        <v>0</v>
      </c>
      <c r="EU57" s="111" t="n">
        <v>0</v>
      </c>
      <c r="EV57" s="111" t="n">
        <v>0</v>
      </c>
      <c r="EW57" s="111" t="n">
        <v>0</v>
      </c>
      <c r="EX57" s="111" t="n">
        <v>0</v>
      </c>
      <c r="EY57" s="111" t="n">
        <v>0</v>
      </c>
      <c r="EZ57" s="111" t="n">
        <v>0</v>
      </c>
      <c r="FA57" s="111" t="n">
        <v>0</v>
      </c>
      <c r="FB57" s="111" t="n">
        <v>0</v>
      </c>
    </row>
    <row r="58" ht="19.5" customHeight="1" s="247">
      <c r="A58" s="107" t="n">
        <v>55</v>
      </c>
      <c r="B58" s="107" t="n"/>
      <c r="C58" s="107" t="inlineStr">
        <is>
          <t>镜朗特需与国际医疗部</t>
        </is>
      </c>
      <c r="D58" s="110" t="n">
        <v>27848</v>
      </c>
      <c r="E58" s="110" t="n">
        <v>0</v>
      </c>
      <c r="F58" s="110" t="n">
        <v>27848</v>
      </c>
      <c r="G58" s="110" t="n">
        <v>0</v>
      </c>
      <c r="H58" s="110" t="n">
        <v>2</v>
      </c>
      <c r="I58" s="110" t="n">
        <v>0</v>
      </c>
      <c r="J58" s="110" t="n">
        <v>0</v>
      </c>
      <c r="K58" s="110" t="n">
        <v>0</v>
      </c>
      <c r="L58" s="110" t="n">
        <v>952</v>
      </c>
      <c r="M58" s="110" t="n">
        <v>0</v>
      </c>
      <c r="N58" s="110" t="n">
        <v>0</v>
      </c>
      <c r="O58" s="110" t="n">
        <v>31162.07</v>
      </c>
      <c r="P58" s="110" t="n">
        <v>31162.07</v>
      </c>
      <c r="Q58" s="110" t="n">
        <v>0</v>
      </c>
      <c r="R58" s="110" t="n">
        <v>31162.07</v>
      </c>
      <c r="S58" s="110" t="n">
        <v>0</v>
      </c>
      <c r="T58" s="110" t="n">
        <v>0</v>
      </c>
      <c r="U58" s="110" t="n">
        <v>0</v>
      </c>
      <c r="V58" s="110" t="n">
        <v>0</v>
      </c>
      <c r="W58" s="110" t="n">
        <v>0</v>
      </c>
      <c r="X58" s="110" t="n">
        <v>0</v>
      </c>
      <c r="Y58" s="110" t="n">
        <v>0</v>
      </c>
      <c r="Z58" s="110" t="n">
        <v>0</v>
      </c>
      <c r="AA58" s="110" t="n">
        <v>0</v>
      </c>
      <c r="AB58" s="110" t="n">
        <v>0</v>
      </c>
      <c r="AC58" s="110" t="n">
        <v>0</v>
      </c>
      <c r="AD58" s="110" t="n">
        <v>0</v>
      </c>
      <c r="AE58" s="110" t="n">
        <v>0</v>
      </c>
      <c r="AF58" s="110" t="n">
        <v>0</v>
      </c>
      <c r="AG58" s="110" t="n">
        <v>0</v>
      </c>
      <c r="AH58" s="110" t="n">
        <v>0</v>
      </c>
      <c r="AI58" s="110" t="n">
        <v>0</v>
      </c>
      <c r="AJ58" s="110" t="n">
        <v>0</v>
      </c>
      <c r="AK58" s="110" t="n">
        <v>0</v>
      </c>
      <c r="AL58" s="110" t="n">
        <v>0</v>
      </c>
      <c r="AM58" s="110" t="n">
        <v>0</v>
      </c>
      <c r="AN58" s="110" t="n">
        <v>0</v>
      </c>
      <c r="AO58" s="110" t="n">
        <v>0</v>
      </c>
      <c r="AP58" s="110" t="n">
        <v>0</v>
      </c>
      <c r="AQ58" s="110" t="n">
        <v>0</v>
      </c>
      <c r="AR58" s="110" t="n">
        <v>0</v>
      </c>
      <c r="AS58" s="110" t="n">
        <v>0</v>
      </c>
      <c r="AT58" s="110" t="n">
        <v>0</v>
      </c>
      <c r="AU58" s="110" t="n">
        <v>0</v>
      </c>
      <c r="AV58" s="110" t="n">
        <v>0</v>
      </c>
      <c r="AW58" s="110" t="n">
        <v>0</v>
      </c>
      <c r="AX58" s="110" t="n">
        <v>0</v>
      </c>
      <c r="AY58" s="110" t="n">
        <v>0</v>
      </c>
      <c r="AZ58" s="110" t="n">
        <v>0</v>
      </c>
      <c r="BA58" s="110" t="n">
        <v>0</v>
      </c>
      <c r="BB58" s="110" t="n">
        <v>0</v>
      </c>
      <c r="BC58" s="110" t="n">
        <v>0</v>
      </c>
      <c r="BD58" s="110" t="n">
        <v>0</v>
      </c>
      <c r="BE58" s="110" t="n">
        <v>31162.07</v>
      </c>
      <c r="BF58" s="110" t="n">
        <v>31162.07</v>
      </c>
      <c r="BG58" s="110" t="n">
        <v>0</v>
      </c>
      <c r="BH58" s="110" t="n">
        <v>31162.07</v>
      </c>
      <c r="BI58" s="110" t="n">
        <v>0</v>
      </c>
      <c r="BJ58" s="110" t="n">
        <v>0</v>
      </c>
      <c r="BK58" s="110" t="n">
        <v>0</v>
      </c>
      <c r="BL58" s="110" t="n">
        <v>1587.89</v>
      </c>
      <c r="BM58" s="110" t="n">
        <v>1587.89</v>
      </c>
      <c r="BN58" s="110" t="n">
        <v>0</v>
      </c>
      <c r="BO58" s="110" t="n">
        <v>1587.89</v>
      </c>
      <c r="BP58" s="110" t="n">
        <v>0</v>
      </c>
      <c r="BQ58" s="110" t="n">
        <v>0</v>
      </c>
      <c r="BR58" s="110" t="n">
        <v>0</v>
      </c>
      <c r="BS58" s="110" t="n">
        <v>1726.18</v>
      </c>
      <c r="BT58" s="110" t="n">
        <v>1726.18</v>
      </c>
      <c r="BU58" s="110" t="n">
        <v>0</v>
      </c>
      <c r="BV58" s="110" t="n">
        <v>1726.18</v>
      </c>
      <c r="BW58" s="110" t="n">
        <v>0</v>
      </c>
      <c r="BX58" s="110" t="n">
        <v>0</v>
      </c>
      <c r="BY58" s="110" t="n">
        <v>0</v>
      </c>
      <c r="BZ58" s="110" t="n">
        <v>8872</v>
      </c>
      <c r="CA58" s="110" t="n">
        <v>8872</v>
      </c>
      <c r="CB58" s="110" t="n">
        <v>0</v>
      </c>
      <c r="CC58" s="110" t="n">
        <v>8872</v>
      </c>
      <c r="CD58" s="110" t="n">
        <v>0</v>
      </c>
      <c r="CE58" s="110" t="n">
        <v>0</v>
      </c>
      <c r="CF58" s="110" t="n">
        <v>0</v>
      </c>
      <c r="CG58" s="110" t="n">
        <v>18976</v>
      </c>
      <c r="CH58" s="110" t="n">
        <v>18976</v>
      </c>
      <c r="CI58" s="110" t="n">
        <v>0</v>
      </c>
      <c r="CJ58" s="110" t="n">
        <v>18976</v>
      </c>
      <c r="CK58" s="110" t="n">
        <v>0</v>
      </c>
      <c r="CL58" s="110" t="n">
        <v>0</v>
      </c>
      <c r="CM58" s="110" t="n">
        <v>0</v>
      </c>
      <c r="CN58" s="110" t="n">
        <v>0</v>
      </c>
      <c r="CO58" s="110" t="n">
        <v>0</v>
      </c>
      <c r="CP58" s="110" t="n">
        <v>0</v>
      </c>
      <c r="CQ58" s="110" t="n">
        <v>0</v>
      </c>
      <c r="CR58" s="110" t="n">
        <v>0</v>
      </c>
      <c r="CS58" s="110" t="n">
        <v>0</v>
      </c>
      <c r="CT58" s="110" t="n">
        <v>31162.07</v>
      </c>
      <c r="CU58" s="110" t="n">
        <v>0</v>
      </c>
      <c r="CV58" s="111" t="n">
        <v>0</v>
      </c>
      <c r="CW58" s="111" t="n">
        <v>0</v>
      </c>
      <c r="CX58" s="111" t="n">
        <v>0</v>
      </c>
      <c r="CY58" s="111" t="n">
        <v>0</v>
      </c>
      <c r="CZ58" s="111" t="n">
        <v>0</v>
      </c>
      <c r="DA58" s="111" t="n">
        <v>0</v>
      </c>
      <c r="DB58" s="111" t="n">
        <v>0</v>
      </c>
      <c r="DC58" s="111" t="n">
        <v>0</v>
      </c>
      <c r="DD58" s="111" t="n">
        <v>0</v>
      </c>
      <c r="DE58" s="111" t="n">
        <v>0</v>
      </c>
      <c r="DF58" s="111" t="n">
        <v>0</v>
      </c>
      <c r="DG58" s="111" t="n">
        <v>0</v>
      </c>
      <c r="DH58" s="111" t="n">
        <v>0</v>
      </c>
      <c r="DI58" s="111" t="n">
        <v>0</v>
      </c>
      <c r="DJ58" s="111" t="n">
        <v>0</v>
      </c>
      <c r="DK58" s="111" t="n">
        <v>0</v>
      </c>
      <c r="DL58" s="111" t="n">
        <v>0</v>
      </c>
      <c r="DM58" s="111" t="n">
        <v>0</v>
      </c>
      <c r="DN58" s="111" t="n">
        <v>0</v>
      </c>
      <c r="DO58" s="111" t="n">
        <v>0</v>
      </c>
      <c r="DP58" s="111" t="n">
        <v>0</v>
      </c>
      <c r="DQ58" s="111" t="n">
        <v>0</v>
      </c>
      <c r="DR58" s="111" t="n">
        <v>0</v>
      </c>
      <c r="DS58" s="111" t="n">
        <v>0</v>
      </c>
      <c r="DT58" s="111" t="n">
        <v>0</v>
      </c>
      <c r="DU58" s="111" t="n">
        <v>0</v>
      </c>
      <c r="DV58" s="111" t="n">
        <v>0</v>
      </c>
      <c r="DW58" s="111" t="n">
        <v>0</v>
      </c>
      <c r="DX58" s="111" t="n">
        <v>0</v>
      </c>
      <c r="DY58" s="111" t="n">
        <v>0</v>
      </c>
      <c r="DZ58" s="111" t="n">
        <v>0</v>
      </c>
      <c r="EA58" s="111" t="n">
        <v>0</v>
      </c>
      <c r="EB58" s="111" t="n">
        <v>0</v>
      </c>
      <c r="EC58" s="111" t="n">
        <v>0</v>
      </c>
      <c r="ED58" s="111" t="n">
        <v>0</v>
      </c>
      <c r="EE58" s="111" t="n">
        <v>0</v>
      </c>
      <c r="EF58" s="111" t="n">
        <v>0</v>
      </c>
      <c r="EG58" s="111" t="n">
        <v>2</v>
      </c>
      <c r="EH58" s="111" t="n">
        <v>2</v>
      </c>
      <c r="EI58" s="111" t="n">
        <v>0</v>
      </c>
      <c r="EJ58" s="111" t="n">
        <v>2</v>
      </c>
      <c r="EK58" s="111" t="n">
        <v>0</v>
      </c>
      <c r="EL58" s="111" t="n">
        <v>0</v>
      </c>
      <c r="EM58" s="111" t="n">
        <v>0</v>
      </c>
      <c r="EN58" s="111" t="n">
        <v>0</v>
      </c>
      <c r="EO58" s="111" t="n">
        <v>0</v>
      </c>
      <c r="EP58" s="111" t="n">
        <v>0</v>
      </c>
      <c r="EQ58" s="111" t="n">
        <v>0</v>
      </c>
      <c r="ER58" s="111" t="n">
        <v>0</v>
      </c>
      <c r="ES58" s="111" t="n">
        <v>0</v>
      </c>
      <c r="ET58" s="111" t="n">
        <v>0</v>
      </c>
      <c r="EU58" s="111" t="n">
        <v>0</v>
      </c>
      <c r="EV58" s="111" t="n">
        <v>0</v>
      </c>
      <c r="EW58" s="111" t="n">
        <v>0</v>
      </c>
      <c r="EX58" s="111" t="n">
        <v>0</v>
      </c>
      <c r="EY58" s="111" t="n">
        <v>0</v>
      </c>
      <c r="EZ58" s="111" t="n">
        <v>0</v>
      </c>
      <c r="FA58" s="111" t="n">
        <v>0</v>
      </c>
      <c r="FB58" s="111" t="n">
        <v>0</v>
      </c>
    </row>
    <row r="59" ht="19.5" customHeight="1" s="247">
      <c r="A59" s="107" t="n">
        <v>56</v>
      </c>
      <c r="B59" s="107" t="inlineStr">
        <is>
          <t>成人非手术</t>
        </is>
      </c>
      <c r="C59" s="107" t="inlineStr">
        <is>
          <t>感染科</t>
        </is>
      </c>
      <c r="D59" s="110" t="n">
        <v>3118823.5</v>
      </c>
      <c r="E59" s="110" t="n">
        <v>1435088</v>
      </c>
      <c r="F59" s="110" t="n">
        <v>1683735.5</v>
      </c>
      <c r="G59" s="110" t="n">
        <v>5195</v>
      </c>
      <c r="H59" s="110" t="n">
        <v>168</v>
      </c>
      <c r="I59" s="110" t="n">
        <v>26850</v>
      </c>
      <c r="J59" s="110" t="n">
        <v>0</v>
      </c>
      <c r="K59" s="110" t="n">
        <v>0</v>
      </c>
      <c r="L59" s="110" t="n">
        <v>102247</v>
      </c>
      <c r="M59" s="110" t="n">
        <v>5665</v>
      </c>
      <c r="N59" s="110" t="n">
        <v>315</v>
      </c>
      <c r="O59" s="110" t="n">
        <v>4987394.31</v>
      </c>
      <c r="P59" s="110" t="n">
        <v>4236946.05</v>
      </c>
      <c r="Q59" s="110" t="n">
        <v>4189738.12</v>
      </c>
      <c r="R59" s="110" t="n">
        <v>47207.93</v>
      </c>
      <c r="S59" s="110" t="n">
        <v>750448.26</v>
      </c>
      <c r="T59" s="110" t="n">
        <v>670709.13</v>
      </c>
      <c r="U59" s="110" t="n">
        <v>79739.13</v>
      </c>
      <c r="V59" s="110" t="n">
        <v>2262508.81</v>
      </c>
      <c r="W59" s="110" t="n">
        <v>2094321.88</v>
      </c>
      <c r="X59" s="110" t="n">
        <v>2047113.95</v>
      </c>
      <c r="Y59" s="110" t="n">
        <v>47207.93</v>
      </c>
      <c r="Z59" s="110" t="n">
        <v>168186.93</v>
      </c>
      <c r="AA59" s="110" t="n">
        <v>104252.28</v>
      </c>
      <c r="AB59" s="110" t="n">
        <v>63934.65</v>
      </c>
      <c r="AC59" s="110" t="n">
        <v>781288.78</v>
      </c>
      <c r="AD59" s="110" t="n">
        <v>729493.49</v>
      </c>
      <c r="AE59" s="110" t="n">
        <v>716535.79</v>
      </c>
      <c r="AF59" s="110" t="n">
        <v>12957.7</v>
      </c>
      <c r="AG59" s="110" t="n">
        <v>51795.29</v>
      </c>
      <c r="AH59" s="110" t="n">
        <v>35098.36</v>
      </c>
      <c r="AI59" s="110" t="n">
        <v>16696.93</v>
      </c>
      <c r="AJ59" s="110" t="n">
        <v>46132.03</v>
      </c>
      <c r="AK59" s="110" t="n">
        <v>42520.39</v>
      </c>
      <c r="AL59" s="110" t="n">
        <v>41597.16</v>
      </c>
      <c r="AM59" s="110" t="n">
        <v>923.23</v>
      </c>
      <c r="AN59" s="110" t="n">
        <v>3611.64</v>
      </c>
      <c r="AO59" s="110" t="n">
        <v>2598.92</v>
      </c>
      <c r="AP59" s="110" t="n">
        <v>1012.72</v>
      </c>
      <c r="AQ59" s="110" t="n">
        <v>1257568</v>
      </c>
      <c r="AR59" s="110" t="n">
        <v>1159952</v>
      </c>
      <c r="AS59" s="110" t="n">
        <v>1130988</v>
      </c>
      <c r="AT59" s="110" t="n">
        <v>28964</v>
      </c>
      <c r="AU59" s="110" t="n">
        <v>97616</v>
      </c>
      <c r="AV59" s="110" t="n">
        <v>56642</v>
      </c>
      <c r="AW59" s="110" t="n">
        <v>40974</v>
      </c>
      <c r="AX59" s="110" t="n">
        <v>177520</v>
      </c>
      <c r="AY59" s="110" t="n">
        <v>162356</v>
      </c>
      <c r="AZ59" s="110" t="n">
        <v>157993</v>
      </c>
      <c r="BA59" s="110" t="n">
        <v>4363</v>
      </c>
      <c r="BB59" s="110" t="n">
        <v>15164</v>
      </c>
      <c r="BC59" s="110" t="n">
        <v>9913</v>
      </c>
      <c r="BD59" s="110" t="n">
        <v>5251</v>
      </c>
      <c r="BE59" s="110" t="n">
        <v>2724885.5</v>
      </c>
      <c r="BF59" s="110" t="n">
        <v>2142624.17</v>
      </c>
      <c r="BG59" s="110" t="n">
        <v>2142624.17</v>
      </c>
      <c r="BH59" s="110" t="n">
        <v>0</v>
      </c>
      <c r="BI59" s="110" t="n">
        <v>582261.33</v>
      </c>
      <c r="BJ59" s="110" t="n">
        <v>566456.85</v>
      </c>
      <c r="BK59" s="110" t="n">
        <v>15804.48</v>
      </c>
      <c r="BL59" s="110" t="n">
        <v>921000.37</v>
      </c>
      <c r="BM59" s="110" t="n">
        <v>703030.29</v>
      </c>
      <c r="BN59" s="110" t="n">
        <v>703030.29</v>
      </c>
      <c r="BO59" s="110" t="n">
        <v>0</v>
      </c>
      <c r="BP59" s="110" t="n">
        <v>217970.08</v>
      </c>
      <c r="BQ59" s="110" t="n">
        <v>211255.32</v>
      </c>
      <c r="BR59" s="110" t="n">
        <v>6714.76</v>
      </c>
      <c r="BS59" s="110" t="n">
        <v>120149.63</v>
      </c>
      <c r="BT59" s="110" t="n">
        <v>95812.38</v>
      </c>
      <c r="BU59" s="110" t="n">
        <v>95812.38</v>
      </c>
      <c r="BV59" s="110" t="n">
        <v>0</v>
      </c>
      <c r="BW59" s="110" t="n">
        <v>24337.25</v>
      </c>
      <c r="BX59" s="110" t="n">
        <v>24024.53</v>
      </c>
      <c r="BY59" s="110" t="n">
        <v>312.72</v>
      </c>
      <c r="BZ59" s="110" t="n">
        <v>1308757</v>
      </c>
      <c r="CA59" s="110" t="n">
        <v>1038513</v>
      </c>
      <c r="CB59" s="110" t="n">
        <v>1038513</v>
      </c>
      <c r="CC59" s="110" t="n">
        <v>0</v>
      </c>
      <c r="CD59" s="110" t="n">
        <v>270244</v>
      </c>
      <c r="CE59" s="110" t="n">
        <v>262863</v>
      </c>
      <c r="CF59" s="110" t="n">
        <v>7381</v>
      </c>
      <c r="CG59" s="110" t="n">
        <v>374978.5</v>
      </c>
      <c r="CH59" s="110" t="n">
        <v>305268.5</v>
      </c>
      <c r="CI59" s="110" t="n">
        <v>305268.5</v>
      </c>
      <c r="CJ59" s="110" t="n">
        <v>0</v>
      </c>
      <c r="CK59" s="110" t="n">
        <v>69710</v>
      </c>
      <c r="CL59" s="110" t="n">
        <v>68314</v>
      </c>
      <c r="CM59" s="110" t="n">
        <v>1396</v>
      </c>
      <c r="CN59" s="110" t="n">
        <v>1856942.7</v>
      </c>
      <c r="CO59" s="110" t="n">
        <v>0</v>
      </c>
      <c r="CP59" s="110" t="n">
        <v>46167.98</v>
      </c>
      <c r="CQ59" s="110" t="n">
        <v>359398.13</v>
      </c>
      <c r="CR59" s="110" t="n">
        <v>0</v>
      </c>
      <c r="CS59" s="110" t="n">
        <v>0</v>
      </c>
      <c r="CT59" s="110" t="n">
        <v>0</v>
      </c>
      <c r="CU59" s="110" t="n">
        <v>0</v>
      </c>
      <c r="CV59" s="111" t="n">
        <v>5195</v>
      </c>
      <c r="CW59" s="111" t="n">
        <v>4750</v>
      </c>
      <c r="CX59" s="111" t="n">
        <v>4613</v>
      </c>
      <c r="CY59" s="111" t="n">
        <v>137</v>
      </c>
      <c r="CZ59" s="111" t="n">
        <v>445</v>
      </c>
      <c r="DA59" s="111" t="n">
        <v>284</v>
      </c>
      <c r="DB59" s="111" t="n">
        <v>161</v>
      </c>
      <c r="DC59" s="111" t="n">
        <v>934</v>
      </c>
      <c r="DD59" s="111" t="n">
        <v>0</v>
      </c>
      <c r="DE59" s="111" t="n">
        <v>829</v>
      </c>
      <c r="DF59" s="111" t="n">
        <v>786</v>
      </c>
      <c r="DG59" s="111" t="n">
        <v>43</v>
      </c>
      <c r="DH59" s="111" t="n">
        <v>105</v>
      </c>
      <c r="DI59" s="111" t="n">
        <v>64</v>
      </c>
      <c r="DJ59" s="111" t="n">
        <v>41</v>
      </c>
      <c r="DK59" s="111" t="n">
        <v>153</v>
      </c>
      <c r="DL59" s="111" t="n">
        <v>126</v>
      </c>
      <c r="DM59" s="111" t="n">
        <v>116</v>
      </c>
      <c r="DN59" s="111" t="n">
        <v>10</v>
      </c>
      <c r="DO59" s="111" t="n">
        <v>27</v>
      </c>
      <c r="DP59" s="111" t="n">
        <v>19</v>
      </c>
      <c r="DQ59" s="111" t="n">
        <v>8</v>
      </c>
      <c r="DR59" s="111" t="n">
        <v>0</v>
      </c>
      <c r="DS59" s="111" t="n">
        <v>0</v>
      </c>
      <c r="DT59" s="111" t="n">
        <v>0</v>
      </c>
      <c r="DU59" s="111" t="n">
        <v>0</v>
      </c>
      <c r="DV59" s="111" t="n">
        <v>0</v>
      </c>
      <c r="DW59" s="111" t="n">
        <v>0</v>
      </c>
      <c r="DX59" s="111" t="n">
        <v>0</v>
      </c>
      <c r="DY59" s="111" t="n">
        <v>0</v>
      </c>
      <c r="DZ59" s="111" t="n">
        <v>4108</v>
      </c>
      <c r="EA59" s="111" t="n">
        <v>3795</v>
      </c>
      <c r="EB59" s="111" t="n">
        <v>3711</v>
      </c>
      <c r="EC59" s="111" t="n">
        <v>84</v>
      </c>
      <c r="ED59" s="111" t="n">
        <v>313</v>
      </c>
      <c r="EE59" s="111" t="n">
        <v>201</v>
      </c>
      <c r="EF59" s="111" t="n">
        <v>112</v>
      </c>
      <c r="EG59" s="111" t="n">
        <v>168</v>
      </c>
      <c r="EH59" s="111" t="n">
        <v>141</v>
      </c>
      <c r="EI59" s="111" t="n">
        <v>141</v>
      </c>
      <c r="EJ59" s="111" t="n">
        <v>0</v>
      </c>
      <c r="EK59" s="111" t="n">
        <v>27</v>
      </c>
      <c r="EL59" s="111" t="n">
        <v>27</v>
      </c>
      <c r="EM59" s="111" t="n">
        <v>0</v>
      </c>
      <c r="EN59" s="111" t="n">
        <v>7</v>
      </c>
      <c r="EO59" s="111" t="n">
        <v>0</v>
      </c>
      <c r="EP59" s="111" t="n">
        <v>0</v>
      </c>
      <c r="EQ59" s="111" t="n">
        <v>7</v>
      </c>
      <c r="ER59" s="111" t="n">
        <v>0</v>
      </c>
      <c r="ES59" s="111" t="n">
        <v>0</v>
      </c>
      <c r="ET59" s="111" t="n">
        <v>0</v>
      </c>
      <c r="EU59" s="111" t="n">
        <v>0</v>
      </c>
      <c r="EV59" s="111" t="n">
        <v>0</v>
      </c>
      <c r="EW59" s="111" t="n">
        <v>0</v>
      </c>
      <c r="EX59" s="111" t="n">
        <v>0</v>
      </c>
      <c r="EY59" s="111" t="n">
        <v>0</v>
      </c>
      <c r="EZ59" s="111" t="n">
        <v>0</v>
      </c>
      <c r="FA59" s="111" t="n">
        <v>0</v>
      </c>
      <c r="FB59" s="111" t="n">
        <v>24</v>
      </c>
    </row>
    <row r="60" ht="19.5" customHeight="1" s="247">
      <c r="A60" s="107" t="n">
        <v>57</v>
      </c>
      <c r="B60" s="107" t="inlineStr">
        <is>
          <t>其他</t>
        </is>
      </c>
      <c r="C60" s="107" t="inlineStr">
        <is>
          <t>新冠核酸检测</t>
        </is>
      </c>
      <c r="D60" s="110" t="n">
        <v>933</v>
      </c>
      <c r="E60" s="110" t="n">
        <v>933</v>
      </c>
      <c r="F60" s="110" t="n">
        <v>0</v>
      </c>
      <c r="G60" s="110" t="n">
        <v>0</v>
      </c>
      <c r="H60" s="110" t="n">
        <v>0</v>
      </c>
      <c r="I60" s="110" t="n">
        <v>0</v>
      </c>
      <c r="J60" s="110" t="n">
        <v>0</v>
      </c>
      <c r="K60" s="110" t="n">
        <v>0</v>
      </c>
      <c r="L60" s="110" t="n">
        <v>0</v>
      </c>
      <c r="M60" s="110" t="n">
        <v>0</v>
      </c>
      <c r="N60" s="110" t="n">
        <v>0</v>
      </c>
      <c r="O60" s="110" t="n">
        <v>1003.96</v>
      </c>
      <c r="P60" s="110" t="n">
        <v>987.96</v>
      </c>
      <c r="Q60" s="110" t="n">
        <v>971.96</v>
      </c>
      <c r="R60" s="110" t="n">
        <v>16</v>
      </c>
      <c r="S60" s="110" t="n">
        <v>16</v>
      </c>
      <c r="T60" s="110" t="n">
        <v>16</v>
      </c>
      <c r="U60" s="110" t="n">
        <v>0</v>
      </c>
      <c r="V60" s="110" t="n">
        <v>1003.96</v>
      </c>
      <c r="W60" s="110" t="n">
        <v>987.96</v>
      </c>
      <c r="X60" s="110" t="n">
        <v>971.96</v>
      </c>
      <c r="Y60" s="110" t="n">
        <v>16</v>
      </c>
      <c r="Z60" s="110" t="n">
        <v>16</v>
      </c>
      <c r="AA60" s="110" t="n">
        <v>16</v>
      </c>
      <c r="AB60" s="110" t="n">
        <v>0</v>
      </c>
      <c r="AC60" s="110" t="n">
        <v>70.95999999999999</v>
      </c>
      <c r="AD60" s="110" t="n">
        <v>70.95999999999999</v>
      </c>
      <c r="AE60" s="110" t="n">
        <v>70.95999999999999</v>
      </c>
      <c r="AF60" s="110" t="n">
        <v>0</v>
      </c>
      <c r="AG60" s="110" t="n">
        <v>0</v>
      </c>
      <c r="AH60" s="110" t="n">
        <v>0</v>
      </c>
      <c r="AI60" s="110" t="n">
        <v>0</v>
      </c>
      <c r="AJ60" s="110" t="n">
        <v>0</v>
      </c>
      <c r="AK60" s="110" t="n">
        <v>0</v>
      </c>
      <c r="AL60" s="110" t="n">
        <v>0</v>
      </c>
      <c r="AM60" s="110" t="n">
        <v>0</v>
      </c>
      <c r="AN60" s="110" t="n">
        <v>0</v>
      </c>
      <c r="AO60" s="110" t="n">
        <v>0</v>
      </c>
      <c r="AP60" s="110" t="n">
        <v>0</v>
      </c>
      <c r="AQ60" s="110" t="n">
        <v>933</v>
      </c>
      <c r="AR60" s="110" t="n">
        <v>917</v>
      </c>
      <c r="AS60" s="110" t="n">
        <v>901</v>
      </c>
      <c r="AT60" s="110" t="n">
        <v>16</v>
      </c>
      <c r="AU60" s="110" t="n">
        <v>16</v>
      </c>
      <c r="AV60" s="110" t="n">
        <v>16</v>
      </c>
      <c r="AW60" s="110" t="n">
        <v>0</v>
      </c>
      <c r="AX60" s="110" t="n">
        <v>0</v>
      </c>
      <c r="AY60" s="110" t="n">
        <v>0</v>
      </c>
      <c r="AZ60" s="110" t="n">
        <v>0</v>
      </c>
      <c r="BA60" s="110" t="n">
        <v>0</v>
      </c>
      <c r="BB60" s="110" t="n">
        <v>0</v>
      </c>
      <c r="BC60" s="110" t="n">
        <v>0</v>
      </c>
      <c r="BD60" s="110" t="n">
        <v>0</v>
      </c>
      <c r="BE60" s="110" t="n">
        <v>0</v>
      </c>
      <c r="BF60" s="110" t="n">
        <v>0</v>
      </c>
      <c r="BG60" s="110" t="n">
        <v>0</v>
      </c>
      <c r="BH60" s="110" t="n">
        <v>0</v>
      </c>
      <c r="BI60" s="110" t="n">
        <v>0</v>
      </c>
      <c r="BJ60" s="110" t="n">
        <v>0</v>
      </c>
      <c r="BK60" s="110" t="n">
        <v>0</v>
      </c>
      <c r="BL60" s="110" t="n">
        <v>0</v>
      </c>
      <c r="BM60" s="110" t="n">
        <v>0</v>
      </c>
      <c r="BN60" s="110" t="n">
        <v>0</v>
      </c>
      <c r="BO60" s="110" t="n">
        <v>0</v>
      </c>
      <c r="BP60" s="110" t="n">
        <v>0</v>
      </c>
      <c r="BQ60" s="110" t="n">
        <v>0</v>
      </c>
      <c r="BR60" s="110" t="n">
        <v>0</v>
      </c>
      <c r="BS60" s="110" t="n">
        <v>0</v>
      </c>
      <c r="BT60" s="110" t="n">
        <v>0</v>
      </c>
      <c r="BU60" s="110" t="n">
        <v>0</v>
      </c>
      <c r="BV60" s="110" t="n">
        <v>0</v>
      </c>
      <c r="BW60" s="110" t="n">
        <v>0</v>
      </c>
      <c r="BX60" s="110" t="n">
        <v>0</v>
      </c>
      <c r="BY60" s="110" t="n">
        <v>0</v>
      </c>
      <c r="BZ60" s="110" t="n">
        <v>0</v>
      </c>
      <c r="CA60" s="110" t="n">
        <v>0</v>
      </c>
      <c r="CB60" s="110" t="n">
        <v>0</v>
      </c>
      <c r="CC60" s="110" t="n">
        <v>0</v>
      </c>
      <c r="CD60" s="110" t="n">
        <v>0</v>
      </c>
      <c r="CE60" s="110" t="n">
        <v>0</v>
      </c>
      <c r="CF60" s="110" t="n">
        <v>0</v>
      </c>
      <c r="CG60" s="110" t="n">
        <v>0</v>
      </c>
      <c r="CH60" s="110" t="n">
        <v>0</v>
      </c>
      <c r="CI60" s="110" t="n">
        <v>0</v>
      </c>
      <c r="CJ60" s="110" t="n">
        <v>0</v>
      </c>
      <c r="CK60" s="110" t="n">
        <v>0</v>
      </c>
      <c r="CL60" s="110" t="n">
        <v>0</v>
      </c>
      <c r="CM60" s="110" t="n">
        <v>0</v>
      </c>
      <c r="CN60" s="110" t="n">
        <v>0</v>
      </c>
      <c r="CO60" s="110" t="n">
        <v>1003.96</v>
      </c>
      <c r="CP60" s="110" t="n">
        <v>0</v>
      </c>
      <c r="CQ60" s="110" t="n">
        <v>0</v>
      </c>
      <c r="CR60" s="110" t="n">
        <v>0</v>
      </c>
      <c r="CS60" s="110" t="n">
        <v>0</v>
      </c>
      <c r="CT60" s="110" t="n">
        <v>0</v>
      </c>
      <c r="CU60" s="110" t="n">
        <v>0</v>
      </c>
      <c r="CV60" s="111" t="n">
        <v>0</v>
      </c>
      <c r="CW60" s="111" t="n">
        <v>0</v>
      </c>
      <c r="CX60" s="111" t="n">
        <v>0</v>
      </c>
      <c r="CY60" s="111" t="n">
        <v>0</v>
      </c>
      <c r="CZ60" s="111" t="n">
        <v>0</v>
      </c>
      <c r="DA60" s="111" t="n">
        <v>0</v>
      </c>
      <c r="DB60" s="111" t="n">
        <v>0</v>
      </c>
      <c r="DC60" s="111" t="n">
        <v>0</v>
      </c>
      <c r="DD60" s="111" t="n">
        <v>0</v>
      </c>
      <c r="DE60" s="111" t="n">
        <v>0</v>
      </c>
      <c r="DF60" s="111" t="n">
        <v>0</v>
      </c>
      <c r="DG60" s="111" t="n">
        <v>0</v>
      </c>
      <c r="DH60" s="111" t="n">
        <v>0</v>
      </c>
      <c r="DI60" s="111" t="n">
        <v>0</v>
      </c>
      <c r="DJ60" s="111" t="n">
        <v>0</v>
      </c>
      <c r="DK60" s="111" t="n">
        <v>0</v>
      </c>
      <c r="DL60" s="111" t="n">
        <v>0</v>
      </c>
      <c r="DM60" s="111" t="n">
        <v>0</v>
      </c>
      <c r="DN60" s="111" t="n">
        <v>0</v>
      </c>
      <c r="DO60" s="111" t="n">
        <v>0</v>
      </c>
      <c r="DP60" s="111" t="n">
        <v>0</v>
      </c>
      <c r="DQ60" s="111" t="n">
        <v>0</v>
      </c>
      <c r="DR60" s="111" t="n">
        <v>0</v>
      </c>
      <c r="DS60" s="111" t="n">
        <v>0</v>
      </c>
      <c r="DT60" s="111" t="n">
        <v>0</v>
      </c>
      <c r="DU60" s="111" t="n">
        <v>0</v>
      </c>
      <c r="DV60" s="111" t="n">
        <v>0</v>
      </c>
      <c r="DW60" s="111" t="n">
        <v>0</v>
      </c>
      <c r="DX60" s="111" t="n">
        <v>0</v>
      </c>
      <c r="DY60" s="111" t="n">
        <v>0</v>
      </c>
      <c r="DZ60" s="111" t="n">
        <v>0</v>
      </c>
      <c r="EA60" s="111" t="n">
        <v>0</v>
      </c>
      <c r="EB60" s="111" t="n">
        <v>0</v>
      </c>
      <c r="EC60" s="111" t="n">
        <v>0</v>
      </c>
      <c r="ED60" s="111" t="n">
        <v>0</v>
      </c>
      <c r="EE60" s="111" t="n">
        <v>0</v>
      </c>
      <c r="EF60" s="111" t="n">
        <v>0</v>
      </c>
      <c r="EG60" s="111" t="n">
        <v>0</v>
      </c>
      <c r="EH60" s="111" t="n">
        <v>0</v>
      </c>
      <c r="EI60" s="111" t="n">
        <v>0</v>
      </c>
      <c r="EJ60" s="111" t="n">
        <v>0</v>
      </c>
      <c r="EK60" s="111" t="n">
        <v>0</v>
      </c>
      <c r="EL60" s="111" t="n">
        <v>0</v>
      </c>
      <c r="EM60" s="111" t="n">
        <v>0</v>
      </c>
      <c r="EN60" s="111" t="n">
        <v>0</v>
      </c>
      <c r="EO60" s="111" t="n">
        <v>0</v>
      </c>
      <c r="EP60" s="111" t="n">
        <v>0</v>
      </c>
      <c r="EQ60" s="111" t="n">
        <v>0</v>
      </c>
      <c r="ER60" s="111" t="n">
        <v>0</v>
      </c>
      <c r="ES60" s="111" t="n">
        <v>0</v>
      </c>
      <c r="ET60" s="111" t="n">
        <v>0</v>
      </c>
      <c r="EU60" s="111" t="n">
        <v>0</v>
      </c>
      <c r="EV60" s="111" t="n">
        <v>0</v>
      </c>
      <c r="EW60" s="111" t="n">
        <v>0</v>
      </c>
      <c r="EX60" s="111" t="n">
        <v>0</v>
      </c>
      <c r="EY60" s="111" t="n">
        <v>0</v>
      </c>
      <c r="EZ60" s="111" t="n">
        <v>0</v>
      </c>
      <c r="FA60" s="111" t="n">
        <v>0</v>
      </c>
      <c r="FB60" s="111" t="n">
        <v>0</v>
      </c>
    </row>
    <row r="61" ht="28.5" customHeight="1" s="247">
      <c r="A61" s="107" t="n">
        <v>58</v>
      </c>
      <c r="B61" s="107" t="inlineStr">
        <is>
          <t>成人手术</t>
        </is>
      </c>
      <c r="C61" s="107" t="inlineStr">
        <is>
          <t>胎儿医学与宫内儿科学诊治中心</t>
        </is>
      </c>
      <c r="D61" s="110" t="n">
        <v>6874214.25</v>
      </c>
      <c r="E61" s="110" t="n">
        <v>5622191</v>
      </c>
      <c r="F61" s="110" t="n">
        <v>1252023.25</v>
      </c>
      <c r="G61" s="110" t="n">
        <v>4292</v>
      </c>
      <c r="H61" s="110" t="n">
        <v>117</v>
      </c>
      <c r="I61" s="110" t="n">
        <v>2606</v>
      </c>
      <c r="J61" s="110" t="n">
        <v>241</v>
      </c>
      <c r="K61" s="110" t="n">
        <v>0</v>
      </c>
      <c r="L61" s="110" t="n">
        <v>175831</v>
      </c>
      <c r="M61" s="110" t="n">
        <v>154038.5</v>
      </c>
      <c r="N61" s="110" t="n">
        <v>4065.68</v>
      </c>
      <c r="O61" s="110" t="n">
        <v>7460213.5</v>
      </c>
      <c r="P61" s="110" t="n">
        <v>2738242.56</v>
      </c>
      <c r="Q61" s="110" t="n">
        <v>799965.55</v>
      </c>
      <c r="R61" s="110" t="n">
        <v>1938277.01</v>
      </c>
      <c r="S61" s="110" t="n">
        <v>4721970.94</v>
      </c>
      <c r="T61" s="110" t="n">
        <v>952927.83</v>
      </c>
      <c r="U61" s="110" t="n">
        <v>3769043.11</v>
      </c>
      <c r="V61" s="110" t="n">
        <v>5707139.67</v>
      </c>
      <c r="W61" s="110" t="n">
        <v>2184540.63</v>
      </c>
      <c r="X61" s="110" t="n">
        <v>411258.29</v>
      </c>
      <c r="Y61" s="110" t="n">
        <v>1773282.34</v>
      </c>
      <c r="Z61" s="110" t="n">
        <v>3522599.04</v>
      </c>
      <c r="AA61" s="110" t="n">
        <v>32959.83</v>
      </c>
      <c r="AB61" s="110" t="n">
        <v>3489639.21</v>
      </c>
      <c r="AC61" s="110" t="n">
        <v>62156.11</v>
      </c>
      <c r="AD61" s="110" t="n">
        <v>50703.36</v>
      </c>
      <c r="AE61" s="110" t="n">
        <v>45818.1</v>
      </c>
      <c r="AF61" s="110" t="n">
        <v>4885.26</v>
      </c>
      <c r="AG61" s="110" t="n">
        <v>11452.75</v>
      </c>
      <c r="AH61" s="110" t="n">
        <v>3545.04</v>
      </c>
      <c r="AI61" s="110" t="n">
        <v>7907.71</v>
      </c>
      <c r="AJ61" s="110" t="n">
        <v>22792.56</v>
      </c>
      <c r="AK61" s="110" t="n">
        <v>8311.77</v>
      </c>
      <c r="AL61" s="110" t="n">
        <v>622.1900000000001</v>
      </c>
      <c r="AM61" s="110" t="n">
        <v>7689.58</v>
      </c>
      <c r="AN61" s="110" t="n">
        <v>14480.79</v>
      </c>
      <c r="AO61" s="110" t="n">
        <v>124.79</v>
      </c>
      <c r="AP61" s="110" t="n">
        <v>14356</v>
      </c>
      <c r="AQ61" s="110" t="n">
        <v>4020247</v>
      </c>
      <c r="AR61" s="110" t="n">
        <v>1603682.5</v>
      </c>
      <c r="AS61" s="110" t="n">
        <v>333659</v>
      </c>
      <c r="AT61" s="110" t="n">
        <v>1270023.5</v>
      </c>
      <c r="AU61" s="110" t="n">
        <v>2416564.5</v>
      </c>
      <c r="AV61" s="110" t="n">
        <v>25946</v>
      </c>
      <c r="AW61" s="110" t="n">
        <v>2390618.5</v>
      </c>
      <c r="AX61" s="110" t="n">
        <v>1601944</v>
      </c>
      <c r="AY61" s="110" t="n">
        <v>521843</v>
      </c>
      <c r="AZ61" s="110" t="n">
        <v>31159</v>
      </c>
      <c r="BA61" s="110" t="n">
        <v>490684</v>
      </c>
      <c r="BB61" s="110" t="n">
        <v>1080101</v>
      </c>
      <c r="BC61" s="110" t="n">
        <v>3344</v>
      </c>
      <c r="BD61" s="110" t="n">
        <v>1076757</v>
      </c>
      <c r="BE61" s="110" t="n">
        <v>1753073.83</v>
      </c>
      <c r="BF61" s="110" t="n">
        <v>553701.9300000001</v>
      </c>
      <c r="BG61" s="110" t="n">
        <v>388707.26</v>
      </c>
      <c r="BH61" s="110" t="n">
        <v>164994.67</v>
      </c>
      <c r="BI61" s="110" t="n">
        <v>1199371.9</v>
      </c>
      <c r="BJ61" s="110" t="n">
        <v>919968</v>
      </c>
      <c r="BK61" s="110" t="n">
        <v>279403.9</v>
      </c>
      <c r="BL61" s="110" t="n">
        <v>333128.08</v>
      </c>
      <c r="BM61" s="110" t="n">
        <v>156779.78</v>
      </c>
      <c r="BN61" s="110" t="n">
        <v>119990.98</v>
      </c>
      <c r="BO61" s="110" t="n">
        <v>36788.8</v>
      </c>
      <c r="BP61" s="110" t="n">
        <v>176348.3</v>
      </c>
      <c r="BQ61" s="110" t="n">
        <v>130945.21</v>
      </c>
      <c r="BR61" s="110" t="n">
        <v>45403.09</v>
      </c>
      <c r="BS61" s="110" t="n">
        <v>167922.5</v>
      </c>
      <c r="BT61" s="110" t="n">
        <v>45675.55</v>
      </c>
      <c r="BU61" s="110" t="n">
        <v>36494.08</v>
      </c>
      <c r="BV61" s="110" t="n">
        <v>9181.469999999999</v>
      </c>
      <c r="BW61" s="110" t="n">
        <v>122246.95</v>
      </c>
      <c r="BX61" s="110" t="n">
        <v>89479.28999999999</v>
      </c>
      <c r="BY61" s="110" t="n">
        <v>32767.66</v>
      </c>
      <c r="BZ61" s="110" t="n">
        <v>553797.75</v>
      </c>
      <c r="CA61" s="110" t="n">
        <v>136013</v>
      </c>
      <c r="CB61" s="110" t="n">
        <v>109370.5</v>
      </c>
      <c r="CC61" s="110" t="n">
        <v>26642.5</v>
      </c>
      <c r="CD61" s="110" t="n">
        <v>417784.75</v>
      </c>
      <c r="CE61" s="110" t="n">
        <v>348977</v>
      </c>
      <c r="CF61" s="110" t="n">
        <v>68807.75</v>
      </c>
      <c r="CG61" s="110" t="n">
        <v>698225.5</v>
      </c>
      <c r="CH61" s="110" t="n">
        <v>215233.6</v>
      </c>
      <c r="CI61" s="110" t="n">
        <v>122851.7</v>
      </c>
      <c r="CJ61" s="110" t="n">
        <v>92381.89999999999</v>
      </c>
      <c r="CK61" s="110" t="n">
        <v>482991.9</v>
      </c>
      <c r="CL61" s="110" t="n">
        <v>350566.5</v>
      </c>
      <c r="CM61" s="110" t="n">
        <v>132425.4</v>
      </c>
      <c r="CN61" s="110" t="n">
        <v>105268.87</v>
      </c>
      <c r="CO61" s="110" t="n">
        <v>722093.41</v>
      </c>
      <c r="CP61" s="110" t="n">
        <v>7030.29</v>
      </c>
      <c r="CQ61" s="110" t="n">
        <v>937123.86</v>
      </c>
      <c r="CR61" s="110" t="n">
        <v>3749623.74</v>
      </c>
      <c r="CS61" s="110" t="n">
        <v>186815.5</v>
      </c>
      <c r="CT61" s="110" t="n">
        <v>143351.93</v>
      </c>
      <c r="CU61" s="110" t="n">
        <v>0</v>
      </c>
      <c r="CV61" s="111" t="n">
        <v>4292</v>
      </c>
      <c r="CW61" s="111" t="n">
        <v>2378</v>
      </c>
      <c r="CX61" s="111" t="n">
        <v>1127</v>
      </c>
      <c r="CY61" s="111" t="n">
        <v>1251</v>
      </c>
      <c r="CZ61" s="111" t="n">
        <v>1914</v>
      </c>
      <c r="DA61" s="111" t="n">
        <v>98</v>
      </c>
      <c r="DB61" s="111" t="n">
        <v>1816</v>
      </c>
      <c r="DC61" s="111" t="n">
        <v>2025</v>
      </c>
      <c r="DD61" s="111" t="n">
        <v>0</v>
      </c>
      <c r="DE61" s="111" t="n">
        <v>1514</v>
      </c>
      <c r="DF61" s="111" t="n">
        <v>1040</v>
      </c>
      <c r="DG61" s="111" t="n">
        <v>474</v>
      </c>
      <c r="DH61" s="111" t="n">
        <v>511</v>
      </c>
      <c r="DI61" s="111" t="n">
        <v>86</v>
      </c>
      <c r="DJ61" s="111" t="n">
        <v>425</v>
      </c>
      <c r="DK61" s="111" t="n">
        <v>17</v>
      </c>
      <c r="DL61" s="111" t="n">
        <v>14</v>
      </c>
      <c r="DM61" s="111" t="n">
        <v>14</v>
      </c>
      <c r="DN61" s="111" t="n">
        <v>0</v>
      </c>
      <c r="DO61" s="111" t="n">
        <v>3</v>
      </c>
      <c r="DP61" s="111" t="n">
        <v>1</v>
      </c>
      <c r="DQ61" s="111" t="n">
        <v>2</v>
      </c>
      <c r="DR61" s="111" t="n">
        <v>1847</v>
      </c>
      <c r="DS61" s="111" t="n">
        <v>0</v>
      </c>
      <c r="DT61" s="111" t="n">
        <v>558</v>
      </c>
      <c r="DU61" s="111" t="n">
        <v>3</v>
      </c>
      <c r="DV61" s="111" t="n">
        <v>555</v>
      </c>
      <c r="DW61" s="111" t="n">
        <v>1289</v>
      </c>
      <c r="DX61" s="111" t="n">
        <v>1</v>
      </c>
      <c r="DY61" s="111" t="n">
        <v>1288</v>
      </c>
      <c r="DZ61" s="111" t="n">
        <v>403</v>
      </c>
      <c r="EA61" s="111" t="n">
        <v>292</v>
      </c>
      <c r="EB61" s="111" t="n">
        <v>70</v>
      </c>
      <c r="EC61" s="111" t="n">
        <v>222</v>
      </c>
      <c r="ED61" s="111" t="n">
        <v>111</v>
      </c>
      <c r="EE61" s="111" t="n">
        <v>10</v>
      </c>
      <c r="EF61" s="111" t="n">
        <v>101</v>
      </c>
      <c r="EG61" s="111" t="n">
        <v>117</v>
      </c>
      <c r="EH61" s="111" t="n">
        <v>34</v>
      </c>
      <c r="EI61" s="111" t="n">
        <v>30</v>
      </c>
      <c r="EJ61" s="111" t="n">
        <v>4</v>
      </c>
      <c r="EK61" s="111" t="n">
        <v>83</v>
      </c>
      <c r="EL61" s="111" t="n">
        <v>67</v>
      </c>
      <c r="EM61" s="111" t="n">
        <v>16</v>
      </c>
      <c r="EN61" s="111" t="n">
        <v>121</v>
      </c>
      <c r="EO61" s="111" t="n">
        <v>45</v>
      </c>
      <c r="EP61" s="111" t="n">
        <v>0</v>
      </c>
      <c r="EQ61" s="111" t="n">
        <v>76</v>
      </c>
      <c r="ER61" s="111" t="n">
        <v>2</v>
      </c>
      <c r="ES61" s="111" t="n">
        <v>0</v>
      </c>
      <c r="ET61" s="111" t="n">
        <v>0</v>
      </c>
      <c r="EU61" s="111" t="n">
        <v>19</v>
      </c>
      <c r="EV61" s="111" t="n">
        <v>4</v>
      </c>
      <c r="EW61" s="111" t="n">
        <v>0</v>
      </c>
      <c r="EX61" s="111" t="n">
        <v>15</v>
      </c>
      <c r="EY61" s="111" t="n">
        <v>0</v>
      </c>
      <c r="EZ61" s="111" t="n">
        <v>0</v>
      </c>
      <c r="FA61" s="111" t="n">
        <v>0</v>
      </c>
      <c r="FB61" s="111" t="n">
        <v>0</v>
      </c>
    </row>
    <row r="62" ht="19.5" customHeight="1" s="247">
      <c r="A62" s="107" t="n">
        <v>59</v>
      </c>
      <c r="B62" s="107" t="inlineStr">
        <is>
          <t>医技平台</t>
        </is>
      </c>
      <c r="C62" s="107" t="inlineStr">
        <is>
          <t>麻醉科</t>
        </is>
      </c>
      <c r="D62" s="110" t="n">
        <v>9232236</v>
      </c>
      <c r="E62" s="110" t="n">
        <v>9232236</v>
      </c>
      <c r="F62" s="110" t="n">
        <v>0</v>
      </c>
      <c r="G62" s="110" t="n">
        <v>14440</v>
      </c>
      <c r="H62" s="110" t="n">
        <v>0</v>
      </c>
      <c r="I62" s="110" t="n">
        <v>95610</v>
      </c>
      <c r="J62" s="110" t="n">
        <v>4130016</v>
      </c>
      <c r="K62" s="110" t="n">
        <v>0</v>
      </c>
      <c r="L62" s="110" t="n">
        <v>0</v>
      </c>
      <c r="M62" s="110" t="n">
        <v>0</v>
      </c>
      <c r="N62" s="110" t="n">
        <v>0</v>
      </c>
      <c r="O62" s="110" t="n">
        <v>13569414.59</v>
      </c>
      <c r="P62" s="110" t="n">
        <v>11188992.38</v>
      </c>
      <c r="Q62" s="110" t="n">
        <v>10314724.58</v>
      </c>
      <c r="R62" s="110" t="n">
        <v>874267.8</v>
      </c>
      <c r="S62" s="110" t="n">
        <v>2380422.21</v>
      </c>
      <c r="T62" s="110" t="n">
        <v>1287112.61</v>
      </c>
      <c r="U62" s="110" t="n">
        <v>1093309.6</v>
      </c>
      <c r="V62" s="110" t="n">
        <v>13569414.59</v>
      </c>
      <c r="W62" s="110" t="n">
        <v>11188992.38</v>
      </c>
      <c r="X62" s="110" t="n">
        <v>10314724.58</v>
      </c>
      <c r="Y62" s="110" t="n">
        <v>874267.8</v>
      </c>
      <c r="Z62" s="110" t="n">
        <v>2380422.21</v>
      </c>
      <c r="AA62" s="110" t="n">
        <v>1287112.61</v>
      </c>
      <c r="AB62" s="110" t="n">
        <v>1093309.6</v>
      </c>
      <c r="AC62" s="110" t="n">
        <v>1134468.49</v>
      </c>
      <c r="AD62" s="110" t="n">
        <v>947037.7</v>
      </c>
      <c r="AE62" s="110" t="n">
        <v>908372.9</v>
      </c>
      <c r="AF62" s="110" t="n">
        <v>38664.8</v>
      </c>
      <c r="AG62" s="110" t="n">
        <v>187430.79</v>
      </c>
      <c r="AH62" s="110" t="n">
        <v>110603.75</v>
      </c>
      <c r="AI62" s="110" t="n">
        <v>76827.03999999999</v>
      </c>
      <c r="AJ62" s="110" t="n">
        <v>3202710.1</v>
      </c>
      <c r="AK62" s="110" t="n">
        <v>2657404.68</v>
      </c>
      <c r="AL62" s="110" t="n">
        <v>2548013.68</v>
      </c>
      <c r="AM62" s="110" t="n">
        <v>109391</v>
      </c>
      <c r="AN62" s="110" t="n">
        <v>545305.42</v>
      </c>
      <c r="AO62" s="110" t="n">
        <v>320514.86</v>
      </c>
      <c r="AP62" s="110" t="n">
        <v>224790.56</v>
      </c>
      <c r="AQ62" s="110" t="n">
        <v>3440</v>
      </c>
      <c r="AR62" s="110" t="n">
        <v>2580</v>
      </c>
      <c r="AS62" s="110" t="n">
        <v>2510</v>
      </c>
      <c r="AT62" s="110" t="n">
        <v>70</v>
      </c>
      <c r="AU62" s="110" t="n">
        <v>860</v>
      </c>
      <c r="AV62" s="110" t="n">
        <v>645</v>
      </c>
      <c r="AW62" s="110" t="n">
        <v>215</v>
      </c>
      <c r="AX62" s="110" t="n">
        <v>9228796</v>
      </c>
      <c r="AY62" s="110" t="n">
        <v>7581970</v>
      </c>
      <c r="AZ62" s="110" t="n">
        <v>6855828</v>
      </c>
      <c r="BA62" s="110" t="n">
        <v>726142</v>
      </c>
      <c r="BB62" s="110" t="n">
        <v>1646826</v>
      </c>
      <c r="BC62" s="110" t="n">
        <v>855349</v>
      </c>
      <c r="BD62" s="110" t="n">
        <v>791477</v>
      </c>
      <c r="BE62" s="110" t="n">
        <v>0</v>
      </c>
      <c r="BF62" s="110" t="n">
        <v>0</v>
      </c>
      <c r="BG62" s="110" t="n">
        <v>0</v>
      </c>
      <c r="BH62" s="110" t="n">
        <v>0</v>
      </c>
      <c r="BI62" s="110" t="n">
        <v>0</v>
      </c>
      <c r="BJ62" s="110" t="n">
        <v>0</v>
      </c>
      <c r="BK62" s="110" t="n">
        <v>0</v>
      </c>
      <c r="BL62" s="110" t="n">
        <v>0</v>
      </c>
      <c r="BM62" s="110" t="n">
        <v>0</v>
      </c>
      <c r="BN62" s="110" t="n">
        <v>0</v>
      </c>
      <c r="BO62" s="110" t="n">
        <v>0</v>
      </c>
      <c r="BP62" s="110" t="n">
        <v>0</v>
      </c>
      <c r="BQ62" s="110" t="n">
        <v>0</v>
      </c>
      <c r="BR62" s="110" t="n">
        <v>0</v>
      </c>
      <c r="BS62" s="110" t="n">
        <v>0</v>
      </c>
      <c r="BT62" s="110" t="n">
        <v>0</v>
      </c>
      <c r="BU62" s="110" t="n">
        <v>0</v>
      </c>
      <c r="BV62" s="110" t="n">
        <v>0</v>
      </c>
      <c r="BW62" s="110" t="n">
        <v>0</v>
      </c>
      <c r="BX62" s="110" t="n">
        <v>0</v>
      </c>
      <c r="BY62" s="110" t="n">
        <v>0</v>
      </c>
      <c r="BZ62" s="110" t="n">
        <v>0</v>
      </c>
      <c r="CA62" s="110" t="n">
        <v>0</v>
      </c>
      <c r="CB62" s="110" t="n">
        <v>0</v>
      </c>
      <c r="CC62" s="110" t="n">
        <v>0</v>
      </c>
      <c r="CD62" s="110" t="n">
        <v>0</v>
      </c>
      <c r="CE62" s="110" t="n">
        <v>0</v>
      </c>
      <c r="CF62" s="110" t="n">
        <v>0</v>
      </c>
      <c r="CG62" s="110" t="n">
        <v>0</v>
      </c>
      <c r="CH62" s="110" t="n">
        <v>0</v>
      </c>
      <c r="CI62" s="110" t="n">
        <v>0</v>
      </c>
      <c r="CJ62" s="110" t="n">
        <v>0</v>
      </c>
      <c r="CK62" s="110" t="n">
        <v>0</v>
      </c>
      <c r="CL62" s="110" t="n">
        <v>0</v>
      </c>
      <c r="CM62" s="110" t="n">
        <v>0</v>
      </c>
      <c r="CN62" s="110" t="n">
        <v>-25</v>
      </c>
      <c r="CO62" s="110" t="n">
        <v>330</v>
      </c>
      <c r="CP62" s="110" t="n">
        <v>0</v>
      </c>
      <c r="CQ62" s="110" t="n">
        <v>10727214.09</v>
      </c>
      <c r="CR62" s="110" t="n">
        <v>2841778.7</v>
      </c>
      <c r="CS62" s="110" t="n">
        <v>91.8</v>
      </c>
      <c r="CT62" s="110" t="n">
        <v>0</v>
      </c>
      <c r="CU62" s="110" t="n">
        <v>0</v>
      </c>
      <c r="CV62" s="111" t="n">
        <v>14440</v>
      </c>
      <c r="CW62" s="111" t="n">
        <v>11903</v>
      </c>
      <c r="CX62" s="111" t="n">
        <v>10663</v>
      </c>
      <c r="CY62" s="111" t="n">
        <v>1240</v>
      </c>
      <c r="CZ62" s="111" t="n">
        <v>2537</v>
      </c>
      <c r="DA62" s="111" t="n">
        <v>1332</v>
      </c>
      <c r="DB62" s="111" t="n">
        <v>1205</v>
      </c>
      <c r="DC62" s="111" t="n">
        <v>11716</v>
      </c>
      <c r="DD62" s="111" t="n">
        <v>0</v>
      </c>
      <c r="DE62" s="111" t="n">
        <v>9866</v>
      </c>
      <c r="DF62" s="111" t="n">
        <v>9474</v>
      </c>
      <c r="DG62" s="111" t="n">
        <v>392</v>
      </c>
      <c r="DH62" s="111" t="n">
        <v>1850</v>
      </c>
      <c r="DI62" s="111" t="n">
        <v>1161</v>
      </c>
      <c r="DJ62" s="111" t="n">
        <v>689</v>
      </c>
      <c r="DK62" s="111" t="n">
        <v>0</v>
      </c>
      <c r="DL62" s="111" t="n">
        <v>0</v>
      </c>
      <c r="DM62" s="111" t="n">
        <v>0</v>
      </c>
      <c r="DN62" s="111" t="n">
        <v>0</v>
      </c>
      <c r="DO62" s="111" t="n">
        <v>0</v>
      </c>
      <c r="DP62" s="111" t="n">
        <v>0</v>
      </c>
      <c r="DQ62" s="111" t="n">
        <v>0</v>
      </c>
      <c r="DR62" s="111" t="n">
        <v>2724</v>
      </c>
      <c r="DS62" s="111" t="n">
        <v>0</v>
      </c>
      <c r="DT62" s="111" t="n">
        <v>2037</v>
      </c>
      <c r="DU62" s="111" t="n">
        <v>1189</v>
      </c>
      <c r="DV62" s="111" t="n">
        <v>848</v>
      </c>
      <c r="DW62" s="111" t="n">
        <v>687</v>
      </c>
      <c r="DX62" s="111" t="n">
        <v>171</v>
      </c>
      <c r="DY62" s="111" t="n">
        <v>516</v>
      </c>
      <c r="DZ62" s="111" t="n">
        <v>0</v>
      </c>
      <c r="EA62" s="111" t="n">
        <v>0</v>
      </c>
      <c r="EB62" s="111" t="n">
        <v>0</v>
      </c>
      <c r="EC62" s="111" t="n">
        <v>0</v>
      </c>
      <c r="ED62" s="111" t="n">
        <v>0</v>
      </c>
      <c r="EE62" s="111" t="n">
        <v>0</v>
      </c>
      <c r="EF62" s="111" t="n">
        <v>0</v>
      </c>
      <c r="EG62" s="111" t="n">
        <v>0</v>
      </c>
      <c r="EH62" s="111" t="n">
        <v>0</v>
      </c>
      <c r="EI62" s="111" t="n">
        <v>0</v>
      </c>
      <c r="EJ62" s="111" t="n">
        <v>0</v>
      </c>
      <c r="EK62" s="111" t="n">
        <v>0</v>
      </c>
      <c r="EL62" s="111" t="n">
        <v>0</v>
      </c>
      <c r="EM62" s="111" t="n">
        <v>0</v>
      </c>
      <c r="EN62" s="111" t="n">
        <v>111</v>
      </c>
      <c r="EO62" s="111" t="n">
        <v>0</v>
      </c>
      <c r="EP62" s="111" t="n">
        <v>0</v>
      </c>
      <c r="EQ62" s="111" t="n">
        <v>111</v>
      </c>
      <c r="ER62" s="111" t="n">
        <v>0</v>
      </c>
      <c r="ES62" s="111" t="n">
        <v>0</v>
      </c>
      <c r="ET62" s="111" t="n">
        <v>0</v>
      </c>
      <c r="EU62" s="111" t="n">
        <v>0</v>
      </c>
      <c r="EV62" s="111" t="n">
        <v>0</v>
      </c>
      <c r="EW62" s="111" t="n">
        <v>0</v>
      </c>
      <c r="EX62" s="111" t="n">
        <v>0</v>
      </c>
      <c r="EY62" s="111" t="n">
        <v>0</v>
      </c>
      <c r="EZ62" s="111" t="n">
        <v>0</v>
      </c>
      <c r="FA62" s="111" t="n">
        <v>0</v>
      </c>
      <c r="FB62" s="111" t="n">
        <v>0</v>
      </c>
    </row>
    <row r="63" ht="19.5" customHeight="1" s="247">
      <c r="A63" s="107" t="n">
        <v>60</v>
      </c>
      <c r="B63" s="107" t="inlineStr">
        <is>
          <t>成人非手术</t>
        </is>
      </c>
      <c r="C63" s="107" t="inlineStr">
        <is>
          <t>放疗科</t>
        </is>
      </c>
      <c r="D63" s="110" t="n">
        <v>40980163.5</v>
      </c>
      <c r="E63" s="110" t="n">
        <v>24090821</v>
      </c>
      <c r="F63" s="110" t="n">
        <v>16889342.5</v>
      </c>
      <c r="G63" s="110" t="n">
        <v>7124</v>
      </c>
      <c r="H63" s="110" t="n">
        <v>1508</v>
      </c>
      <c r="I63" s="110" t="n">
        <v>22348563</v>
      </c>
      <c r="J63" s="110" t="n">
        <v>44</v>
      </c>
      <c r="K63" s="110" t="n">
        <v>0</v>
      </c>
      <c r="L63" s="110" t="n">
        <v>13631999.5</v>
      </c>
      <c r="M63" s="110" t="n">
        <v>11647</v>
      </c>
      <c r="N63" s="110" t="n">
        <v>19120.52</v>
      </c>
      <c r="O63" s="110" t="n">
        <v>57617013.87</v>
      </c>
      <c r="P63" s="110" t="n">
        <v>23189177.79</v>
      </c>
      <c r="Q63" s="110" t="n">
        <v>22778852.32</v>
      </c>
      <c r="R63" s="110" t="n">
        <v>410325.47</v>
      </c>
      <c r="S63" s="110" t="n">
        <v>34427836.08</v>
      </c>
      <c r="T63" s="110" t="n">
        <v>33171119.61</v>
      </c>
      <c r="U63" s="110" t="n">
        <v>1256716.47</v>
      </c>
      <c r="V63" s="110" t="n">
        <v>28187582.47</v>
      </c>
      <c r="W63" s="110" t="n">
        <v>15329685.58</v>
      </c>
      <c r="X63" s="110" t="n">
        <v>14937967.41</v>
      </c>
      <c r="Y63" s="110" t="n">
        <v>391718.17</v>
      </c>
      <c r="Z63" s="110" t="n">
        <v>12857896.89</v>
      </c>
      <c r="AA63" s="110" t="n">
        <v>11862685.13</v>
      </c>
      <c r="AB63" s="110" t="n">
        <v>995211.76</v>
      </c>
      <c r="AC63" s="110" t="n">
        <v>4020140.85</v>
      </c>
      <c r="AD63" s="110" t="n">
        <v>2566692.9</v>
      </c>
      <c r="AE63" s="110" t="n">
        <v>2518805.73</v>
      </c>
      <c r="AF63" s="110" t="n">
        <v>47887.17</v>
      </c>
      <c r="AG63" s="110" t="n">
        <v>1453447.95</v>
      </c>
      <c r="AH63" s="110" t="n">
        <v>1301187.62</v>
      </c>
      <c r="AI63" s="110" t="n">
        <v>152260.33</v>
      </c>
      <c r="AJ63" s="110" t="n">
        <v>76620.62</v>
      </c>
      <c r="AK63" s="110" t="n">
        <v>17561.68</v>
      </c>
      <c r="AL63" s="110" t="n">
        <v>16228.68</v>
      </c>
      <c r="AM63" s="110" t="n">
        <v>1333</v>
      </c>
      <c r="AN63" s="110" t="n">
        <v>59058.94</v>
      </c>
      <c r="AO63" s="110" t="n">
        <v>50601.51</v>
      </c>
      <c r="AP63" s="110" t="n">
        <v>8457.43</v>
      </c>
      <c r="AQ63" s="110" t="n">
        <v>1489221</v>
      </c>
      <c r="AR63" s="110" t="n">
        <v>546890</v>
      </c>
      <c r="AS63" s="110" t="n">
        <v>518850</v>
      </c>
      <c r="AT63" s="110" t="n">
        <v>28040</v>
      </c>
      <c r="AU63" s="110" t="n">
        <v>942331</v>
      </c>
      <c r="AV63" s="110" t="n">
        <v>724784</v>
      </c>
      <c r="AW63" s="110" t="n">
        <v>217547</v>
      </c>
      <c r="AX63" s="110" t="n">
        <v>22601600</v>
      </c>
      <c r="AY63" s="110" t="n">
        <v>12198541</v>
      </c>
      <c r="AZ63" s="110" t="n">
        <v>11884083</v>
      </c>
      <c r="BA63" s="110" t="n">
        <v>314458</v>
      </c>
      <c r="BB63" s="110" t="n">
        <v>10403059</v>
      </c>
      <c r="BC63" s="110" t="n">
        <v>9786112</v>
      </c>
      <c r="BD63" s="110" t="n">
        <v>616947</v>
      </c>
      <c r="BE63" s="110" t="n">
        <v>29429431.4</v>
      </c>
      <c r="BF63" s="110" t="n">
        <v>7859492.21</v>
      </c>
      <c r="BG63" s="110" t="n">
        <v>7840884.91</v>
      </c>
      <c r="BH63" s="110" t="n">
        <v>18607.3</v>
      </c>
      <c r="BI63" s="110" t="n">
        <v>21569939.19</v>
      </c>
      <c r="BJ63" s="110" t="n">
        <v>21308434.48</v>
      </c>
      <c r="BK63" s="110" t="n">
        <v>261504.71</v>
      </c>
      <c r="BL63" s="110" t="n">
        <v>11924884.04</v>
      </c>
      <c r="BM63" s="110" t="n">
        <v>5201391.13</v>
      </c>
      <c r="BN63" s="110" t="n">
        <v>5192897.65</v>
      </c>
      <c r="BO63" s="110" t="n">
        <v>8493.48</v>
      </c>
      <c r="BP63" s="110" t="n">
        <v>6723492.91</v>
      </c>
      <c r="BQ63" s="110" t="n">
        <v>6696436.62</v>
      </c>
      <c r="BR63" s="110" t="n">
        <v>27056.29</v>
      </c>
      <c r="BS63" s="110" t="n">
        <v>615204.86</v>
      </c>
      <c r="BT63" s="110" t="n">
        <v>217391.08</v>
      </c>
      <c r="BU63" s="110" t="n">
        <v>216930.26</v>
      </c>
      <c r="BV63" s="110" t="n">
        <v>460.82</v>
      </c>
      <c r="BW63" s="110" t="n">
        <v>397813.78</v>
      </c>
      <c r="BX63" s="110" t="n">
        <v>391421.36</v>
      </c>
      <c r="BY63" s="110" t="n">
        <v>6392.42</v>
      </c>
      <c r="BZ63" s="110" t="n">
        <v>2035008</v>
      </c>
      <c r="CA63" s="110" t="n">
        <v>761630</v>
      </c>
      <c r="CB63" s="110" t="n">
        <v>753424</v>
      </c>
      <c r="CC63" s="110" t="n">
        <v>8206</v>
      </c>
      <c r="CD63" s="110" t="n">
        <v>1273378</v>
      </c>
      <c r="CE63" s="110" t="n">
        <v>1256342</v>
      </c>
      <c r="CF63" s="110" t="n">
        <v>17036</v>
      </c>
      <c r="CG63" s="110" t="n">
        <v>14854334.5</v>
      </c>
      <c r="CH63" s="110" t="n">
        <v>1679080</v>
      </c>
      <c r="CI63" s="110" t="n">
        <v>1677633</v>
      </c>
      <c r="CJ63" s="110" t="n">
        <v>1447</v>
      </c>
      <c r="CK63" s="110" t="n">
        <v>13175254.5</v>
      </c>
      <c r="CL63" s="110" t="n">
        <v>12964234.5</v>
      </c>
      <c r="CM63" s="110" t="n">
        <v>211020</v>
      </c>
      <c r="CN63" s="110" t="n">
        <v>0</v>
      </c>
      <c r="CO63" s="110" t="n">
        <v>21188270.21</v>
      </c>
      <c r="CP63" s="110" t="n">
        <v>6878112.31</v>
      </c>
      <c r="CQ63" s="110" t="n">
        <v>0</v>
      </c>
      <c r="CR63" s="110" t="n">
        <v>121199.95</v>
      </c>
      <c r="CS63" s="110" t="n">
        <v>0</v>
      </c>
      <c r="CT63" s="110" t="n">
        <v>163707.13</v>
      </c>
      <c r="CU63" s="110" t="n">
        <v>0</v>
      </c>
      <c r="CV63" s="111" t="n">
        <v>7124</v>
      </c>
      <c r="CW63" s="111" t="n">
        <v>3039</v>
      </c>
      <c r="CX63" s="111" t="n">
        <v>2904</v>
      </c>
      <c r="CY63" s="111" t="n">
        <v>135</v>
      </c>
      <c r="CZ63" s="111" t="n">
        <v>4085</v>
      </c>
      <c r="DA63" s="111" t="n">
        <v>3304</v>
      </c>
      <c r="DB63" s="111" t="n">
        <v>781</v>
      </c>
      <c r="DC63" s="111" t="n">
        <v>4926</v>
      </c>
      <c r="DD63" s="111" t="n">
        <v>0</v>
      </c>
      <c r="DE63" s="111" t="n">
        <v>1947</v>
      </c>
      <c r="DF63" s="111" t="n">
        <v>1859</v>
      </c>
      <c r="DG63" s="111" t="n">
        <v>88</v>
      </c>
      <c r="DH63" s="111" t="n">
        <v>2979</v>
      </c>
      <c r="DI63" s="111" t="n">
        <v>2534</v>
      </c>
      <c r="DJ63" s="111" t="n">
        <v>445</v>
      </c>
      <c r="DK63" s="111" t="n">
        <v>2103</v>
      </c>
      <c r="DL63" s="111" t="n">
        <v>1070</v>
      </c>
      <c r="DM63" s="111" t="n">
        <v>1024</v>
      </c>
      <c r="DN63" s="111" t="n">
        <v>46</v>
      </c>
      <c r="DO63" s="111" t="n">
        <v>1033</v>
      </c>
      <c r="DP63" s="111" t="n">
        <v>724</v>
      </c>
      <c r="DQ63" s="111" t="n">
        <v>309</v>
      </c>
      <c r="DR63" s="111" t="n">
        <v>95</v>
      </c>
      <c r="DS63" s="111" t="n">
        <v>0</v>
      </c>
      <c r="DT63" s="111" t="n">
        <v>22</v>
      </c>
      <c r="DU63" s="111" t="n">
        <v>21</v>
      </c>
      <c r="DV63" s="111" t="n">
        <v>1</v>
      </c>
      <c r="DW63" s="111" t="n">
        <v>73</v>
      </c>
      <c r="DX63" s="111" t="n">
        <v>46</v>
      </c>
      <c r="DY63" s="111" t="n">
        <v>27</v>
      </c>
      <c r="DZ63" s="111" t="n">
        <v>0</v>
      </c>
      <c r="EA63" s="111" t="n">
        <v>0</v>
      </c>
      <c r="EB63" s="111" t="n">
        <v>0</v>
      </c>
      <c r="EC63" s="111" t="n">
        <v>0</v>
      </c>
      <c r="ED63" s="111" t="n">
        <v>0</v>
      </c>
      <c r="EE63" s="111" t="n">
        <v>0</v>
      </c>
      <c r="EF63" s="111" t="n">
        <v>0</v>
      </c>
      <c r="EG63" s="111" t="n">
        <v>1508</v>
      </c>
      <c r="EH63" s="111" t="n">
        <v>488</v>
      </c>
      <c r="EI63" s="111" t="n">
        <v>486</v>
      </c>
      <c r="EJ63" s="111" t="n">
        <v>2</v>
      </c>
      <c r="EK63" s="111" t="n">
        <v>1020</v>
      </c>
      <c r="EL63" s="111" t="n">
        <v>1010</v>
      </c>
      <c r="EM63" s="111" t="n">
        <v>10</v>
      </c>
      <c r="EN63" s="111" t="n">
        <v>1548</v>
      </c>
      <c r="EO63" s="111" t="n">
        <v>0</v>
      </c>
      <c r="EP63" s="111" t="n">
        <v>0</v>
      </c>
      <c r="EQ63" s="111" t="n">
        <v>1548</v>
      </c>
      <c r="ER63" s="111" t="n">
        <v>0</v>
      </c>
      <c r="ES63" s="111" t="n">
        <v>0</v>
      </c>
      <c r="ET63" s="111" t="n">
        <v>0</v>
      </c>
      <c r="EU63" s="111" t="n">
        <v>0</v>
      </c>
      <c r="EV63" s="111" t="n">
        <v>0</v>
      </c>
      <c r="EW63" s="111" t="n">
        <v>0</v>
      </c>
      <c r="EX63" s="111" t="n">
        <v>0</v>
      </c>
      <c r="EY63" s="111" t="n">
        <v>0</v>
      </c>
      <c r="EZ63" s="111" t="n">
        <v>0</v>
      </c>
      <c r="FA63" s="111" t="n">
        <v>0</v>
      </c>
      <c r="FB63" s="111" t="n">
        <v>0</v>
      </c>
    </row>
    <row r="64" ht="19.5" customHeight="1" s="247">
      <c r="A64" s="107" t="n">
        <v>61</v>
      </c>
      <c r="B64" s="107" t="inlineStr">
        <is>
          <t>其他</t>
        </is>
      </c>
      <c r="C64" s="107" t="inlineStr">
        <is>
          <t>特需门诊</t>
        </is>
      </c>
      <c r="D64" s="110" t="n">
        <v>-654</v>
      </c>
      <c r="E64" s="110" t="n">
        <v>-654</v>
      </c>
      <c r="F64" s="110" t="n">
        <v>0</v>
      </c>
      <c r="G64" s="110" t="n">
        <v>0</v>
      </c>
      <c r="H64" s="110" t="n">
        <v>0</v>
      </c>
      <c r="I64" s="110" t="n">
        <v>6</v>
      </c>
      <c r="J64" s="110" t="n">
        <v>0</v>
      </c>
      <c r="K64" s="110" t="n">
        <v>0</v>
      </c>
      <c r="L64" s="110" t="n">
        <v>0</v>
      </c>
      <c r="M64" s="110" t="n">
        <v>0</v>
      </c>
      <c r="N64" s="110" t="n">
        <v>0</v>
      </c>
      <c r="O64" s="110" t="n">
        <v>-654</v>
      </c>
      <c r="P64" s="110" t="n">
        <v>-660</v>
      </c>
      <c r="Q64" s="110" t="n">
        <v>-660</v>
      </c>
      <c r="R64" s="110" t="n">
        <v>0</v>
      </c>
      <c r="S64" s="110" t="n">
        <v>6</v>
      </c>
      <c r="T64" s="110" t="n">
        <v>6</v>
      </c>
      <c r="U64" s="110" t="n">
        <v>0</v>
      </c>
      <c r="V64" s="110" t="n">
        <v>-654</v>
      </c>
      <c r="W64" s="110" t="n">
        <v>-660</v>
      </c>
      <c r="X64" s="110" t="n">
        <v>-660</v>
      </c>
      <c r="Y64" s="110" t="n">
        <v>0</v>
      </c>
      <c r="Z64" s="110" t="n">
        <v>6</v>
      </c>
      <c r="AA64" s="110" t="n">
        <v>6</v>
      </c>
      <c r="AB64" s="110" t="n">
        <v>0</v>
      </c>
      <c r="AC64" s="110" t="n">
        <v>0</v>
      </c>
      <c r="AD64" s="110" t="n">
        <v>0</v>
      </c>
      <c r="AE64" s="110" t="n">
        <v>0</v>
      </c>
      <c r="AF64" s="110" t="n">
        <v>0</v>
      </c>
      <c r="AG64" s="110" t="n">
        <v>0</v>
      </c>
      <c r="AH64" s="110" t="n">
        <v>0</v>
      </c>
      <c r="AI64" s="110" t="n">
        <v>0</v>
      </c>
      <c r="AJ64" s="110" t="n">
        <v>0</v>
      </c>
      <c r="AK64" s="110" t="n">
        <v>0</v>
      </c>
      <c r="AL64" s="110" t="n">
        <v>0</v>
      </c>
      <c r="AM64" s="110" t="n">
        <v>0</v>
      </c>
      <c r="AN64" s="110" t="n">
        <v>0</v>
      </c>
      <c r="AO64" s="110" t="n">
        <v>0</v>
      </c>
      <c r="AP64" s="110" t="n">
        <v>0</v>
      </c>
      <c r="AQ64" s="110" t="n">
        <v>-660</v>
      </c>
      <c r="AR64" s="110" t="n">
        <v>-660</v>
      </c>
      <c r="AS64" s="110" t="n">
        <v>-660</v>
      </c>
      <c r="AT64" s="110" t="n">
        <v>0</v>
      </c>
      <c r="AU64" s="110" t="n">
        <v>0</v>
      </c>
      <c r="AV64" s="110" t="n">
        <v>0</v>
      </c>
      <c r="AW64" s="110" t="n">
        <v>0</v>
      </c>
      <c r="AX64" s="110" t="n">
        <v>6</v>
      </c>
      <c r="AY64" s="110" t="n">
        <v>0</v>
      </c>
      <c r="AZ64" s="110" t="n">
        <v>0</v>
      </c>
      <c r="BA64" s="110" t="n">
        <v>0</v>
      </c>
      <c r="BB64" s="110" t="n">
        <v>6</v>
      </c>
      <c r="BC64" s="110" t="n">
        <v>6</v>
      </c>
      <c r="BD64" s="110" t="n">
        <v>0</v>
      </c>
      <c r="BE64" s="110" t="n">
        <v>0</v>
      </c>
      <c r="BF64" s="110" t="n">
        <v>0</v>
      </c>
      <c r="BG64" s="110" t="n">
        <v>0</v>
      </c>
      <c r="BH64" s="110" t="n">
        <v>0</v>
      </c>
      <c r="BI64" s="110" t="n">
        <v>0</v>
      </c>
      <c r="BJ64" s="110" t="n">
        <v>0</v>
      </c>
      <c r="BK64" s="110" t="n">
        <v>0</v>
      </c>
      <c r="BL64" s="110" t="n">
        <v>0</v>
      </c>
      <c r="BM64" s="110" t="n">
        <v>0</v>
      </c>
      <c r="BN64" s="110" t="n">
        <v>0</v>
      </c>
      <c r="BO64" s="110" t="n">
        <v>0</v>
      </c>
      <c r="BP64" s="110" t="n">
        <v>0</v>
      </c>
      <c r="BQ64" s="110" t="n">
        <v>0</v>
      </c>
      <c r="BR64" s="110" t="n">
        <v>0</v>
      </c>
      <c r="BS64" s="110" t="n">
        <v>0</v>
      </c>
      <c r="BT64" s="110" t="n">
        <v>0</v>
      </c>
      <c r="BU64" s="110" t="n">
        <v>0</v>
      </c>
      <c r="BV64" s="110" t="n">
        <v>0</v>
      </c>
      <c r="BW64" s="110" t="n">
        <v>0</v>
      </c>
      <c r="BX64" s="110" t="n">
        <v>0</v>
      </c>
      <c r="BY64" s="110" t="n">
        <v>0</v>
      </c>
      <c r="BZ64" s="110" t="n">
        <v>0</v>
      </c>
      <c r="CA64" s="110" t="n">
        <v>0</v>
      </c>
      <c r="CB64" s="110" t="n">
        <v>0</v>
      </c>
      <c r="CC64" s="110" t="n">
        <v>0</v>
      </c>
      <c r="CD64" s="110" t="n">
        <v>0</v>
      </c>
      <c r="CE64" s="110" t="n">
        <v>0</v>
      </c>
      <c r="CF64" s="110" t="n">
        <v>0</v>
      </c>
      <c r="CG64" s="110" t="n">
        <v>0</v>
      </c>
      <c r="CH64" s="110" t="n">
        <v>0</v>
      </c>
      <c r="CI64" s="110" t="n">
        <v>0</v>
      </c>
      <c r="CJ64" s="110" t="n">
        <v>0</v>
      </c>
      <c r="CK64" s="110" t="n">
        <v>0</v>
      </c>
      <c r="CL64" s="110" t="n">
        <v>0</v>
      </c>
      <c r="CM64" s="110" t="n">
        <v>0</v>
      </c>
      <c r="CN64" s="110" t="n">
        <v>0</v>
      </c>
      <c r="CO64" s="110" t="n">
        <v>0</v>
      </c>
      <c r="CP64" s="110" t="n">
        <v>0</v>
      </c>
      <c r="CQ64" s="110" t="n">
        <v>0</v>
      </c>
      <c r="CR64" s="110" t="n">
        <v>-654</v>
      </c>
      <c r="CS64" s="110" t="n">
        <v>0</v>
      </c>
      <c r="CT64" s="110" t="n">
        <v>0</v>
      </c>
      <c r="CU64" s="110" t="n">
        <v>0</v>
      </c>
      <c r="CV64" s="111" t="n">
        <v>0</v>
      </c>
      <c r="CW64" s="111" t="n">
        <v>0</v>
      </c>
      <c r="CX64" s="111" t="n">
        <v>0</v>
      </c>
      <c r="CY64" s="111" t="n">
        <v>0</v>
      </c>
      <c r="CZ64" s="111" t="n">
        <v>0</v>
      </c>
      <c r="DA64" s="111" t="n">
        <v>0</v>
      </c>
      <c r="DB64" s="111" t="n">
        <v>0</v>
      </c>
      <c r="DC64" s="111" t="n">
        <v>0</v>
      </c>
      <c r="DD64" s="111" t="n">
        <v>0</v>
      </c>
      <c r="DE64" s="111" t="n">
        <v>0</v>
      </c>
      <c r="DF64" s="111" t="n">
        <v>0</v>
      </c>
      <c r="DG64" s="111" t="n">
        <v>0</v>
      </c>
      <c r="DH64" s="111" t="n">
        <v>0</v>
      </c>
      <c r="DI64" s="111" t="n">
        <v>0</v>
      </c>
      <c r="DJ64" s="111" t="n">
        <v>0</v>
      </c>
      <c r="DK64" s="111" t="n">
        <v>0</v>
      </c>
      <c r="DL64" s="111" t="n">
        <v>0</v>
      </c>
      <c r="DM64" s="111" t="n">
        <v>0</v>
      </c>
      <c r="DN64" s="111" t="n">
        <v>0</v>
      </c>
      <c r="DO64" s="111" t="n">
        <v>0</v>
      </c>
      <c r="DP64" s="111" t="n">
        <v>0</v>
      </c>
      <c r="DQ64" s="111" t="n">
        <v>0</v>
      </c>
      <c r="DR64" s="111" t="n">
        <v>0</v>
      </c>
      <c r="DS64" s="111" t="n">
        <v>0</v>
      </c>
      <c r="DT64" s="111" t="n">
        <v>0</v>
      </c>
      <c r="DU64" s="111" t="n">
        <v>0</v>
      </c>
      <c r="DV64" s="111" t="n">
        <v>0</v>
      </c>
      <c r="DW64" s="111" t="n">
        <v>0</v>
      </c>
      <c r="DX64" s="111" t="n">
        <v>0</v>
      </c>
      <c r="DY64" s="111" t="n">
        <v>0</v>
      </c>
      <c r="DZ64" s="111" t="n">
        <v>0</v>
      </c>
      <c r="EA64" s="111" t="n">
        <v>0</v>
      </c>
      <c r="EB64" s="111" t="n">
        <v>0</v>
      </c>
      <c r="EC64" s="111" t="n">
        <v>0</v>
      </c>
      <c r="ED64" s="111" t="n">
        <v>0</v>
      </c>
      <c r="EE64" s="111" t="n">
        <v>0</v>
      </c>
      <c r="EF64" s="111" t="n">
        <v>0</v>
      </c>
      <c r="EG64" s="111" t="n">
        <v>0</v>
      </c>
      <c r="EH64" s="111" t="n">
        <v>0</v>
      </c>
      <c r="EI64" s="111" t="n">
        <v>0</v>
      </c>
      <c r="EJ64" s="111" t="n">
        <v>0</v>
      </c>
      <c r="EK64" s="111" t="n">
        <v>0</v>
      </c>
      <c r="EL64" s="111" t="n">
        <v>0</v>
      </c>
      <c r="EM64" s="111" t="n">
        <v>0</v>
      </c>
      <c r="EN64" s="111" t="n">
        <v>0</v>
      </c>
      <c r="EO64" s="111" t="n">
        <v>0</v>
      </c>
      <c r="EP64" s="111" t="n">
        <v>0</v>
      </c>
      <c r="EQ64" s="111" t="n">
        <v>0</v>
      </c>
      <c r="ER64" s="111" t="n">
        <v>0</v>
      </c>
      <c r="ES64" s="111" t="n">
        <v>0</v>
      </c>
      <c r="ET64" s="111" t="n">
        <v>0</v>
      </c>
      <c r="EU64" s="111" t="n">
        <v>0</v>
      </c>
      <c r="EV64" s="111" t="n">
        <v>0</v>
      </c>
      <c r="EW64" s="111" t="n">
        <v>0</v>
      </c>
      <c r="EX64" s="111" t="n">
        <v>0</v>
      </c>
      <c r="EY64" s="111" t="n">
        <v>0</v>
      </c>
      <c r="EZ64" s="111" t="n">
        <v>0</v>
      </c>
      <c r="FA64" s="111" t="n">
        <v>0</v>
      </c>
      <c r="FB64" s="111" t="n">
        <v>0</v>
      </c>
    </row>
    <row r="65" ht="19.5" customHeight="1" s="247">
      <c r="A65" s="107" t="n">
        <v>62</v>
      </c>
      <c r="B65" s="107" t="inlineStr">
        <is>
          <t>医技平台</t>
        </is>
      </c>
      <c r="C65" s="107" t="inlineStr">
        <is>
          <t>病理科</t>
        </is>
      </c>
      <c r="D65" s="110" t="n">
        <v>1785353</v>
      </c>
      <c r="E65" s="110" t="n">
        <v>1785353</v>
      </c>
      <c r="F65" s="110" t="n">
        <v>0</v>
      </c>
      <c r="G65" s="110" t="n">
        <v>1526</v>
      </c>
      <c r="H65" s="110" t="n">
        <v>0</v>
      </c>
      <c r="I65" s="110" t="n">
        <v>720</v>
      </c>
      <c r="J65" s="110" t="n">
        <v>44</v>
      </c>
      <c r="K65" s="110" t="n">
        <v>0</v>
      </c>
      <c r="L65" s="110" t="n">
        <v>0</v>
      </c>
      <c r="M65" s="110" t="n">
        <v>0</v>
      </c>
      <c r="N65" s="110" t="n">
        <v>0</v>
      </c>
      <c r="O65" s="110" t="n">
        <v>1786553</v>
      </c>
      <c r="P65" s="110" t="n">
        <v>1307380</v>
      </c>
      <c r="Q65" s="110" t="n">
        <v>1092755</v>
      </c>
      <c r="R65" s="110" t="n">
        <v>214625</v>
      </c>
      <c r="S65" s="110" t="n">
        <v>479173</v>
      </c>
      <c r="T65" s="110" t="n">
        <v>257859</v>
      </c>
      <c r="U65" s="110" t="n">
        <v>221314</v>
      </c>
      <c r="V65" s="110" t="n">
        <v>1786553</v>
      </c>
      <c r="W65" s="110" t="n">
        <v>1307380</v>
      </c>
      <c r="X65" s="110" t="n">
        <v>1092755</v>
      </c>
      <c r="Y65" s="110" t="n">
        <v>214625</v>
      </c>
      <c r="Z65" s="110" t="n">
        <v>479173</v>
      </c>
      <c r="AA65" s="110" t="n">
        <v>257859</v>
      </c>
      <c r="AB65" s="110" t="n">
        <v>221314</v>
      </c>
      <c r="AC65" s="110" t="n">
        <v>0</v>
      </c>
      <c r="AD65" s="110" t="n">
        <v>0</v>
      </c>
      <c r="AE65" s="110" t="n">
        <v>0</v>
      </c>
      <c r="AF65" s="110" t="n">
        <v>0</v>
      </c>
      <c r="AG65" s="110" t="n">
        <v>0</v>
      </c>
      <c r="AH65" s="110" t="n">
        <v>0</v>
      </c>
      <c r="AI65" s="110" t="n">
        <v>0</v>
      </c>
      <c r="AJ65" s="110" t="n">
        <v>1200</v>
      </c>
      <c r="AK65" s="110" t="n">
        <v>0</v>
      </c>
      <c r="AL65" s="110" t="n">
        <v>0</v>
      </c>
      <c r="AM65" s="110" t="n">
        <v>0</v>
      </c>
      <c r="AN65" s="110" t="n">
        <v>1200</v>
      </c>
      <c r="AO65" s="110" t="n">
        <v>600</v>
      </c>
      <c r="AP65" s="110" t="n">
        <v>600</v>
      </c>
      <c r="AQ65" s="110" t="n">
        <v>1728269</v>
      </c>
      <c r="AR65" s="110" t="n">
        <v>1288692</v>
      </c>
      <c r="AS65" s="110" t="n">
        <v>1083539</v>
      </c>
      <c r="AT65" s="110" t="n">
        <v>205153</v>
      </c>
      <c r="AU65" s="110" t="n">
        <v>439577</v>
      </c>
      <c r="AV65" s="110" t="n">
        <v>247149</v>
      </c>
      <c r="AW65" s="110" t="n">
        <v>192428</v>
      </c>
      <c r="AX65" s="110" t="n">
        <v>57084</v>
      </c>
      <c r="AY65" s="110" t="n">
        <v>18688</v>
      </c>
      <c r="AZ65" s="110" t="n">
        <v>9216</v>
      </c>
      <c r="BA65" s="110" t="n">
        <v>9472</v>
      </c>
      <c r="BB65" s="110" t="n">
        <v>38396</v>
      </c>
      <c r="BC65" s="110" t="n">
        <v>10110</v>
      </c>
      <c r="BD65" s="110" t="n">
        <v>28286</v>
      </c>
      <c r="BE65" s="110" t="n">
        <v>0</v>
      </c>
      <c r="BF65" s="110" t="n">
        <v>0</v>
      </c>
      <c r="BG65" s="110" t="n">
        <v>0</v>
      </c>
      <c r="BH65" s="110" t="n">
        <v>0</v>
      </c>
      <c r="BI65" s="110" t="n">
        <v>0</v>
      </c>
      <c r="BJ65" s="110" t="n">
        <v>0</v>
      </c>
      <c r="BK65" s="110" t="n">
        <v>0</v>
      </c>
      <c r="BL65" s="110" t="n">
        <v>0</v>
      </c>
      <c r="BM65" s="110" t="n">
        <v>0</v>
      </c>
      <c r="BN65" s="110" t="n">
        <v>0</v>
      </c>
      <c r="BO65" s="110" t="n">
        <v>0</v>
      </c>
      <c r="BP65" s="110" t="n">
        <v>0</v>
      </c>
      <c r="BQ65" s="110" t="n">
        <v>0</v>
      </c>
      <c r="BR65" s="110" t="n">
        <v>0</v>
      </c>
      <c r="BS65" s="110" t="n">
        <v>0</v>
      </c>
      <c r="BT65" s="110" t="n">
        <v>0</v>
      </c>
      <c r="BU65" s="110" t="n">
        <v>0</v>
      </c>
      <c r="BV65" s="110" t="n">
        <v>0</v>
      </c>
      <c r="BW65" s="110" t="n">
        <v>0</v>
      </c>
      <c r="BX65" s="110" t="n">
        <v>0</v>
      </c>
      <c r="BY65" s="110" t="n">
        <v>0</v>
      </c>
      <c r="BZ65" s="110" t="n">
        <v>0</v>
      </c>
      <c r="CA65" s="110" t="n">
        <v>0</v>
      </c>
      <c r="CB65" s="110" t="n">
        <v>0</v>
      </c>
      <c r="CC65" s="110" t="n">
        <v>0</v>
      </c>
      <c r="CD65" s="110" t="n">
        <v>0</v>
      </c>
      <c r="CE65" s="110" t="n">
        <v>0</v>
      </c>
      <c r="CF65" s="110" t="n">
        <v>0</v>
      </c>
      <c r="CG65" s="110" t="n">
        <v>0</v>
      </c>
      <c r="CH65" s="110" t="n">
        <v>0</v>
      </c>
      <c r="CI65" s="110" t="n">
        <v>0</v>
      </c>
      <c r="CJ65" s="110" t="n">
        <v>0</v>
      </c>
      <c r="CK65" s="110" t="n">
        <v>0</v>
      </c>
      <c r="CL65" s="110" t="n">
        <v>0</v>
      </c>
      <c r="CM65" s="110" t="n">
        <v>0</v>
      </c>
      <c r="CN65" s="110" t="n">
        <v>0</v>
      </c>
      <c r="CO65" s="110" t="n">
        <v>0</v>
      </c>
      <c r="CP65" s="110" t="n">
        <v>0</v>
      </c>
      <c r="CQ65" s="110" t="n">
        <v>1650064</v>
      </c>
      <c r="CR65" s="110" t="n">
        <v>136489</v>
      </c>
      <c r="CS65" s="110" t="n">
        <v>0</v>
      </c>
      <c r="CT65" s="110" t="n">
        <v>0</v>
      </c>
      <c r="CU65" s="110" t="n">
        <v>0</v>
      </c>
      <c r="CV65" s="111" t="n">
        <v>1526</v>
      </c>
      <c r="CW65" s="111" t="n">
        <v>998</v>
      </c>
      <c r="CX65" s="111" t="n">
        <v>842</v>
      </c>
      <c r="CY65" s="111" t="n">
        <v>156</v>
      </c>
      <c r="CZ65" s="111" t="n">
        <v>528</v>
      </c>
      <c r="DA65" s="111" t="n">
        <v>244</v>
      </c>
      <c r="DB65" s="111" t="n">
        <v>284</v>
      </c>
      <c r="DC65" s="111" t="n">
        <v>1306</v>
      </c>
      <c r="DD65" s="111" t="n">
        <v>0</v>
      </c>
      <c r="DE65" s="111" t="n">
        <v>925</v>
      </c>
      <c r="DF65" s="111" t="n">
        <v>806</v>
      </c>
      <c r="DG65" s="111" t="n">
        <v>119</v>
      </c>
      <c r="DH65" s="111" t="n">
        <v>381</v>
      </c>
      <c r="DI65" s="111" t="n">
        <v>206</v>
      </c>
      <c r="DJ65" s="111" t="n">
        <v>175</v>
      </c>
      <c r="DK65" s="111" t="n">
        <v>0</v>
      </c>
      <c r="DL65" s="111" t="n">
        <v>0</v>
      </c>
      <c r="DM65" s="111" t="n">
        <v>0</v>
      </c>
      <c r="DN65" s="111" t="n">
        <v>0</v>
      </c>
      <c r="DO65" s="111" t="n">
        <v>0</v>
      </c>
      <c r="DP65" s="111" t="n">
        <v>0</v>
      </c>
      <c r="DQ65" s="111" t="n">
        <v>0</v>
      </c>
      <c r="DR65" s="111" t="n">
        <v>220</v>
      </c>
      <c r="DS65" s="111" t="n">
        <v>0</v>
      </c>
      <c r="DT65" s="111" t="n">
        <v>73</v>
      </c>
      <c r="DU65" s="111" t="n">
        <v>36</v>
      </c>
      <c r="DV65" s="111" t="n">
        <v>37</v>
      </c>
      <c r="DW65" s="111" t="n">
        <v>147</v>
      </c>
      <c r="DX65" s="111" t="n">
        <v>38</v>
      </c>
      <c r="DY65" s="111" t="n">
        <v>109</v>
      </c>
      <c r="DZ65" s="111" t="n">
        <v>0</v>
      </c>
      <c r="EA65" s="111" t="n">
        <v>0</v>
      </c>
      <c r="EB65" s="111" t="n">
        <v>0</v>
      </c>
      <c r="EC65" s="111" t="n">
        <v>0</v>
      </c>
      <c r="ED65" s="111" t="n">
        <v>0</v>
      </c>
      <c r="EE65" s="111" t="n">
        <v>0</v>
      </c>
      <c r="EF65" s="111" t="n">
        <v>0</v>
      </c>
      <c r="EG65" s="111" t="n">
        <v>0</v>
      </c>
      <c r="EH65" s="111" t="n">
        <v>0</v>
      </c>
      <c r="EI65" s="111" t="n">
        <v>0</v>
      </c>
      <c r="EJ65" s="111" t="n">
        <v>0</v>
      </c>
      <c r="EK65" s="111" t="n">
        <v>0</v>
      </c>
      <c r="EL65" s="111" t="n">
        <v>0</v>
      </c>
      <c r="EM65" s="111" t="n">
        <v>0</v>
      </c>
      <c r="EN65" s="111" t="n">
        <v>3</v>
      </c>
      <c r="EO65" s="111" t="n">
        <v>2</v>
      </c>
      <c r="EP65" s="111" t="n">
        <v>0</v>
      </c>
      <c r="EQ65" s="111" t="n">
        <v>1</v>
      </c>
      <c r="ER65" s="111" t="n">
        <v>2</v>
      </c>
      <c r="ES65" s="111" t="n">
        <v>0</v>
      </c>
      <c r="ET65" s="111" t="n">
        <v>0</v>
      </c>
      <c r="EU65" s="111" t="n">
        <v>0</v>
      </c>
      <c r="EV65" s="111" t="n">
        <v>0</v>
      </c>
      <c r="EW65" s="111" t="n">
        <v>0</v>
      </c>
      <c r="EX65" s="111" t="n">
        <v>0</v>
      </c>
      <c r="EY65" s="111" t="n">
        <v>0</v>
      </c>
      <c r="EZ65" s="111" t="n">
        <v>0</v>
      </c>
      <c r="FA65" s="111" t="n">
        <v>0</v>
      </c>
      <c r="FB65" s="111" t="n">
        <v>0</v>
      </c>
    </row>
    <row r="66" ht="19.5" customHeight="1" s="247">
      <c r="A66" s="107" t="n">
        <v>63</v>
      </c>
      <c r="B66" s="107" t="inlineStr">
        <is>
          <t>医技平台</t>
        </is>
      </c>
      <c r="C66" s="107" t="inlineStr">
        <is>
          <t>放射科</t>
        </is>
      </c>
      <c r="D66" s="110" t="n">
        <v>1662718</v>
      </c>
      <c r="E66" s="110" t="n">
        <v>1662718</v>
      </c>
      <c r="F66" s="110" t="n">
        <v>0</v>
      </c>
      <c r="G66" s="110" t="n">
        <v>15677</v>
      </c>
      <c r="H66" s="110" t="n">
        <v>0</v>
      </c>
      <c r="I66" s="110" t="n">
        <v>390</v>
      </c>
      <c r="J66" s="110" t="n">
        <v>3300</v>
      </c>
      <c r="K66" s="110" t="n">
        <v>0</v>
      </c>
      <c r="L66" s="110" t="n">
        <v>0</v>
      </c>
      <c r="M66" s="110" t="n">
        <v>0</v>
      </c>
      <c r="N66" s="110" t="n">
        <v>0</v>
      </c>
      <c r="O66" s="110" t="n">
        <v>1669591.77</v>
      </c>
      <c r="P66" s="110" t="n">
        <v>870799.85</v>
      </c>
      <c r="Q66" s="110" t="n">
        <v>629245.85</v>
      </c>
      <c r="R66" s="110" t="n">
        <v>241554</v>
      </c>
      <c r="S66" s="110" t="n">
        <v>798791.92</v>
      </c>
      <c r="T66" s="110" t="n">
        <v>224387.76</v>
      </c>
      <c r="U66" s="110" t="n">
        <v>574404.16</v>
      </c>
      <c r="V66" s="110" t="n">
        <v>1669591.77</v>
      </c>
      <c r="W66" s="110" t="n">
        <v>870799.85</v>
      </c>
      <c r="X66" s="110" t="n">
        <v>629245.85</v>
      </c>
      <c r="Y66" s="110" t="n">
        <v>241554</v>
      </c>
      <c r="Z66" s="110" t="n">
        <v>798791.92</v>
      </c>
      <c r="AA66" s="110" t="n">
        <v>224387.76</v>
      </c>
      <c r="AB66" s="110" t="n">
        <v>574404.16</v>
      </c>
      <c r="AC66" s="110" t="n">
        <v>2532.77</v>
      </c>
      <c r="AD66" s="110" t="n">
        <v>1308.85</v>
      </c>
      <c r="AE66" s="110" t="n">
        <v>1308.85</v>
      </c>
      <c r="AF66" s="110" t="n">
        <v>0</v>
      </c>
      <c r="AG66" s="110" t="n">
        <v>1223.92</v>
      </c>
      <c r="AH66" s="110" t="n">
        <v>53.76</v>
      </c>
      <c r="AI66" s="110" t="n">
        <v>1170.16</v>
      </c>
      <c r="AJ66" s="110" t="n">
        <v>4341</v>
      </c>
      <c r="AK66" s="110" t="n">
        <v>2324</v>
      </c>
      <c r="AL66" s="110" t="n">
        <v>2324</v>
      </c>
      <c r="AM66" s="110" t="n">
        <v>0</v>
      </c>
      <c r="AN66" s="110" t="n">
        <v>2017</v>
      </c>
      <c r="AO66" s="110" t="n">
        <v>1716</v>
      </c>
      <c r="AP66" s="110" t="n">
        <v>301</v>
      </c>
      <c r="AQ66" s="110" t="n">
        <v>799788</v>
      </c>
      <c r="AR66" s="110" t="n">
        <v>567539</v>
      </c>
      <c r="AS66" s="110" t="n">
        <v>419229</v>
      </c>
      <c r="AT66" s="110" t="n">
        <v>148310</v>
      </c>
      <c r="AU66" s="110" t="n">
        <v>232249</v>
      </c>
      <c r="AV66" s="110" t="n">
        <v>110546</v>
      </c>
      <c r="AW66" s="110" t="n">
        <v>121703</v>
      </c>
      <c r="AX66" s="110" t="n">
        <v>862930</v>
      </c>
      <c r="AY66" s="110" t="n">
        <v>299628</v>
      </c>
      <c r="AZ66" s="110" t="n">
        <v>206384</v>
      </c>
      <c r="BA66" s="110" t="n">
        <v>93244</v>
      </c>
      <c r="BB66" s="110" t="n">
        <v>563302</v>
      </c>
      <c r="BC66" s="110" t="n">
        <v>112072</v>
      </c>
      <c r="BD66" s="110" t="n">
        <v>451230</v>
      </c>
      <c r="BE66" s="110" t="n">
        <v>0</v>
      </c>
      <c r="BF66" s="110" t="n">
        <v>0</v>
      </c>
      <c r="BG66" s="110" t="n">
        <v>0</v>
      </c>
      <c r="BH66" s="110" t="n">
        <v>0</v>
      </c>
      <c r="BI66" s="110" t="n">
        <v>0</v>
      </c>
      <c r="BJ66" s="110" t="n">
        <v>0</v>
      </c>
      <c r="BK66" s="110" t="n">
        <v>0</v>
      </c>
      <c r="BL66" s="110" t="n">
        <v>0</v>
      </c>
      <c r="BM66" s="110" t="n">
        <v>0</v>
      </c>
      <c r="BN66" s="110" t="n">
        <v>0</v>
      </c>
      <c r="BO66" s="110" t="n">
        <v>0</v>
      </c>
      <c r="BP66" s="110" t="n">
        <v>0</v>
      </c>
      <c r="BQ66" s="110" t="n">
        <v>0</v>
      </c>
      <c r="BR66" s="110" t="n">
        <v>0</v>
      </c>
      <c r="BS66" s="110" t="n">
        <v>0</v>
      </c>
      <c r="BT66" s="110" t="n">
        <v>0</v>
      </c>
      <c r="BU66" s="110" t="n">
        <v>0</v>
      </c>
      <c r="BV66" s="110" t="n">
        <v>0</v>
      </c>
      <c r="BW66" s="110" t="n">
        <v>0</v>
      </c>
      <c r="BX66" s="110" t="n">
        <v>0</v>
      </c>
      <c r="BY66" s="110" t="n">
        <v>0</v>
      </c>
      <c r="BZ66" s="110" t="n">
        <v>0</v>
      </c>
      <c r="CA66" s="110" t="n">
        <v>0</v>
      </c>
      <c r="CB66" s="110" t="n">
        <v>0</v>
      </c>
      <c r="CC66" s="110" t="n">
        <v>0</v>
      </c>
      <c r="CD66" s="110" t="n">
        <v>0</v>
      </c>
      <c r="CE66" s="110" t="n">
        <v>0</v>
      </c>
      <c r="CF66" s="110" t="n">
        <v>0</v>
      </c>
      <c r="CG66" s="110" t="n">
        <v>0</v>
      </c>
      <c r="CH66" s="110" t="n">
        <v>0</v>
      </c>
      <c r="CI66" s="110" t="n">
        <v>0</v>
      </c>
      <c r="CJ66" s="110" t="n">
        <v>0</v>
      </c>
      <c r="CK66" s="110" t="n">
        <v>0</v>
      </c>
      <c r="CL66" s="110" t="n">
        <v>0</v>
      </c>
      <c r="CM66" s="110" t="n">
        <v>0</v>
      </c>
      <c r="CN66" s="110" t="n">
        <v>126</v>
      </c>
      <c r="CO66" s="110" t="n">
        <v>1382</v>
      </c>
      <c r="CP66" s="110" t="n">
        <v>646</v>
      </c>
      <c r="CQ66" s="110" t="n">
        <v>738836</v>
      </c>
      <c r="CR66" s="110" t="n">
        <v>928601.77</v>
      </c>
      <c r="CS66" s="110" t="n">
        <v>0</v>
      </c>
      <c r="CT66" s="110" t="n">
        <v>0</v>
      </c>
      <c r="CU66" s="110" t="n">
        <v>0</v>
      </c>
      <c r="CV66" s="111" t="n">
        <v>15677</v>
      </c>
      <c r="CW66" s="111" t="n">
        <v>10913</v>
      </c>
      <c r="CX66" s="111" t="n">
        <v>8600</v>
      </c>
      <c r="CY66" s="111" t="n">
        <v>2313</v>
      </c>
      <c r="CZ66" s="111" t="n">
        <v>4764</v>
      </c>
      <c r="DA66" s="111" t="n">
        <v>2073</v>
      </c>
      <c r="DB66" s="111" t="n">
        <v>2691</v>
      </c>
      <c r="DC66" s="111" t="n">
        <v>13515</v>
      </c>
      <c r="DD66" s="111" t="n">
        <v>161</v>
      </c>
      <c r="DE66" s="111" t="n">
        <v>10078</v>
      </c>
      <c r="DF66" s="111" t="n">
        <v>7984</v>
      </c>
      <c r="DG66" s="111" t="n">
        <v>2094</v>
      </c>
      <c r="DH66" s="111" t="n">
        <v>3437</v>
      </c>
      <c r="DI66" s="111" t="n">
        <v>1769</v>
      </c>
      <c r="DJ66" s="111" t="n">
        <v>1668</v>
      </c>
      <c r="DK66" s="111" t="n">
        <v>0</v>
      </c>
      <c r="DL66" s="111" t="n">
        <v>0</v>
      </c>
      <c r="DM66" s="111" t="n">
        <v>0</v>
      </c>
      <c r="DN66" s="111" t="n">
        <v>0</v>
      </c>
      <c r="DO66" s="111" t="n">
        <v>0</v>
      </c>
      <c r="DP66" s="111" t="n">
        <v>0</v>
      </c>
      <c r="DQ66" s="111" t="n">
        <v>0</v>
      </c>
      <c r="DR66" s="111" t="n">
        <v>2001</v>
      </c>
      <c r="DS66" s="111" t="n">
        <v>0</v>
      </c>
      <c r="DT66" s="111" t="n">
        <v>740</v>
      </c>
      <c r="DU66" s="111" t="n">
        <v>538</v>
      </c>
      <c r="DV66" s="111" t="n">
        <v>202</v>
      </c>
      <c r="DW66" s="111" t="n">
        <v>1261</v>
      </c>
      <c r="DX66" s="111" t="n">
        <v>297</v>
      </c>
      <c r="DY66" s="111" t="n">
        <v>964</v>
      </c>
      <c r="DZ66" s="111" t="n">
        <v>0</v>
      </c>
      <c r="EA66" s="111" t="n">
        <v>0</v>
      </c>
      <c r="EB66" s="111" t="n">
        <v>0</v>
      </c>
      <c r="EC66" s="111" t="n">
        <v>0</v>
      </c>
      <c r="ED66" s="111" t="n">
        <v>0</v>
      </c>
      <c r="EE66" s="111" t="n">
        <v>0</v>
      </c>
      <c r="EF66" s="111" t="n">
        <v>0</v>
      </c>
      <c r="EG66" s="111" t="n">
        <v>0</v>
      </c>
      <c r="EH66" s="111" t="n">
        <v>0</v>
      </c>
      <c r="EI66" s="111" t="n">
        <v>0</v>
      </c>
      <c r="EJ66" s="111" t="n">
        <v>0</v>
      </c>
      <c r="EK66" s="111" t="n">
        <v>0</v>
      </c>
      <c r="EL66" s="111" t="n">
        <v>0</v>
      </c>
      <c r="EM66" s="111" t="n">
        <v>0</v>
      </c>
      <c r="EN66" s="111" t="n">
        <v>52</v>
      </c>
      <c r="EO66" s="111" t="n">
        <v>0</v>
      </c>
      <c r="EP66" s="111" t="n">
        <v>0</v>
      </c>
      <c r="EQ66" s="111" t="n">
        <v>52</v>
      </c>
      <c r="ER66" s="111" t="n">
        <v>0</v>
      </c>
      <c r="ES66" s="111" t="n">
        <v>0</v>
      </c>
      <c r="ET66" s="111" t="n">
        <v>0</v>
      </c>
      <c r="EU66" s="111" t="n">
        <v>0</v>
      </c>
      <c r="EV66" s="111" t="n">
        <v>0</v>
      </c>
      <c r="EW66" s="111" t="n">
        <v>0</v>
      </c>
      <c r="EX66" s="111" t="n">
        <v>0</v>
      </c>
      <c r="EY66" s="111" t="n">
        <v>0</v>
      </c>
      <c r="EZ66" s="111" t="n">
        <v>0</v>
      </c>
      <c r="FA66" s="111" t="n">
        <v>0</v>
      </c>
      <c r="FB66" s="111" t="n">
        <v>0</v>
      </c>
    </row>
    <row r="67" ht="19.5" customHeight="1" s="247">
      <c r="A67" s="107" t="n">
        <v>64</v>
      </c>
      <c r="B67" s="107" t="inlineStr">
        <is>
          <t>医技平台</t>
        </is>
      </c>
      <c r="C67" s="107" t="inlineStr">
        <is>
          <t>超声诊断科</t>
        </is>
      </c>
      <c r="D67" s="110" t="n">
        <v>1283268</v>
      </c>
      <c r="E67" s="110" t="n">
        <v>1283268</v>
      </c>
      <c r="F67" s="110" t="n">
        <v>0</v>
      </c>
      <c r="G67" s="110" t="n">
        <v>7643</v>
      </c>
      <c r="H67" s="110" t="n">
        <v>0</v>
      </c>
      <c r="I67" s="110" t="n">
        <v>10670</v>
      </c>
      <c r="J67" s="110" t="n">
        <v>103288</v>
      </c>
      <c r="K67" s="110" t="n">
        <v>0</v>
      </c>
      <c r="L67" s="110" t="n">
        <v>0</v>
      </c>
      <c r="M67" s="110" t="n">
        <v>0</v>
      </c>
      <c r="N67" s="110" t="n">
        <v>0</v>
      </c>
      <c r="O67" s="110" t="n">
        <v>1640426.69</v>
      </c>
      <c r="P67" s="110" t="n">
        <v>1295418.98</v>
      </c>
      <c r="Q67" s="110" t="n">
        <v>1180564.87</v>
      </c>
      <c r="R67" s="110" t="n">
        <v>114854.11</v>
      </c>
      <c r="S67" s="110" t="n">
        <v>345007.71</v>
      </c>
      <c r="T67" s="110" t="n">
        <v>218331.18</v>
      </c>
      <c r="U67" s="110" t="n">
        <v>126676.53</v>
      </c>
      <c r="V67" s="110" t="n">
        <v>1640426.69</v>
      </c>
      <c r="W67" s="110" t="n">
        <v>1295418.98</v>
      </c>
      <c r="X67" s="110" t="n">
        <v>1180564.87</v>
      </c>
      <c r="Y67" s="110" t="n">
        <v>114854.11</v>
      </c>
      <c r="Z67" s="110" t="n">
        <v>345007.71</v>
      </c>
      <c r="AA67" s="110" t="n">
        <v>218331.18</v>
      </c>
      <c r="AB67" s="110" t="n">
        <v>126676.53</v>
      </c>
      <c r="AC67" s="110" t="n">
        <v>245510.39</v>
      </c>
      <c r="AD67" s="110" t="n">
        <v>186952.78</v>
      </c>
      <c r="AE67" s="110" t="n">
        <v>174163.67</v>
      </c>
      <c r="AF67" s="110" t="n">
        <v>12789.11</v>
      </c>
      <c r="AG67" s="110" t="n">
        <v>58557.61</v>
      </c>
      <c r="AH67" s="110" t="n">
        <v>38299.08</v>
      </c>
      <c r="AI67" s="110" t="n">
        <v>20258.53</v>
      </c>
      <c r="AJ67" s="110" t="n">
        <v>111648.3</v>
      </c>
      <c r="AK67" s="110" t="n">
        <v>92853.2</v>
      </c>
      <c r="AL67" s="110" t="n">
        <v>87183.2</v>
      </c>
      <c r="AM67" s="110" t="n">
        <v>5670</v>
      </c>
      <c r="AN67" s="110" t="n">
        <v>18795.1</v>
      </c>
      <c r="AO67" s="110" t="n">
        <v>15095.1</v>
      </c>
      <c r="AP67" s="110" t="n">
        <v>3700</v>
      </c>
      <c r="AQ67" s="110" t="n">
        <v>760742</v>
      </c>
      <c r="AR67" s="110" t="n">
        <v>603958</v>
      </c>
      <c r="AS67" s="110" t="n">
        <v>568849</v>
      </c>
      <c r="AT67" s="110" t="n">
        <v>35109</v>
      </c>
      <c r="AU67" s="110" t="n">
        <v>156784</v>
      </c>
      <c r="AV67" s="110" t="n">
        <v>105101</v>
      </c>
      <c r="AW67" s="110" t="n">
        <v>51683</v>
      </c>
      <c r="AX67" s="110" t="n">
        <v>522526</v>
      </c>
      <c r="AY67" s="110" t="n">
        <v>411655</v>
      </c>
      <c r="AZ67" s="110" t="n">
        <v>350369</v>
      </c>
      <c r="BA67" s="110" t="n">
        <v>61286</v>
      </c>
      <c r="BB67" s="110" t="n">
        <v>110871</v>
      </c>
      <c r="BC67" s="110" t="n">
        <v>59836</v>
      </c>
      <c r="BD67" s="110" t="n">
        <v>51035</v>
      </c>
      <c r="BE67" s="110" t="n">
        <v>0</v>
      </c>
      <c r="BF67" s="110" t="n">
        <v>0</v>
      </c>
      <c r="BG67" s="110" t="n">
        <v>0</v>
      </c>
      <c r="BH67" s="110" t="n">
        <v>0</v>
      </c>
      <c r="BI67" s="110" t="n">
        <v>0</v>
      </c>
      <c r="BJ67" s="110" t="n">
        <v>0</v>
      </c>
      <c r="BK67" s="110" t="n">
        <v>0</v>
      </c>
      <c r="BL67" s="110" t="n">
        <v>0</v>
      </c>
      <c r="BM67" s="110" t="n">
        <v>0</v>
      </c>
      <c r="BN67" s="110" t="n">
        <v>0</v>
      </c>
      <c r="BO67" s="110" t="n">
        <v>0</v>
      </c>
      <c r="BP67" s="110" t="n">
        <v>0</v>
      </c>
      <c r="BQ67" s="110" t="n">
        <v>0</v>
      </c>
      <c r="BR67" s="110" t="n">
        <v>0</v>
      </c>
      <c r="BS67" s="110" t="n">
        <v>0</v>
      </c>
      <c r="BT67" s="110" t="n">
        <v>0</v>
      </c>
      <c r="BU67" s="110" t="n">
        <v>0</v>
      </c>
      <c r="BV67" s="110" t="n">
        <v>0</v>
      </c>
      <c r="BW67" s="110" t="n">
        <v>0</v>
      </c>
      <c r="BX67" s="110" t="n">
        <v>0</v>
      </c>
      <c r="BY67" s="110" t="n">
        <v>0</v>
      </c>
      <c r="BZ67" s="110" t="n">
        <v>0</v>
      </c>
      <c r="CA67" s="110" t="n">
        <v>0</v>
      </c>
      <c r="CB67" s="110" t="n">
        <v>0</v>
      </c>
      <c r="CC67" s="110" t="n">
        <v>0</v>
      </c>
      <c r="CD67" s="110" t="n">
        <v>0</v>
      </c>
      <c r="CE67" s="110" t="n">
        <v>0</v>
      </c>
      <c r="CF67" s="110" t="n">
        <v>0</v>
      </c>
      <c r="CG67" s="110" t="n">
        <v>0</v>
      </c>
      <c r="CH67" s="110" t="n">
        <v>0</v>
      </c>
      <c r="CI67" s="110" t="n">
        <v>0</v>
      </c>
      <c r="CJ67" s="110" t="n">
        <v>0</v>
      </c>
      <c r="CK67" s="110" t="n">
        <v>0</v>
      </c>
      <c r="CL67" s="110" t="n">
        <v>0</v>
      </c>
      <c r="CM67" s="110" t="n">
        <v>0</v>
      </c>
      <c r="CN67" s="110" t="n">
        <v>-1420</v>
      </c>
      <c r="CO67" s="110" t="n">
        <v>3380</v>
      </c>
      <c r="CP67" s="110" t="n">
        <v>113954.45</v>
      </c>
      <c r="CQ67" s="110" t="n">
        <v>774887.27</v>
      </c>
      <c r="CR67" s="110" t="n">
        <v>749624.97</v>
      </c>
      <c r="CS67" s="110" t="n">
        <v>0</v>
      </c>
      <c r="CT67" s="110" t="n">
        <v>0</v>
      </c>
      <c r="CU67" s="110" t="n">
        <v>0</v>
      </c>
      <c r="CV67" s="111" t="n">
        <v>7643</v>
      </c>
      <c r="CW67" s="111" t="n">
        <v>6181</v>
      </c>
      <c r="CX67" s="111" t="n">
        <v>5761</v>
      </c>
      <c r="CY67" s="111" t="n">
        <v>420</v>
      </c>
      <c r="CZ67" s="111" t="n">
        <v>1462</v>
      </c>
      <c r="DA67" s="111" t="n">
        <v>819</v>
      </c>
      <c r="DB67" s="111" t="n">
        <v>643</v>
      </c>
      <c r="DC67" s="111" t="n">
        <v>6251</v>
      </c>
      <c r="DD67" s="111" t="n">
        <v>62</v>
      </c>
      <c r="DE67" s="111" t="n">
        <v>5034</v>
      </c>
      <c r="DF67" s="111" t="n">
        <v>4752</v>
      </c>
      <c r="DG67" s="111" t="n">
        <v>282</v>
      </c>
      <c r="DH67" s="111" t="n">
        <v>1217</v>
      </c>
      <c r="DI67" s="111" t="n">
        <v>701</v>
      </c>
      <c r="DJ67" s="111" t="n">
        <v>516</v>
      </c>
      <c r="DK67" s="111" t="n">
        <v>487</v>
      </c>
      <c r="DL67" s="111" t="n">
        <v>439</v>
      </c>
      <c r="DM67" s="111" t="n">
        <v>436</v>
      </c>
      <c r="DN67" s="111" t="n">
        <v>3</v>
      </c>
      <c r="DO67" s="111" t="n">
        <v>48</v>
      </c>
      <c r="DP67" s="111" t="n">
        <v>36</v>
      </c>
      <c r="DQ67" s="111" t="n">
        <v>12</v>
      </c>
      <c r="DR67" s="111" t="n">
        <v>843</v>
      </c>
      <c r="DS67" s="111" t="n">
        <v>0</v>
      </c>
      <c r="DT67" s="111" t="n">
        <v>657</v>
      </c>
      <c r="DU67" s="111" t="n">
        <v>524</v>
      </c>
      <c r="DV67" s="111" t="n">
        <v>133</v>
      </c>
      <c r="DW67" s="111" t="n">
        <v>186</v>
      </c>
      <c r="DX67" s="111" t="n">
        <v>81</v>
      </c>
      <c r="DY67" s="111" t="n">
        <v>105</v>
      </c>
      <c r="DZ67" s="111" t="n">
        <v>0</v>
      </c>
      <c r="EA67" s="111" t="n">
        <v>0</v>
      </c>
      <c r="EB67" s="111" t="n">
        <v>0</v>
      </c>
      <c r="EC67" s="111" t="n">
        <v>0</v>
      </c>
      <c r="ED67" s="111" t="n">
        <v>0</v>
      </c>
      <c r="EE67" s="111" t="n">
        <v>0</v>
      </c>
      <c r="EF67" s="111" t="n">
        <v>0</v>
      </c>
      <c r="EG67" s="111" t="n">
        <v>0</v>
      </c>
      <c r="EH67" s="111" t="n">
        <v>0</v>
      </c>
      <c r="EI67" s="111" t="n">
        <v>0</v>
      </c>
      <c r="EJ67" s="111" t="n">
        <v>0</v>
      </c>
      <c r="EK67" s="111" t="n">
        <v>0</v>
      </c>
      <c r="EL67" s="111" t="n">
        <v>0</v>
      </c>
      <c r="EM67" s="111" t="n">
        <v>0</v>
      </c>
      <c r="EN67" s="111" t="n">
        <v>499</v>
      </c>
      <c r="EO67" s="111" t="n">
        <v>7</v>
      </c>
      <c r="EP67" s="111" t="n">
        <v>0</v>
      </c>
      <c r="EQ67" s="111" t="n">
        <v>492</v>
      </c>
      <c r="ER67" s="111" t="n">
        <v>0</v>
      </c>
      <c r="ES67" s="111" t="n">
        <v>0</v>
      </c>
      <c r="ET67" s="111" t="n">
        <v>2</v>
      </c>
      <c r="EU67" s="111" t="n">
        <v>0</v>
      </c>
      <c r="EV67" s="111" t="n">
        <v>0</v>
      </c>
      <c r="EW67" s="111" t="n">
        <v>0</v>
      </c>
      <c r="EX67" s="111" t="n">
        <v>0</v>
      </c>
      <c r="EY67" s="111" t="n">
        <v>0</v>
      </c>
      <c r="EZ67" s="111" t="n">
        <v>0</v>
      </c>
      <c r="FA67" s="111" t="n">
        <v>0</v>
      </c>
      <c r="FB67" s="111" t="n">
        <v>0</v>
      </c>
    </row>
    <row r="68" ht="28.5" customHeight="1" s="247">
      <c r="A68" s="107" t="n">
        <v>65</v>
      </c>
      <c r="B68" s="107" t="inlineStr">
        <is>
          <t>其他</t>
        </is>
      </c>
      <c r="C68" s="107" t="inlineStr">
        <is>
          <t>临床药物试验办公室GCP</t>
        </is>
      </c>
      <c r="D68" s="110" t="n">
        <v>226429.5</v>
      </c>
      <c r="E68" s="110" t="n">
        <v>225622</v>
      </c>
      <c r="F68" s="110" t="n">
        <v>807.5</v>
      </c>
      <c r="G68" s="110" t="n">
        <v>848</v>
      </c>
      <c r="H68" s="110" t="n">
        <v>4</v>
      </c>
      <c r="I68" s="110" t="n">
        <v>46</v>
      </c>
      <c r="J68" s="110" t="n">
        <v>0</v>
      </c>
      <c r="K68" s="110" t="n">
        <v>0</v>
      </c>
      <c r="L68" s="110" t="n">
        <v>132</v>
      </c>
      <c r="M68" s="110" t="n">
        <v>0</v>
      </c>
      <c r="N68" s="110" t="n">
        <v>0</v>
      </c>
      <c r="O68" s="110" t="n">
        <v>241843.67</v>
      </c>
      <c r="P68" s="110" t="n">
        <v>91424.83</v>
      </c>
      <c r="Q68" s="110" t="n">
        <v>0</v>
      </c>
      <c r="R68" s="110" t="n">
        <v>91424.83</v>
      </c>
      <c r="S68" s="110" t="n">
        <v>150418.84</v>
      </c>
      <c r="T68" s="110" t="n">
        <v>0</v>
      </c>
      <c r="U68" s="110" t="n">
        <v>150418.84</v>
      </c>
      <c r="V68" s="110" t="n">
        <v>240762.9</v>
      </c>
      <c r="W68" s="110" t="n">
        <v>91424.83</v>
      </c>
      <c r="X68" s="110" t="n">
        <v>0</v>
      </c>
      <c r="Y68" s="110" t="n">
        <v>91424.83</v>
      </c>
      <c r="Z68" s="110" t="n">
        <v>149338.07</v>
      </c>
      <c r="AA68" s="110" t="n">
        <v>0</v>
      </c>
      <c r="AB68" s="110" t="n">
        <v>149338.07</v>
      </c>
      <c r="AC68" s="110" t="n">
        <v>14980.9</v>
      </c>
      <c r="AD68" s="110" t="n">
        <v>2768.83</v>
      </c>
      <c r="AE68" s="110" t="n">
        <v>0</v>
      </c>
      <c r="AF68" s="110" t="n">
        <v>2768.83</v>
      </c>
      <c r="AG68" s="110" t="n">
        <v>12212.07</v>
      </c>
      <c r="AH68" s="110" t="n">
        <v>0</v>
      </c>
      <c r="AI68" s="110" t="n">
        <v>12212.07</v>
      </c>
      <c r="AJ68" s="110" t="n">
        <v>160</v>
      </c>
      <c r="AK68" s="110" t="n">
        <v>128</v>
      </c>
      <c r="AL68" s="110" t="n">
        <v>0</v>
      </c>
      <c r="AM68" s="110" t="n">
        <v>128</v>
      </c>
      <c r="AN68" s="110" t="n">
        <v>32</v>
      </c>
      <c r="AO68" s="110" t="n">
        <v>0</v>
      </c>
      <c r="AP68" s="110" t="n">
        <v>32</v>
      </c>
      <c r="AQ68" s="110" t="n">
        <v>204376</v>
      </c>
      <c r="AR68" s="110" t="n">
        <v>76672</v>
      </c>
      <c r="AS68" s="110" t="n">
        <v>0</v>
      </c>
      <c r="AT68" s="110" t="n">
        <v>76672</v>
      </c>
      <c r="AU68" s="110" t="n">
        <v>127704</v>
      </c>
      <c r="AV68" s="110" t="n">
        <v>0</v>
      </c>
      <c r="AW68" s="110" t="n">
        <v>127704</v>
      </c>
      <c r="AX68" s="110" t="n">
        <v>21246</v>
      </c>
      <c r="AY68" s="110" t="n">
        <v>11856</v>
      </c>
      <c r="AZ68" s="110" t="n">
        <v>0</v>
      </c>
      <c r="BA68" s="110" t="n">
        <v>11856</v>
      </c>
      <c r="BB68" s="110" t="n">
        <v>9390</v>
      </c>
      <c r="BC68" s="110" t="n">
        <v>0</v>
      </c>
      <c r="BD68" s="110" t="n">
        <v>9390</v>
      </c>
      <c r="BE68" s="110" t="n">
        <v>1080.77</v>
      </c>
      <c r="BF68" s="110" t="n">
        <v>0</v>
      </c>
      <c r="BG68" s="110" t="n">
        <v>0</v>
      </c>
      <c r="BH68" s="110" t="n">
        <v>0</v>
      </c>
      <c r="BI68" s="110" t="n">
        <v>1080.77</v>
      </c>
      <c r="BJ68" s="110" t="n">
        <v>0</v>
      </c>
      <c r="BK68" s="110" t="n">
        <v>1080.77</v>
      </c>
      <c r="BL68" s="110" t="n">
        <v>110.17</v>
      </c>
      <c r="BM68" s="110" t="n">
        <v>0</v>
      </c>
      <c r="BN68" s="110" t="n">
        <v>0</v>
      </c>
      <c r="BO68" s="110" t="n">
        <v>0</v>
      </c>
      <c r="BP68" s="110" t="n">
        <v>110.17</v>
      </c>
      <c r="BQ68" s="110" t="n">
        <v>0</v>
      </c>
      <c r="BR68" s="110" t="n">
        <v>110.17</v>
      </c>
      <c r="BS68" s="110" t="n">
        <v>163.1</v>
      </c>
      <c r="BT68" s="110" t="n">
        <v>0</v>
      </c>
      <c r="BU68" s="110" t="n">
        <v>0</v>
      </c>
      <c r="BV68" s="110" t="n">
        <v>0</v>
      </c>
      <c r="BW68" s="110" t="n">
        <v>163.1</v>
      </c>
      <c r="BX68" s="110" t="n">
        <v>0</v>
      </c>
      <c r="BY68" s="110" t="n">
        <v>163.1</v>
      </c>
      <c r="BZ68" s="110" t="n">
        <v>140</v>
      </c>
      <c r="CA68" s="110" t="n">
        <v>0</v>
      </c>
      <c r="CB68" s="110" t="n">
        <v>0</v>
      </c>
      <c r="CC68" s="110" t="n">
        <v>0</v>
      </c>
      <c r="CD68" s="110" t="n">
        <v>140</v>
      </c>
      <c r="CE68" s="110" t="n">
        <v>0</v>
      </c>
      <c r="CF68" s="110" t="n">
        <v>140</v>
      </c>
      <c r="CG68" s="110" t="n">
        <v>667.5</v>
      </c>
      <c r="CH68" s="110" t="n">
        <v>0</v>
      </c>
      <c r="CI68" s="110" t="n">
        <v>0</v>
      </c>
      <c r="CJ68" s="110" t="n">
        <v>0</v>
      </c>
      <c r="CK68" s="110" t="n">
        <v>667.5</v>
      </c>
      <c r="CL68" s="110" t="n">
        <v>0</v>
      </c>
      <c r="CM68" s="110" t="n">
        <v>667.5</v>
      </c>
      <c r="CN68" s="110" t="n">
        <v>0</v>
      </c>
      <c r="CO68" s="110" t="n">
        <v>0</v>
      </c>
      <c r="CP68" s="110" t="n">
        <v>0</v>
      </c>
      <c r="CQ68" s="110" t="n">
        <v>240762.9</v>
      </c>
      <c r="CR68" s="110" t="n">
        <v>0</v>
      </c>
      <c r="CS68" s="110" t="n">
        <v>0</v>
      </c>
      <c r="CT68" s="110" t="n">
        <v>0</v>
      </c>
      <c r="CU68" s="110" t="n">
        <v>0</v>
      </c>
      <c r="CV68" s="111" t="n">
        <v>848</v>
      </c>
      <c r="CW68" s="111" t="n">
        <v>474</v>
      </c>
      <c r="CX68" s="111" t="n">
        <v>0</v>
      </c>
      <c r="CY68" s="111" t="n">
        <v>474</v>
      </c>
      <c r="CZ68" s="111" t="n">
        <v>374</v>
      </c>
      <c r="DA68" s="111" t="n">
        <v>0</v>
      </c>
      <c r="DB68" s="111" t="n">
        <v>374</v>
      </c>
      <c r="DC68" s="111" t="n">
        <v>848</v>
      </c>
      <c r="DD68" s="111" t="n">
        <v>0</v>
      </c>
      <c r="DE68" s="111" t="n">
        <v>474</v>
      </c>
      <c r="DF68" s="111" t="n">
        <v>0</v>
      </c>
      <c r="DG68" s="111" t="n">
        <v>474</v>
      </c>
      <c r="DH68" s="111" t="n">
        <v>374</v>
      </c>
      <c r="DI68" s="111" t="n">
        <v>0</v>
      </c>
      <c r="DJ68" s="111" t="n">
        <v>374</v>
      </c>
      <c r="DK68" s="111" t="n">
        <v>0</v>
      </c>
      <c r="DL68" s="111" t="n">
        <v>0</v>
      </c>
      <c r="DM68" s="111" t="n">
        <v>0</v>
      </c>
      <c r="DN68" s="111" t="n">
        <v>0</v>
      </c>
      <c r="DO68" s="111" t="n">
        <v>0</v>
      </c>
      <c r="DP68" s="111" t="n">
        <v>0</v>
      </c>
      <c r="DQ68" s="111" t="n">
        <v>0</v>
      </c>
      <c r="DR68" s="111" t="n">
        <v>0</v>
      </c>
      <c r="DS68" s="111" t="n">
        <v>0</v>
      </c>
      <c r="DT68" s="111" t="n">
        <v>0</v>
      </c>
      <c r="DU68" s="111" t="n">
        <v>0</v>
      </c>
      <c r="DV68" s="111" t="n">
        <v>0</v>
      </c>
      <c r="DW68" s="111" t="n">
        <v>0</v>
      </c>
      <c r="DX68" s="111" t="n">
        <v>0</v>
      </c>
      <c r="DY68" s="111" t="n">
        <v>0</v>
      </c>
      <c r="DZ68" s="111" t="n">
        <v>0</v>
      </c>
      <c r="EA68" s="111" t="n">
        <v>0</v>
      </c>
      <c r="EB68" s="111" t="n">
        <v>0</v>
      </c>
      <c r="EC68" s="111" t="n">
        <v>0</v>
      </c>
      <c r="ED68" s="111" t="n">
        <v>0</v>
      </c>
      <c r="EE68" s="111" t="n">
        <v>0</v>
      </c>
      <c r="EF68" s="111" t="n">
        <v>0</v>
      </c>
      <c r="EG68" s="111" t="n">
        <v>4</v>
      </c>
      <c r="EH68" s="111" t="n">
        <v>0</v>
      </c>
      <c r="EI68" s="111" t="n">
        <v>0</v>
      </c>
      <c r="EJ68" s="111" t="n">
        <v>0</v>
      </c>
      <c r="EK68" s="111" t="n">
        <v>4</v>
      </c>
      <c r="EL68" s="111" t="n">
        <v>0</v>
      </c>
      <c r="EM68" s="111" t="n">
        <v>4</v>
      </c>
      <c r="EN68" s="111" t="n">
        <v>0</v>
      </c>
      <c r="EO68" s="111" t="n">
        <v>0</v>
      </c>
      <c r="EP68" s="111" t="n">
        <v>0</v>
      </c>
      <c r="EQ68" s="111" t="n">
        <v>0</v>
      </c>
      <c r="ER68" s="111" t="n">
        <v>0</v>
      </c>
      <c r="ES68" s="111" t="n">
        <v>0</v>
      </c>
      <c r="ET68" s="111" t="n">
        <v>0</v>
      </c>
      <c r="EU68" s="111" t="n">
        <v>0</v>
      </c>
      <c r="EV68" s="111" t="n">
        <v>0</v>
      </c>
      <c r="EW68" s="111" t="n">
        <v>0</v>
      </c>
      <c r="EX68" s="111" t="n">
        <v>0</v>
      </c>
      <c r="EY68" s="111" t="n">
        <v>0</v>
      </c>
      <c r="EZ68" s="111" t="n">
        <v>0</v>
      </c>
      <c r="FA68" s="111" t="n">
        <v>0</v>
      </c>
      <c r="FB68" s="111" t="n">
        <v>0</v>
      </c>
    </row>
    <row r="69" ht="19.5" customHeight="1" s="247">
      <c r="A69" s="107" t="n">
        <v>66</v>
      </c>
      <c r="B69" s="107" t="n"/>
      <c r="C69" s="107" t="inlineStr">
        <is>
          <t>其它</t>
        </is>
      </c>
      <c r="D69" s="110" t="n">
        <v>117.5</v>
      </c>
      <c r="E69" s="110" t="n">
        <v>50</v>
      </c>
      <c r="F69" s="110" t="n">
        <v>67.5</v>
      </c>
      <c r="G69" s="110" t="n">
        <v>646</v>
      </c>
      <c r="H69" s="110" t="n">
        <v>25</v>
      </c>
      <c r="I69" s="110" t="n">
        <v>0</v>
      </c>
      <c r="J69" s="110" t="n">
        <v>0</v>
      </c>
      <c r="K69" s="110" t="n">
        <v>0</v>
      </c>
      <c r="L69" s="110" t="n">
        <v>0</v>
      </c>
      <c r="M69" s="110" t="n">
        <v>0</v>
      </c>
      <c r="N69" s="110" t="n">
        <v>0</v>
      </c>
      <c r="O69" s="110" t="n">
        <v>461992.78</v>
      </c>
      <c r="P69" s="110" t="n">
        <v>375710.16</v>
      </c>
      <c r="Q69" s="110" t="n">
        <v>292361.4</v>
      </c>
      <c r="R69" s="110" t="n">
        <v>83348.75999999999</v>
      </c>
      <c r="S69" s="110" t="n">
        <v>86282.62</v>
      </c>
      <c r="T69" s="110" t="n">
        <v>60390.12</v>
      </c>
      <c r="U69" s="110" t="n">
        <v>25892.5</v>
      </c>
      <c r="V69" s="110" t="n">
        <v>50</v>
      </c>
      <c r="W69" s="110" t="n">
        <v>25</v>
      </c>
      <c r="X69" s="110" t="n">
        <v>25</v>
      </c>
      <c r="Y69" s="110" t="n">
        <v>0</v>
      </c>
      <c r="Z69" s="110" t="n">
        <v>25</v>
      </c>
      <c r="AA69" s="110" t="n">
        <v>0</v>
      </c>
      <c r="AB69" s="110" t="n">
        <v>25</v>
      </c>
      <c r="AC69" s="110" t="n">
        <v>0</v>
      </c>
      <c r="AD69" s="110" t="n">
        <v>0</v>
      </c>
      <c r="AE69" s="110" t="n">
        <v>0</v>
      </c>
      <c r="AF69" s="110" t="n">
        <v>0</v>
      </c>
      <c r="AG69" s="110" t="n">
        <v>0</v>
      </c>
      <c r="AH69" s="110" t="n">
        <v>0</v>
      </c>
      <c r="AI69" s="110" t="n">
        <v>0</v>
      </c>
      <c r="AJ69" s="110" t="n">
        <v>0</v>
      </c>
      <c r="AK69" s="110" t="n">
        <v>0</v>
      </c>
      <c r="AL69" s="110" t="n">
        <v>0</v>
      </c>
      <c r="AM69" s="110" t="n">
        <v>0</v>
      </c>
      <c r="AN69" s="110" t="n">
        <v>0</v>
      </c>
      <c r="AO69" s="110" t="n">
        <v>0</v>
      </c>
      <c r="AP69" s="110" t="n">
        <v>0</v>
      </c>
      <c r="AQ69" s="110" t="n">
        <v>0</v>
      </c>
      <c r="AR69" s="110" t="n">
        <v>0</v>
      </c>
      <c r="AS69" s="110" t="n">
        <v>0</v>
      </c>
      <c r="AT69" s="110" t="n">
        <v>0</v>
      </c>
      <c r="AU69" s="110" t="n">
        <v>0</v>
      </c>
      <c r="AV69" s="110" t="n">
        <v>0</v>
      </c>
      <c r="AW69" s="110" t="n">
        <v>0</v>
      </c>
      <c r="AX69" s="110" t="n">
        <v>50</v>
      </c>
      <c r="AY69" s="110" t="n">
        <v>25</v>
      </c>
      <c r="AZ69" s="110" t="n">
        <v>25</v>
      </c>
      <c r="BA69" s="110" t="n">
        <v>0</v>
      </c>
      <c r="BB69" s="110" t="n">
        <v>25</v>
      </c>
      <c r="BC69" s="110" t="n">
        <v>0</v>
      </c>
      <c r="BD69" s="110" t="n">
        <v>25</v>
      </c>
      <c r="BE69" s="110" t="n">
        <v>461942.78</v>
      </c>
      <c r="BF69" s="110" t="n">
        <v>375685.16</v>
      </c>
      <c r="BG69" s="110" t="n">
        <v>292336.4</v>
      </c>
      <c r="BH69" s="110" t="n">
        <v>83348.75999999999</v>
      </c>
      <c r="BI69" s="110" t="n">
        <v>86257.62</v>
      </c>
      <c r="BJ69" s="110" t="n">
        <v>60390.12</v>
      </c>
      <c r="BK69" s="110" t="n">
        <v>25867.5</v>
      </c>
      <c r="BL69" s="110" t="n">
        <v>0</v>
      </c>
      <c r="BM69" s="110" t="n">
        <v>0</v>
      </c>
      <c r="BN69" s="110" t="n">
        <v>0</v>
      </c>
      <c r="BO69" s="110" t="n">
        <v>0</v>
      </c>
      <c r="BP69" s="110" t="n">
        <v>0</v>
      </c>
      <c r="BQ69" s="110" t="n">
        <v>0</v>
      </c>
      <c r="BR69" s="110" t="n">
        <v>0</v>
      </c>
      <c r="BS69" s="110" t="n">
        <v>461875.28</v>
      </c>
      <c r="BT69" s="110" t="n">
        <v>375685.16</v>
      </c>
      <c r="BU69" s="110" t="n">
        <v>292336.4</v>
      </c>
      <c r="BV69" s="110" t="n">
        <v>83348.75999999999</v>
      </c>
      <c r="BW69" s="110" t="n">
        <v>86190.12</v>
      </c>
      <c r="BX69" s="110" t="n">
        <v>60390.12</v>
      </c>
      <c r="BY69" s="110" t="n">
        <v>25800</v>
      </c>
      <c r="BZ69" s="110" t="n">
        <v>0</v>
      </c>
      <c r="CA69" s="110" t="n">
        <v>0</v>
      </c>
      <c r="CB69" s="110" t="n">
        <v>0</v>
      </c>
      <c r="CC69" s="110" t="n">
        <v>0</v>
      </c>
      <c r="CD69" s="110" t="n">
        <v>0</v>
      </c>
      <c r="CE69" s="110" t="n">
        <v>0</v>
      </c>
      <c r="CF69" s="110" t="n">
        <v>0</v>
      </c>
      <c r="CG69" s="110" t="n">
        <v>67.5</v>
      </c>
      <c r="CH69" s="110" t="n">
        <v>0</v>
      </c>
      <c r="CI69" s="110" t="n">
        <v>0</v>
      </c>
      <c r="CJ69" s="110" t="n">
        <v>0</v>
      </c>
      <c r="CK69" s="110" t="n">
        <v>67.5</v>
      </c>
      <c r="CL69" s="110" t="n">
        <v>0</v>
      </c>
      <c r="CM69" s="110" t="n">
        <v>67.5</v>
      </c>
      <c r="CN69" s="110" t="n">
        <v>0</v>
      </c>
      <c r="CO69" s="110" t="n">
        <v>0</v>
      </c>
      <c r="CP69" s="110" t="n">
        <v>0</v>
      </c>
      <c r="CQ69" s="110" t="n">
        <v>1475</v>
      </c>
      <c r="CR69" s="110" t="n">
        <v>0</v>
      </c>
      <c r="CS69" s="110" t="n">
        <v>0</v>
      </c>
      <c r="CT69" s="110" t="n">
        <v>103200</v>
      </c>
      <c r="CU69" s="110" t="n">
        <v>0</v>
      </c>
      <c r="CV69" s="111" t="n">
        <v>646</v>
      </c>
      <c r="CW69" s="111" t="n">
        <v>223</v>
      </c>
      <c r="CX69" s="111" t="n">
        <v>54</v>
      </c>
      <c r="CY69" s="111" t="n">
        <v>169</v>
      </c>
      <c r="CZ69" s="111" t="n">
        <v>423</v>
      </c>
      <c r="DA69" s="111" t="n">
        <v>1</v>
      </c>
      <c r="DB69" s="111" t="n">
        <v>422</v>
      </c>
      <c r="DC69" s="111" t="n">
        <v>646</v>
      </c>
      <c r="DD69" s="111" t="n">
        <v>0</v>
      </c>
      <c r="DE69" s="111" t="n">
        <v>223</v>
      </c>
      <c r="DF69" s="111" t="n">
        <v>54</v>
      </c>
      <c r="DG69" s="111" t="n">
        <v>169</v>
      </c>
      <c r="DH69" s="111" t="n">
        <v>423</v>
      </c>
      <c r="DI69" s="111" t="n">
        <v>1</v>
      </c>
      <c r="DJ69" s="111" t="n">
        <v>422</v>
      </c>
      <c r="DK69" s="111" t="n">
        <v>0</v>
      </c>
      <c r="DL69" s="111" t="n">
        <v>0</v>
      </c>
      <c r="DM69" s="111" t="n">
        <v>0</v>
      </c>
      <c r="DN69" s="111" t="n">
        <v>0</v>
      </c>
      <c r="DO69" s="111" t="n">
        <v>0</v>
      </c>
      <c r="DP69" s="111" t="n">
        <v>0</v>
      </c>
      <c r="DQ69" s="111" t="n">
        <v>0</v>
      </c>
      <c r="DR69" s="111" t="n">
        <v>0</v>
      </c>
      <c r="DS69" s="111" t="n">
        <v>0</v>
      </c>
      <c r="DT69" s="111" t="n">
        <v>0</v>
      </c>
      <c r="DU69" s="111" t="n">
        <v>0</v>
      </c>
      <c r="DV69" s="111" t="n">
        <v>0</v>
      </c>
      <c r="DW69" s="111" t="n">
        <v>0</v>
      </c>
      <c r="DX69" s="111" t="n">
        <v>0</v>
      </c>
      <c r="DY69" s="111" t="n">
        <v>0</v>
      </c>
      <c r="DZ69" s="111" t="n">
        <v>0</v>
      </c>
      <c r="EA69" s="111" t="n">
        <v>0</v>
      </c>
      <c r="EB69" s="111" t="n">
        <v>0</v>
      </c>
      <c r="EC69" s="111" t="n">
        <v>0</v>
      </c>
      <c r="ED69" s="111" t="n">
        <v>0</v>
      </c>
      <c r="EE69" s="111" t="n">
        <v>0</v>
      </c>
      <c r="EF69" s="111" t="n">
        <v>0</v>
      </c>
      <c r="EG69" s="111" t="n">
        <v>25</v>
      </c>
      <c r="EH69" s="111" t="n">
        <v>9</v>
      </c>
      <c r="EI69" s="111" t="n">
        <v>2</v>
      </c>
      <c r="EJ69" s="111" t="n">
        <v>7</v>
      </c>
      <c r="EK69" s="111" t="n">
        <v>16</v>
      </c>
      <c r="EL69" s="111" t="n">
        <v>14</v>
      </c>
      <c r="EM69" s="111" t="n">
        <v>2</v>
      </c>
      <c r="EN69" s="111" t="n">
        <v>1</v>
      </c>
      <c r="EO69" s="111" t="n">
        <v>1</v>
      </c>
      <c r="EP69" s="111" t="n">
        <v>0</v>
      </c>
      <c r="EQ69" s="111" t="n">
        <v>0</v>
      </c>
      <c r="ER69" s="111" t="n">
        <v>0</v>
      </c>
      <c r="ES69" s="111" t="n">
        <v>0</v>
      </c>
      <c r="ET69" s="111" t="n">
        <v>0</v>
      </c>
      <c r="EU69" s="111" t="n">
        <v>0</v>
      </c>
      <c r="EV69" s="111" t="n">
        <v>0</v>
      </c>
      <c r="EW69" s="111" t="n">
        <v>0</v>
      </c>
      <c r="EX69" s="111" t="n">
        <v>0</v>
      </c>
      <c r="EY69" s="111" t="n">
        <v>0</v>
      </c>
      <c r="EZ69" s="111" t="n">
        <v>0</v>
      </c>
      <c r="FA69" s="111" t="n">
        <v>0</v>
      </c>
      <c r="FB69" s="111" t="n">
        <v>0</v>
      </c>
    </row>
  </sheetData>
  <mergeCells count="2">
    <mergeCell ref="A1:C1"/>
    <mergeCell ref="A3:C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:C31"/>
    </sheetView>
  </sheetViews>
  <sheetFormatPr baseColWidth="8" defaultRowHeight="14"/>
  <cols>
    <col width="57.33203125" customWidth="1" style="247" min="1" max="1"/>
    <col width="33.83203125" customWidth="1" style="247" min="2" max="3"/>
    <col width="6.25" customWidth="1" style="247" min="4" max="4"/>
  </cols>
  <sheetData>
    <row r="1" ht="22" customHeight="1" s="247">
      <c r="A1" s="219" t="inlineStr">
        <is>
          <t>收入费用盈余表</t>
        </is>
      </c>
      <c r="D1" s="95" t="inlineStr"/>
    </row>
    <row r="2" ht="13" customHeight="1" s="247">
      <c r="A2" s="150" t="inlineStr"/>
      <c r="B2" s="150" t="inlineStr"/>
      <c r="C2" s="227" t="inlineStr">
        <is>
          <t>附表-01</t>
        </is>
      </c>
      <c r="D2" s="95" t="inlineStr"/>
    </row>
    <row r="3" ht="13" customHeight="1" s="247">
      <c r="A3" s="228" t="inlineStr">
        <is>
          <t>编制单位：上海交通大学医学院附属新华医院</t>
        </is>
      </c>
      <c r="B3" s="228" t="inlineStr">
        <is>
          <t>2026年05月</t>
        </is>
      </c>
      <c r="C3" s="230" t="inlineStr">
        <is>
          <t>单位：元</t>
        </is>
      </c>
      <c r="D3" s="95" t="inlineStr"/>
    </row>
    <row r="4" ht="21" customHeight="1" s="247">
      <c r="A4" s="240" t="inlineStr">
        <is>
          <t>项    目</t>
        </is>
      </c>
      <c r="B4" s="240" t="inlineStr">
        <is>
          <t>本月数</t>
        </is>
      </c>
      <c r="C4" s="240" t="inlineStr">
        <is>
          <t>本年累计数</t>
        </is>
      </c>
      <c r="D4" s="96" t="inlineStr"/>
    </row>
    <row r="5" ht="21" customHeight="1" s="247">
      <c r="A5" s="155" t="inlineStr">
        <is>
          <t>一、医疗业务盈余：</t>
        </is>
      </c>
      <c r="B5" s="156" t="n">
        <v>32594376.95</v>
      </c>
      <c r="C5" s="156" t="n">
        <v>-178479163.74</v>
      </c>
      <c r="D5" s="96" t="inlineStr"/>
    </row>
    <row r="6" ht="21" customHeight="1" s="247">
      <c r="A6" s="155" t="inlineStr">
        <is>
          <t>（一）医疗服务盈余：</t>
        </is>
      </c>
      <c r="B6" s="156" t="n">
        <v>31904516.78</v>
      </c>
      <c r="C6" s="156" t="n">
        <v>-203325042.02</v>
      </c>
      <c r="D6" s="96" t="inlineStr"/>
    </row>
    <row r="7" ht="21" customHeight="1" s="247">
      <c r="A7" s="157" t="inlineStr">
        <is>
          <t xml:space="preserve">     医疗收入</t>
        </is>
      </c>
      <c r="B7" s="156" t="n">
        <v>636190904.78</v>
      </c>
      <c r="C7" s="156" t="n">
        <v>3057652813.88</v>
      </c>
      <c r="D7" s="96" t="inlineStr"/>
    </row>
    <row r="8" ht="21" customHeight="1" s="247">
      <c r="A8" s="157" t="inlineStr">
        <is>
          <t xml:space="preserve">     加：财政基本拨款收入</t>
        </is>
      </c>
      <c r="B8" s="156" t="n">
        <v>25021856.62</v>
      </c>
      <c r="C8" s="156" t="n">
        <v>125109283.1</v>
      </c>
      <c r="D8" s="96" t="inlineStr"/>
    </row>
    <row r="9" ht="21" customHeight="1" s="247">
      <c r="A9" s="157" t="inlineStr">
        <is>
          <t xml:space="preserve">     加：非同级财政基本拨款收入</t>
        </is>
      </c>
      <c r="B9" s="156" t="n">
        <v>0</v>
      </c>
      <c r="C9" s="156" t="n">
        <v>0</v>
      </c>
      <c r="D9" s="96" t="inlineStr"/>
    </row>
    <row r="10" ht="21" customHeight="1" s="247">
      <c r="A10" s="158" t="inlineStr">
        <is>
          <t xml:space="preserve">     减：医疗成本</t>
        </is>
      </c>
      <c r="B10" s="156" t="n">
        <v>629308244.62</v>
      </c>
      <c r="C10" s="156" t="n">
        <v>3386087139</v>
      </c>
      <c r="D10" s="96" t="inlineStr"/>
    </row>
    <row r="11" ht="21" customHeight="1" s="247">
      <c r="A11" s="155" t="inlineStr">
        <is>
          <t>（二）其他盈余：</t>
        </is>
      </c>
      <c r="B11" s="156" t="n">
        <v>689860.17</v>
      </c>
      <c r="C11" s="156" t="n">
        <v>24845878.28</v>
      </c>
      <c r="D11" s="96" t="inlineStr"/>
    </row>
    <row r="12" ht="21" customHeight="1" s="247">
      <c r="A12" s="157" t="inlineStr">
        <is>
          <t xml:space="preserve">     其他医疗活动收入</t>
        </is>
      </c>
      <c r="B12" s="156" t="n">
        <v>4148289.06</v>
      </c>
      <c r="C12" s="156" t="n">
        <v>41687015.93</v>
      </c>
      <c r="D12" s="96" t="inlineStr"/>
    </row>
    <row r="13" ht="21" customHeight="1" s="247">
      <c r="A13" s="157" t="inlineStr">
        <is>
          <t xml:space="preserve">     减：其他医疗活动费用</t>
        </is>
      </c>
      <c r="B13" s="156" t="n">
        <v>3458428.89</v>
      </c>
      <c r="C13" s="156" t="n">
        <v>16841137.65</v>
      </c>
      <c r="D13" s="96" t="inlineStr"/>
    </row>
    <row r="14" ht="21" customHeight="1" s="247">
      <c r="A14" s="155" t="inlineStr">
        <is>
          <t>（三）结转入结余分配：</t>
        </is>
      </c>
      <c r="B14" s="159" t="inlineStr">
        <is>
          <t>\</t>
        </is>
      </c>
      <c r="C14" s="160" t="inlineStr"/>
      <c r="D14" s="96" t="inlineStr"/>
    </row>
    <row r="15" ht="21" customHeight="1" s="247">
      <c r="A15" s="157" t="inlineStr">
        <is>
          <t xml:space="preserve">     加：年初未弥补亏损</t>
        </is>
      </c>
      <c r="B15" s="159" t="inlineStr">
        <is>
          <t>\</t>
        </is>
      </c>
      <c r="C15" s="160" t="inlineStr"/>
      <c r="D15" s="96" t="inlineStr"/>
    </row>
    <row r="16" ht="21" customHeight="1" s="247">
      <c r="A16" s="157" t="inlineStr">
        <is>
          <t xml:space="preserve">     加：累计盈余弥补亏损</t>
        </is>
      </c>
      <c r="B16" s="159" t="inlineStr">
        <is>
          <t>\</t>
        </is>
      </c>
      <c r="C16" s="160" t="inlineStr"/>
      <c r="D16" s="96" t="inlineStr"/>
    </row>
    <row r="17" ht="21" customHeight="1" s="247">
      <c r="A17" s="157" t="inlineStr">
        <is>
          <t xml:space="preserve">     减：提取职工福利基金</t>
        </is>
      </c>
      <c r="B17" s="159" t="inlineStr">
        <is>
          <t>\</t>
        </is>
      </c>
      <c r="C17" s="160" t="inlineStr"/>
      <c r="D17" s="96" t="inlineStr"/>
    </row>
    <row r="18" ht="21" customHeight="1" s="247">
      <c r="A18" s="157" t="inlineStr">
        <is>
          <t xml:space="preserve">         转入累计盈余</t>
        </is>
      </c>
      <c r="B18" s="159" t="inlineStr">
        <is>
          <t>\</t>
        </is>
      </c>
      <c r="C18" s="160" t="inlineStr"/>
      <c r="D18" s="96" t="inlineStr"/>
    </row>
    <row r="19" ht="21" customHeight="1" s="247">
      <c r="A19" s="157" t="inlineStr">
        <is>
          <t xml:space="preserve">         年末未弥补亏损</t>
        </is>
      </c>
      <c r="B19" s="159" t="inlineStr">
        <is>
          <t>\</t>
        </is>
      </c>
      <c r="C19" s="160" t="inlineStr"/>
      <c r="D19" s="96" t="inlineStr"/>
    </row>
    <row r="20" ht="21" customHeight="1" s="247">
      <c r="A20" s="155" t="inlineStr">
        <is>
          <t>二、医疗项目盈余：</t>
        </is>
      </c>
      <c r="B20" s="156" t="n">
        <v>-3065473.09</v>
      </c>
      <c r="C20" s="161" t="n">
        <v>-15707995.86</v>
      </c>
      <c r="D20" s="96" t="inlineStr"/>
    </row>
    <row r="21" ht="21" customHeight="1" s="247">
      <c r="A21" s="157" t="inlineStr">
        <is>
          <t xml:space="preserve">     非同级财政项目拨款收入</t>
        </is>
      </c>
      <c r="B21" s="156" t="n">
        <v>29800</v>
      </c>
      <c r="C21" s="156" t="n">
        <v>29800</v>
      </c>
      <c r="D21" s="96" t="inlineStr"/>
    </row>
    <row r="22" ht="21" customHeight="1" s="247">
      <c r="A22" s="158" t="inlineStr">
        <is>
          <t xml:space="preserve">     减：非同级财政项目费用</t>
        </is>
      </c>
      <c r="B22" s="156" t="n">
        <v>3095273.09</v>
      </c>
      <c r="C22" s="156" t="n">
        <v>15737795.86</v>
      </c>
      <c r="D22" s="96" t="inlineStr"/>
    </row>
    <row r="23" ht="21" customHeight="1" s="247">
      <c r="A23" s="155" t="inlineStr">
        <is>
          <t>三、财政项目盈余：</t>
        </is>
      </c>
      <c r="B23" s="156" t="n">
        <v>50315185.12</v>
      </c>
      <c r="C23" s="156" t="n">
        <v>39180998.05</v>
      </c>
      <c r="D23" s="96" t="inlineStr"/>
    </row>
    <row r="24" ht="21" customHeight="1" s="247">
      <c r="A24" s="157" t="inlineStr">
        <is>
          <t xml:space="preserve">     财政项目拨款收入</t>
        </is>
      </c>
      <c r="B24" s="156" t="n">
        <v>71780357</v>
      </c>
      <c r="C24" s="156" t="n">
        <v>147044100.33</v>
      </c>
      <c r="D24" s="96" t="inlineStr"/>
    </row>
    <row r="25" ht="21" customHeight="1" s="247">
      <c r="A25" s="157" t="inlineStr">
        <is>
          <t xml:space="preserve">     减：财政项目费用</t>
        </is>
      </c>
      <c r="B25" s="156" t="n">
        <v>21465171.88</v>
      </c>
      <c r="C25" s="156" t="n">
        <v>107863102.28</v>
      </c>
      <c r="D25" s="96" t="inlineStr"/>
    </row>
    <row r="26" ht="21" customHeight="1" s="247">
      <c r="A26" s="155" t="inlineStr">
        <is>
          <t>四、科教盈余：</t>
        </is>
      </c>
      <c r="B26" s="156" t="n">
        <v>380435.34</v>
      </c>
      <c r="C26" s="156" t="n">
        <v>-8751563.6</v>
      </c>
      <c r="D26" s="96" t="inlineStr"/>
    </row>
    <row r="27" ht="21" customHeight="1" s="247">
      <c r="A27" s="157" t="inlineStr">
        <is>
          <t xml:space="preserve">     科教收入</t>
        </is>
      </c>
      <c r="B27" s="156" t="n">
        <v>8584327.810000001</v>
      </c>
      <c r="C27" s="156" t="n">
        <v>56615927.25</v>
      </c>
      <c r="D27" s="96" t="inlineStr"/>
    </row>
    <row r="28" ht="21" customHeight="1" s="247">
      <c r="A28" s="157" t="inlineStr">
        <is>
          <t xml:space="preserve">     减：科教费用</t>
        </is>
      </c>
      <c r="B28" s="156" t="n">
        <v>8203892.47</v>
      </c>
      <c r="C28" s="156" t="n">
        <v>65367490.85</v>
      </c>
      <c r="D28" s="96" t="inlineStr"/>
    </row>
    <row r="29" ht="21" customHeight="1" s="247">
      <c r="A29" s="240" t="inlineStr">
        <is>
          <t>本期盈余合计</t>
        </is>
      </c>
      <c r="B29" s="156" t="n">
        <v>80224524.31999999</v>
      </c>
      <c r="C29" s="156" t="n">
        <v>-163757725.15</v>
      </c>
      <c r="D29" s="96" t="inlineStr"/>
    </row>
    <row r="30" ht="21" customHeight="1" s="247">
      <c r="A30" s="220" t="inlineStr">
        <is>
          <t>单位负责人：          总会计师：           财务负责人：          审核：          制表：</t>
        </is>
      </c>
      <c r="B30" s="291" t="n"/>
      <c r="C30" s="291" t="n"/>
      <c r="D30" s="95" t="inlineStr"/>
    </row>
    <row r="31" ht="52" customHeight="1" s="247">
      <c r="A31" s="221" t="inlineStr">
        <is>
          <t>注：本表“医疗成本”根据“业务活动费用”“单位管理费用”科目及所属明细科目、经费性质为财政基本拨款经费、其他经费的本期发生额填列；“非同级财政项目费用”根据“业务活动费用”“单位管理费用”科目及所属明细科目、经费性质为非同级财政拨款经费的本期发生额填列。</t>
        </is>
      </c>
      <c r="D31" s="95" t="inlineStr"/>
    </row>
  </sheetData>
  <mergeCells count="3">
    <mergeCell ref="A1:C1"/>
    <mergeCell ref="A31:C31"/>
    <mergeCell ref="A30:C3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:C31"/>
    </sheetView>
  </sheetViews>
  <sheetFormatPr baseColWidth="8" defaultRowHeight="14"/>
  <cols>
    <col width="56.08203125" customWidth="1" style="247" min="1" max="1"/>
    <col width="31.83203125" customWidth="1" style="247" min="2" max="2"/>
    <col width="30.58203125" customWidth="1" style="247" min="3" max="3"/>
  </cols>
  <sheetData>
    <row r="1" ht="23" customHeight="1" s="247">
      <c r="A1" s="219" t="inlineStr">
        <is>
          <t>收入费用盈余表</t>
        </is>
      </c>
    </row>
    <row r="2">
      <c r="A2" s="150" t="inlineStr"/>
      <c r="B2" s="150" t="inlineStr"/>
      <c r="C2" s="227" t="inlineStr">
        <is>
          <t>附表-01</t>
        </is>
      </c>
    </row>
    <row r="3">
      <c r="A3" s="163" t="inlineStr">
        <is>
          <t>编制单位：上海交通大学医学院附属新华医院（奉贤）</t>
        </is>
      </c>
      <c r="B3" s="163" t="inlineStr">
        <is>
          <t>2026年05月</t>
        </is>
      </c>
      <c r="C3" s="164" t="inlineStr">
        <is>
          <t>单位：元</t>
        </is>
      </c>
    </row>
    <row r="4">
      <c r="A4" s="240" t="inlineStr">
        <is>
          <t>项    目</t>
        </is>
      </c>
      <c r="B4" s="240" t="inlineStr">
        <is>
          <t>本月数</t>
        </is>
      </c>
      <c r="C4" s="240" t="inlineStr">
        <is>
          <t>本年累计数</t>
        </is>
      </c>
    </row>
    <row r="5">
      <c r="A5" s="155" t="inlineStr">
        <is>
          <t>一、医疗业务盈余：</t>
        </is>
      </c>
      <c r="B5" s="156" t="n">
        <v>-14765630.3</v>
      </c>
      <c r="C5" s="156" t="n">
        <v>-168773427.13</v>
      </c>
    </row>
    <row r="6">
      <c r="A6" s="155" t="inlineStr">
        <is>
          <t>（一）医疗服务盈余：</t>
        </is>
      </c>
      <c r="B6" s="156" t="n">
        <v>-14451707.14</v>
      </c>
      <c r="C6" s="156" t="n">
        <v>-167363552.53</v>
      </c>
    </row>
    <row r="7">
      <c r="A7" s="157" t="inlineStr">
        <is>
          <t xml:space="preserve">     医疗收入</t>
        </is>
      </c>
      <c r="B7" s="156" t="n">
        <v>142621781.15</v>
      </c>
      <c r="C7" s="156" t="n">
        <v>639768113.79</v>
      </c>
    </row>
    <row r="8">
      <c r="A8" s="157" t="inlineStr">
        <is>
          <t xml:space="preserve">     加：财政基本拨款收入</t>
        </is>
      </c>
      <c r="B8" s="156" t="n">
        <v>0</v>
      </c>
      <c r="C8" s="156" t="n">
        <v>0</v>
      </c>
    </row>
    <row r="9">
      <c r="A9" s="157" t="inlineStr">
        <is>
          <t xml:space="preserve">     加：非同级财政基本拨款收入</t>
        </is>
      </c>
      <c r="B9" s="156" t="n">
        <v>0</v>
      </c>
      <c r="C9" s="156" t="n">
        <v>0</v>
      </c>
    </row>
    <row r="10">
      <c r="A10" s="158" t="inlineStr">
        <is>
          <t xml:space="preserve">     减：医疗成本</t>
        </is>
      </c>
      <c r="B10" s="156" t="n">
        <v>157073488.29</v>
      </c>
      <c r="C10" s="156" t="n">
        <v>807131666.3200001</v>
      </c>
    </row>
    <row r="11">
      <c r="A11" s="155" t="inlineStr">
        <is>
          <t>（二）其他盈余：</t>
        </is>
      </c>
      <c r="B11" s="156" t="n">
        <v>-313923.16</v>
      </c>
      <c r="C11" s="156" t="n">
        <v>-1409874.6</v>
      </c>
    </row>
    <row r="12">
      <c r="A12" s="157" t="inlineStr">
        <is>
          <t xml:space="preserve">     其他医疗活动收入</t>
        </is>
      </c>
      <c r="B12" s="156" t="n">
        <v>443597.32</v>
      </c>
      <c r="C12" s="156" t="n">
        <v>1924078.7</v>
      </c>
    </row>
    <row r="13">
      <c r="A13" s="157" t="inlineStr">
        <is>
          <t xml:space="preserve">     减：其他医疗活动费用</t>
        </is>
      </c>
      <c r="B13" s="156" t="n">
        <v>757520.48</v>
      </c>
      <c r="C13" s="156" t="n">
        <v>3333953.3</v>
      </c>
    </row>
    <row r="14">
      <c r="A14" s="155" t="inlineStr">
        <is>
          <t>（三）结转入结余分配：</t>
        </is>
      </c>
      <c r="B14" s="159" t="inlineStr">
        <is>
          <t>\</t>
        </is>
      </c>
      <c r="C14" s="160" t="inlineStr"/>
    </row>
    <row r="15">
      <c r="A15" s="157" t="inlineStr">
        <is>
          <t xml:space="preserve">     加：年初未弥补亏损</t>
        </is>
      </c>
      <c r="B15" s="159" t="inlineStr">
        <is>
          <t>\</t>
        </is>
      </c>
      <c r="C15" s="160" t="inlineStr"/>
    </row>
    <row r="16">
      <c r="A16" s="157" t="inlineStr">
        <is>
          <t xml:space="preserve">     加：累计盈余弥补亏损</t>
        </is>
      </c>
      <c r="B16" s="159" t="inlineStr">
        <is>
          <t>\</t>
        </is>
      </c>
      <c r="C16" s="160" t="inlineStr"/>
    </row>
    <row r="17">
      <c r="A17" s="157" t="inlineStr">
        <is>
          <t xml:space="preserve">     减：提取职工福利基金</t>
        </is>
      </c>
      <c r="B17" s="159" t="inlineStr">
        <is>
          <t>\</t>
        </is>
      </c>
      <c r="C17" s="160" t="inlineStr"/>
    </row>
    <row r="18">
      <c r="A18" s="157" t="inlineStr">
        <is>
          <t xml:space="preserve">         转入累计盈余</t>
        </is>
      </c>
      <c r="B18" s="159" t="inlineStr">
        <is>
          <t>\</t>
        </is>
      </c>
      <c r="C18" s="160" t="inlineStr"/>
    </row>
    <row r="19">
      <c r="A19" s="157" t="inlineStr">
        <is>
          <t xml:space="preserve">         年末未弥补亏损</t>
        </is>
      </c>
      <c r="B19" s="159" t="inlineStr">
        <is>
          <t>\</t>
        </is>
      </c>
      <c r="C19" s="160" t="inlineStr"/>
    </row>
    <row r="20">
      <c r="A20" s="155" t="inlineStr">
        <is>
          <t>二、医疗项目盈余：</t>
        </is>
      </c>
      <c r="B20" s="156" t="n">
        <v>-690765.35</v>
      </c>
      <c r="C20" s="161" t="n">
        <v>-3452276.74</v>
      </c>
    </row>
    <row r="21">
      <c r="A21" s="157" t="inlineStr">
        <is>
          <t xml:space="preserve">     非同级财政项目拨款收入</t>
        </is>
      </c>
      <c r="B21" s="156" t="n">
        <v>0</v>
      </c>
      <c r="C21" s="156" t="n">
        <v>0</v>
      </c>
    </row>
    <row r="22">
      <c r="A22" s="158" t="inlineStr">
        <is>
          <t xml:space="preserve">     减：非同级财政项目费用</t>
        </is>
      </c>
      <c r="B22" s="156" t="n">
        <v>690765.35</v>
      </c>
      <c r="C22" s="156" t="n">
        <v>3452276.74</v>
      </c>
    </row>
    <row r="23">
      <c r="A23" s="155" t="inlineStr">
        <is>
          <t>三、财政项目盈余：</t>
        </is>
      </c>
      <c r="B23" s="156" t="n">
        <v>-9002540.41</v>
      </c>
      <c r="C23" s="156" t="n">
        <v>-44962593.23</v>
      </c>
    </row>
    <row r="24">
      <c r="A24" s="157" t="inlineStr">
        <is>
          <t xml:space="preserve">     财政项目拨款收入</t>
        </is>
      </c>
      <c r="B24" s="156" t="n">
        <v>0</v>
      </c>
      <c r="C24" s="156" t="n">
        <v>0</v>
      </c>
    </row>
    <row r="25">
      <c r="A25" s="157" t="inlineStr">
        <is>
          <t xml:space="preserve">     减：财政项目费用</t>
        </is>
      </c>
      <c r="B25" s="156" t="n">
        <v>9002540.41</v>
      </c>
      <c r="C25" s="156" t="n">
        <v>44962593.23</v>
      </c>
    </row>
    <row r="26">
      <c r="A26" s="155" t="inlineStr">
        <is>
          <t>四、科教盈余：</t>
        </is>
      </c>
      <c r="B26" s="156" t="n">
        <v>0</v>
      </c>
      <c r="C26" s="156" t="n">
        <v>-485130</v>
      </c>
    </row>
    <row r="27">
      <c r="A27" s="157" t="inlineStr">
        <is>
          <t xml:space="preserve">     科教收入</t>
        </is>
      </c>
      <c r="B27" s="156" t="n">
        <v>0</v>
      </c>
      <c r="C27" s="156" t="n">
        <v>0</v>
      </c>
    </row>
    <row r="28">
      <c r="A28" s="157" t="inlineStr">
        <is>
          <t xml:space="preserve">     减：科教费用</t>
        </is>
      </c>
      <c r="B28" s="156" t="n">
        <v>0</v>
      </c>
      <c r="C28" s="156" t="n">
        <v>485130</v>
      </c>
    </row>
    <row r="29">
      <c r="A29" s="240" t="inlineStr">
        <is>
          <t>本期盈余合计</t>
        </is>
      </c>
      <c r="B29" s="156" t="n">
        <v>-24458936.06</v>
      </c>
      <c r="C29" s="156" t="n">
        <v>-217673427.1</v>
      </c>
    </row>
    <row r="30" ht="14.25" customHeight="1" s="247">
      <c r="A30" s="220" t="inlineStr">
        <is>
          <t>单位负责人：          总会计师：           财务负责人：          审核：          制表：</t>
        </is>
      </c>
      <c r="B30" s="291" t="n"/>
      <c r="C30" s="291" t="n"/>
    </row>
    <row r="31" ht="14.25" customHeight="1" s="247">
      <c r="A31" s="221" t="inlineStr">
        <is>
          <t>注：本表“医疗成本”根据“业务活动费用”“单位管理费用”科目及所属明细科目、经费性质为财政基本拨款经费、其他经费的本期发生额填列；“非同级财政项目费用”根据“业务活动费用”“单位管理费用”科目及所属明细科目、经费性质为非同级财政拨款经费的本期发生额填列。</t>
        </is>
      </c>
    </row>
  </sheetData>
  <mergeCells count="3">
    <mergeCell ref="A1:C1"/>
    <mergeCell ref="A31:C31"/>
    <mergeCell ref="A30:C3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:C31"/>
    </sheetView>
  </sheetViews>
  <sheetFormatPr baseColWidth="8" defaultRowHeight="14"/>
  <cols>
    <col width="41" customWidth="1" style="247" min="1" max="1"/>
    <col width="23" customWidth="1" style="247" min="2" max="3"/>
    <col hidden="1" style="247" min="7" max="8"/>
  </cols>
  <sheetData>
    <row r="1" ht="23" customHeight="1" s="247">
      <c r="A1" s="222" t="inlineStr">
        <is>
          <t>收入费用盈余表</t>
        </is>
      </c>
      <c r="D1" s="97" t="n"/>
      <c r="E1" s="97" t="n"/>
      <c r="F1" s="97" t="n"/>
      <c r="G1" s="98" t="n">
        <v>3</v>
      </c>
      <c r="H1" s="97" t="n"/>
    </row>
    <row r="2" ht="15" customHeight="1" s="247">
      <c r="A2" s="165" t="n"/>
      <c r="B2" s="165" t="n"/>
      <c r="C2" s="166" t="inlineStr">
        <is>
          <t>附表-01</t>
        </is>
      </c>
      <c r="D2" s="97" t="n"/>
      <c r="E2" s="97" t="n"/>
      <c r="F2" s="97" t="n"/>
      <c r="G2" s="99" t="n"/>
      <c r="H2" s="97" t="n"/>
    </row>
    <row r="3" ht="15" customHeight="1" s="247">
      <c r="A3" s="167" t="inlineStr">
        <is>
          <t>编制单位：上海交通大学医学院附属新华医院</t>
        </is>
      </c>
      <c r="B3" s="235" t="inlineStr">
        <is>
          <t>2025年5月</t>
        </is>
      </c>
      <c r="C3" s="169" t="inlineStr">
        <is>
          <t>单位：元</t>
        </is>
      </c>
      <c r="D3" s="97" t="n"/>
      <c r="E3" s="97" t="n"/>
      <c r="F3" s="97" t="n"/>
      <c r="G3" s="97" t="n"/>
      <c r="H3" s="97" t="n"/>
    </row>
    <row r="4" ht="15" customHeight="1" s="247">
      <c r="A4" s="170" t="inlineStr">
        <is>
          <t>项    目</t>
        </is>
      </c>
      <c r="B4" s="170" t="inlineStr">
        <is>
          <t>本月数</t>
        </is>
      </c>
      <c r="C4" s="171" t="inlineStr">
        <is>
          <t>本年累计数</t>
        </is>
      </c>
      <c r="D4" s="100" t="n"/>
      <c r="E4" s="97" t="n"/>
      <c r="F4" s="97" t="n"/>
      <c r="G4" s="101" t="n"/>
      <c r="H4" s="101" t="n"/>
    </row>
    <row r="5" ht="15" customHeight="1" s="247">
      <c r="A5" s="172" t="inlineStr">
        <is>
          <t>一、医疗业务盈余：</t>
        </is>
      </c>
      <c r="B5" s="292">
        <f>B6+B11</f>
        <v/>
      </c>
      <c r="C5" s="293">
        <f>C6+C11</f>
        <v/>
      </c>
      <c r="D5" s="100" t="n"/>
      <c r="E5" s="97" t="n"/>
      <c r="F5" s="102" t="n"/>
      <c r="G5" s="103" t="n"/>
      <c r="H5" s="103">
        <f>SUM(H7:H28)</f>
        <v/>
      </c>
    </row>
    <row r="6" ht="15" customHeight="1" s="247">
      <c r="A6" s="172" t="inlineStr">
        <is>
          <t>（一）医疗服务盈余：</t>
        </is>
      </c>
      <c r="B6" s="292">
        <f>B7+B8+B9-B10</f>
        <v/>
      </c>
      <c r="C6" s="293">
        <f>C7+C8+C9-C10</f>
        <v/>
      </c>
      <c r="D6" s="100" t="n"/>
      <c r="E6" s="97" t="n"/>
      <c r="F6" s="102" t="n"/>
      <c r="G6" s="103" t="n"/>
      <c r="H6" s="103" t="n"/>
    </row>
    <row r="7" ht="15" customHeight="1" s="247">
      <c r="A7" s="175" t="inlineStr">
        <is>
          <t xml:space="preserve">     医疗收入</t>
        </is>
      </c>
      <c r="B7" s="292" t="n">
        <v>482063177.99</v>
      </c>
      <c r="C7" s="293" t="n">
        <v>2409556473.74</v>
      </c>
      <c r="D7" s="100" t="n"/>
      <c r="E7" s="97" t="n"/>
      <c r="F7" s="102" t="n"/>
      <c r="G7" s="294" t="n">
        <v>877765850.29</v>
      </c>
      <c r="H7" s="103">
        <f>IF($G$1=1,C7-B7,C7-B7-G7)</f>
        <v/>
      </c>
    </row>
    <row r="8" ht="15" customHeight="1" s="247">
      <c r="A8" s="175" t="inlineStr">
        <is>
          <t xml:space="preserve">     加：财政基本拨款收入</t>
        </is>
      </c>
      <c r="B8" s="292" t="n">
        <v>21873995</v>
      </c>
      <c r="C8" s="293" t="n">
        <v>109369975</v>
      </c>
      <c r="D8" s="100" t="n"/>
      <c r="E8" s="97" t="n"/>
      <c r="F8" s="102" t="n"/>
      <c r="G8" s="294" t="n">
        <v>43747990</v>
      </c>
      <c r="H8" s="103">
        <f>IF($G$1=1,C8-B8,C8-B8-G8)</f>
        <v/>
      </c>
    </row>
    <row r="9" ht="15" customHeight="1" s="247">
      <c r="A9" s="175" t="inlineStr">
        <is>
          <t xml:space="preserve">     加：非同级财政基本拨款收入</t>
        </is>
      </c>
      <c r="B9" s="292" t="n">
        <v>0</v>
      </c>
      <c r="C9" s="293" t="n">
        <v>0</v>
      </c>
      <c r="D9" s="100" t="n"/>
      <c r="E9" s="97" t="n"/>
      <c r="F9" s="102" t="n"/>
      <c r="G9" s="294" t="n">
        <v>0</v>
      </c>
      <c r="H9" s="103">
        <f>IF($G$1=1,C9-B9,C9-B9-G9)</f>
        <v/>
      </c>
    </row>
    <row r="10" ht="15" customHeight="1" s="247">
      <c r="A10" s="176" t="inlineStr">
        <is>
          <t xml:space="preserve">     减：医疗成本</t>
        </is>
      </c>
      <c r="B10" s="292" t="n">
        <v>519137584.14</v>
      </c>
      <c r="C10" s="293" t="n">
        <v>2761103384.27</v>
      </c>
      <c r="D10" s="100" t="n"/>
      <c r="E10" s="97" t="n"/>
      <c r="F10" s="102" t="n"/>
      <c r="G10" s="294" t="n">
        <v>1138710514.98</v>
      </c>
      <c r="H10" s="103">
        <f>IF($G$1=1,C10-B10,C10-B10-G10)</f>
        <v/>
      </c>
    </row>
    <row r="11" ht="15" customHeight="1" s="247">
      <c r="A11" s="172" t="inlineStr">
        <is>
          <t>（二）其他盈余：</t>
        </is>
      </c>
      <c r="B11" s="292">
        <f>B12-B13</f>
        <v/>
      </c>
      <c r="C11" s="293">
        <f>C12-C13</f>
        <v/>
      </c>
      <c r="D11" s="100" t="n"/>
      <c r="E11" s="97" t="n"/>
      <c r="F11" s="102" t="n"/>
      <c r="G11" s="294" t="n"/>
      <c r="H11" s="103" t="n"/>
    </row>
    <row r="12" ht="15" customHeight="1" s="247">
      <c r="A12" s="175" t="inlineStr">
        <is>
          <t xml:space="preserve">     其他医疗活动收入</t>
        </is>
      </c>
      <c r="B12" s="292" t="n">
        <v>7190498.99</v>
      </c>
      <c r="C12" s="293" t="n">
        <v>86260853.62</v>
      </c>
      <c r="D12" s="100" t="n"/>
      <c r="E12" s="97" t="n"/>
      <c r="F12" s="102" t="n"/>
      <c r="G12" s="294" t="n">
        <v>29591858.99</v>
      </c>
      <c r="H12" s="103">
        <f>IF($G$1=1,C12-B12,C12-B12-G12)</f>
        <v/>
      </c>
    </row>
    <row r="13" ht="15" customHeight="1" s="247">
      <c r="A13" s="175" t="inlineStr">
        <is>
          <t xml:space="preserve">     减：其他医疗活动费用</t>
        </is>
      </c>
      <c r="B13" s="292" t="n">
        <v>7039673.05</v>
      </c>
      <c r="C13" s="293" t="n">
        <v>30954978.06</v>
      </c>
      <c r="D13" s="100" t="n"/>
      <c r="E13" s="97" t="n"/>
      <c r="F13" s="102" t="n"/>
      <c r="G13" s="294" t="n">
        <v>16004140.81</v>
      </c>
      <c r="H13" s="103">
        <f>IF($G$1=1,C13-B13,C13-B13-G13)</f>
        <v/>
      </c>
    </row>
    <row r="14" ht="15" customHeight="1" s="247">
      <c r="A14" s="172" t="inlineStr">
        <is>
          <t>（三）结转入结余分配：</t>
        </is>
      </c>
      <c r="B14" s="295" t="inlineStr">
        <is>
          <t>\</t>
        </is>
      </c>
      <c r="C14" s="296" t="n">
        <v>0</v>
      </c>
      <c r="D14" s="100" t="n"/>
      <c r="E14" s="97" t="n"/>
      <c r="F14" s="102" t="n"/>
      <c r="G14" s="294" t="n"/>
      <c r="H14" s="103" t="n"/>
    </row>
    <row r="15" ht="15" customHeight="1" s="247">
      <c r="A15" s="175" t="inlineStr">
        <is>
          <t xml:space="preserve">     加：年初未弥补亏损</t>
        </is>
      </c>
      <c r="B15" s="295" t="inlineStr">
        <is>
          <t>\</t>
        </is>
      </c>
      <c r="C15" s="296" t="n">
        <v>0</v>
      </c>
      <c r="D15" s="100" t="n"/>
      <c r="E15" s="97" t="n"/>
      <c r="F15" s="102" t="n"/>
      <c r="G15" s="294" t="n"/>
      <c r="H15" s="103" t="n"/>
    </row>
    <row r="16" ht="15" customHeight="1" s="247">
      <c r="A16" s="175" t="inlineStr">
        <is>
          <t xml:space="preserve">     加：累计盈余弥补亏损</t>
        </is>
      </c>
      <c r="B16" s="295" t="inlineStr">
        <is>
          <t>\</t>
        </is>
      </c>
      <c r="C16" s="296" t="n">
        <v>0</v>
      </c>
      <c r="D16" s="100" t="n"/>
      <c r="E16" s="97" t="n"/>
      <c r="F16" s="102" t="n"/>
      <c r="G16" s="294" t="n"/>
      <c r="H16" s="103" t="n"/>
    </row>
    <row r="17" ht="15" customHeight="1" s="247">
      <c r="A17" s="175" t="inlineStr">
        <is>
          <t xml:space="preserve">     减：提取职工福利基金</t>
        </is>
      </c>
      <c r="B17" s="295" t="inlineStr">
        <is>
          <t>\</t>
        </is>
      </c>
      <c r="C17" s="296" t="n">
        <v>0</v>
      </c>
      <c r="D17" s="100" t="n"/>
      <c r="E17" s="97" t="n"/>
      <c r="F17" s="102" t="n"/>
      <c r="G17" s="294" t="n"/>
      <c r="H17" s="103" t="n"/>
    </row>
    <row r="18" ht="15" customHeight="1" s="247">
      <c r="A18" s="175" t="inlineStr">
        <is>
          <t xml:space="preserve">         转入累计盈余</t>
        </is>
      </c>
      <c r="B18" s="295" t="inlineStr">
        <is>
          <t>\</t>
        </is>
      </c>
      <c r="C18" s="296" t="n">
        <v>0</v>
      </c>
      <c r="D18" s="100" t="n"/>
      <c r="E18" s="97" t="n"/>
      <c r="F18" s="102" t="n"/>
      <c r="G18" s="294" t="n"/>
      <c r="H18" s="103" t="n"/>
    </row>
    <row r="19" ht="15" customHeight="1" s="247">
      <c r="A19" s="175" t="inlineStr">
        <is>
          <t xml:space="preserve">         年末未弥补亏损</t>
        </is>
      </c>
      <c r="B19" s="295" t="inlineStr">
        <is>
          <t>\</t>
        </is>
      </c>
      <c r="C19" s="296">
        <f>C14+C15+C16-C17-C18</f>
        <v/>
      </c>
      <c r="D19" s="100" t="n"/>
      <c r="E19" s="97" t="n"/>
      <c r="F19" s="102" t="n"/>
      <c r="G19" s="294" t="n"/>
      <c r="H19" s="103" t="n"/>
    </row>
    <row r="20" ht="15" customHeight="1" s="247">
      <c r="A20" s="172" t="inlineStr">
        <is>
          <t>二、医疗项目盈余：</t>
        </is>
      </c>
      <c r="B20" s="292">
        <f>B21-B22</f>
        <v/>
      </c>
      <c r="C20" s="293">
        <f>C21-C22</f>
        <v/>
      </c>
      <c r="D20" s="100" t="n"/>
      <c r="E20" s="97" t="n"/>
      <c r="F20" s="102" t="n"/>
      <c r="G20" s="294" t="n"/>
      <c r="H20" s="103" t="n"/>
    </row>
    <row r="21" ht="15" customHeight="1" s="247">
      <c r="A21" s="175" t="inlineStr">
        <is>
          <t xml:space="preserve">     非同级财政项目拨款收入</t>
        </is>
      </c>
      <c r="B21" s="292" t="n">
        <v>0</v>
      </c>
      <c r="C21" s="293" t="n">
        <v>247100</v>
      </c>
      <c r="D21" s="100" t="n"/>
      <c r="E21" s="97" t="n"/>
      <c r="F21" s="102" t="n"/>
      <c r="G21" s="294" t="n">
        <v>12500</v>
      </c>
      <c r="H21" s="103">
        <f>IF($G$1=1,C21-B21,C21-B21-G21)</f>
        <v/>
      </c>
    </row>
    <row r="22" ht="15" customHeight="1" s="247">
      <c r="A22" s="176" t="inlineStr">
        <is>
          <t xml:space="preserve">     减：非同级财政项目费用</t>
        </is>
      </c>
      <c r="B22" s="292" t="n">
        <v>3903455.09</v>
      </c>
      <c r="C22" s="293" t="n">
        <v>20634890.34</v>
      </c>
      <c r="D22" s="100" t="n"/>
      <c r="E22" s="97" t="n"/>
      <c r="F22" s="102" t="n"/>
      <c r="G22" s="294" t="n">
        <v>9775924.119999999</v>
      </c>
      <c r="H22" s="103">
        <f>IF($G$1=1,C22-B22,C22-B22-G22)</f>
        <v/>
      </c>
    </row>
    <row r="23" ht="15" customHeight="1" s="247">
      <c r="A23" s="172" t="inlineStr">
        <is>
          <t>三、财政项目盈余：</t>
        </is>
      </c>
      <c r="B23" s="292">
        <f>B24-B25</f>
        <v/>
      </c>
      <c r="C23" s="293">
        <f>C24-C25</f>
        <v/>
      </c>
      <c r="D23" s="100" t="n"/>
      <c r="E23" s="97" t="n"/>
      <c r="F23" s="102" t="n"/>
      <c r="G23" s="294" t="n"/>
      <c r="H23" s="103" t="n"/>
    </row>
    <row r="24" ht="15" customHeight="1" s="247">
      <c r="A24" s="175" t="inlineStr">
        <is>
          <t xml:space="preserve">     财政项目拨款收入</t>
        </is>
      </c>
      <c r="B24" s="292" t="n">
        <v>19000000</v>
      </c>
      <c r="C24" s="293" t="n">
        <v>131122880</v>
      </c>
      <c r="D24" s="100" t="n"/>
      <c r="E24" s="97" t="n"/>
      <c r="F24" s="102" t="n"/>
      <c r="G24" s="294" t="n">
        <v>98880000</v>
      </c>
      <c r="H24" s="103">
        <f>IF($G$1=1,C24-B24,C24-B24-G24)</f>
        <v/>
      </c>
    </row>
    <row r="25" ht="15" customHeight="1" s="247">
      <c r="A25" s="175" t="inlineStr">
        <is>
          <t xml:space="preserve">     减：财政项目费用</t>
        </is>
      </c>
      <c r="B25" s="292" t="n">
        <v>15071942.71</v>
      </c>
      <c r="C25" s="293" t="n">
        <v>64695022.39</v>
      </c>
      <c r="D25" s="100" t="n"/>
      <c r="E25" s="97" t="n"/>
      <c r="F25" s="102" t="n"/>
      <c r="G25" s="294" t="n">
        <v>22048495.8</v>
      </c>
      <c r="H25" s="103">
        <f>IF($G$1=1,C25-B25,C25-B25-G25)</f>
        <v/>
      </c>
    </row>
    <row r="26" ht="15" customHeight="1" s="247">
      <c r="A26" s="172" t="inlineStr">
        <is>
          <t>四、科教盈余：</t>
        </is>
      </c>
      <c r="B26" s="292">
        <f>B27-B28</f>
        <v/>
      </c>
      <c r="C26" s="293">
        <f>C27-C28</f>
        <v/>
      </c>
      <c r="D26" s="100" t="n"/>
      <c r="E26" s="97" t="n"/>
      <c r="F26" s="102" t="n"/>
      <c r="G26" s="294" t="n"/>
      <c r="H26" s="103" t="n"/>
    </row>
    <row r="27" ht="15" customHeight="1" s="247">
      <c r="A27" s="175" t="inlineStr">
        <is>
          <t xml:space="preserve">     科教收入</t>
        </is>
      </c>
      <c r="B27" s="292" t="n">
        <v>7893591.76</v>
      </c>
      <c r="C27" s="293" t="n">
        <v>58697404.99</v>
      </c>
      <c r="D27" s="100" t="n"/>
      <c r="E27" s="97" t="n"/>
      <c r="F27" s="102" t="n"/>
      <c r="G27" s="294" t="n">
        <v>6679393.23</v>
      </c>
      <c r="H27" s="103">
        <f>IF($G$1=1,C27-B27,C27-B27-G27)</f>
        <v/>
      </c>
    </row>
    <row r="28" ht="15" customHeight="1" s="247">
      <c r="A28" s="175" t="inlineStr">
        <is>
          <t xml:space="preserve">     减：科教费用</t>
        </is>
      </c>
      <c r="B28" s="292" t="n">
        <v>8400965.51</v>
      </c>
      <c r="C28" s="293" t="n">
        <v>62185471.4</v>
      </c>
      <c r="D28" s="100" t="n"/>
      <c r="E28" s="97" t="n"/>
      <c r="F28" s="102" t="n"/>
      <c r="G28" s="294" t="n">
        <v>14360921.05</v>
      </c>
      <c r="H28" s="103">
        <f>IF($G$1=1,C28-B28,C28-B28-G28)</f>
        <v/>
      </c>
    </row>
    <row r="29" ht="15" customHeight="1" s="247">
      <c r="A29" s="170" t="inlineStr">
        <is>
          <t>本期盈余合计</t>
        </is>
      </c>
      <c r="B29" s="292">
        <f>B26+B23+B20+B5</f>
        <v/>
      </c>
      <c r="C29" s="293">
        <f>C26+C23+C20+C5</f>
        <v/>
      </c>
      <c r="D29" s="100" t="n"/>
      <c r="E29" s="97" t="n"/>
      <c r="F29" s="97" t="n"/>
      <c r="G29" s="99" t="n"/>
      <c r="H29" s="99" t="n"/>
    </row>
    <row r="30" ht="15" customHeight="1" s="247">
      <c r="A30" s="223" t="inlineStr">
        <is>
          <t>单位负责人：          总会计师：           财务负责人：          审核：          制表：</t>
        </is>
      </c>
      <c r="B30" s="291" t="n"/>
      <c r="C30" s="291" t="n"/>
      <c r="D30" s="97" t="n"/>
      <c r="E30" s="97" t="n"/>
      <c r="F30" s="97" t="n"/>
      <c r="G30" s="97" t="n"/>
      <c r="H30" s="97" t="n"/>
    </row>
    <row r="31" ht="14.25" customHeight="1" s="247">
      <c r="A31" s="224" t="inlineStr">
        <is>
          <t>注：本表“医疗成本”根据“业务活动费用”“单位管理费用”科目及所属明细科目、经费性质为财政基本拨款经费、其他经费的本期发生额填列；“非同级财政项目费用”根据“业务活动费用”“单位管理费用”科目及所属明细科目、经费性质为非同级财政拨款经费的本期发生额填列。</t>
        </is>
      </c>
      <c r="D31" s="97" t="n"/>
      <c r="E31" s="97" t="n"/>
      <c r="F31" s="97" t="n"/>
      <c r="G31" s="97" t="n"/>
      <c r="H31" s="97" t="n"/>
    </row>
  </sheetData>
  <mergeCells count="3">
    <mergeCell ref="A1:C1"/>
    <mergeCell ref="A31:C31"/>
    <mergeCell ref="A30:C3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:F34"/>
    </sheetView>
  </sheetViews>
  <sheetFormatPr baseColWidth="8" defaultRowHeight="14"/>
  <cols>
    <col width="20.08203125" customWidth="1" style="247" min="1" max="1"/>
    <col width="14.08203125" bestFit="1" customWidth="1" style="247" min="2" max="2"/>
    <col width="16.08203125" bestFit="1" customWidth="1" style="247" min="3" max="3"/>
    <col width="21.75" customWidth="1" style="247" min="4" max="4"/>
    <col width="14.08203125" bestFit="1" customWidth="1" style="247" min="5" max="5"/>
    <col width="16.08203125" bestFit="1" customWidth="1" style="247" min="6" max="6"/>
  </cols>
  <sheetData>
    <row r="1" ht="17.5" customHeight="1" s="247">
      <c r="A1" s="226" t="inlineStr">
        <is>
          <t>医疗收入成本表</t>
        </is>
      </c>
    </row>
    <row r="2">
      <c r="A2" s="180" t="inlineStr"/>
      <c r="B2" s="225" t="inlineStr"/>
      <c r="C2" s="180" t="inlineStr"/>
      <c r="D2" s="180" t="inlineStr"/>
      <c r="E2" s="227" t="inlineStr">
        <is>
          <t>附表-02</t>
        </is>
      </c>
    </row>
    <row r="3" ht="14.25" customHeight="1" s="247">
      <c r="A3" s="228" t="inlineStr">
        <is>
          <t>编制单位：上海交通大学医学院附属新华医院</t>
        </is>
      </c>
      <c r="B3" s="297" t="n"/>
      <c r="C3" s="229" t="inlineStr">
        <is>
          <t>2026年05月</t>
        </is>
      </c>
      <c r="D3" s="297" t="n"/>
      <c r="E3" s="230" t="inlineStr">
        <is>
          <t>单位：元</t>
        </is>
      </c>
      <c r="F3" s="297" t="n"/>
    </row>
    <row r="4">
      <c r="A4" s="240" t="inlineStr">
        <is>
          <t>项  目</t>
        </is>
      </c>
      <c r="B4" s="240" t="inlineStr">
        <is>
          <t>本月数</t>
        </is>
      </c>
      <c r="C4" s="240" t="inlineStr">
        <is>
          <t>本年累计数</t>
        </is>
      </c>
      <c r="D4" s="240" t="inlineStr">
        <is>
          <t>项  目</t>
        </is>
      </c>
      <c r="E4" s="240" t="inlineStr">
        <is>
          <t>本月数</t>
        </is>
      </c>
      <c r="F4" s="240" t="inlineStr">
        <is>
          <t>本年累计数</t>
        </is>
      </c>
    </row>
    <row r="5">
      <c r="A5" s="155" t="inlineStr">
        <is>
          <t>一、医疗收入</t>
        </is>
      </c>
      <c r="B5" s="156" t="n">
        <v>636190904.78</v>
      </c>
      <c r="C5" s="156" t="n">
        <v>3057652813.88</v>
      </c>
      <c r="D5" s="155" t="inlineStr">
        <is>
          <t>一、医疗成本</t>
        </is>
      </c>
      <c r="E5" s="156" t="n">
        <v>629308244.62</v>
      </c>
      <c r="F5" s="156" t="n">
        <v>3386087139</v>
      </c>
    </row>
    <row r="6">
      <c r="A6" s="157" t="inlineStr">
        <is>
          <t>1.门急诊收入</t>
        </is>
      </c>
      <c r="B6" s="156" t="n">
        <v>232904327.1</v>
      </c>
      <c r="C6" s="156" t="n">
        <v>1132975744.28</v>
      </c>
      <c r="D6" s="157" t="inlineStr">
        <is>
          <t>（一）按性质分类</t>
        </is>
      </c>
      <c r="E6" s="182" t="inlineStr"/>
      <c r="F6" s="182" t="inlineStr"/>
    </row>
    <row r="7">
      <c r="A7" s="157" t="inlineStr">
        <is>
          <t xml:space="preserve">    其中：挂号收入</t>
        </is>
      </c>
      <c r="B7" s="156" t="n">
        <v>0</v>
      </c>
      <c r="C7" s="156" t="n">
        <v>0</v>
      </c>
      <c r="D7" s="157" t="inlineStr">
        <is>
          <t xml:space="preserve">     1.人员经费</t>
        </is>
      </c>
      <c r="E7" s="156" t="n">
        <v>214603052.13</v>
      </c>
      <c r="F7" s="156" t="n">
        <v>1261078151.66</v>
      </c>
    </row>
    <row r="8">
      <c r="A8" s="157" t="inlineStr">
        <is>
          <t xml:space="preserve">     诊察收入</t>
        </is>
      </c>
      <c r="B8" s="156" t="n">
        <v>13503462</v>
      </c>
      <c r="C8" s="156" t="n">
        <v>62407701</v>
      </c>
      <c r="D8" s="157" t="inlineStr">
        <is>
          <t xml:space="preserve">     2.卫生材料费</t>
        </is>
      </c>
      <c r="E8" s="156" t="n">
        <v>206369547.63</v>
      </c>
      <c r="F8" s="156" t="n">
        <v>1044819338.78</v>
      </c>
    </row>
    <row r="9">
      <c r="A9" s="157" t="inlineStr">
        <is>
          <t xml:space="preserve">     检查收入</t>
        </is>
      </c>
      <c r="B9" s="156" t="n">
        <v>37564433.5</v>
      </c>
      <c r="C9" s="156" t="n">
        <v>179187926.42</v>
      </c>
      <c r="D9" s="157" t="inlineStr">
        <is>
          <t xml:space="preserve">     3.药品费</t>
        </is>
      </c>
      <c r="E9" s="156" t="n">
        <v>151050812.48</v>
      </c>
      <c r="F9" s="156" t="n">
        <v>760796138.63</v>
      </c>
    </row>
    <row r="10">
      <c r="A10" s="157" t="inlineStr">
        <is>
          <t xml:space="preserve">     化验收入</t>
        </is>
      </c>
      <c r="B10" s="156" t="n">
        <v>38024895</v>
      </c>
      <c r="C10" s="156" t="n">
        <v>179531179</v>
      </c>
      <c r="D10" s="157" t="inlineStr">
        <is>
          <t xml:space="preserve">     4.固定资产折旧费</t>
        </is>
      </c>
      <c r="E10" s="156" t="n">
        <v>9796053.91</v>
      </c>
      <c r="F10" s="156" t="n">
        <v>47475824.1</v>
      </c>
    </row>
    <row r="11">
      <c r="A11" s="157" t="inlineStr">
        <is>
          <t xml:space="preserve">     治疗收入</t>
        </is>
      </c>
      <c r="B11" s="156" t="n">
        <v>24185085</v>
      </c>
      <c r="C11" s="156" t="n">
        <v>115930864.38</v>
      </c>
      <c r="D11" s="157" t="inlineStr">
        <is>
          <t xml:space="preserve">     5.无形资产摊销费</t>
        </is>
      </c>
      <c r="E11" s="156" t="n">
        <v>1611789.9</v>
      </c>
      <c r="F11" s="156" t="n">
        <v>8158887.34</v>
      </c>
    </row>
    <row r="12">
      <c r="A12" s="157" t="inlineStr">
        <is>
          <t xml:space="preserve">     手术收入</t>
        </is>
      </c>
      <c r="B12" s="156" t="n">
        <v>6494883.55</v>
      </c>
      <c r="C12" s="156" t="n">
        <v>27010752.46</v>
      </c>
      <c r="D12" s="157" t="inlineStr">
        <is>
          <t xml:space="preserve">     6.提取医疗风险基金</t>
        </is>
      </c>
      <c r="E12" s="156" t="n">
        <v>954286.36</v>
      </c>
      <c r="F12" s="156" t="n">
        <v>4600481.79</v>
      </c>
    </row>
    <row r="13">
      <c r="A13" s="157" t="inlineStr">
        <is>
          <t xml:space="preserve">     卫生材料收入</t>
        </is>
      </c>
      <c r="B13" s="156" t="n">
        <v>8378617.85</v>
      </c>
      <c r="C13" s="156" t="n">
        <v>40661902.47</v>
      </c>
      <c r="D13" s="157" t="inlineStr">
        <is>
          <t xml:space="preserve">     7.其他费用</t>
        </is>
      </c>
      <c r="E13" s="156" t="n">
        <v>44922702.21</v>
      </c>
      <c r="F13" s="156" t="n">
        <v>259158316.7</v>
      </c>
    </row>
    <row r="14">
      <c r="A14" s="157" t="inlineStr">
        <is>
          <t xml:space="preserve">     药品收入</t>
        </is>
      </c>
      <c r="B14" s="156" t="n">
        <v>90258760.48999999</v>
      </c>
      <c r="C14" s="156" t="n">
        <v>454329650.48</v>
      </c>
      <c r="D14" s="157" t="inlineStr">
        <is>
          <t>（二）按功能分类</t>
        </is>
      </c>
      <c r="E14" s="182" t="inlineStr"/>
      <c r="F14" s="182" t="inlineStr"/>
    </row>
    <row r="15">
      <c r="A15" s="157" t="inlineStr">
        <is>
          <t xml:space="preserve">     其中：西药收入</t>
        </is>
      </c>
      <c r="B15" s="156" t="n">
        <v>71958422.73999999</v>
      </c>
      <c r="C15" s="156" t="n">
        <v>362270342.4</v>
      </c>
      <c r="D15" s="157" t="inlineStr">
        <is>
          <t xml:space="preserve">     1.业务活动费用</t>
        </is>
      </c>
      <c r="E15" s="156" t="n">
        <v>604319763.36</v>
      </c>
      <c r="F15" s="156" t="n">
        <v>3222888999.6</v>
      </c>
    </row>
    <row r="16">
      <c r="A16" s="157" t="inlineStr">
        <is>
          <t xml:space="preserve">          中成药收入</t>
        </is>
      </c>
      <c r="B16" s="156" t="n">
        <v>15717148.17</v>
      </c>
      <c r="C16" s="156" t="n">
        <v>79671054.88</v>
      </c>
      <c r="D16" s="157" t="inlineStr">
        <is>
          <t xml:space="preserve">     2.单位管理费用</t>
        </is>
      </c>
      <c r="E16" s="156" t="n">
        <v>24988481.26</v>
      </c>
      <c r="F16" s="156" t="n">
        <v>163198139.4</v>
      </c>
    </row>
    <row r="17">
      <c r="A17" s="157" t="inlineStr">
        <is>
          <t xml:space="preserve">          中药饮片收入</t>
        </is>
      </c>
      <c r="B17" s="156" t="n">
        <v>2583189.58</v>
      </c>
      <c r="C17" s="156" t="n">
        <v>12388253.2</v>
      </c>
      <c r="D17" s="155" t="inlineStr"/>
      <c r="E17" s="182" t="inlineStr"/>
      <c r="F17" s="182" t="inlineStr"/>
    </row>
    <row r="18">
      <c r="A18" s="157" t="inlineStr">
        <is>
          <t xml:space="preserve">     其他门诊收入</t>
        </is>
      </c>
      <c r="B18" s="156" t="n">
        <v>14494189.71</v>
      </c>
      <c r="C18" s="156" t="n">
        <v>73915768.06999999</v>
      </c>
      <c r="D18" s="155" t="inlineStr"/>
      <c r="E18" s="182" t="inlineStr"/>
      <c r="F18" s="182" t="inlineStr"/>
    </row>
    <row r="19">
      <c r="A19" s="157" t="inlineStr">
        <is>
          <t>2.住院收入</t>
        </is>
      </c>
      <c r="B19" s="156" t="n">
        <v>403286577.68</v>
      </c>
      <c r="C19" s="156" t="n">
        <v>1924677069.6</v>
      </c>
      <c r="D19" s="155" t="inlineStr"/>
      <c r="E19" s="182" t="inlineStr"/>
      <c r="F19" s="182" t="inlineStr"/>
    </row>
    <row r="20">
      <c r="A20" s="157" t="inlineStr">
        <is>
          <t xml:space="preserve">    其中：床位收入</t>
        </is>
      </c>
      <c r="B20" s="156" t="n">
        <v>15464151</v>
      </c>
      <c r="C20" s="156" t="n">
        <v>76507613.5</v>
      </c>
      <c r="D20" s="155" t="inlineStr"/>
      <c r="E20" s="182" t="inlineStr"/>
      <c r="F20" s="182" t="inlineStr"/>
    </row>
    <row r="21">
      <c r="A21" s="157" t="inlineStr">
        <is>
          <t xml:space="preserve">     诊察收入</t>
        </is>
      </c>
      <c r="B21" s="156" t="n">
        <v>6460875</v>
      </c>
      <c r="C21" s="156" t="n">
        <v>31049690</v>
      </c>
      <c r="D21" s="155" t="inlineStr"/>
      <c r="E21" s="182" t="inlineStr"/>
      <c r="F21" s="182" t="inlineStr"/>
    </row>
    <row r="22">
      <c r="A22" s="157" t="inlineStr">
        <is>
          <t xml:space="preserve">     检查收入</t>
        </is>
      </c>
      <c r="B22" s="156" t="n">
        <v>30899872.25</v>
      </c>
      <c r="C22" s="156" t="n">
        <v>141667994.55</v>
      </c>
      <c r="D22" s="155" t="inlineStr"/>
      <c r="E22" s="182" t="inlineStr"/>
      <c r="F22" s="182" t="inlineStr"/>
    </row>
    <row r="23">
      <c r="A23" s="157" t="inlineStr">
        <is>
          <t xml:space="preserve">     化验收入</t>
        </is>
      </c>
      <c r="B23" s="156" t="n">
        <v>39768300</v>
      </c>
      <c r="C23" s="156" t="n">
        <v>187644722.5</v>
      </c>
      <c r="D23" s="157" t="inlineStr"/>
      <c r="E23" s="182" t="inlineStr"/>
      <c r="F23" s="182" t="inlineStr"/>
    </row>
    <row r="24">
      <c r="A24" s="157" t="inlineStr">
        <is>
          <t xml:space="preserve">     治疗收入</t>
        </is>
      </c>
      <c r="B24" s="156" t="n">
        <v>16856762.1</v>
      </c>
      <c r="C24" s="156" t="n">
        <v>74448057.26000001</v>
      </c>
      <c r="D24" s="157" t="inlineStr"/>
      <c r="E24" s="182" t="inlineStr"/>
      <c r="F24" s="182" t="inlineStr"/>
    </row>
    <row r="25">
      <c r="A25" s="157" t="inlineStr">
        <is>
          <t xml:space="preserve">     手术收入</t>
        </is>
      </c>
      <c r="B25" s="156" t="n">
        <v>49410230.35</v>
      </c>
      <c r="C25" s="156" t="n">
        <v>211579361.15</v>
      </c>
      <c r="D25" s="157" t="inlineStr"/>
      <c r="E25" s="182" t="inlineStr"/>
      <c r="F25" s="182" t="inlineStr"/>
    </row>
    <row r="26">
      <c r="A26" s="157" t="inlineStr">
        <is>
          <t xml:space="preserve">     护理收入</t>
        </is>
      </c>
      <c r="B26" s="156" t="n">
        <v>6778243.93</v>
      </c>
      <c r="C26" s="156" t="n">
        <v>26908509.53</v>
      </c>
      <c r="D26" s="157" t="inlineStr"/>
      <c r="E26" s="182" t="inlineStr"/>
      <c r="F26" s="182" t="inlineStr"/>
    </row>
    <row r="27">
      <c r="A27" s="157" t="inlineStr">
        <is>
          <t xml:space="preserve">     卫生材料收入</t>
        </is>
      </c>
      <c r="B27" s="156" t="n">
        <v>169870254.75</v>
      </c>
      <c r="C27" s="156" t="n">
        <v>822873846.96</v>
      </c>
      <c r="D27" s="157" t="inlineStr"/>
      <c r="E27" s="182" t="inlineStr"/>
      <c r="F27" s="182" t="inlineStr"/>
    </row>
    <row r="28">
      <c r="A28" s="157" t="inlineStr">
        <is>
          <t xml:space="preserve">     药品收入</t>
        </is>
      </c>
      <c r="B28" s="156" t="n">
        <v>62564548.34</v>
      </c>
      <c r="C28" s="156" t="n">
        <v>308811393.56</v>
      </c>
      <c r="D28" s="157" t="inlineStr"/>
      <c r="E28" s="182" t="inlineStr"/>
      <c r="F28" s="182" t="inlineStr"/>
    </row>
    <row r="29">
      <c r="A29" s="157" t="inlineStr">
        <is>
          <t xml:space="preserve">     其中：西药收入</t>
        </is>
      </c>
      <c r="B29" s="156" t="n">
        <v>59835964.92</v>
      </c>
      <c r="C29" s="156" t="n">
        <v>293739222.97</v>
      </c>
      <c r="D29" s="157" t="inlineStr"/>
      <c r="E29" s="182" t="inlineStr"/>
      <c r="F29" s="182" t="inlineStr"/>
    </row>
    <row r="30">
      <c r="A30" s="157" t="inlineStr">
        <is>
          <t xml:space="preserve">          中成药收入</t>
        </is>
      </c>
      <c r="B30" s="156" t="n">
        <v>2683570.53</v>
      </c>
      <c r="C30" s="156" t="n">
        <v>14860854.76</v>
      </c>
      <c r="D30" s="157" t="inlineStr"/>
      <c r="E30" s="182" t="inlineStr"/>
      <c r="F30" s="182" t="inlineStr"/>
    </row>
    <row r="31">
      <c r="A31" s="157" t="inlineStr">
        <is>
          <t xml:space="preserve">          中药饮片收入</t>
        </is>
      </c>
      <c r="B31" s="156" t="n">
        <v>45012.89</v>
      </c>
      <c r="C31" s="156" t="n">
        <v>211315.83</v>
      </c>
      <c r="D31" s="157" t="inlineStr"/>
      <c r="E31" s="182" t="inlineStr"/>
      <c r="F31" s="182" t="inlineStr"/>
    </row>
    <row r="32">
      <c r="A32" s="157" t="inlineStr">
        <is>
          <t xml:space="preserve">     其他住院收入</t>
        </is>
      </c>
      <c r="B32" s="156" t="n">
        <v>5213339.96</v>
      </c>
      <c r="C32" s="156" t="n">
        <v>43185880.59</v>
      </c>
      <c r="D32" s="157" t="inlineStr"/>
      <c r="E32" s="182" t="inlineStr"/>
      <c r="F32" s="182" t="inlineStr"/>
    </row>
    <row r="33">
      <c r="A33" s="220" t="inlineStr">
        <is>
          <t>单位负责人：</t>
        </is>
      </c>
      <c r="B33" s="220" t="inlineStr">
        <is>
          <t xml:space="preserve">总会计师：  </t>
        </is>
      </c>
      <c r="C33" s="231" t="inlineStr">
        <is>
          <t>财务负责人：</t>
        </is>
      </c>
      <c r="D33" s="291" t="n"/>
      <c r="E33" s="220" t="inlineStr">
        <is>
          <t xml:space="preserve"> 审核： </t>
        </is>
      </c>
      <c r="F33" s="220" t="inlineStr">
        <is>
          <t>制表：</t>
        </is>
      </c>
    </row>
    <row r="34" ht="14.25" customHeight="1" s="247">
      <c r="A34" s="225" t="inlineStr">
        <is>
          <t>注：本表“医疗成本”及所属明细项目，根据“业务活动费用”“单位管理费用”科目及所属明细科目、经费性质为财政基本拨款经费、其他经费（不含非同级财政项目经费）的本期发生额填列。</t>
        </is>
      </c>
    </row>
  </sheetData>
  <mergeCells count="7">
    <mergeCell ref="E2:F2"/>
    <mergeCell ref="C33:D33"/>
    <mergeCell ref="A1:F1"/>
    <mergeCell ref="A34:F34"/>
    <mergeCell ref="C3:D3"/>
    <mergeCell ref="A3:B3"/>
    <mergeCell ref="E3:F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:F34"/>
    </sheetView>
  </sheetViews>
  <sheetFormatPr baseColWidth="8" defaultRowHeight="14"/>
  <cols>
    <col width="18.33203125" customWidth="1" style="247" min="1" max="1"/>
    <col width="14.08203125" bestFit="1" customWidth="1" style="247" min="2" max="3"/>
    <col width="20" customWidth="1" style="247" min="4" max="4"/>
    <col width="14.08203125" bestFit="1" customWidth="1" style="247" min="5" max="6"/>
  </cols>
  <sheetData>
    <row r="1" ht="17.5" customHeight="1" s="247">
      <c r="A1" s="226" t="inlineStr">
        <is>
          <t>医疗收入成本表</t>
        </is>
      </c>
    </row>
    <row r="2">
      <c r="A2" s="180" t="inlineStr"/>
      <c r="B2" s="225" t="inlineStr"/>
      <c r="C2" s="180" t="inlineStr"/>
      <c r="D2" s="180" t="inlineStr"/>
      <c r="E2" s="227" t="inlineStr">
        <is>
          <t>附表-02</t>
        </is>
      </c>
    </row>
    <row r="3" ht="14.25" customHeight="1" s="247">
      <c r="A3" s="228" t="inlineStr">
        <is>
          <t>编制单位：上海交通大学医学院附属新华医院（奉贤）</t>
        </is>
      </c>
      <c r="B3" s="297" t="n"/>
      <c r="C3" s="229" t="inlineStr">
        <is>
          <t>2026年05月</t>
        </is>
      </c>
      <c r="D3" s="297" t="n"/>
      <c r="E3" s="230" t="inlineStr">
        <is>
          <t>单位：元</t>
        </is>
      </c>
      <c r="F3" s="297" t="n"/>
    </row>
    <row r="4">
      <c r="A4" s="240" t="inlineStr">
        <is>
          <t>项  目</t>
        </is>
      </c>
      <c r="B4" s="240" t="inlineStr">
        <is>
          <t>本月数</t>
        </is>
      </c>
      <c r="C4" s="240" t="inlineStr">
        <is>
          <t>本年累计数</t>
        </is>
      </c>
      <c r="D4" s="240" t="inlineStr">
        <is>
          <t>项  目</t>
        </is>
      </c>
      <c r="E4" s="240" t="inlineStr">
        <is>
          <t>本月数</t>
        </is>
      </c>
      <c r="F4" s="240" t="inlineStr">
        <is>
          <t>本年累计数</t>
        </is>
      </c>
    </row>
    <row r="5">
      <c r="A5" s="155" t="inlineStr">
        <is>
          <t>一、医疗收入</t>
        </is>
      </c>
      <c r="B5" s="156" t="n">
        <v>142621781.15</v>
      </c>
      <c r="C5" s="156" t="n">
        <v>639768113.79</v>
      </c>
      <c r="D5" s="155" t="inlineStr">
        <is>
          <t>一、医疗成本</t>
        </is>
      </c>
      <c r="E5" s="156" t="n">
        <v>157073488.29</v>
      </c>
      <c r="F5" s="156" t="n">
        <v>807131666.3200001</v>
      </c>
    </row>
    <row r="6">
      <c r="A6" s="157" t="inlineStr">
        <is>
          <t>1.门急诊收入</t>
        </is>
      </c>
      <c r="B6" s="156" t="n">
        <v>41787089.33</v>
      </c>
      <c r="C6" s="156" t="n">
        <v>198939131.53</v>
      </c>
      <c r="D6" s="157" t="inlineStr">
        <is>
          <t>（一）按性质分类</t>
        </is>
      </c>
      <c r="E6" s="182" t="inlineStr"/>
      <c r="F6" s="182" t="inlineStr"/>
    </row>
    <row r="7">
      <c r="A7" s="157" t="inlineStr">
        <is>
          <t xml:space="preserve">    其中：挂号收入</t>
        </is>
      </c>
      <c r="B7" s="156" t="n">
        <v>0</v>
      </c>
      <c r="C7" s="156" t="n">
        <v>0</v>
      </c>
      <c r="D7" s="157" t="inlineStr">
        <is>
          <t xml:space="preserve">     1.人员经费</t>
        </is>
      </c>
      <c r="E7" s="156" t="n">
        <v>57635415.17</v>
      </c>
      <c r="F7" s="156" t="n">
        <v>330330024.92</v>
      </c>
    </row>
    <row r="8">
      <c r="A8" s="157" t="inlineStr">
        <is>
          <t xml:space="preserve">     诊察收入</t>
        </is>
      </c>
      <c r="B8" s="156" t="n">
        <v>2872733</v>
      </c>
      <c r="C8" s="156" t="n">
        <v>12991642</v>
      </c>
      <c r="D8" s="157" t="inlineStr">
        <is>
          <t xml:space="preserve">     2.卫生材料费</t>
        </is>
      </c>
      <c r="E8" s="156" t="n">
        <v>58261688.94</v>
      </c>
      <c r="F8" s="156" t="n">
        <v>276188086.35</v>
      </c>
    </row>
    <row r="9">
      <c r="A9" s="157" t="inlineStr">
        <is>
          <t xml:space="preserve">     检查收入</t>
        </is>
      </c>
      <c r="B9" s="156" t="n">
        <v>9601311</v>
      </c>
      <c r="C9" s="156" t="n">
        <v>44517766</v>
      </c>
      <c r="D9" s="157" t="inlineStr">
        <is>
          <t xml:space="preserve">     3.药品费</t>
        </is>
      </c>
      <c r="E9" s="156" t="n">
        <v>26091462.54</v>
      </c>
      <c r="F9" s="156" t="n">
        <v>123943940</v>
      </c>
    </row>
    <row r="10">
      <c r="A10" s="157" t="inlineStr">
        <is>
          <t xml:space="preserve">     化验收入</t>
        </is>
      </c>
      <c r="B10" s="156" t="n">
        <v>6833067</v>
      </c>
      <c r="C10" s="156" t="n">
        <v>31843435</v>
      </c>
      <c r="D10" s="157" t="inlineStr">
        <is>
          <t xml:space="preserve">     4.固定资产折旧费</t>
        </is>
      </c>
      <c r="E10" s="156" t="n">
        <v>1583779.09</v>
      </c>
      <c r="F10" s="156" t="n">
        <v>5377507.65</v>
      </c>
    </row>
    <row r="11">
      <c r="A11" s="157" t="inlineStr">
        <is>
          <t xml:space="preserve">     治疗收入</t>
        </is>
      </c>
      <c r="B11" s="156" t="n">
        <v>3618404.7</v>
      </c>
      <c r="C11" s="156" t="n">
        <v>17779598.2</v>
      </c>
      <c r="D11" s="157" t="inlineStr">
        <is>
          <t xml:space="preserve">     5.无形资产摊销费</t>
        </is>
      </c>
      <c r="E11" s="156" t="n">
        <v>449402.96</v>
      </c>
      <c r="F11" s="156" t="n">
        <v>2264347.92</v>
      </c>
    </row>
    <row r="12">
      <c r="A12" s="157" t="inlineStr">
        <is>
          <t xml:space="preserve">     手术收入</t>
        </is>
      </c>
      <c r="B12" s="156" t="n">
        <v>1282917.8</v>
      </c>
      <c r="C12" s="156" t="n">
        <v>4489536.35</v>
      </c>
      <c r="D12" s="157" t="inlineStr">
        <is>
          <t xml:space="preserve">     6.提取医疗风险基金</t>
        </is>
      </c>
      <c r="E12" s="156" t="n">
        <v>213932.67</v>
      </c>
      <c r="F12" s="156" t="n">
        <v>962253.6800000001</v>
      </c>
    </row>
    <row r="13">
      <c r="A13" s="157" t="inlineStr">
        <is>
          <t xml:space="preserve">     卫生材料收入</t>
        </is>
      </c>
      <c r="B13" s="156" t="n">
        <v>2024380.39</v>
      </c>
      <c r="C13" s="156" t="n">
        <v>9753526.800000001</v>
      </c>
      <c r="D13" s="157" t="inlineStr">
        <is>
          <t xml:space="preserve">     7.其他费用</t>
        </is>
      </c>
      <c r="E13" s="156" t="n">
        <v>12837806.92</v>
      </c>
      <c r="F13" s="156" t="n">
        <v>68065505.8</v>
      </c>
    </row>
    <row r="14">
      <c r="A14" s="157" t="inlineStr">
        <is>
          <t xml:space="preserve">     药品收入</t>
        </is>
      </c>
      <c r="B14" s="156" t="n">
        <v>14731720.42</v>
      </c>
      <c r="C14" s="156" t="n">
        <v>72393511.59999999</v>
      </c>
      <c r="D14" s="157" t="inlineStr">
        <is>
          <t>（二）按功能分类</t>
        </is>
      </c>
      <c r="E14" s="182" t="inlineStr"/>
      <c r="F14" s="182" t="inlineStr"/>
    </row>
    <row r="15">
      <c r="A15" s="157" t="inlineStr">
        <is>
          <t xml:space="preserve">     其中：西药收入</t>
        </is>
      </c>
      <c r="B15" s="156" t="n">
        <v>11392991.37</v>
      </c>
      <c r="C15" s="156" t="n">
        <v>56050659.88</v>
      </c>
      <c r="D15" s="157" t="inlineStr">
        <is>
          <t xml:space="preserve">     1.业务活动费用</t>
        </is>
      </c>
      <c r="E15" s="156" t="n">
        <v>151242370.42</v>
      </c>
      <c r="F15" s="156" t="n">
        <v>772482384.39</v>
      </c>
    </row>
    <row r="16">
      <c r="A16" s="157" t="inlineStr">
        <is>
          <t xml:space="preserve">          中成药收入</t>
        </is>
      </c>
      <c r="B16" s="156" t="n">
        <v>2890347.68</v>
      </c>
      <c r="C16" s="156" t="n">
        <v>14554445.51</v>
      </c>
      <c r="D16" s="157" t="inlineStr">
        <is>
          <t xml:space="preserve">     2.单位管理费用</t>
        </is>
      </c>
      <c r="E16" s="156" t="n">
        <v>5831117.87</v>
      </c>
      <c r="F16" s="156" t="n">
        <v>34649281.93</v>
      </c>
    </row>
    <row r="17" ht="26" customHeight="1" s="247">
      <c r="A17" s="157" t="inlineStr">
        <is>
          <t xml:space="preserve">          中药饮片收入</t>
        </is>
      </c>
      <c r="B17" s="156" t="n">
        <v>448381.37</v>
      </c>
      <c r="C17" s="156" t="n">
        <v>1788406.21</v>
      </c>
      <c r="D17" s="155" t="inlineStr"/>
      <c r="E17" s="182" t="inlineStr"/>
      <c r="F17" s="182" t="inlineStr"/>
    </row>
    <row r="18">
      <c r="A18" s="157" t="inlineStr">
        <is>
          <t xml:space="preserve">     其他门诊收入</t>
        </is>
      </c>
      <c r="B18" s="156" t="n">
        <v>822555.02</v>
      </c>
      <c r="C18" s="156" t="n">
        <v>5170115.58</v>
      </c>
      <c r="D18" s="155" t="inlineStr"/>
      <c r="E18" s="182" t="inlineStr"/>
      <c r="F18" s="182" t="inlineStr"/>
    </row>
    <row r="19">
      <c r="A19" s="157" t="inlineStr">
        <is>
          <t>2.住院收入</t>
        </is>
      </c>
      <c r="B19" s="156" t="n">
        <v>100834691.82</v>
      </c>
      <c r="C19" s="156" t="n">
        <v>440828982.26</v>
      </c>
      <c r="D19" s="155" t="inlineStr"/>
      <c r="E19" s="182" t="inlineStr"/>
      <c r="F19" s="182" t="inlineStr"/>
    </row>
    <row r="20">
      <c r="A20" s="157" t="inlineStr">
        <is>
          <t xml:space="preserve">    其中：床位收入</t>
        </is>
      </c>
      <c r="B20" s="156" t="n">
        <v>4884763</v>
      </c>
      <c r="C20" s="156" t="n">
        <v>21126091.5</v>
      </c>
      <c r="D20" s="155" t="inlineStr"/>
      <c r="E20" s="182" t="inlineStr"/>
      <c r="F20" s="182" t="inlineStr"/>
    </row>
    <row r="21">
      <c r="A21" s="157" t="inlineStr">
        <is>
          <t xml:space="preserve">     诊察收入</t>
        </is>
      </c>
      <c r="B21" s="156" t="n">
        <v>806600</v>
      </c>
      <c r="C21" s="156" t="n">
        <v>3156775</v>
      </c>
      <c r="D21" s="155" t="inlineStr"/>
      <c r="E21" s="182" t="inlineStr"/>
      <c r="F21" s="182" t="inlineStr"/>
    </row>
    <row r="22">
      <c r="A22" s="157" t="inlineStr">
        <is>
          <t xml:space="preserve">     检查收入</t>
        </is>
      </c>
      <c r="B22" s="156" t="n">
        <v>7134245</v>
      </c>
      <c r="C22" s="156" t="n">
        <v>29564508.5</v>
      </c>
      <c r="D22" s="155" t="inlineStr"/>
      <c r="E22" s="182" t="inlineStr"/>
      <c r="F22" s="182" t="inlineStr"/>
    </row>
    <row r="23">
      <c r="A23" s="157" t="inlineStr">
        <is>
          <t xml:space="preserve">     化验收入</t>
        </is>
      </c>
      <c r="B23" s="156" t="n">
        <v>8036564</v>
      </c>
      <c r="C23" s="156" t="n">
        <v>34127699</v>
      </c>
      <c r="D23" s="157" t="inlineStr"/>
      <c r="E23" s="182" t="inlineStr"/>
      <c r="F23" s="182" t="inlineStr"/>
    </row>
    <row r="24">
      <c r="A24" s="157" t="inlineStr">
        <is>
          <t xml:space="preserve">     治疗收入</t>
        </is>
      </c>
      <c r="B24" s="156" t="n">
        <v>2722522.5</v>
      </c>
      <c r="C24" s="156" t="n">
        <v>10924731.05</v>
      </c>
      <c r="D24" s="157" t="inlineStr"/>
      <c r="E24" s="182" t="inlineStr"/>
      <c r="F24" s="182" t="inlineStr"/>
    </row>
    <row r="25">
      <c r="A25" s="157" t="inlineStr">
        <is>
          <t xml:space="preserve">     手术收入</t>
        </is>
      </c>
      <c r="B25" s="156" t="n">
        <v>12412492</v>
      </c>
      <c r="C25" s="156" t="n">
        <v>48728350.05</v>
      </c>
      <c r="D25" s="157" t="inlineStr"/>
      <c r="E25" s="182" t="inlineStr"/>
      <c r="F25" s="182" t="inlineStr"/>
    </row>
    <row r="26">
      <c r="A26" s="157" t="inlineStr">
        <is>
          <t xml:space="preserve">     护理收入</t>
        </is>
      </c>
      <c r="B26" s="156" t="n">
        <v>1200983.89</v>
      </c>
      <c r="C26" s="156" t="n">
        <v>4460813.99</v>
      </c>
      <c r="D26" s="157" t="inlineStr"/>
      <c r="E26" s="182" t="inlineStr"/>
      <c r="F26" s="182" t="inlineStr"/>
    </row>
    <row r="27">
      <c r="A27" s="157" t="inlineStr">
        <is>
          <t xml:space="preserve">     卫生材料收入</t>
        </is>
      </c>
      <c r="B27" s="156" t="n">
        <v>51745454.83</v>
      </c>
      <c r="C27" s="156" t="n">
        <v>231628234.18</v>
      </c>
      <c r="D27" s="157" t="inlineStr"/>
      <c r="E27" s="182" t="inlineStr"/>
      <c r="F27" s="182" t="inlineStr"/>
    </row>
    <row r="28">
      <c r="A28" s="157" t="inlineStr">
        <is>
          <t xml:space="preserve">     药品收入</t>
        </is>
      </c>
      <c r="B28" s="156" t="n">
        <v>11464304.17</v>
      </c>
      <c r="C28" s="156" t="n">
        <v>51387424.98</v>
      </c>
      <c r="D28" s="157" t="inlineStr"/>
      <c r="E28" s="182" t="inlineStr"/>
      <c r="F28" s="182" t="inlineStr"/>
    </row>
    <row r="29">
      <c r="A29" s="157" t="inlineStr">
        <is>
          <t xml:space="preserve">     其中：西药收入</t>
        </is>
      </c>
      <c r="B29" s="156" t="n">
        <v>11077366.44</v>
      </c>
      <c r="C29" s="156" t="n">
        <v>49660822.99</v>
      </c>
      <c r="D29" s="157" t="inlineStr"/>
      <c r="E29" s="182" t="inlineStr"/>
      <c r="F29" s="182" t="inlineStr"/>
    </row>
    <row r="30">
      <c r="A30" s="157" t="inlineStr">
        <is>
          <t xml:space="preserve">          中成药收入</t>
        </is>
      </c>
      <c r="B30" s="156" t="n">
        <v>382594.56</v>
      </c>
      <c r="C30" s="156" t="n">
        <v>1709752.66</v>
      </c>
      <c r="D30" s="157" t="inlineStr"/>
      <c r="E30" s="182" t="inlineStr"/>
      <c r="F30" s="182" t="inlineStr"/>
    </row>
    <row r="31" ht="26" customHeight="1" s="247">
      <c r="A31" s="157" t="inlineStr">
        <is>
          <t xml:space="preserve">          中药饮片收入</t>
        </is>
      </c>
      <c r="B31" s="156" t="n">
        <v>4343.17</v>
      </c>
      <c r="C31" s="156" t="n">
        <v>16849.33</v>
      </c>
      <c r="D31" s="157" t="inlineStr"/>
      <c r="E31" s="182" t="inlineStr"/>
      <c r="F31" s="182" t="inlineStr"/>
    </row>
    <row r="32">
      <c r="A32" s="157" t="inlineStr">
        <is>
          <t xml:space="preserve">     其他住院收入</t>
        </is>
      </c>
      <c r="B32" s="156" t="n">
        <v>426762.43</v>
      </c>
      <c r="C32" s="156" t="n">
        <v>5724354.01</v>
      </c>
      <c r="D32" s="157" t="inlineStr"/>
      <c r="E32" s="182" t="inlineStr"/>
      <c r="F32" s="182" t="inlineStr"/>
    </row>
    <row r="33">
      <c r="A33" s="220" t="inlineStr">
        <is>
          <t>单位负责人：</t>
        </is>
      </c>
      <c r="B33" s="220" t="inlineStr">
        <is>
          <t xml:space="preserve">总会计师：  </t>
        </is>
      </c>
      <c r="C33" s="231" t="inlineStr">
        <is>
          <t>财务负责人：</t>
        </is>
      </c>
      <c r="D33" s="291" t="n"/>
      <c r="E33" s="220" t="inlineStr">
        <is>
          <t xml:space="preserve"> 审核： </t>
        </is>
      </c>
      <c r="F33" s="220" t="inlineStr">
        <is>
          <t>制表：</t>
        </is>
      </c>
    </row>
    <row r="34" ht="14.25" customHeight="1" s="247">
      <c r="A34" s="225" t="inlineStr">
        <is>
          <t>注：本表“医疗成本”及所属明细项目，根据“业务活动费用”“单位管理费用”科目及所属明细科目、经费性质为财政基本拨款经费、其他经费（不含非同级财政项目经费）的本期发生额填列。</t>
        </is>
      </c>
    </row>
  </sheetData>
  <mergeCells count="7">
    <mergeCell ref="E2:F2"/>
    <mergeCell ref="C33:D33"/>
    <mergeCell ref="A1:F1"/>
    <mergeCell ref="A34:F34"/>
    <mergeCell ref="C3:D3"/>
    <mergeCell ref="A3:B3"/>
    <mergeCell ref="E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:F34"/>
    </sheetView>
  </sheetViews>
  <sheetFormatPr baseColWidth="8" defaultRowHeight="14"/>
  <cols>
    <col width="21.08203125" bestFit="1" customWidth="1" style="247" min="1" max="1"/>
    <col width="14.08203125" bestFit="1" customWidth="1" style="247" min="2" max="2"/>
    <col width="16.08203125" bestFit="1" customWidth="1" style="247" min="3" max="3"/>
    <col width="21.75" bestFit="1" customWidth="1" style="247" min="4" max="4"/>
    <col width="14.08203125" bestFit="1" customWidth="1" style="247" min="5" max="5"/>
    <col width="16.08203125" bestFit="1" customWidth="1" style="247" min="6" max="6"/>
  </cols>
  <sheetData>
    <row r="1" ht="17.5" customHeight="1" s="247">
      <c r="A1" s="233" t="inlineStr">
        <is>
          <t>医疗收入成本表</t>
        </is>
      </c>
    </row>
    <row r="2">
      <c r="A2" s="183" t="n"/>
      <c r="B2" s="184" t="n"/>
      <c r="C2" s="298" t="n"/>
      <c r="D2" s="183" t="n"/>
      <c r="E2" s="234" t="inlineStr">
        <is>
          <t>附表-02</t>
        </is>
      </c>
    </row>
    <row r="3">
      <c r="A3" s="235" t="inlineStr">
        <is>
          <t>编制单位：上海交通大学医学院附属新华医院</t>
        </is>
      </c>
      <c r="B3" s="299" t="n"/>
      <c r="C3" s="236" t="inlineStr">
        <is>
          <t>2025年5月</t>
        </is>
      </c>
      <c r="D3" s="299" t="n"/>
      <c r="E3" s="237" t="inlineStr">
        <is>
          <t>单位：元</t>
        </is>
      </c>
      <c r="F3" s="299" t="n"/>
    </row>
    <row r="4">
      <c r="A4" s="170" t="inlineStr">
        <is>
          <t>项  目</t>
        </is>
      </c>
      <c r="B4" s="300" t="inlineStr">
        <is>
          <t>本月数</t>
        </is>
      </c>
      <c r="C4" s="300" t="inlineStr">
        <is>
          <t>本年累计数</t>
        </is>
      </c>
      <c r="D4" s="170" t="inlineStr">
        <is>
          <t>项  目</t>
        </is>
      </c>
      <c r="E4" s="170" t="inlineStr">
        <is>
          <t>本月数</t>
        </is>
      </c>
      <c r="F4" s="171" t="inlineStr">
        <is>
          <t>本年累计数</t>
        </is>
      </c>
    </row>
    <row r="5">
      <c r="A5" s="172" t="inlineStr">
        <is>
          <t>一、医疗收入</t>
        </is>
      </c>
      <c r="B5" s="292" t="n">
        <v>482063177.99</v>
      </c>
      <c r="C5" s="292" t="n">
        <v>2409556473.74</v>
      </c>
      <c r="D5" s="172" t="inlineStr">
        <is>
          <t>一、医疗成本</t>
        </is>
      </c>
      <c r="E5" s="292" t="n">
        <v>519137584.14</v>
      </c>
      <c r="F5" s="293" t="n">
        <v>2761103384.27</v>
      </c>
    </row>
    <row r="6">
      <c r="A6" s="175" t="inlineStr">
        <is>
          <t>1.门急诊收入</t>
        </is>
      </c>
      <c r="B6" s="292" t="n">
        <v>172294069.68</v>
      </c>
      <c r="C6" s="292" t="n">
        <v>864852415.9400001</v>
      </c>
      <c r="D6" s="175" t="inlineStr">
        <is>
          <t>（一）按性质分类</t>
        </is>
      </c>
      <c r="E6" s="292" t="n"/>
      <c r="F6" s="293" t="n"/>
    </row>
    <row r="7">
      <c r="A7" s="175" t="inlineStr">
        <is>
          <t xml:space="preserve">    其中：挂号收入</t>
        </is>
      </c>
      <c r="B7" s="292" t="n">
        <v>3907912</v>
      </c>
      <c r="C7" s="292" t="n">
        <v>17200080</v>
      </c>
      <c r="D7" s="175" t="inlineStr">
        <is>
          <t xml:space="preserve">     1.人员经费</t>
        </is>
      </c>
      <c r="E7" s="292" t="n">
        <v>182478294.01</v>
      </c>
      <c r="F7" s="293" t="n">
        <v>1089002730.43</v>
      </c>
    </row>
    <row r="8">
      <c r="A8" s="175" t="inlineStr">
        <is>
          <t xml:space="preserve">     诊察收入</t>
        </is>
      </c>
      <c r="B8" s="292" t="n">
        <v>5994871</v>
      </c>
      <c r="C8" s="292" t="n">
        <v>30458811.5</v>
      </c>
      <c r="D8" s="175" t="inlineStr">
        <is>
          <t xml:space="preserve">     2.卫生材料费</t>
        </is>
      </c>
      <c r="E8" s="292" t="n">
        <v>162013396.91</v>
      </c>
      <c r="F8" s="293" t="n">
        <v>765742510.71</v>
      </c>
    </row>
    <row r="9">
      <c r="A9" s="175" t="inlineStr">
        <is>
          <t xml:space="preserve">     检查收入</t>
        </is>
      </c>
      <c r="B9" s="292" t="n">
        <v>26708829</v>
      </c>
      <c r="C9" s="292" t="n">
        <v>135459365</v>
      </c>
      <c r="D9" s="175" t="inlineStr">
        <is>
          <t xml:space="preserve">     3.药品费</t>
        </is>
      </c>
      <c r="E9" s="292" t="n">
        <v>126546852.63</v>
      </c>
      <c r="F9" s="293" t="n">
        <v>631739165.0599999</v>
      </c>
    </row>
    <row r="10">
      <c r="A10" s="175" t="inlineStr">
        <is>
          <t xml:space="preserve">     化验收入</t>
        </is>
      </c>
      <c r="B10" s="292" t="n">
        <v>27446930</v>
      </c>
      <c r="C10" s="292" t="n">
        <v>138934789</v>
      </c>
      <c r="D10" s="175" t="inlineStr">
        <is>
          <t xml:space="preserve">     4.固定资产折旧费</t>
        </is>
      </c>
      <c r="E10" s="292" t="n">
        <v>8885302</v>
      </c>
      <c r="F10" s="293" t="n">
        <v>45250565.96</v>
      </c>
    </row>
    <row r="11">
      <c r="A11" s="175" t="inlineStr">
        <is>
          <t xml:space="preserve">     治疗收入</t>
        </is>
      </c>
      <c r="B11" s="292" t="n">
        <v>17020327.02</v>
      </c>
      <c r="C11" s="292" t="n">
        <v>83691328.59999999</v>
      </c>
      <c r="D11" s="175" t="inlineStr">
        <is>
          <t xml:space="preserve">     5.无形资产摊销费</t>
        </is>
      </c>
      <c r="E11" s="292" t="n">
        <v>2003160.68</v>
      </c>
      <c r="F11" s="293" t="n">
        <v>10194571.16</v>
      </c>
    </row>
    <row r="12">
      <c r="A12" s="175" t="inlineStr">
        <is>
          <t xml:space="preserve">     手术收入</t>
        </is>
      </c>
      <c r="B12" s="292" t="n">
        <v>3802190.15</v>
      </c>
      <c r="C12" s="292" t="n">
        <v>18161396.65</v>
      </c>
      <c r="D12" s="175" t="inlineStr">
        <is>
          <t xml:space="preserve">     6.提取医疗风险基金</t>
        </is>
      </c>
      <c r="E12" s="292" t="n">
        <v>723094.77</v>
      </c>
      <c r="F12" s="293" t="n">
        <v>3614334.71</v>
      </c>
    </row>
    <row r="13">
      <c r="A13" s="175" t="inlineStr">
        <is>
          <t xml:space="preserve">     卫生材料收入</t>
        </is>
      </c>
      <c r="B13" s="292" t="n">
        <v>6383414.65</v>
      </c>
      <c r="C13" s="292" t="n">
        <v>30826602.8</v>
      </c>
      <c r="D13" s="175" t="inlineStr">
        <is>
          <t xml:space="preserve">     7.其他费用</t>
        </is>
      </c>
      <c r="E13" s="292" t="n">
        <v>36487483.14</v>
      </c>
      <c r="F13" s="293" t="n">
        <v>215559506.24</v>
      </c>
    </row>
    <row r="14">
      <c r="A14" s="175" t="inlineStr">
        <is>
          <t xml:space="preserve">     药品收入</t>
        </is>
      </c>
      <c r="B14" s="292" t="n">
        <v>67708333.36</v>
      </c>
      <c r="C14" s="292" t="n">
        <v>340247818.96</v>
      </c>
      <c r="D14" s="175" t="inlineStr">
        <is>
          <t>（二）按功能分类</t>
        </is>
      </c>
      <c r="E14" s="292" t="n"/>
      <c r="F14" s="293" t="n"/>
    </row>
    <row r="15">
      <c r="A15" s="175" t="inlineStr">
        <is>
          <t xml:space="preserve">     其中：西药收入</t>
        </is>
      </c>
      <c r="B15" s="292" t="n">
        <v>52913546.1</v>
      </c>
      <c r="C15" s="292" t="n">
        <v>266871865.86</v>
      </c>
      <c r="D15" s="175" t="inlineStr">
        <is>
          <t xml:space="preserve">     1.业务活动费用</t>
        </is>
      </c>
      <c r="E15" s="292" t="n">
        <v>485505862.48</v>
      </c>
      <c r="F15" s="293" t="n">
        <v>2538389912.96</v>
      </c>
    </row>
    <row r="16">
      <c r="A16" s="175" t="inlineStr">
        <is>
          <t xml:space="preserve">          中成药收入</t>
        </is>
      </c>
      <c r="B16" s="292" t="n">
        <v>12306828.95</v>
      </c>
      <c r="C16" s="292" t="n">
        <v>61043822.44</v>
      </c>
      <c r="D16" s="175" t="inlineStr">
        <is>
          <t xml:space="preserve">     2.单位管理费用</t>
        </is>
      </c>
      <c r="E16" s="292" t="n">
        <v>33631721.66</v>
      </c>
      <c r="F16" s="293" t="n">
        <v>222713471.31</v>
      </c>
    </row>
    <row r="17">
      <c r="A17" s="175" t="inlineStr">
        <is>
          <t xml:space="preserve">          中药饮片收入</t>
        </is>
      </c>
      <c r="B17" s="292" t="n">
        <v>2487958.31</v>
      </c>
      <c r="C17" s="292" t="n">
        <v>12332130.66</v>
      </c>
      <c r="D17" s="301" t="n"/>
      <c r="E17" s="292" t="n"/>
      <c r="F17" s="293" t="n"/>
    </row>
    <row r="18">
      <c r="A18" s="175" t="inlineStr">
        <is>
          <t xml:space="preserve">     其他门诊收入</t>
        </is>
      </c>
      <c r="B18" s="292" t="n">
        <v>13321262.5</v>
      </c>
      <c r="C18" s="292" t="n">
        <v>69872223.43000001</v>
      </c>
      <c r="D18" s="301" t="n"/>
      <c r="E18" s="292" t="n"/>
      <c r="F18" s="293" t="n"/>
    </row>
    <row r="19">
      <c r="A19" s="175" t="inlineStr">
        <is>
          <t>2.住院收入</t>
        </is>
      </c>
      <c r="B19" s="292" t="n">
        <v>309769108.31</v>
      </c>
      <c r="C19" s="292" t="n">
        <v>1544704057.8</v>
      </c>
      <c r="D19" s="301" t="n"/>
      <c r="E19" s="292" t="n"/>
      <c r="F19" s="293" t="n"/>
    </row>
    <row r="20">
      <c r="A20" s="175" t="inlineStr">
        <is>
          <t xml:space="preserve">    其中：床位收入</t>
        </is>
      </c>
      <c r="B20" s="292" t="n">
        <v>11614142</v>
      </c>
      <c r="C20" s="292" t="n">
        <v>57599028</v>
      </c>
      <c r="D20" s="301" t="n"/>
      <c r="E20" s="292" t="n"/>
      <c r="F20" s="293" t="n"/>
    </row>
    <row r="21">
      <c r="A21" s="175" t="inlineStr">
        <is>
          <t xml:space="preserve">     诊察收入</t>
        </is>
      </c>
      <c r="B21" s="292" t="n">
        <v>5929010</v>
      </c>
      <c r="C21" s="292" t="n">
        <v>28458850</v>
      </c>
      <c r="D21" s="301" t="n"/>
      <c r="E21" s="292" t="n"/>
      <c r="F21" s="293" t="n"/>
    </row>
    <row r="22">
      <c r="A22" s="175" t="inlineStr">
        <is>
          <t xml:space="preserve">     检查收入</t>
        </is>
      </c>
      <c r="B22" s="292" t="n">
        <v>22312675</v>
      </c>
      <c r="C22" s="292" t="n">
        <v>110732731.75</v>
      </c>
      <c r="D22" s="301" t="n"/>
      <c r="E22" s="292" t="n"/>
      <c r="F22" s="293" t="n"/>
    </row>
    <row r="23">
      <c r="A23" s="175" t="inlineStr">
        <is>
          <t xml:space="preserve">     化验收入</t>
        </is>
      </c>
      <c r="B23" s="292" t="n">
        <v>30756950</v>
      </c>
      <c r="C23" s="292" t="n">
        <v>149189882.25</v>
      </c>
      <c r="D23" s="175" t="n"/>
      <c r="E23" s="292" t="n"/>
      <c r="F23" s="293" t="n"/>
    </row>
    <row r="24">
      <c r="A24" s="175" t="inlineStr">
        <is>
          <t xml:space="preserve">     治疗收入</t>
        </is>
      </c>
      <c r="B24" s="292" t="n">
        <v>15728898.58</v>
      </c>
      <c r="C24" s="292" t="n">
        <v>83245852.84</v>
      </c>
      <c r="D24" s="175" t="n"/>
      <c r="E24" s="292" t="n"/>
      <c r="F24" s="293" t="n"/>
    </row>
    <row r="25">
      <c r="A25" s="175" t="inlineStr">
        <is>
          <t xml:space="preserve">     手术收入</t>
        </is>
      </c>
      <c r="B25" s="292" t="n">
        <v>30426376.5</v>
      </c>
      <c r="C25" s="292" t="n">
        <v>143322151.75</v>
      </c>
      <c r="D25" s="175" t="n"/>
      <c r="E25" s="292" t="n"/>
      <c r="F25" s="293" t="n"/>
    </row>
    <row r="26">
      <c r="A26" s="175" t="inlineStr">
        <is>
          <t xml:space="preserve">     护理收入</t>
        </is>
      </c>
      <c r="B26" s="292" t="n">
        <v>4150093.2</v>
      </c>
      <c r="C26" s="292" t="n">
        <v>19313436.35</v>
      </c>
      <c r="D26" s="175" t="n"/>
      <c r="E26" s="292" t="n"/>
      <c r="F26" s="293" t="n"/>
    </row>
    <row r="27">
      <c r="A27" s="175" t="inlineStr">
        <is>
          <t xml:space="preserve">     卫生材料收入</t>
        </is>
      </c>
      <c r="B27" s="292" t="n">
        <v>119939948.09</v>
      </c>
      <c r="C27" s="292" t="n">
        <v>604093556.97</v>
      </c>
      <c r="D27" s="175" t="n"/>
      <c r="E27" s="292" t="n"/>
      <c r="F27" s="293" t="n"/>
    </row>
    <row r="28">
      <c r="A28" s="175" t="inlineStr">
        <is>
          <t xml:space="preserve">     药品收入</t>
        </is>
      </c>
      <c r="B28" s="292" t="n">
        <v>59171049.54</v>
      </c>
      <c r="C28" s="292" t="n">
        <v>300981178.83</v>
      </c>
      <c r="D28" s="175" t="n"/>
      <c r="E28" s="292" t="n"/>
      <c r="F28" s="293" t="n"/>
    </row>
    <row r="29">
      <c r="A29" s="175" t="inlineStr">
        <is>
          <t xml:space="preserve">     其中：西药收入</t>
        </is>
      </c>
      <c r="B29" s="292" t="n">
        <v>56615395.54</v>
      </c>
      <c r="C29" s="292" t="n">
        <v>287895243.66</v>
      </c>
      <c r="D29" s="175" t="n"/>
      <c r="E29" s="292" t="n"/>
      <c r="F29" s="293" t="n"/>
    </row>
    <row r="30">
      <c r="A30" s="175" t="inlineStr">
        <is>
          <t xml:space="preserve">          中成药收入</t>
        </is>
      </c>
      <c r="B30" s="292" t="n">
        <v>2465948.67</v>
      </c>
      <c r="C30" s="292" t="n">
        <v>12647656.89</v>
      </c>
      <c r="D30" s="188" t="n"/>
      <c r="E30" s="292" t="n"/>
      <c r="F30" s="293" t="n"/>
    </row>
    <row r="31">
      <c r="A31" s="175" t="inlineStr">
        <is>
          <t xml:space="preserve">          中药饮片收入</t>
        </is>
      </c>
      <c r="B31" s="292" t="n">
        <v>89705.33</v>
      </c>
      <c r="C31" s="292" t="n">
        <v>438278.28</v>
      </c>
      <c r="D31" s="188" t="n"/>
      <c r="E31" s="292" t="n"/>
      <c r="F31" s="293" t="n"/>
    </row>
    <row r="32">
      <c r="A32" s="175" t="inlineStr">
        <is>
          <t xml:space="preserve">     其他住院收入</t>
        </is>
      </c>
      <c r="B32" s="292" t="n">
        <v>9739965.4</v>
      </c>
      <c r="C32" s="292" t="n">
        <v>47767389.06</v>
      </c>
      <c r="D32" s="188" t="n"/>
      <c r="E32" s="292" t="n"/>
      <c r="F32" s="293" t="n"/>
    </row>
    <row r="33">
      <c r="A33" s="223" t="inlineStr">
        <is>
          <t>单位负责人：</t>
        </is>
      </c>
      <c r="B33" s="189" t="inlineStr">
        <is>
          <t xml:space="preserve">总会计师：  </t>
        </is>
      </c>
      <c r="C33" s="238" t="inlineStr">
        <is>
          <t>财务负责人：</t>
        </is>
      </c>
      <c r="D33" s="291" t="n"/>
      <c r="E33" s="189" t="inlineStr">
        <is>
          <t xml:space="preserve"> 审核： </t>
        </is>
      </c>
      <c r="F33" s="189" t="inlineStr">
        <is>
          <t>制表：</t>
        </is>
      </c>
    </row>
    <row r="34" ht="14.25" customHeight="1" s="247">
      <c r="A34" s="232" t="inlineStr">
        <is>
          <t>注：本表“医疗成本”及所属明细项目，根据“业务活动费用”“单位管理费用”科目及所属明细科目、经费性质为财政基本拨款经费、其他经费（不含非同级财政项目经费）的本期发生额填列。</t>
        </is>
      </c>
    </row>
  </sheetData>
  <mergeCells count="7">
    <mergeCell ref="E2:F2"/>
    <mergeCell ref="C33:D33"/>
    <mergeCell ref="A1:F1"/>
    <mergeCell ref="A34:F34"/>
    <mergeCell ref="C3:D3"/>
    <mergeCell ref="A3:B3"/>
    <mergeCell ref="E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1"/>
  <sheetViews>
    <sheetView topLeftCell="A67" workbookViewId="0">
      <selection activeCell="D84" sqref="D84"/>
    </sheetView>
  </sheetViews>
  <sheetFormatPr baseColWidth="8" defaultRowHeight="14"/>
  <cols>
    <col width="26.33203125" customWidth="1" style="247" min="1" max="1"/>
    <col width="14.08203125" bestFit="1" customWidth="1" style="247" min="2" max="2"/>
    <col width="16.08203125" bestFit="1" customWidth="1" style="247" min="3" max="3"/>
    <col width="14.08203125" bestFit="1" customWidth="1" style="247" min="4" max="4"/>
    <col width="16.08203125" bestFit="1" customWidth="1" style="247" min="5" max="5"/>
    <col width="13.08203125" bestFit="1" customWidth="1" style="247" min="6" max="6"/>
    <col width="14.08203125" bestFit="1" customWidth="1" style="247" min="7" max="7"/>
  </cols>
  <sheetData>
    <row r="1" ht="22.5" customHeight="1" s="247">
      <c r="A1" s="219" t="inlineStr">
        <is>
          <t>医疗成本费用明细表</t>
        </is>
      </c>
    </row>
    <row r="2">
      <c r="A2" s="180" t="inlineStr"/>
      <c r="B2" s="180" t="inlineStr"/>
      <c r="C2" s="180" t="inlineStr"/>
      <c r="D2" s="180" t="inlineStr"/>
      <c r="E2" s="180" t="inlineStr"/>
      <c r="F2" s="227" t="inlineStr">
        <is>
          <t>附表-03</t>
        </is>
      </c>
    </row>
    <row r="3" ht="26.25" customHeight="1" s="247">
      <c r="A3" s="228" t="inlineStr">
        <is>
          <t>编制单位：上海交通大学医学院附属新华医院</t>
        </is>
      </c>
      <c r="B3" s="297" t="n"/>
      <c r="C3" s="228" t="inlineStr">
        <is>
          <t>2026年05月</t>
        </is>
      </c>
      <c r="D3" s="297" t="n"/>
      <c r="E3" s="297" t="n"/>
      <c r="F3" s="230" t="inlineStr">
        <is>
          <t>单位：元</t>
        </is>
      </c>
      <c r="G3" s="297" t="n"/>
    </row>
    <row r="4">
      <c r="A4" s="239" t="inlineStr">
        <is>
          <t>项    目</t>
        </is>
      </c>
      <c r="B4" s="240" t="inlineStr">
        <is>
          <t>合  计</t>
        </is>
      </c>
      <c r="C4" s="290" t="n"/>
      <c r="D4" s="240" t="inlineStr">
        <is>
          <t>业务活动费用</t>
        </is>
      </c>
      <c r="E4" s="290" t="n"/>
      <c r="F4" s="240" t="inlineStr">
        <is>
          <t>单位管理费用</t>
        </is>
      </c>
      <c r="G4" s="290" t="n"/>
    </row>
    <row r="5">
      <c r="A5" s="302" t="n"/>
      <c r="B5" s="240" t="inlineStr">
        <is>
          <t>本月数</t>
        </is>
      </c>
      <c r="C5" s="240" t="inlineStr">
        <is>
          <t>累计数</t>
        </is>
      </c>
      <c r="D5" s="240" t="inlineStr">
        <is>
          <t>本月数</t>
        </is>
      </c>
      <c r="E5" s="240" t="inlineStr">
        <is>
          <t>累计数</t>
        </is>
      </c>
      <c r="F5" s="240" t="inlineStr">
        <is>
          <t>本月数</t>
        </is>
      </c>
      <c r="G5" s="240" t="inlineStr">
        <is>
          <t>累计数</t>
        </is>
      </c>
    </row>
    <row r="6">
      <c r="A6" s="240" t="inlineStr">
        <is>
          <t>医疗成本合计</t>
        </is>
      </c>
      <c r="B6" s="156" t="n">
        <v>629308244.62</v>
      </c>
      <c r="C6" s="156" t="n">
        <v>3386087139</v>
      </c>
      <c r="D6" s="156" t="n">
        <v>604319763.36</v>
      </c>
      <c r="E6" s="156" t="n">
        <v>3222888999.6</v>
      </c>
      <c r="F6" s="156" t="n">
        <v>24988481.26</v>
      </c>
      <c r="G6" s="156" t="n">
        <v>163198139.4</v>
      </c>
    </row>
    <row r="7">
      <c r="A7" s="155" t="inlineStr">
        <is>
          <t>（一）人员经费</t>
        </is>
      </c>
      <c r="B7" s="156" t="n">
        <v>214603052.13</v>
      </c>
      <c r="C7" s="156" t="n">
        <v>1261078151.66</v>
      </c>
      <c r="D7" s="156" t="n">
        <v>203295062.79</v>
      </c>
      <c r="E7" s="156" t="n">
        <v>1186682262.93</v>
      </c>
      <c r="F7" s="156" t="n">
        <v>11307989.34</v>
      </c>
      <c r="G7" s="156" t="n">
        <v>74395888.73</v>
      </c>
    </row>
    <row r="8">
      <c r="A8" s="155" t="inlineStr">
        <is>
          <t xml:space="preserve">  工资福利费用</t>
        </is>
      </c>
      <c r="B8" s="156" t="n">
        <v>211742376.16</v>
      </c>
      <c r="C8" s="156" t="n">
        <v>1246416881.54</v>
      </c>
      <c r="D8" s="156" t="n">
        <v>202942190.24</v>
      </c>
      <c r="E8" s="156" t="n">
        <v>1185931935.3</v>
      </c>
      <c r="F8" s="156" t="n">
        <v>8800185.92</v>
      </c>
      <c r="G8" s="156" t="n">
        <v>60484946.24</v>
      </c>
    </row>
    <row r="9">
      <c r="A9" s="157" t="inlineStr">
        <is>
          <t xml:space="preserve">     基本工资</t>
        </is>
      </c>
      <c r="B9" s="156" t="n">
        <v>29638621.21</v>
      </c>
      <c r="C9" s="156" t="n">
        <v>145227532.57</v>
      </c>
      <c r="D9" s="156" t="n">
        <v>28515058.1</v>
      </c>
      <c r="E9" s="156" t="n">
        <v>138049100.06</v>
      </c>
      <c r="F9" s="156" t="n">
        <v>1123563.11</v>
      </c>
      <c r="G9" s="156" t="n">
        <v>7178432.51</v>
      </c>
    </row>
    <row r="10">
      <c r="A10" s="157" t="inlineStr">
        <is>
          <t xml:space="preserve">     津贴补贴</t>
        </is>
      </c>
      <c r="B10" s="156" t="n">
        <v>5052346.5</v>
      </c>
      <c r="C10" s="156" t="n">
        <v>24437361.5</v>
      </c>
      <c r="D10" s="156" t="n">
        <v>4854972</v>
      </c>
      <c r="E10" s="156" t="n">
        <v>23476090</v>
      </c>
      <c r="F10" s="156" t="n">
        <v>197374.5</v>
      </c>
      <c r="G10" s="156" t="n">
        <v>961271.5</v>
      </c>
    </row>
    <row r="11">
      <c r="A11" s="157" t="inlineStr">
        <is>
          <t xml:space="preserve">     奖金</t>
        </is>
      </c>
      <c r="B11" s="156" t="n">
        <v>0</v>
      </c>
      <c r="C11" s="156" t="n">
        <v>0</v>
      </c>
      <c r="D11" s="156" t="n">
        <v>0</v>
      </c>
      <c r="E11" s="156" t="n">
        <v>0</v>
      </c>
      <c r="F11" s="156" t="n">
        <v>0</v>
      </c>
      <c r="G11" s="156" t="n">
        <v>0</v>
      </c>
    </row>
    <row r="12">
      <c r="A12" s="157" t="inlineStr">
        <is>
          <t xml:space="preserve">     伙食补助费</t>
        </is>
      </c>
      <c r="B12" s="156" t="n">
        <v>2604484.5</v>
      </c>
      <c r="C12" s="156" t="n">
        <v>13017052.7</v>
      </c>
      <c r="D12" s="156" t="n">
        <v>2504484.5</v>
      </c>
      <c r="E12" s="156" t="n">
        <v>12511552.7</v>
      </c>
      <c r="F12" s="156" t="n">
        <v>100000</v>
      </c>
      <c r="G12" s="156" t="n">
        <v>505500</v>
      </c>
    </row>
    <row r="13">
      <c r="A13" s="157" t="inlineStr">
        <is>
          <t xml:space="preserve">     绩效工资</t>
        </is>
      </c>
      <c r="B13" s="156" t="n">
        <v>127203545.65</v>
      </c>
      <c r="C13" s="156" t="n">
        <v>828030073.51</v>
      </c>
      <c r="D13" s="156" t="n">
        <v>121087143.32</v>
      </c>
      <c r="E13" s="156" t="n">
        <v>782893601.52</v>
      </c>
      <c r="F13" s="156" t="n">
        <v>6116402.33</v>
      </c>
      <c r="G13" s="156" t="n">
        <v>45136471.99</v>
      </c>
    </row>
    <row r="14">
      <c r="A14" s="157" t="inlineStr">
        <is>
          <t xml:space="preserve">     基本养老保险缴费</t>
        </is>
      </c>
      <c r="B14" s="156" t="n">
        <v>23346494.34</v>
      </c>
      <c r="C14" s="156" t="n">
        <v>116998305.46</v>
      </c>
      <c r="D14" s="156" t="n">
        <v>22861641.17</v>
      </c>
      <c r="E14" s="156" t="n">
        <v>114236537.63</v>
      </c>
      <c r="F14" s="156" t="n">
        <v>484853.17</v>
      </c>
      <c r="G14" s="156" t="n">
        <v>2761767.83</v>
      </c>
    </row>
    <row r="15">
      <c r="A15" s="157" t="inlineStr">
        <is>
          <t xml:space="preserve">     职业年金缴费</t>
        </is>
      </c>
      <c r="B15" s="156" t="n">
        <v>6476603.36</v>
      </c>
      <c r="C15" s="156" t="n">
        <v>32634250.84</v>
      </c>
      <c r="D15" s="156" t="n">
        <v>6214772.29</v>
      </c>
      <c r="E15" s="156" t="n">
        <v>31306981.09</v>
      </c>
      <c r="F15" s="156" t="n">
        <v>261831.07</v>
      </c>
      <c r="G15" s="156" t="n">
        <v>1327269.75</v>
      </c>
    </row>
    <row r="16">
      <c r="A16" s="157" t="inlineStr">
        <is>
          <t xml:space="preserve">     基本医疗保险缴费</t>
        </is>
      </c>
      <c r="B16" s="156" t="n">
        <v>6651220.99</v>
      </c>
      <c r="C16" s="156" t="n">
        <v>33445901.18</v>
      </c>
      <c r="D16" s="156" t="n">
        <v>6391319.2</v>
      </c>
      <c r="E16" s="156" t="n">
        <v>32131124.01</v>
      </c>
      <c r="F16" s="156" t="n">
        <v>259901.79</v>
      </c>
      <c r="G16" s="156" t="n">
        <v>1314777.17</v>
      </c>
    </row>
    <row r="17">
      <c r="A17" s="157" t="inlineStr">
        <is>
          <t xml:space="preserve">     其他社会保障缴费</t>
        </is>
      </c>
      <c r="B17" s="156" t="n">
        <v>1033550.83</v>
      </c>
      <c r="C17" s="156" t="n">
        <v>5188737.12</v>
      </c>
      <c r="D17" s="156" t="n">
        <v>1013957.51</v>
      </c>
      <c r="E17" s="156" t="n">
        <v>5089103.52</v>
      </c>
      <c r="F17" s="156" t="n">
        <v>19593.32</v>
      </c>
      <c r="G17" s="156" t="n">
        <v>99633.60000000001</v>
      </c>
    </row>
    <row r="18">
      <c r="A18" s="157" t="inlineStr">
        <is>
          <t xml:space="preserve">     住房公积金</t>
        </is>
      </c>
      <c r="B18" s="156" t="n">
        <v>8260618</v>
      </c>
      <c r="C18" s="156" t="n">
        <v>41830856</v>
      </c>
      <c r="D18" s="156" t="n">
        <v>8033910.37</v>
      </c>
      <c r="E18" s="156" t="n">
        <v>40680387.61</v>
      </c>
      <c r="F18" s="156" t="n">
        <v>226707.63</v>
      </c>
      <c r="G18" s="156" t="n">
        <v>1150468.39</v>
      </c>
    </row>
    <row r="19">
      <c r="A19" s="157" t="inlineStr">
        <is>
          <t xml:space="preserve">     医疗费</t>
        </is>
      </c>
      <c r="B19" s="156" t="n">
        <v>0</v>
      </c>
      <c r="C19" s="156" t="n">
        <v>0</v>
      </c>
      <c r="D19" s="156" t="n">
        <v>0</v>
      </c>
      <c r="E19" s="156" t="n">
        <v>0</v>
      </c>
      <c r="F19" s="156" t="n">
        <v>0</v>
      </c>
      <c r="G19" s="156" t="n">
        <v>0</v>
      </c>
    </row>
    <row r="20">
      <c r="A20" s="157" t="inlineStr">
        <is>
          <t xml:space="preserve">     其他工资福利支出</t>
        </is>
      </c>
      <c r="B20" s="156" t="n">
        <v>1474890.78</v>
      </c>
      <c r="C20" s="156" t="n">
        <v>5606810.66</v>
      </c>
      <c r="D20" s="156" t="n">
        <v>1464931.78</v>
      </c>
      <c r="E20" s="156" t="n">
        <v>5557457.16</v>
      </c>
      <c r="F20" s="156" t="n">
        <v>9959</v>
      </c>
      <c r="G20" s="156" t="n">
        <v>49353.5</v>
      </c>
    </row>
    <row r="21">
      <c r="A21" s="155" t="inlineStr">
        <is>
          <t xml:space="preserve">  对个人和家庭的补助费用</t>
        </is>
      </c>
      <c r="B21" s="156" t="n">
        <v>2860675.97</v>
      </c>
      <c r="C21" s="156" t="n">
        <v>14661270.12</v>
      </c>
      <c r="D21" s="156" t="n">
        <v>352872.55</v>
      </c>
      <c r="E21" s="156" t="n">
        <v>750327.63</v>
      </c>
      <c r="F21" s="156" t="n">
        <v>2507803.42</v>
      </c>
      <c r="G21" s="156" t="n">
        <v>13910942.49</v>
      </c>
    </row>
    <row r="22">
      <c r="A22" s="157" t="inlineStr">
        <is>
          <t xml:space="preserve">     离休费</t>
        </is>
      </c>
      <c r="B22" s="156" t="n">
        <v>13083</v>
      </c>
      <c r="C22" s="156" t="n">
        <v>85415</v>
      </c>
      <c r="D22" s="156" t="n">
        <v>0</v>
      </c>
      <c r="E22" s="156" t="n">
        <v>0</v>
      </c>
      <c r="F22" s="156" t="n">
        <v>13083</v>
      </c>
      <c r="G22" s="156" t="n">
        <v>85415</v>
      </c>
    </row>
    <row r="23">
      <c r="A23" s="157" t="inlineStr">
        <is>
          <t xml:space="preserve">     退休费</t>
        </is>
      </c>
      <c r="B23" s="156" t="n">
        <v>2310944</v>
      </c>
      <c r="C23" s="156" t="n">
        <v>11536985</v>
      </c>
      <c r="D23" s="156" t="n">
        <v>0</v>
      </c>
      <c r="E23" s="156" t="n">
        <v>0</v>
      </c>
      <c r="F23" s="156" t="n">
        <v>2310944</v>
      </c>
      <c r="G23" s="156" t="n">
        <v>11536985</v>
      </c>
    </row>
    <row r="24">
      <c r="A24" s="157" t="inlineStr">
        <is>
          <t xml:space="preserve">     退职费</t>
        </is>
      </c>
      <c r="B24" s="156" t="n">
        <v>0</v>
      </c>
      <c r="C24" s="156" t="n">
        <v>0</v>
      </c>
      <c r="D24" s="156" t="n">
        <v>0</v>
      </c>
      <c r="E24" s="156" t="n">
        <v>0</v>
      </c>
      <c r="F24" s="156" t="n">
        <v>0</v>
      </c>
      <c r="G24" s="156" t="n">
        <v>0</v>
      </c>
    </row>
    <row r="25">
      <c r="A25" s="157" t="inlineStr">
        <is>
          <t xml:space="preserve">     抚恤金</t>
        </is>
      </c>
      <c r="B25" s="156" t="n">
        <v>123634</v>
      </c>
      <c r="C25" s="156" t="n">
        <v>2052439</v>
      </c>
      <c r="D25" s="156" t="n">
        <v>0</v>
      </c>
      <c r="E25" s="156" t="n">
        <v>0</v>
      </c>
      <c r="F25" s="156" t="n">
        <v>123634</v>
      </c>
      <c r="G25" s="156" t="n">
        <v>2052439</v>
      </c>
    </row>
    <row r="26">
      <c r="A26" s="157" t="inlineStr">
        <is>
          <t xml:space="preserve">     生活补助</t>
        </is>
      </c>
      <c r="B26" s="156" t="n">
        <v>0</v>
      </c>
      <c r="C26" s="156" t="n">
        <v>0</v>
      </c>
      <c r="D26" s="156" t="n">
        <v>0</v>
      </c>
      <c r="E26" s="156" t="n">
        <v>0</v>
      </c>
      <c r="F26" s="156" t="n">
        <v>0</v>
      </c>
      <c r="G26" s="156" t="n">
        <v>0</v>
      </c>
    </row>
    <row r="27">
      <c r="A27" s="157" t="inlineStr">
        <is>
          <t xml:space="preserve">     救济费</t>
        </is>
      </c>
      <c r="B27" s="156" t="n">
        <v>0</v>
      </c>
      <c r="C27" s="156" t="n">
        <v>0</v>
      </c>
      <c r="D27" s="156" t="n">
        <v>0</v>
      </c>
      <c r="E27" s="156" t="n">
        <v>0</v>
      </c>
      <c r="F27" s="156" t="n">
        <v>0</v>
      </c>
      <c r="G27" s="156" t="n">
        <v>0</v>
      </c>
    </row>
    <row r="28">
      <c r="A28" s="157" t="inlineStr">
        <is>
          <t xml:space="preserve">     医疗补助费</t>
        </is>
      </c>
      <c r="B28" s="156" t="n">
        <v>411764.97</v>
      </c>
      <c r="C28" s="156" t="n">
        <v>971381.12</v>
      </c>
      <c r="D28" s="156" t="n">
        <v>351622.55</v>
      </c>
      <c r="E28" s="156" t="n">
        <v>735977.63</v>
      </c>
      <c r="F28" s="156" t="n">
        <v>60142.42</v>
      </c>
      <c r="G28" s="156" t="n">
        <v>235403.49</v>
      </c>
    </row>
    <row r="29">
      <c r="A29" s="157" t="inlineStr">
        <is>
          <t xml:space="preserve">     助学金</t>
        </is>
      </c>
      <c r="B29" s="156" t="n">
        <v>0</v>
      </c>
      <c r="C29" s="156" t="n">
        <v>0</v>
      </c>
      <c r="D29" s="156" t="n">
        <v>0</v>
      </c>
      <c r="E29" s="156" t="n">
        <v>0</v>
      </c>
      <c r="F29" s="156" t="n">
        <v>0</v>
      </c>
      <c r="G29" s="156" t="n">
        <v>0</v>
      </c>
    </row>
    <row r="30">
      <c r="A30" s="157" t="inlineStr">
        <is>
          <t xml:space="preserve">     奖励金</t>
        </is>
      </c>
      <c r="B30" s="156" t="n">
        <v>0</v>
      </c>
      <c r="C30" s="156" t="n">
        <v>0</v>
      </c>
      <c r="D30" s="156" t="n">
        <v>0</v>
      </c>
      <c r="E30" s="156" t="n">
        <v>0</v>
      </c>
      <c r="F30" s="156" t="n">
        <v>0</v>
      </c>
      <c r="G30" s="156" t="n">
        <v>0</v>
      </c>
    </row>
    <row r="31">
      <c r="A31" s="157" t="inlineStr">
        <is>
          <t xml:space="preserve">     生产补贴</t>
        </is>
      </c>
      <c r="B31" s="156" t="n">
        <v>0</v>
      </c>
      <c r="C31" s="156" t="n">
        <v>0</v>
      </c>
      <c r="D31" s="156" t="n">
        <v>0</v>
      </c>
      <c r="E31" s="156" t="n">
        <v>0</v>
      </c>
      <c r="F31" s="156" t="n">
        <v>0</v>
      </c>
      <c r="G31" s="156" t="n">
        <v>0</v>
      </c>
    </row>
    <row r="32">
      <c r="A32" s="157" t="inlineStr">
        <is>
          <t xml:space="preserve">     其他对个人和家庭补助支出</t>
        </is>
      </c>
      <c r="B32" s="156" t="n">
        <v>1250</v>
      </c>
      <c r="C32" s="156" t="n">
        <v>15050</v>
      </c>
      <c r="D32" s="156" t="n">
        <v>1250</v>
      </c>
      <c r="E32" s="156" t="n">
        <v>14350</v>
      </c>
      <c r="F32" s="156" t="n">
        <v>0</v>
      </c>
      <c r="G32" s="156" t="n">
        <v>700</v>
      </c>
    </row>
    <row r="33">
      <c r="A33" s="155" t="inlineStr">
        <is>
          <t>（二）卫生材料费</t>
        </is>
      </c>
      <c r="B33" s="156" t="n">
        <v>206369547.63</v>
      </c>
      <c r="C33" s="156" t="n">
        <v>1044819338.78</v>
      </c>
      <c r="D33" s="156" t="n">
        <v>206126349.75</v>
      </c>
      <c r="E33" s="156" t="n">
        <v>1042600356.23</v>
      </c>
      <c r="F33" s="156" t="n">
        <v>243197.88</v>
      </c>
      <c r="G33" s="156" t="n">
        <v>2218982.55</v>
      </c>
    </row>
    <row r="34">
      <c r="A34" s="157" t="inlineStr">
        <is>
          <t xml:space="preserve">     血费</t>
        </is>
      </c>
      <c r="B34" s="156" t="n">
        <v>1792480</v>
      </c>
      <c r="C34" s="156" t="n">
        <v>4161245</v>
      </c>
      <c r="D34" s="156" t="n">
        <v>1792480</v>
      </c>
      <c r="E34" s="156" t="n">
        <v>4161245</v>
      </c>
      <c r="F34" s="182" t="inlineStr"/>
      <c r="G34" s="182" t="inlineStr"/>
    </row>
    <row r="35">
      <c r="A35" s="157" t="inlineStr">
        <is>
          <t xml:space="preserve">     氧气费</t>
        </is>
      </c>
      <c r="B35" s="156" t="n">
        <v>548790.5</v>
      </c>
      <c r="C35" s="156" t="n">
        <v>2254050.5</v>
      </c>
      <c r="D35" s="156" t="n">
        <v>548790.5</v>
      </c>
      <c r="E35" s="156" t="n">
        <v>2254050.5</v>
      </c>
      <c r="F35" s="182" t="inlineStr"/>
      <c r="G35" s="182" t="inlineStr"/>
    </row>
    <row r="36">
      <c r="A36" s="157" t="inlineStr">
        <is>
          <t xml:space="preserve">     放射材料费</t>
        </is>
      </c>
      <c r="B36" s="156" t="n">
        <v>152575</v>
      </c>
      <c r="C36" s="156" t="n">
        <v>481825</v>
      </c>
      <c r="D36" s="156" t="n">
        <v>152575</v>
      </c>
      <c r="E36" s="156" t="n">
        <v>481825</v>
      </c>
      <c r="F36" s="182" t="inlineStr"/>
      <c r="G36" s="182" t="inlineStr"/>
    </row>
    <row r="37">
      <c r="A37" s="157" t="inlineStr">
        <is>
          <t xml:space="preserve">     化验材料费</t>
        </is>
      </c>
      <c r="B37" s="156" t="n">
        <v>31912674.92</v>
      </c>
      <c r="C37" s="156" t="n">
        <v>132888177.79</v>
      </c>
      <c r="D37" s="156" t="n">
        <v>31912674.92</v>
      </c>
      <c r="E37" s="156" t="n">
        <v>132888177.79</v>
      </c>
      <c r="F37" s="182" t="inlineStr"/>
      <c r="G37" s="182" t="inlineStr"/>
    </row>
    <row r="38">
      <c r="A38" s="157" t="inlineStr">
        <is>
          <t xml:space="preserve">     一次性医疗器械</t>
        </is>
      </c>
      <c r="B38" s="156" t="n">
        <v>162160150.06</v>
      </c>
      <c r="C38" s="156" t="n">
        <v>856601575.9</v>
      </c>
      <c r="D38" s="156" t="n">
        <v>162160150.06</v>
      </c>
      <c r="E38" s="156" t="n">
        <v>856601575.9</v>
      </c>
      <c r="F38" s="182" t="inlineStr"/>
      <c r="G38" s="182" t="inlineStr"/>
    </row>
    <row r="39">
      <c r="A39" s="157" t="inlineStr">
        <is>
          <t xml:space="preserve">          手术器械类</t>
        </is>
      </c>
      <c r="B39" s="156" t="n">
        <v>15262872.92</v>
      </c>
      <c r="C39" s="156" t="n">
        <v>74807842.88</v>
      </c>
      <c r="D39" s="156" t="n">
        <v>15262872.92</v>
      </c>
      <c r="E39" s="156" t="n">
        <v>74807842.88</v>
      </c>
      <c r="F39" s="182" t="inlineStr"/>
      <c r="G39" s="182" t="inlineStr"/>
    </row>
    <row r="40">
      <c r="A40" s="157" t="inlineStr">
        <is>
          <t xml:space="preserve">          植入材料和人工器官</t>
        </is>
      </c>
      <c r="B40" s="156" t="n">
        <v>52809721.83</v>
      </c>
      <c r="C40" s="156" t="n">
        <v>280266277.87</v>
      </c>
      <c r="D40" s="156" t="n">
        <v>52809721.83</v>
      </c>
      <c r="E40" s="156" t="n">
        <v>280266277.87</v>
      </c>
      <c r="F40" s="182" t="inlineStr"/>
      <c r="G40" s="182" t="inlineStr"/>
    </row>
    <row r="41">
      <c r="A41" s="157" t="inlineStr">
        <is>
          <t xml:space="preserve">          各类介入器械</t>
        </is>
      </c>
      <c r="B41" s="156" t="n">
        <v>57618111.07</v>
      </c>
      <c r="C41" s="156" t="n">
        <v>294658599.38</v>
      </c>
      <c r="D41" s="156" t="n">
        <v>57618111.07</v>
      </c>
      <c r="E41" s="156" t="n">
        <v>294658599.38</v>
      </c>
      <c r="F41" s="182" t="inlineStr"/>
      <c r="G41" s="182" t="inlineStr"/>
    </row>
    <row r="42" ht="26" customHeight="1" s="247">
      <c r="A42" s="157" t="inlineStr">
        <is>
          <t xml:space="preserve">          医用材料高分子生物材料</t>
        </is>
      </c>
      <c r="B42" s="156" t="n">
        <v>17747771.35</v>
      </c>
      <c r="C42" s="156" t="n">
        <v>96083695.72</v>
      </c>
      <c r="D42" s="156" t="n">
        <v>17747771.35</v>
      </c>
      <c r="E42" s="156" t="n">
        <v>96083695.72</v>
      </c>
      <c r="F42" s="182" t="inlineStr"/>
      <c r="G42" s="182" t="inlineStr"/>
    </row>
    <row r="43">
      <c r="A43" s="157" t="inlineStr">
        <is>
          <t xml:space="preserve">          口腔材料</t>
        </is>
      </c>
      <c r="B43" s="156" t="n">
        <v>195568</v>
      </c>
      <c r="C43" s="156" t="n">
        <v>1264308.7</v>
      </c>
      <c r="D43" s="156" t="n">
        <v>195568</v>
      </c>
      <c r="E43" s="156" t="n">
        <v>1264308.7</v>
      </c>
      <c r="F43" s="182" t="inlineStr"/>
      <c r="G43" s="182" t="inlineStr"/>
    </row>
    <row r="44">
      <c r="A44" s="157" t="inlineStr">
        <is>
          <t xml:space="preserve">          其他一次性医疗器械</t>
        </is>
      </c>
      <c r="B44" s="156" t="n">
        <v>18526104.89</v>
      </c>
      <c r="C44" s="156" t="n">
        <v>109520851.35</v>
      </c>
      <c r="D44" s="156" t="n">
        <v>18526104.89</v>
      </c>
      <c r="E44" s="156" t="n">
        <v>109520851.35</v>
      </c>
      <c r="F44" s="182" t="inlineStr"/>
      <c r="G44" s="182" t="inlineStr"/>
    </row>
    <row r="45">
      <c r="A45" s="157" t="inlineStr">
        <is>
          <t xml:space="preserve">     不可单独收费医用消耗材料</t>
        </is>
      </c>
      <c r="B45" s="156" t="n">
        <v>7762055.3</v>
      </c>
      <c r="C45" s="156" t="n">
        <v>34457989.07</v>
      </c>
      <c r="D45" s="156" t="n">
        <v>7762055.3</v>
      </c>
      <c r="E45" s="156" t="n">
        <v>34457989.07</v>
      </c>
      <c r="F45" s="182" t="inlineStr"/>
      <c r="G45" s="182" t="inlineStr"/>
    </row>
    <row r="46">
      <c r="A46" s="157" t="inlineStr">
        <is>
          <t xml:space="preserve">     其他卫生材料</t>
        </is>
      </c>
      <c r="B46" s="156" t="n">
        <v>2040821.85</v>
      </c>
      <c r="C46" s="156" t="n">
        <v>13974475.52</v>
      </c>
      <c r="D46" s="156" t="n">
        <v>1797623.97</v>
      </c>
      <c r="E46" s="156" t="n">
        <v>11755492.97</v>
      </c>
      <c r="F46" s="156" t="n">
        <v>243197.88</v>
      </c>
      <c r="G46" s="156" t="n">
        <v>2218982.55</v>
      </c>
    </row>
    <row r="47">
      <c r="A47" s="155" t="inlineStr">
        <is>
          <t>（三）药品费</t>
        </is>
      </c>
      <c r="B47" s="156" t="n">
        <v>151050812.48</v>
      </c>
      <c r="C47" s="156" t="n">
        <v>760796138.63</v>
      </c>
      <c r="D47" s="156" t="n">
        <v>151050812.48</v>
      </c>
      <c r="E47" s="156" t="n">
        <v>760796138.63</v>
      </c>
      <c r="F47" s="156" t="n">
        <v>0</v>
      </c>
      <c r="G47" s="156" t="n">
        <v>0</v>
      </c>
    </row>
    <row r="48">
      <c r="A48" s="157" t="inlineStr">
        <is>
          <t xml:space="preserve">     西药费</t>
        </is>
      </c>
      <c r="B48" s="156" t="n">
        <v>140804169.21</v>
      </c>
      <c r="C48" s="156" t="n">
        <v>704555252.3200001</v>
      </c>
      <c r="D48" s="161" t="n">
        <v>140804169.21</v>
      </c>
      <c r="E48" s="161" t="n">
        <v>704555252.3200001</v>
      </c>
      <c r="F48" s="161" t="n">
        <v>0</v>
      </c>
      <c r="G48" s="161" t="n">
        <v>0</v>
      </c>
    </row>
    <row r="49">
      <c r="A49" s="157" t="inlineStr">
        <is>
          <t xml:space="preserve">     中成药费</t>
        </is>
      </c>
      <c r="B49" s="156" t="n">
        <v>8144081.3</v>
      </c>
      <c r="C49" s="156" t="n">
        <v>46159564.02</v>
      </c>
      <c r="D49" s="161" t="n">
        <v>8144081.3</v>
      </c>
      <c r="E49" s="161" t="n">
        <v>46159564.02</v>
      </c>
      <c r="F49" s="160" t="inlineStr"/>
      <c r="G49" s="160" t="inlineStr"/>
    </row>
    <row r="50">
      <c r="A50" s="157" t="inlineStr">
        <is>
          <t xml:space="preserve">     中药饮片费</t>
        </is>
      </c>
      <c r="B50" s="156" t="n">
        <v>2102561.97</v>
      </c>
      <c r="C50" s="156" t="n">
        <v>10081322.29</v>
      </c>
      <c r="D50" s="161" t="n">
        <v>2102561.97</v>
      </c>
      <c r="E50" s="161" t="n">
        <v>10081322.29</v>
      </c>
      <c r="F50" s="160" t="inlineStr"/>
      <c r="G50" s="160" t="inlineStr"/>
    </row>
    <row r="51">
      <c r="A51" s="155" t="inlineStr">
        <is>
          <t>（四）固定资产折旧费</t>
        </is>
      </c>
      <c r="B51" s="156" t="n">
        <v>9796053.91</v>
      </c>
      <c r="C51" s="156" t="n">
        <v>47475824.1</v>
      </c>
      <c r="D51" s="161" t="n">
        <v>9384520.220000001</v>
      </c>
      <c r="E51" s="161" t="n">
        <v>45370458.69</v>
      </c>
      <c r="F51" s="161" t="n">
        <v>411533.69</v>
      </c>
      <c r="G51" s="161" t="n">
        <v>2105365.41</v>
      </c>
    </row>
    <row r="52">
      <c r="A52" s="155" t="inlineStr">
        <is>
          <t>（五）无形资产摊销费</t>
        </is>
      </c>
      <c r="B52" s="156" t="n">
        <v>1611789.9</v>
      </c>
      <c r="C52" s="156" t="n">
        <v>8158887.34</v>
      </c>
      <c r="D52" s="161" t="n">
        <v>1533778.47</v>
      </c>
      <c r="E52" s="161" t="n">
        <v>7768830.19</v>
      </c>
      <c r="F52" s="161" t="n">
        <v>78011.42999999999</v>
      </c>
      <c r="G52" s="161" t="n">
        <v>390057.15</v>
      </c>
    </row>
    <row r="53">
      <c r="A53" s="155" t="inlineStr">
        <is>
          <t>（六）提取医疗风险基金</t>
        </is>
      </c>
      <c r="B53" s="156" t="n">
        <v>954286.36</v>
      </c>
      <c r="C53" s="156" t="n">
        <v>4600481.79</v>
      </c>
      <c r="D53" s="161" t="n">
        <v>954286.36</v>
      </c>
      <c r="E53" s="161" t="n">
        <v>4600481.79</v>
      </c>
      <c r="F53" s="160" t="inlineStr"/>
      <c r="G53" s="160" t="inlineStr"/>
    </row>
    <row r="54">
      <c r="A54" s="155" t="inlineStr">
        <is>
          <t>（七）商品和服务费用</t>
        </is>
      </c>
      <c r="B54" s="156" t="n">
        <v>44922702.21</v>
      </c>
      <c r="C54" s="156" t="n">
        <v>259158316.7</v>
      </c>
      <c r="D54" s="161" t="n">
        <v>31974953.29</v>
      </c>
      <c r="E54" s="161" t="n">
        <v>175070471.14</v>
      </c>
      <c r="F54" s="161" t="n">
        <v>12947748.92</v>
      </c>
      <c r="G54" s="161" t="n">
        <v>84087845.56</v>
      </c>
    </row>
    <row r="55">
      <c r="A55" s="157" t="inlineStr">
        <is>
          <t xml:space="preserve">     办公费</t>
        </is>
      </c>
      <c r="B55" s="156" t="n">
        <v>0</v>
      </c>
      <c r="C55" s="156" t="n">
        <v>0</v>
      </c>
      <c r="D55" s="161" t="n">
        <v>0</v>
      </c>
      <c r="E55" s="161" t="n">
        <v>0</v>
      </c>
      <c r="F55" s="161" t="n">
        <v>0</v>
      </c>
      <c r="G55" s="161" t="n">
        <v>0</v>
      </c>
    </row>
    <row r="56">
      <c r="A56" s="157" t="inlineStr">
        <is>
          <t xml:space="preserve">     印刷费</t>
        </is>
      </c>
      <c r="B56" s="156" t="n">
        <v>255658.55</v>
      </c>
      <c r="C56" s="156" t="n">
        <v>1518763.72</v>
      </c>
      <c r="D56" s="161" t="n">
        <v>241550.23</v>
      </c>
      <c r="E56" s="161" t="n">
        <v>1494017.07</v>
      </c>
      <c r="F56" s="161" t="n">
        <v>14108.32</v>
      </c>
      <c r="G56" s="161" t="n">
        <v>24746.65</v>
      </c>
    </row>
    <row r="57">
      <c r="A57" s="157" t="inlineStr">
        <is>
          <t xml:space="preserve">     咨询费</t>
        </is>
      </c>
      <c r="B57" s="156" t="n">
        <v>0</v>
      </c>
      <c r="C57" s="156" t="n">
        <v>0</v>
      </c>
      <c r="D57" s="161" t="n">
        <v>0</v>
      </c>
      <c r="E57" s="161" t="n">
        <v>0</v>
      </c>
      <c r="F57" s="161" t="n">
        <v>0</v>
      </c>
      <c r="G57" s="161" t="n">
        <v>0</v>
      </c>
    </row>
    <row r="58">
      <c r="A58" s="157" t="inlineStr">
        <is>
          <t xml:space="preserve">     手续费</t>
        </is>
      </c>
      <c r="B58" s="156" t="n">
        <v>0</v>
      </c>
      <c r="C58" s="156" t="n">
        <v>0</v>
      </c>
      <c r="D58" s="161" t="n">
        <v>0</v>
      </c>
      <c r="E58" s="161" t="n">
        <v>0</v>
      </c>
      <c r="F58" s="161" t="n">
        <v>0</v>
      </c>
      <c r="G58" s="161" t="n">
        <v>0</v>
      </c>
    </row>
    <row r="59">
      <c r="A59" s="157" t="inlineStr">
        <is>
          <t xml:space="preserve">     水费</t>
        </is>
      </c>
      <c r="B59" s="156" t="n">
        <v>709010.12</v>
      </c>
      <c r="C59" s="156" t="n">
        <v>3379757.42</v>
      </c>
      <c r="D59" s="161" t="n">
        <v>679969.04</v>
      </c>
      <c r="E59" s="161" t="n">
        <v>2629083.9</v>
      </c>
      <c r="F59" s="161" t="n">
        <v>29041.08</v>
      </c>
      <c r="G59" s="161" t="n">
        <v>750673.52</v>
      </c>
    </row>
    <row r="60">
      <c r="A60" s="157" t="inlineStr">
        <is>
          <t xml:space="preserve">     电费</t>
        </is>
      </c>
      <c r="B60" s="156" t="n">
        <v>4810067.45</v>
      </c>
      <c r="C60" s="156" t="n">
        <v>19967910.13</v>
      </c>
      <c r="D60" s="161" t="n">
        <v>4620784.08</v>
      </c>
      <c r="E60" s="161" t="n">
        <v>19064427.63</v>
      </c>
      <c r="F60" s="161" t="n">
        <v>189283.37</v>
      </c>
      <c r="G60" s="161" t="n">
        <v>903482.5</v>
      </c>
    </row>
    <row r="61">
      <c r="A61" s="157" t="inlineStr">
        <is>
          <t xml:space="preserve">     邮电费</t>
        </is>
      </c>
      <c r="B61" s="156" t="n">
        <v>368587.8</v>
      </c>
      <c r="C61" s="156" t="n">
        <v>1819454.65</v>
      </c>
      <c r="D61" s="161" t="n">
        <v>344595.96</v>
      </c>
      <c r="E61" s="161" t="n">
        <v>1355593</v>
      </c>
      <c r="F61" s="161" t="n">
        <v>23991.84</v>
      </c>
      <c r="G61" s="161" t="n">
        <v>463861.65</v>
      </c>
    </row>
    <row r="62">
      <c r="A62" s="157" t="inlineStr">
        <is>
          <t xml:space="preserve">     取暖费</t>
        </is>
      </c>
      <c r="B62" s="156" t="n">
        <v>0</v>
      </c>
      <c r="C62" s="156" t="n">
        <v>0</v>
      </c>
      <c r="D62" s="161" t="n">
        <v>0</v>
      </c>
      <c r="E62" s="161" t="n">
        <v>0</v>
      </c>
      <c r="F62" s="161" t="n">
        <v>0</v>
      </c>
      <c r="G62" s="161" t="n">
        <v>0</v>
      </c>
    </row>
    <row r="63">
      <c r="A63" s="157" t="inlineStr">
        <is>
          <t xml:space="preserve">     物业管理费</t>
        </is>
      </c>
      <c r="B63" s="156" t="n">
        <v>11820983.67</v>
      </c>
      <c r="C63" s="156" t="n">
        <v>53583209.24</v>
      </c>
      <c r="D63" s="161" t="n">
        <v>11353818.23</v>
      </c>
      <c r="E63" s="161" t="n">
        <v>50375309.68</v>
      </c>
      <c r="F63" s="161" t="n">
        <v>467165.44</v>
      </c>
      <c r="G63" s="161" t="n">
        <v>3207899.56</v>
      </c>
    </row>
    <row r="64">
      <c r="A64" s="157" t="inlineStr">
        <is>
          <t xml:space="preserve">     差旅费</t>
        </is>
      </c>
      <c r="B64" s="156" t="n">
        <v>198815.33</v>
      </c>
      <c r="C64" s="156" t="n">
        <v>782642.36</v>
      </c>
      <c r="D64" s="161" t="n">
        <v>93297.14</v>
      </c>
      <c r="E64" s="161" t="n">
        <v>484703.28</v>
      </c>
      <c r="F64" s="161" t="n">
        <v>105518.19</v>
      </c>
      <c r="G64" s="161" t="n">
        <v>297939.08</v>
      </c>
    </row>
    <row r="65">
      <c r="A65" s="157" t="inlineStr">
        <is>
          <t xml:space="preserve">     因公出国（境）费</t>
        </is>
      </c>
      <c r="B65" s="156" t="n">
        <v>174233.38</v>
      </c>
      <c r="C65" s="156" t="n">
        <v>548821.98</v>
      </c>
      <c r="D65" s="161" t="n">
        <v>147544.76</v>
      </c>
      <c r="E65" s="161" t="n">
        <v>452889.82</v>
      </c>
      <c r="F65" s="161" t="n">
        <v>26688.62</v>
      </c>
      <c r="G65" s="161" t="n">
        <v>95932.16</v>
      </c>
    </row>
    <row r="66">
      <c r="A66" s="157" t="inlineStr">
        <is>
          <t xml:space="preserve">     维修(护）费</t>
        </is>
      </c>
      <c r="B66" s="156" t="n">
        <v>6834559.17</v>
      </c>
      <c r="C66" s="156" t="n">
        <v>49596102.84</v>
      </c>
      <c r="D66" s="161" t="n">
        <v>831967.62</v>
      </c>
      <c r="E66" s="161" t="n">
        <v>19498263.82</v>
      </c>
      <c r="F66" s="161" t="n">
        <v>6002591.55</v>
      </c>
      <c r="G66" s="161" t="n">
        <v>30097839.02</v>
      </c>
    </row>
    <row r="67">
      <c r="A67" s="157" t="inlineStr">
        <is>
          <t xml:space="preserve">     租赁费</t>
        </is>
      </c>
      <c r="B67" s="156" t="n">
        <v>3333933.04</v>
      </c>
      <c r="C67" s="156" t="n">
        <v>18024675.2</v>
      </c>
      <c r="D67" s="161" t="n">
        <v>0</v>
      </c>
      <c r="E67" s="161" t="n">
        <v>-203820</v>
      </c>
      <c r="F67" s="161" t="n">
        <v>3333933.04</v>
      </c>
      <c r="G67" s="161" t="n">
        <v>18228495.2</v>
      </c>
    </row>
    <row r="68">
      <c r="A68" s="157" t="inlineStr">
        <is>
          <t xml:space="preserve">     会议费</t>
        </is>
      </c>
      <c r="B68" s="156" t="n">
        <v>1282.1</v>
      </c>
      <c r="C68" s="156" t="n">
        <v>43025.07</v>
      </c>
      <c r="D68" s="161" t="n">
        <v>1282.1</v>
      </c>
      <c r="E68" s="161" t="n">
        <v>26484.19</v>
      </c>
      <c r="F68" s="161" t="n">
        <v>0</v>
      </c>
      <c r="G68" s="161" t="n">
        <v>16540.88</v>
      </c>
    </row>
    <row r="69">
      <c r="A69" s="157" t="inlineStr">
        <is>
          <t xml:space="preserve">     培训费</t>
        </is>
      </c>
      <c r="B69" s="156" t="n">
        <v>32850</v>
      </c>
      <c r="C69" s="156" t="n">
        <v>181417</v>
      </c>
      <c r="D69" s="161" t="n">
        <v>26850</v>
      </c>
      <c r="E69" s="161" t="n">
        <v>156537</v>
      </c>
      <c r="F69" s="161" t="n">
        <v>6000</v>
      </c>
      <c r="G69" s="161" t="n">
        <v>24880</v>
      </c>
    </row>
    <row r="70">
      <c r="A70" s="157" t="inlineStr">
        <is>
          <t xml:space="preserve">     公务接待费</t>
        </is>
      </c>
      <c r="B70" s="156" t="n">
        <v>4340</v>
      </c>
      <c r="C70" s="156" t="n">
        <v>10905</v>
      </c>
      <c r="D70" s="161" t="n">
        <v>0</v>
      </c>
      <c r="E70" s="161" t="n">
        <v>500</v>
      </c>
      <c r="F70" s="161" t="n">
        <v>4340</v>
      </c>
      <c r="G70" s="161" t="n">
        <v>10405</v>
      </c>
    </row>
    <row r="71">
      <c r="A71" s="157" t="inlineStr">
        <is>
          <t xml:space="preserve">     专用材料费</t>
        </is>
      </c>
      <c r="B71" s="156" t="n">
        <v>733524.85</v>
      </c>
      <c r="C71" s="156" t="n">
        <v>4740556.93</v>
      </c>
      <c r="D71" s="161" t="n">
        <v>655819.28</v>
      </c>
      <c r="E71" s="161" t="n">
        <v>4078778.91</v>
      </c>
      <c r="F71" s="161" t="n">
        <v>77705.57000000001</v>
      </c>
      <c r="G71" s="161" t="n">
        <v>661778.02</v>
      </c>
    </row>
    <row r="72">
      <c r="A72" s="157" t="inlineStr">
        <is>
          <t xml:space="preserve">     燃气费</t>
        </is>
      </c>
      <c r="B72" s="156" t="n">
        <v>567468.3199999999</v>
      </c>
      <c r="C72" s="156" t="n">
        <v>8653553.48</v>
      </c>
      <c r="D72" s="161" t="n">
        <v>541377.95</v>
      </c>
      <c r="E72" s="161" t="n">
        <v>7106437.06</v>
      </c>
      <c r="F72" s="161" t="n">
        <v>26090.37</v>
      </c>
      <c r="G72" s="161" t="n">
        <v>1547116.42</v>
      </c>
    </row>
    <row r="73">
      <c r="A73" s="157" t="inlineStr">
        <is>
          <t xml:space="preserve">     劳务费</t>
        </is>
      </c>
      <c r="B73" s="156" t="n">
        <v>3444775.68</v>
      </c>
      <c r="C73" s="156" t="n">
        <v>23045836.9</v>
      </c>
      <c r="D73" s="161" t="n">
        <v>2716741.78</v>
      </c>
      <c r="E73" s="161" t="n">
        <v>13612003.92</v>
      </c>
      <c r="F73" s="161" t="n">
        <v>728033.9</v>
      </c>
      <c r="G73" s="161" t="n">
        <v>9433832.98</v>
      </c>
    </row>
    <row r="74">
      <c r="A74" s="157" t="inlineStr">
        <is>
          <t xml:space="preserve">     委托业务费</t>
        </is>
      </c>
      <c r="B74" s="156" t="n">
        <v>2397001.1</v>
      </c>
      <c r="C74" s="156" t="n">
        <v>21036153.18</v>
      </c>
      <c r="D74" s="161" t="n">
        <v>2281039.72</v>
      </c>
      <c r="E74" s="161" t="n">
        <v>20367265.34</v>
      </c>
      <c r="F74" s="161" t="n">
        <v>115961.38</v>
      </c>
      <c r="G74" s="161" t="n">
        <v>668887.84</v>
      </c>
    </row>
    <row r="75">
      <c r="A75" s="157" t="inlineStr">
        <is>
          <t xml:space="preserve">     工会经费</t>
        </is>
      </c>
      <c r="B75" s="156" t="n">
        <v>1288500</v>
      </c>
      <c r="C75" s="156" t="n">
        <v>6445500</v>
      </c>
      <c r="D75" s="161" t="n">
        <v>0</v>
      </c>
      <c r="E75" s="161" t="n">
        <v>0</v>
      </c>
      <c r="F75" s="161" t="n">
        <v>1288500</v>
      </c>
      <c r="G75" s="161" t="n">
        <v>6445500</v>
      </c>
    </row>
    <row r="76">
      <c r="A76" s="157" t="inlineStr">
        <is>
          <t xml:space="preserve">     福利费</t>
        </is>
      </c>
      <c r="B76" s="156" t="n">
        <v>0</v>
      </c>
      <c r="C76" s="156" t="n">
        <v>0</v>
      </c>
      <c r="D76" s="161" t="n">
        <v>0</v>
      </c>
      <c r="E76" s="161" t="n">
        <v>0</v>
      </c>
      <c r="F76" s="161" t="n">
        <v>0</v>
      </c>
      <c r="G76" s="161" t="n">
        <v>0</v>
      </c>
    </row>
    <row r="77">
      <c r="A77" s="157" t="inlineStr">
        <is>
          <t xml:space="preserve">     其他交通费</t>
        </is>
      </c>
      <c r="B77" s="156" t="n">
        <v>1165.21</v>
      </c>
      <c r="C77" s="156" t="n">
        <v>9252.76</v>
      </c>
      <c r="D77" s="161" t="n">
        <v>0</v>
      </c>
      <c r="E77" s="161" t="n">
        <v>0</v>
      </c>
      <c r="F77" s="161" t="n">
        <v>1165.21</v>
      </c>
      <c r="G77" s="161" t="n">
        <v>9252.76</v>
      </c>
    </row>
    <row r="78">
      <c r="A78" s="157" t="inlineStr">
        <is>
          <t xml:space="preserve">     税金及附加</t>
        </is>
      </c>
      <c r="B78" s="156" t="n">
        <v>0</v>
      </c>
      <c r="C78" s="156" t="n">
        <v>148769.55</v>
      </c>
      <c r="D78" s="161" t="n">
        <v>0</v>
      </c>
      <c r="E78" s="161" t="n">
        <v>0</v>
      </c>
      <c r="F78" s="161" t="n">
        <v>0</v>
      </c>
      <c r="G78" s="161" t="n">
        <v>148769.55</v>
      </c>
    </row>
    <row r="79">
      <c r="A79" s="157" t="inlineStr">
        <is>
          <t xml:space="preserve">     其他商品和服务支出</t>
        </is>
      </c>
      <c r="B79" s="156" t="n">
        <v>7945946.44</v>
      </c>
      <c r="C79" s="156" t="n">
        <v>45622009.29</v>
      </c>
      <c r="D79" s="161" t="n">
        <v>7438315.4</v>
      </c>
      <c r="E79" s="161" t="n">
        <v>34571996.52</v>
      </c>
      <c r="F79" s="161" t="n">
        <v>507631.04</v>
      </c>
      <c r="G79" s="161" t="n">
        <v>11050012.77</v>
      </c>
    </row>
    <row r="80" ht="14.25" customHeight="1" s="247">
      <c r="A80" s="220" t="inlineStr">
        <is>
          <t>单位负责人：                   总会计师：                   财务负责人：                   审核：                   制表人：</t>
        </is>
      </c>
      <c r="B80" s="291" t="n"/>
      <c r="C80" s="291" t="n"/>
      <c r="D80" s="291" t="n"/>
      <c r="E80" s="291" t="n"/>
      <c r="F80" s="291" t="n"/>
      <c r="G80" s="291" t="n"/>
    </row>
    <row r="81" ht="14.25" customHeight="1" s="247">
      <c r="A81" s="225" t="inlineStr">
        <is>
          <t>注：本表“医疗成本”及所属明细项目，根据“业务活动费用”“单位管理费用”科目及所属明细科目、经费性质为财政基本拨款经费、其他经费的本期发生额填列。</t>
        </is>
      </c>
    </row>
  </sheetData>
  <mergeCells count="11">
    <mergeCell ref="F3:G3"/>
    <mergeCell ref="F4:G4"/>
    <mergeCell ref="F2:G2"/>
    <mergeCell ref="A1:G1"/>
    <mergeCell ref="A80:G80"/>
    <mergeCell ref="A4:A5"/>
    <mergeCell ref="C3:E3"/>
    <mergeCell ref="D4:E4"/>
    <mergeCell ref="A81:G81"/>
    <mergeCell ref="A3:B3"/>
    <mergeCell ref="B4:C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:G81"/>
    </sheetView>
  </sheetViews>
  <sheetFormatPr baseColWidth="8" defaultRowHeight="14"/>
  <cols>
    <col width="22" customWidth="1" style="247" min="1" max="1"/>
    <col width="14.08203125" bestFit="1" customWidth="1" style="247" min="2" max="5"/>
    <col width="12.25" bestFit="1" customWidth="1" style="247" min="6" max="6"/>
    <col width="13.08203125" bestFit="1" customWidth="1" style="247" min="7" max="7"/>
  </cols>
  <sheetData>
    <row r="1" ht="22.5" customHeight="1" s="247">
      <c r="A1" s="219" t="inlineStr">
        <is>
          <t>医疗成本费用明细表</t>
        </is>
      </c>
    </row>
    <row r="2">
      <c r="A2" s="180" t="inlineStr"/>
      <c r="B2" s="180" t="inlineStr"/>
      <c r="C2" s="180" t="inlineStr"/>
      <c r="D2" s="180" t="inlineStr"/>
      <c r="E2" s="180" t="inlineStr"/>
      <c r="F2" s="227" t="inlineStr">
        <is>
          <t>附表-03</t>
        </is>
      </c>
    </row>
    <row r="3" ht="14.25" customHeight="1" s="247">
      <c r="A3" s="228" t="inlineStr">
        <is>
          <t>编制单位：上海交通大学医学院附属新华医院（奉贤）</t>
        </is>
      </c>
      <c r="B3" s="297" t="n"/>
      <c r="C3" s="228" t="inlineStr">
        <is>
          <t>2026年05月</t>
        </is>
      </c>
      <c r="D3" s="297" t="n"/>
      <c r="E3" s="297" t="n"/>
      <c r="F3" s="230" t="inlineStr">
        <is>
          <t>单位：元</t>
        </is>
      </c>
      <c r="G3" s="297" t="n"/>
    </row>
    <row r="4">
      <c r="A4" s="239" t="inlineStr">
        <is>
          <t>项    目</t>
        </is>
      </c>
      <c r="B4" s="240" t="inlineStr">
        <is>
          <t>合  计</t>
        </is>
      </c>
      <c r="C4" s="290" t="n"/>
      <c r="D4" s="240" t="inlineStr">
        <is>
          <t>业务活动费用</t>
        </is>
      </c>
      <c r="E4" s="290" t="n"/>
      <c r="F4" s="240" t="inlineStr">
        <is>
          <t>单位管理费用</t>
        </is>
      </c>
      <c r="G4" s="290" t="n"/>
    </row>
    <row r="5">
      <c r="A5" s="302" t="n"/>
      <c r="B5" s="240" t="inlineStr">
        <is>
          <t>本月数</t>
        </is>
      </c>
      <c r="C5" s="240" t="inlineStr">
        <is>
          <t>累计数</t>
        </is>
      </c>
      <c r="D5" s="240" t="inlineStr">
        <is>
          <t>本月数</t>
        </is>
      </c>
      <c r="E5" s="240" t="inlineStr">
        <is>
          <t>累计数</t>
        </is>
      </c>
      <c r="F5" s="240" t="inlineStr">
        <is>
          <t>本月数</t>
        </is>
      </c>
      <c r="G5" s="240" t="inlineStr">
        <is>
          <t>累计数</t>
        </is>
      </c>
    </row>
    <row r="6">
      <c r="A6" s="240" t="inlineStr">
        <is>
          <t>医疗成本合计</t>
        </is>
      </c>
      <c r="B6" s="156" t="n">
        <v>157073488.29</v>
      </c>
      <c r="C6" s="156" t="n">
        <v>807131666.3200001</v>
      </c>
      <c r="D6" s="156" t="n">
        <v>151242370.42</v>
      </c>
      <c r="E6" s="156" t="n">
        <v>772482384.39</v>
      </c>
      <c r="F6" s="156" t="n">
        <v>5831117.87</v>
      </c>
      <c r="G6" s="156" t="n">
        <v>34649281.93</v>
      </c>
    </row>
    <row r="7">
      <c r="A7" s="155" t="inlineStr">
        <is>
          <t>（一）人员经费</t>
        </is>
      </c>
      <c r="B7" s="156" t="n">
        <v>57635415.17</v>
      </c>
      <c r="C7" s="156" t="n">
        <v>330330024.92</v>
      </c>
      <c r="D7" s="156" t="n">
        <v>56085527.25</v>
      </c>
      <c r="E7" s="156" t="n">
        <v>320718193.63</v>
      </c>
      <c r="F7" s="156" t="n">
        <v>1549887.92</v>
      </c>
      <c r="G7" s="156" t="n">
        <v>9611831.289999999</v>
      </c>
    </row>
    <row r="8">
      <c r="A8" s="155" t="inlineStr">
        <is>
          <t xml:space="preserve">  工资福利费用</t>
        </is>
      </c>
      <c r="B8" s="156" t="n">
        <v>57607582.71</v>
      </c>
      <c r="C8" s="156" t="n">
        <v>330281074.89</v>
      </c>
      <c r="D8" s="156" t="n">
        <v>56058123.88</v>
      </c>
      <c r="E8" s="156" t="n">
        <v>320670393.19</v>
      </c>
      <c r="F8" s="156" t="n">
        <v>1549458.83</v>
      </c>
      <c r="G8" s="156" t="n">
        <v>9610681.699999999</v>
      </c>
    </row>
    <row r="9">
      <c r="A9" s="157" t="inlineStr">
        <is>
          <t xml:space="preserve">     基本工资</t>
        </is>
      </c>
      <c r="B9" s="156" t="n">
        <v>4433945</v>
      </c>
      <c r="C9" s="156" t="n">
        <v>20351389</v>
      </c>
      <c r="D9" s="156" t="n">
        <v>4278422</v>
      </c>
      <c r="E9" s="156" t="n">
        <v>19625177</v>
      </c>
      <c r="F9" s="156" t="n">
        <v>155523</v>
      </c>
      <c r="G9" s="156" t="n">
        <v>726212</v>
      </c>
    </row>
    <row r="10">
      <c r="A10" s="157" t="inlineStr">
        <is>
          <t xml:space="preserve">     津贴补贴</t>
        </is>
      </c>
      <c r="B10" s="156" t="n">
        <v>976854</v>
      </c>
      <c r="C10" s="156" t="n">
        <v>4460810</v>
      </c>
      <c r="D10" s="156" t="n">
        <v>946384</v>
      </c>
      <c r="E10" s="156" t="n">
        <v>4336750</v>
      </c>
      <c r="F10" s="156" t="n">
        <v>30470</v>
      </c>
      <c r="G10" s="156" t="n">
        <v>124060</v>
      </c>
    </row>
    <row r="11">
      <c r="A11" s="157" t="inlineStr">
        <is>
          <t xml:space="preserve">     奖金</t>
        </is>
      </c>
      <c r="B11" s="156" t="n">
        <v>0</v>
      </c>
      <c r="C11" s="156" t="n">
        <v>0</v>
      </c>
      <c r="D11" s="156" t="n">
        <v>0</v>
      </c>
      <c r="E11" s="156" t="n">
        <v>0</v>
      </c>
      <c r="F11" s="156" t="n">
        <v>0</v>
      </c>
      <c r="G11" s="156" t="n">
        <v>0</v>
      </c>
    </row>
    <row r="12">
      <c r="A12" s="157" t="inlineStr">
        <is>
          <t xml:space="preserve">     伙食补助费</t>
        </is>
      </c>
      <c r="B12" s="156" t="n">
        <v>0</v>
      </c>
      <c r="C12" s="156" t="n">
        <v>752004.6</v>
      </c>
      <c r="D12" s="156" t="n">
        <v>0</v>
      </c>
      <c r="E12" s="156" t="n">
        <v>752004.6</v>
      </c>
      <c r="F12" s="156" t="n">
        <v>0</v>
      </c>
      <c r="G12" s="156" t="n">
        <v>0</v>
      </c>
    </row>
    <row r="13">
      <c r="A13" s="157" t="inlineStr">
        <is>
          <t xml:space="preserve">     绩效工资</t>
        </is>
      </c>
      <c r="B13" s="156" t="n">
        <v>45903085.02</v>
      </c>
      <c r="C13" s="156" t="n">
        <v>273466807.7</v>
      </c>
      <c r="D13" s="156" t="n">
        <v>44714304.15</v>
      </c>
      <c r="E13" s="156" t="n">
        <v>266439009.42</v>
      </c>
      <c r="F13" s="156" t="n">
        <v>1188780.87</v>
      </c>
      <c r="G13" s="156" t="n">
        <v>7027798.28</v>
      </c>
    </row>
    <row r="14">
      <c r="A14" s="157" t="inlineStr">
        <is>
          <t xml:space="preserve">     基本养老保险缴费</t>
        </is>
      </c>
      <c r="B14" s="156" t="n">
        <v>2522307.51</v>
      </c>
      <c r="C14" s="156" t="n">
        <v>12317668.12</v>
      </c>
      <c r="D14" s="156" t="n">
        <v>2449160.59</v>
      </c>
      <c r="E14" s="156" t="n">
        <v>11618237.23</v>
      </c>
      <c r="F14" s="156" t="n">
        <v>73146.92</v>
      </c>
      <c r="G14" s="156" t="n">
        <v>699430.89</v>
      </c>
    </row>
    <row r="15">
      <c r="A15" s="157" t="inlineStr">
        <is>
          <t xml:space="preserve">     职业年金缴费</t>
        </is>
      </c>
      <c r="B15" s="156" t="n">
        <v>1190205.96</v>
      </c>
      <c r="C15" s="156" t="n">
        <v>5828302.32</v>
      </c>
      <c r="D15" s="156" t="n">
        <v>1155689.99</v>
      </c>
      <c r="E15" s="156" t="n">
        <v>5488221.58</v>
      </c>
      <c r="F15" s="156" t="n">
        <v>34515.97</v>
      </c>
      <c r="G15" s="156" t="n">
        <v>340080.74</v>
      </c>
    </row>
    <row r="16">
      <c r="A16" s="157" t="inlineStr">
        <is>
          <t xml:space="preserve">     基本医疗保险缴费</t>
        </is>
      </c>
      <c r="B16" s="156" t="n">
        <v>1182782.45</v>
      </c>
      <c r="C16" s="156" t="n">
        <v>5783332.8</v>
      </c>
      <c r="D16" s="156" t="n">
        <v>1148481.77</v>
      </c>
      <c r="E16" s="156" t="n">
        <v>5444563.66</v>
      </c>
      <c r="F16" s="156" t="n">
        <v>34300.68</v>
      </c>
      <c r="G16" s="156" t="n">
        <v>338769.14</v>
      </c>
    </row>
    <row r="17">
      <c r="A17" s="157" t="inlineStr">
        <is>
          <t xml:space="preserve">     其他社会保障缴费</t>
        </is>
      </c>
      <c r="B17" s="156" t="n">
        <v>92658.96000000001</v>
      </c>
      <c r="C17" s="156" t="n">
        <v>457189</v>
      </c>
      <c r="D17" s="156" t="n">
        <v>89971.84</v>
      </c>
      <c r="E17" s="156" t="n">
        <v>427779.06</v>
      </c>
      <c r="F17" s="156" t="n">
        <v>2687.12</v>
      </c>
      <c r="G17" s="156" t="n">
        <v>29409.94</v>
      </c>
    </row>
    <row r="18">
      <c r="A18" s="157" t="inlineStr">
        <is>
          <t xml:space="preserve">     住房公积金</t>
        </is>
      </c>
      <c r="B18" s="156" t="n">
        <v>1032216.36</v>
      </c>
      <c r="C18" s="156" t="n">
        <v>5987999.99</v>
      </c>
      <c r="D18" s="156" t="n">
        <v>1002282.09</v>
      </c>
      <c r="E18" s="156" t="n">
        <v>5664616.78</v>
      </c>
      <c r="F18" s="156" t="n">
        <v>29934.27</v>
      </c>
      <c r="G18" s="156" t="n">
        <v>323383.21</v>
      </c>
    </row>
    <row r="19">
      <c r="A19" s="157" t="inlineStr">
        <is>
          <t xml:space="preserve">     医疗费</t>
        </is>
      </c>
      <c r="B19" s="156" t="n">
        <v>0</v>
      </c>
      <c r="C19" s="156" t="n">
        <v>0</v>
      </c>
      <c r="D19" s="156" t="n">
        <v>0</v>
      </c>
      <c r="E19" s="156" t="n">
        <v>0</v>
      </c>
      <c r="F19" s="156" t="n">
        <v>0</v>
      </c>
      <c r="G19" s="156" t="n">
        <v>0</v>
      </c>
    </row>
    <row r="20">
      <c r="A20" s="157" t="inlineStr">
        <is>
          <t xml:space="preserve">     其他工资福利支出</t>
        </is>
      </c>
      <c r="B20" s="156" t="n">
        <v>273527.45</v>
      </c>
      <c r="C20" s="156" t="n">
        <v>875571.36</v>
      </c>
      <c r="D20" s="156" t="n">
        <v>273427.45</v>
      </c>
      <c r="E20" s="156" t="n">
        <v>874033.86</v>
      </c>
      <c r="F20" s="156" t="n">
        <v>100</v>
      </c>
      <c r="G20" s="156" t="n">
        <v>1537.5</v>
      </c>
    </row>
    <row r="21">
      <c r="A21" s="155" t="inlineStr">
        <is>
          <t xml:space="preserve">  对个人和家庭的补助费用</t>
        </is>
      </c>
      <c r="B21" s="156" t="n">
        <v>27832.46</v>
      </c>
      <c r="C21" s="156" t="n">
        <v>48950.03</v>
      </c>
      <c r="D21" s="156" t="n">
        <v>27403.37</v>
      </c>
      <c r="E21" s="156" t="n">
        <v>47800.44</v>
      </c>
      <c r="F21" s="156" t="n">
        <v>429.09</v>
      </c>
      <c r="G21" s="156" t="n">
        <v>1149.59</v>
      </c>
    </row>
    <row r="22">
      <c r="A22" s="157" t="inlineStr">
        <is>
          <t xml:space="preserve">     离休费</t>
        </is>
      </c>
      <c r="B22" s="156" t="n">
        <v>0</v>
      </c>
      <c r="C22" s="156" t="n">
        <v>0</v>
      </c>
      <c r="D22" s="156" t="n">
        <v>0</v>
      </c>
      <c r="E22" s="156" t="n">
        <v>0</v>
      </c>
      <c r="F22" s="156" t="n">
        <v>0</v>
      </c>
      <c r="G22" s="156" t="n">
        <v>0</v>
      </c>
    </row>
    <row r="23">
      <c r="A23" s="157" t="inlineStr">
        <is>
          <t xml:space="preserve">     退休费</t>
        </is>
      </c>
      <c r="B23" s="156" t="n">
        <v>0</v>
      </c>
      <c r="C23" s="156" t="n">
        <v>0</v>
      </c>
      <c r="D23" s="156" t="n">
        <v>0</v>
      </c>
      <c r="E23" s="156" t="n">
        <v>0</v>
      </c>
      <c r="F23" s="156" t="n">
        <v>0</v>
      </c>
      <c r="G23" s="156" t="n">
        <v>0</v>
      </c>
    </row>
    <row r="24">
      <c r="A24" s="157" t="inlineStr">
        <is>
          <t xml:space="preserve">     退职费</t>
        </is>
      </c>
      <c r="B24" s="156" t="n">
        <v>0</v>
      </c>
      <c r="C24" s="156" t="n">
        <v>0</v>
      </c>
      <c r="D24" s="156" t="n">
        <v>0</v>
      </c>
      <c r="E24" s="156" t="n">
        <v>0</v>
      </c>
      <c r="F24" s="156" t="n">
        <v>0</v>
      </c>
      <c r="G24" s="156" t="n">
        <v>0</v>
      </c>
    </row>
    <row r="25">
      <c r="A25" s="157" t="inlineStr">
        <is>
          <t xml:space="preserve">     抚恤金</t>
        </is>
      </c>
      <c r="B25" s="156" t="n">
        <v>0</v>
      </c>
      <c r="C25" s="156" t="n">
        <v>0</v>
      </c>
      <c r="D25" s="156" t="n">
        <v>0</v>
      </c>
      <c r="E25" s="156" t="n">
        <v>0</v>
      </c>
      <c r="F25" s="156" t="n">
        <v>0</v>
      </c>
      <c r="G25" s="156" t="n">
        <v>0</v>
      </c>
    </row>
    <row r="26">
      <c r="A26" s="157" t="inlineStr">
        <is>
          <t xml:space="preserve">     生活补助</t>
        </is>
      </c>
      <c r="B26" s="156" t="n">
        <v>0</v>
      </c>
      <c r="C26" s="156" t="n">
        <v>0</v>
      </c>
      <c r="D26" s="156" t="n">
        <v>0</v>
      </c>
      <c r="E26" s="156" t="n">
        <v>0</v>
      </c>
      <c r="F26" s="156" t="n">
        <v>0</v>
      </c>
      <c r="G26" s="156" t="n">
        <v>0</v>
      </c>
    </row>
    <row r="27">
      <c r="A27" s="157" t="inlineStr">
        <is>
          <t xml:space="preserve">     救济费</t>
        </is>
      </c>
      <c r="B27" s="156" t="n">
        <v>0</v>
      </c>
      <c r="C27" s="156" t="n">
        <v>0</v>
      </c>
      <c r="D27" s="156" t="n">
        <v>0</v>
      </c>
      <c r="E27" s="156" t="n">
        <v>0</v>
      </c>
      <c r="F27" s="156" t="n">
        <v>0</v>
      </c>
      <c r="G27" s="156" t="n">
        <v>0</v>
      </c>
    </row>
    <row r="28">
      <c r="A28" s="157" t="inlineStr">
        <is>
          <t xml:space="preserve">     医疗补助费</t>
        </is>
      </c>
      <c r="B28" s="156" t="n">
        <v>27832.46</v>
      </c>
      <c r="C28" s="156" t="n">
        <v>48350.03</v>
      </c>
      <c r="D28" s="156" t="n">
        <v>27403.37</v>
      </c>
      <c r="E28" s="156" t="n">
        <v>47200.44</v>
      </c>
      <c r="F28" s="156" t="n">
        <v>429.09</v>
      </c>
      <c r="G28" s="156" t="n">
        <v>1149.59</v>
      </c>
    </row>
    <row r="29">
      <c r="A29" s="157" t="inlineStr">
        <is>
          <t xml:space="preserve">     助学金</t>
        </is>
      </c>
      <c r="B29" s="156" t="n">
        <v>0</v>
      </c>
      <c r="C29" s="156" t="n">
        <v>0</v>
      </c>
      <c r="D29" s="156" t="n">
        <v>0</v>
      </c>
      <c r="E29" s="156" t="n">
        <v>0</v>
      </c>
      <c r="F29" s="156" t="n">
        <v>0</v>
      </c>
      <c r="G29" s="156" t="n">
        <v>0</v>
      </c>
    </row>
    <row r="30">
      <c r="A30" s="157" t="inlineStr">
        <is>
          <t xml:space="preserve">     奖励金</t>
        </is>
      </c>
      <c r="B30" s="156" t="n">
        <v>0</v>
      </c>
      <c r="C30" s="156" t="n">
        <v>0</v>
      </c>
      <c r="D30" s="156" t="n">
        <v>0</v>
      </c>
      <c r="E30" s="156" t="n">
        <v>0</v>
      </c>
      <c r="F30" s="156" t="n">
        <v>0</v>
      </c>
      <c r="G30" s="156" t="n">
        <v>0</v>
      </c>
    </row>
    <row r="31">
      <c r="A31" s="157" t="inlineStr">
        <is>
          <t xml:space="preserve">     生产补贴</t>
        </is>
      </c>
      <c r="B31" s="156" t="n">
        <v>0</v>
      </c>
      <c r="C31" s="156" t="n">
        <v>0</v>
      </c>
      <c r="D31" s="156" t="n">
        <v>0</v>
      </c>
      <c r="E31" s="156" t="n">
        <v>0</v>
      </c>
      <c r="F31" s="156" t="n">
        <v>0</v>
      </c>
      <c r="G31" s="156" t="n">
        <v>0</v>
      </c>
    </row>
    <row r="32" ht="26" customHeight="1" s="247">
      <c r="A32" s="157" t="inlineStr">
        <is>
          <t xml:space="preserve">     其他对个人和家庭补助支出</t>
        </is>
      </c>
      <c r="B32" s="156" t="n">
        <v>0</v>
      </c>
      <c r="C32" s="156" t="n">
        <v>600</v>
      </c>
      <c r="D32" s="156" t="n">
        <v>0</v>
      </c>
      <c r="E32" s="156" t="n">
        <v>600</v>
      </c>
      <c r="F32" s="156" t="n">
        <v>0</v>
      </c>
      <c r="G32" s="156" t="n">
        <v>0</v>
      </c>
    </row>
    <row r="33">
      <c r="A33" s="155" t="inlineStr">
        <is>
          <t>（二）卫生材料费</t>
        </is>
      </c>
      <c r="B33" s="156" t="n">
        <v>58261688.94</v>
      </c>
      <c r="C33" s="156" t="n">
        <v>276188086.35</v>
      </c>
      <c r="D33" s="156" t="n">
        <v>58213845.5</v>
      </c>
      <c r="E33" s="156" t="n">
        <v>275647959.95</v>
      </c>
      <c r="F33" s="156" t="n">
        <v>47843.44</v>
      </c>
      <c r="G33" s="156" t="n">
        <v>540126.4</v>
      </c>
    </row>
    <row r="34">
      <c r="A34" s="157" t="inlineStr">
        <is>
          <t xml:space="preserve">     血费</t>
        </is>
      </c>
      <c r="B34" s="156" t="n">
        <v>87650</v>
      </c>
      <c r="C34" s="156" t="n">
        <v>142680</v>
      </c>
      <c r="D34" s="156" t="n">
        <v>87650</v>
      </c>
      <c r="E34" s="156" t="n">
        <v>142680</v>
      </c>
      <c r="F34" s="182" t="inlineStr"/>
      <c r="G34" s="182" t="inlineStr"/>
    </row>
    <row r="35">
      <c r="A35" s="157" t="inlineStr">
        <is>
          <t xml:space="preserve">     氧气费</t>
        </is>
      </c>
      <c r="B35" s="156" t="n">
        <v>130435</v>
      </c>
      <c r="C35" s="156" t="n">
        <v>275300.5</v>
      </c>
      <c r="D35" s="156" t="n">
        <v>130435</v>
      </c>
      <c r="E35" s="156" t="n">
        <v>275300.5</v>
      </c>
      <c r="F35" s="182" t="inlineStr"/>
      <c r="G35" s="182" t="inlineStr"/>
    </row>
    <row r="36">
      <c r="A36" s="157" t="inlineStr">
        <is>
          <t xml:space="preserve">     放射材料费</t>
        </is>
      </c>
      <c r="B36" s="156" t="n">
        <v>152575</v>
      </c>
      <c r="C36" s="156" t="n">
        <v>310825</v>
      </c>
      <c r="D36" s="156" t="n">
        <v>152575</v>
      </c>
      <c r="E36" s="156" t="n">
        <v>310825</v>
      </c>
      <c r="F36" s="182" t="inlineStr"/>
      <c r="G36" s="182" t="inlineStr"/>
    </row>
    <row r="37">
      <c r="A37" s="157" t="inlineStr">
        <is>
          <t xml:space="preserve">     化验材料费</t>
        </is>
      </c>
      <c r="B37" s="156" t="n">
        <v>6740846.38</v>
      </c>
      <c r="C37" s="156" t="n">
        <v>27157287.3</v>
      </c>
      <c r="D37" s="156" t="n">
        <v>6740846.38</v>
      </c>
      <c r="E37" s="156" t="n">
        <v>27157287.3</v>
      </c>
      <c r="F37" s="182" t="inlineStr"/>
      <c r="G37" s="182" t="inlineStr"/>
    </row>
    <row r="38">
      <c r="A38" s="157" t="inlineStr">
        <is>
          <t xml:space="preserve">     一次性医疗器械</t>
        </is>
      </c>
      <c r="B38" s="156" t="n">
        <v>49116782.3</v>
      </c>
      <c r="C38" s="156" t="n">
        <v>236345152.6</v>
      </c>
      <c r="D38" s="156" t="n">
        <v>49116782.3</v>
      </c>
      <c r="E38" s="156" t="n">
        <v>236345152.6</v>
      </c>
      <c r="F38" s="182" t="inlineStr"/>
      <c r="G38" s="182" t="inlineStr"/>
    </row>
    <row r="39">
      <c r="A39" s="157" t="inlineStr">
        <is>
          <t xml:space="preserve">          手术器械类</t>
        </is>
      </c>
      <c r="B39" s="156" t="n">
        <v>4744865.92</v>
      </c>
      <c r="C39" s="156" t="n">
        <v>20551807.76</v>
      </c>
      <c r="D39" s="156" t="n">
        <v>4744865.92</v>
      </c>
      <c r="E39" s="156" t="n">
        <v>20551807.76</v>
      </c>
      <c r="F39" s="182" t="inlineStr"/>
      <c r="G39" s="182" t="inlineStr"/>
    </row>
    <row r="40" ht="26" customHeight="1" s="247">
      <c r="A40" s="157" t="inlineStr">
        <is>
          <t xml:space="preserve">          植入材料和人工器官</t>
        </is>
      </c>
      <c r="B40" s="156" t="n">
        <v>14736971.43</v>
      </c>
      <c r="C40" s="156" t="n">
        <v>79011825.84999999</v>
      </c>
      <c r="D40" s="156" t="n">
        <v>14736971.43</v>
      </c>
      <c r="E40" s="156" t="n">
        <v>79011825.84999999</v>
      </c>
      <c r="F40" s="182" t="inlineStr"/>
      <c r="G40" s="182" t="inlineStr"/>
    </row>
    <row r="41">
      <c r="A41" s="157" t="inlineStr">
        <is>
          <t xml:space="preserve">          各类介入器械</t>
        </is>
      </c>
      <c r="B41" s="156" t="n">
        <v>18794637.68</v>
      </c>
      <c r="C41" s="156" t="n">
        <v>84597850.04000001</v>
      </c>
      <c r="D41" s="156" t="n">
        <v>18794637.68</v>
      </c>
      <c r="E41" s="156" t="n">
        <v>84597850.04000001</v>
      </c>
      <c r="F41" s="182" t="inlineStr"/>
      <c r="G41" s="182" t="inlineStr"/>
    </row>
    <row r="42" ht="26" customHeight="1" s="247">
      <c r="A42" s="157" t="inlineStr">
        <is>
          <t xml:space="preserve">          医用材料高分子生物材料</t>
        </is>
      </c>
      <c r="B42" s="156" t="n">
        <v>5285460.83</v>
      </c>
      <c r="C42" s="156" t="n">
        <v>23257499.46</v>
      </c>
      <c r="D42" s="156" t="n">
        <v>5285460.83</v>
      </c>
      <c r="E42" s="156" t="n">
        <v>23257499.46</v>
      </c>
      <c r="F42" s="182" t="inlineStr"/>
      <c r="G42" s="182" t="inlineStr"/>
    </row>
    <row r="43">
      <c r="A43" s="157" t="inlineStr">
        <is>
          <t xml:space="preserve">          口腔材料</t>
        </is>
      </c>
      <c r="B43" s="156" t="n">
        <v>19376</v>
      </c>
      <c r="C43" s="156" t="n">
        <v>125351.3</v>
      </c>
      <c r="D43" s="156" t="n">
        <v>19376</v>
      </c>
      <c r="E43" s="156" t="n">
        <v>125351.3</v>
      </c>
      <c r="F43" s="182" t="inlineStr"/>
      <c r="G43" s="182" t="inlineStr"/>
    </row>
    <row r="44" ht="26" customHeight="1" s="247">
      <c r="A44" s="157" t="inlineStr">
        <is>
          <t xml:space="preserve">          其他一次性医疗器械</t>
        </is>
      </c>
      <c r="B44" s="156" t="n">
        <v>5535470.44</v>
      </c>
      <c r="C44" s="156" t="n">
        <v>28800818.19</v>
      </c>
      <c r="D44" s="156" t="n">
        <v>5535470.44</v>
      </c>
      <c r="E44" s="156" t="n">
        <v>28800818.19</v>
      </c>
      <c r="F44" s="182" t="inlineStr"/>
      <c r="G44" s="182" t="inlineStr"/>
    </row>
    <row r="45" ht="26" customHeight="1" s="247">
      <c r="A45" s="157" t="inlineStr">
        <is>
          <t xml:space="preserve">     不可单独收费医用消耗材料</t>
        </is>
      </c>
      <c r="B45" s="156" t="n">
        <v>1113426.68</v>
      </c>
      <c r="C45" s="156" t="n">
        <v>4657174.92</v>
      </c>
      <c r="D45" s="156" t="n">
        <v>1113426.68</v>
      </c>
      <c r="E45" s="156" t="n">
        <v>4657174.92</v>
      </c>
      <c r="F45" s="182" t="inlineStr"/>
      <c r="G45" s="182" t="inlineStr"/>
    </row>
    <row r="46">
      <c r="A46" s="157" t="inlineStr">
        <is>
          <t xml:space="preserve">     其他卫生材料</t>
        </is>
      </c>
      <c r="B46" s="156" t="n">
        <v>919973.58</v>
      </c>
      <c r="C46" s="156" t="n">
        <v>7299666.03</v>
      </c>
      <c r="D46" s="156" t="n">
        <v>872130.14</v>
      </c>
      <c r="E46" s="156" t="n">
        <v>6759539.63</v>
      </c>
      <c r="F46" s="156" t="n">
        <v>47843.44</v>
      </c>
      <c r="G46" s="156" t="n">
        <v>540126.4</v>
      </c>
    </row>
    <row r="47">
      <c r="A47" s="155" t="inlineStr">
        <is>
          <t>（三）药品费</t>
        </is>
      </c>
      <c r="B47" s="156" t="n">
        <v>26091462.54</v>
      </c>
      <c r="C47" s="156" t="n">
        <v>123943940</v>
      </c>
      <c r="D47" s="156" t="n">
        <v>26091462.54</v>
      </c>
      <c r="E47" s="156" t="n">
        <v>123943940</v>
      </c>
      <c r="F47" s="156" t="n">
        <v>0</v>
      </c>
      <c r="G47" s="156" t="n">
        <v>0</v>
      </c>
    </row>
    <row r="48">
      <c r="A48" s="157" t="inlineStr">
        <is>
          <t xml:space="preserve">     西药费</t>
        </is>
      </c>
      <c r="B48" s="156" t="n">
        <v>25679928.03</v>
      </c>
      <c r="C48" s="156" t="n">
        <v>122378504.28</v>
      </c>
      <c r="D48" s="161" t="n">
        <v>25679928.03</v>
      </c>
      <c r="E48" s="161" t="n">
        <v>122378504.28</v>
      </c>
      <c r="F48" s="161" t="n">
        <v>0</v>
      </c>
      <c r="G48" s="161" t="n">
        <v>0</v>
      </c>
    </row>
    <row r="49">
      <c r="A49" s="157" t="inlineStr">
        <is>
          <t xml:space="preserve">     中成药费</t>
        </is>
      </c>
      <c r="B49" s="156" t="n">
        <v>49354.88</v>
      </c>
      <c r="C49" s="156" t="n">
        <v>121231.29</v>
      </c>
      <c r="D49" s="161" t="n">
        <v>49354.88</v>
      </c>
      <c r="E49" s="161" t="n">
        <v>121231.29</v>
      </c>
      <c r="F49" s="160" t="inlineStr"/>
      <c r="G49" s="160" t="inlineStr"/>
    </row>
    <row r="50">
      <c r="A50" s="157" t="inlineStr">
        <is>
          <t xml:space="preserve">     中药饮片费</t>
        </is>
      </c>
      <c r="B50" s="156" t="n">
        <v>362179.63</v>
      </c>
      <c r="C50" s="156" t="n">
        <v>1444204.43</v>
      </c>
      <c r="D50" s="161" t="n">
        <v>362179.63</v>
      </c>
      <c r="E50" s="161" t="n">
        <v>1444204.43</v>
      </c>
      <c r="F50" s="160" t="inlineStr"/>
      <c r="G50" s="160" t="inlineStr"/>
    </row>
    <row r="51">
      <c r="A51" s="155" t="inlineStr">
        <is>
          <t>（四）固定资产折旧费</t>
        </is>
      </c>
      <c r="B51" s="156" t="n">
        <v>1583779.09</v>
      </c>
      <c r="C51" s="156" t="n">
        <v>5377507.65</v>
      </c>
      <c r="D51" s="161" t="n">
        <v>1546390.46</v>
      </c>
      <c r="E51" s="161" t="n">
        <v>5254802.94</v>
      </c>
      <c r="F51" s="161" t="n">
        <v>37388.63</v>
      </c>
      <c r="G51" s="161" t="n">
        <v>122704.71</v>
      </c>
    </row>
    <row r="52">
      <c r="A52" s="155" t="inlineStr">
        <is>
          <t>（五）无形资产摊销费</t>
        </is>
      </c>
      <c r="B52" s="156" t="n">
        <v>449402.96</v>
      </c>
      <c r="C52" s="156" t="n">
        <v>2264347.92</v>
      </c>
      <c r="D52" s="161" t="n">
        <v>381041.54</v>
      </c>
      <c r="E52" s="161" t="n">
        <v>1922540.82</v>
      </c>
      <c r="F52" s="161" t="n">
        <v>68361.42</v>
      </c>
      <c r="G52" s="161" t="n">
        <v>341807.1</v>
      </c>
    </row>
    <row r="53">
      <c r="A53" s="155" t="inlineStr">
        <is>
          <t>（六）提取医疗风险基金</t>
        </is>
      </c>
      <c r="B53" s="156" t="n">
        <v>213932.67</v>
      </c>
      <c r="C53" s="156" t="n">
        <v>962253.6800000001</v>
      </c>
      <c r="D53" s="161" t="n">
        <v>213932.67</v>
      </c>
      <c r="E53" s="161" t="n">
        <v>962253.6800000001</v>
      </c>
      <c r="F53" s="160" t="inlineStr"/>
      <c r="G53" s="160" t="inlineStr"/>
    </row>
    <row r="54">
      <c r="A54" s="155" t="inlineStr">
        <is>
          <t>（七）商品和服务费用</t>
        </is>
      </c>
      <c r="B54" s="156" t="n">
        <v>12837806.92</v>
      </c>
      <c r="C54" s="156" t="n">
        <v>68065505.8</v>
      </c>
      <c r="D54" s="161" t="n">
        <v>8710170.460000001</v>
      </c>
      <c r="E54" s="161" t="n">
        <v>44032693.37</v>
      </c>
      <c r="F54" s="161" t="n">
        <v>4127636.46</v>
      </c>
      <c r="G54" s="161" t="n">
        <v>24032812.43</v>
      </c>
    </row>
    <row r="55">
      <c r="A55" s="157" t="inlineStr">
        <is>
          <t xml:space="preserve">     办公费</t>
        </is>
      </c>
      <c r="B55" s="156" t="n">
        <v>0</v>
      </c>
      <c r="C55" s="156" t="n">
        <v>0</v>
      </c>
      <c r="D55" s="161" t="n">
        <v>0</v>
      </c>
      <c r="E55" s="161" t="n">
        <v>0</v>
      </c>
      <c r="F55" s="161" t="n">
        <v>0</v>
      </c>
      <c r="G55" s="161" t="n">
        <v>0</v>
      </c>
    </row>
    <row r="56">
      <c r="A56" s="157" t="inlineStr">
        <is>
          <t xml:space="preserve">     印刷费</t>
        </is>
      </c>
      <c r="B56" s="156" t="n">
        <v>128628.9</v>
      </c>
      <c r="C56" s="156" t="n">
        <v>554568.0600000001</v>
      </c>
      <c r="D56" s="161" t="n">
        <v>116276.79</v>
      </c>
      <c r="E56" s="161" t="n">
        <v>531335.9300000001</v>
      </c>
      <c r="F56" s="161" t="n">
        <v>12352.11</v>
      </c>
      <c r="G56" s="161" t="n">
        <v>23232.13</v>
      </c>
    </row>
    <row r="57">
      <c r="A57" s="157" t="inlineStr">
        <is>
          <t xml:space="preserve">     咨询费</t>
        </is>
      </c>
      <c r="B57" s="156" t="n">
        <v>0</v>
      </c>
      <c r="C57" s="156" t="n">
        <v>0</v>
      </c>
      <c r="D57" s="161" t="n">
        <v>0</v>
      </c>
      <c r="E57" s="161" t="n">
        <v>0</v>
      </c>
      <c r="F57" s="161" t="n">
        <v>0</v>
      </c>
      <c r="G57" s="161" t="n">
        <v>0</v>
      </c>
    </row>
    <row r="58">
      <c r="A58" s="157" t="inlineStr">
        <is>
          <t xml:space="preserve">     手续费</t>
        </is>
      </c>
      <c r="B58" s="156" t="n">
        <v>0</v>
      </c>
      <c r="C58" s="156" t="n">
        <v>0</v>
      </c>
      <c r="D58" s="161" t="n">
        <v>0</v>
      </c>
      <c r="E58" s="161" t="n">
        <v>0</v>
      </c>
      <c r="F58" s="161" t="n">
        <v>0</v>
      </c>
      <c r="G58" s="161" t="n">
        <v>0</v>
      </c>
    </row>
    <row r="59">
      <c r="A59" s="157" t="inlineStr">
        <is>
          <t xml:space="preserve">     水费</t>
        </is>
      </c>
      <c r="B59" s="156" t="n">
        <v>103311</v>
      </c>
      <c r="C59" s="156" t="n">
        <v>366612</v>
      </c>
      <c r="D59" s="161" t="n">
        <v>100314.98</v>
      </c>
      <c r="E59" s="161" t="n">
        <v>355919.87</v>
      </c>
      <c r="F59" s="161" t="n">
        <v>2996.02</v>
      </c>
      <c r="G59" s="161" t="n">
        <v>10692.13</v>
      </c>
    </row>
    <row r="60">
      <c r="A60" s="157" t="inlineStr">
        <is>
          <t xml:space="preserve">     电费</t>
        </is>
      </c>
      <c r="B60" s="156" t="n">
        <v>1253537.41</v>
      </c>
      <c r="C60" s="156" t="n">
        <v>5223027.83</v>
      </c>
      <c r="D60" s="161" t="n">
        <v>1217184.83</v>
      </c>
      <c r="E60" s="161" t="n">
        <v>5104487.94</v>
      </c>
      <c r="F60" s="161" t="n">
        <v>36352.58</v>
      </c>
      <c r="G60" s="161" t="n">
        <v>118539.89</v>
      </c>
    </row>
    <row r="61">
      <c r="A61" s="157" t="inlineStr">
        <is>
          <t xml:space="preserve">     邮电费</t>
        </is>
      </c>
      <c r="B61" s="156" t="n">
        <v>17797.88</v>
      </c>
      <c r="C61" s="156" t="n">
        <v>179002.76</v>
      </c>
      <c r="D61" s="161" t="n">
        <v>15580.45</v>
      </c>
      <c r="E61" s="161" t="n">
        <v>56355.48</v>
      </c>
      <c r="F61" s="161" t="n">
        <v>2217.43</v>
      </c>
      <c r="G61" s="161" t="n">
        <v>122647.28</v>
      </c>
    </row>
    <row r="62">
      <c r="A62" s="157" t="inlineStr">
        <is>
          <t xml:space="preserve">     取暖费</t>
        </is>
      </c>
      <c r="B62" s="156" t="n">
        <v>0</v>
      </c>
      <c r="C62" s="156" t="n">
        <v>0</v>
      </c>
      <c r="D62" s="161" t="n">
        <v>0</v>
      </c>
      <c r="E62" s="161" t="n">
        <v>0</v>
      </c>
      <c r="F62" s="161" t="n">
        <v>0</v>
      </c>
      <c r="G62" s="161" t="n">
        <v>0</v>
      </c>
    </row>
    <row r="63">
      <c r="A63" s="157" t="inlineStr">
        <is>
          <t xml:space="preserve">     物业管理费</t>
        </is>
      </c>
      <c r="B63" s="156" t="n">
        <v>3875539.08</v>
      </c>
      <c r="C63" s="156" t="n">
        <v>16894920</v>
      </c>
      <c r="D63" s="161" t="n">
        <v>2853136.09</v>
      </c>
      <c r="E63" s="161" t="n">
        <v>14580673.51</v>
      </c>
      <c r="F63" s="161" t="n">
        <v>1022402.99</v>
      </c>
      <c r="G63" s="161" t="n">
        <v>2314246.49</v>
      </c>
    </row>
    <row r="64">
      <c r="A64" s="157" t="inlineStr">
        <is>
          <t xml:space="preserve">     差旅费</t>
        </is>
      </c>
      <c r="B64" s="156" t="n">
        <v>39763.04</v>
      </c>
      <c r="C64" s="156" t="n">
        <v>156528.42</v>
      </c>
      <c r="D64" s="161" t="n">
        <v>18659.41</v>
      </c>
      <c r="E64" s="161" t="n">
        <v>96940.62</v>
      </c>
      <c r="F64" s="161" t="n">
        <v>21103.63</v>
      </c>
      <c r="G64" s="161" t="n">
        <v>59587.8</v>
      </c>
    </row>
    <row r="65">
      <c r="A65" s="157" t="inlineStr">
        <is>
          <t xml:space="preserve">     因公出国（境）费</t>
        </is>
      </c>
      <c r="B65" s="156" t="n">
        <v>34846.67</v>
      </c>
      <c r="C65" s="156" t="n">
        <v>109764.38</v>
      </c>
      <c r="D65" s="161" t="n">
        <v>29508.95</v>
      </c>
      <c r="E65" s="161" t="n">
        <v>90577.95</v>
      </c>
      <c r="F65" s="161" t="n">
        <v>5337.72</v>
      </c>
      <c r="G65" s="161" t="n">
        <v>19186.43</v>
      </c>
    </row>
    <row r="66">
      <c r="A66" s="157" t="inlineStr">
        <is>
          <t xml:space="preserve">     维修(护）费</t>
        </is>
      </c>
      <c r="B66" s="156" t="n">
        <v>1833618.5</v>
      </c>
      <c r="C66" s="156" t="n">
        <v>12608703.77</v>
      </c>
      <c r="D66" s="161" t="n">
        <v>117099.4</v>
      </c>
      <c r="E66" s="161" t="n">
        <v>2800840.2</v>
      </c>
      <c r="F66" s="161" t="n">
        <v>1716519.1</v>
      </c>
      <c r="G66" s="161" t="n">
        <v>9807863.57</v>
      </c>
    </row>
    <row r="67">
      <c r="A67" s="157" t="inlineStr">
        <is>
          <t xml:space="preserve">     租赁费</t>
        </is>
      </c>
      <c r="B67" s="156" t="n">
        <v>655998.61</v>
      </c>
      <c r="C67" s="156" t="n">
        <v>4044382.74</v>
      </c>
      <c r="D67" s="161" t="n">
        <v>0</v>
      </c>
      <c r="E67" s="161" t="n">
        <v>0</v>
      </c>
      <c r="F67" s="161" t="n">
        <v>655998.61</v>
      </c>
      <c r="G67" s="161" t="n">
        <v>4044382.74</v>
      </c>
    </row>
    <row r="68">
      <c r="A68" s="157" t="inlineStr">
        <is>
          <t xml:space="preserve">     会议费</t>
        </is>
      </c>
      <c r="B68" s="156" t="n">
        <v>256.42</v>
      </c>
      <c r="C68" s="156" t="n">
        <v>8605.02</v>
      </c>
      <c r="D68" s="161" t="n">
        <v>256.42</v>
      </c>
      <c r="E68" s="161" t="n">
        <v>5296.84</v>
      </c>
      <c r="F68" s="161" t="n">
        <v>0</v>
      </c>
      <c r="G68" s="161" t="n">
        <v>3308.18</v>
      </c>
    </row>
    <row r="69">
      <c r="A69" s="157" t="inlineStr">
        <is>
          <t xml:space="preserve">     培训费</t>
        </is>
      </c>
      <c r="B69" s="156" t="n">
        <v>6570</v>
      </c>
      <c r="C69" s="156" t="n">
        <v>54283.4</v>
      </c>
      <c r="D69" s="161" t="n">
        <v>5370</v>
      </c>
      <c r="E69" s="161" t="n">
        <v>49307.4</v>
      </c>
      <c r="F69" s="161" t="n">
        <v>1200</v>
      </c>
      <c r="G69" s="161" t="n">
        <v>4976</v>
      </c>
    </row>
    <row r="70">
      <c r="A70" s="157" t="inlineStr">
        <is>
          <t xml:space="preserve">     公务接待费</t>
        </is>
      </c>
      <c r="B70" s="156" t="n">
        <v>868</v>
      </c>
      <c r="C70" s="156" t="n">
        <v>2081</v>
      </c>
      <c r="D70" s="161" t="n">
        <v>0</v>
      </c>
      <c r="E70" s="161" t="n">
        <v>0</v>
      </c>
      <c r="F70" s="161" t="n">
        <v>868</v>
      </c>
      <c r="G70" s="161" t="n">
        <v>2081</v>
      </c>
    </row>
    <row r="71">
      <c r="A71" s="157" t="inlineStr">
        <is>
          <t xml:space="preserve">     专用材料费</t>
        </is>
      </c>
      <c r="B71" s="156" t="n">
        <v>146704.98</v>
      </c>
      <c r="C71" s="156" t="n">
        <v>948111.38</v>
      </c>
      <c r="D71" s="161" t="n">
        <v>131163.87</v>
      </c>
      <c r="E71" s="161" t="n">
        <v>815755.78</v>
      </c>
      <c r="F71" s="161" t="n">
        <v>15541.11</v>
      </c>
      <c r="G71" s="161" t="n">
        <v>132355.6</v>
      </c>
    </row>
    <row r="72">
      <c r="A72" s="157" t="inlineStr">
        <is>
          <t xml:space="preserve">     燃气费</t>
        </is>
      </c>
      <c r="B72" s="156" t="n">
        <v>-120659.88</v>
      </c>
      <c r="C72" s="156" t="n">
        <v>1788292.58</v>
      </c>
      <c r="D72" s="161" t="n">
        <v>-117160.74</v>
      </c>
      <c r="E72" s="161" t="n">
        <v>1275971.04</v>
      </c>
      <c r="F72" s="161" t="n">
        <v>-3499.14</v>
      </c>
      <c r="G72" s="161" t="n">
        <v>512321.54</v>
      </c>
    </row>
    <row r="73">
      <c r="A73" s="157" t="inlineStr">
        <is>
          <t xml:space="preserve">     劳务费</t>
        </is>
      </c>
      <c r="B73" s="156" t="n">
        <v>1370409.75</v>
      </c>
      <c r="C73" s="156" t="n">
        <v>8489688.720000001</v>
      </c>
      <c r="D73" s="161" t="n">
        <v>1224802.97</v>
      </c>
      <c r="E73" s="161" t="n">
        <v>5676771.65</v>
      </c>
      <c r="F73" s="161" t="n">
        <v>145606.78</v>
      </c>
      <c r="G73" s="161" t="n">
        <v>2812917.07</v>
      </c>
    </row>
    <row r="74">
      <c r="A74" s="157" t="inlineStr">
        <is>
          <t xml:space="preserve">     委托业务费</t>
        </is>
      </c>
      <c r="B74" s="156" t="n">
        <v>479400.22</v>
      </c>
      <c r="C74" s="156" t="n">
        <v>2947011.03</v>
      </c>
      <c r="D74" s="161" t="n">
        <v>456207.94</v>
      </c>
      <c r="E74" s="161" t="n">
        <v>2813233.46</v>
      </c>
      <c r="F74" s="161" t="n">
        <v>23192.28</v>
      </c>
      <c r="G74" s="161" t="n">
        <v>133777.57</v>
      </c>
    </row>
    <row r="75">
      <c r="A75" s="157" t="inlineStr">
        <is>
          <t xml:space="preserve">     工会经费</t>
        </is>
      </c>
      <c r="B75" s="156" t="n">
        <v>257700</v>
      </c>
      <c r="C75" s="156" t="n">
        <v>1289100</v>
      </c>
      <c r="D75" s="161" t="n">
        <v>0</v>
      </c>
      <c r="E75" s="161" t="n">
        <v>0</v>
      </c>
      <c r="F75" s="161" t="n">
        <v>257700</v>
      </c>
      <c r="G75" s="161" t="n">
        <v>1289100</v>
      </c>
    </row>
    <row r="76">
      <c r="A76" s="157" t="inlineStr">
        <is>
          <t xml:space="preserve">     福利费</t>
        </is>
      </c>
      <c r="B76" s="156" t="n">
        <v>0</v>
      </c>
      <c r="C76" s="156" t="n">
        <v>0</v>
      </c>
      <c r="D76" s="161" t="n">
        <v>0</v>
      </c>
      <c r="E76" s="161" t="n">
        <v>0</v>
      </c>
      <c r="F76" s="161" t="n">
        <v>0</v>
      </c>
      <c r="G76" s="161" t="n">
        <v>0</v>
      </c>
    </row>
    <row r="77">
      <c r="A77" s="157" t="inlineStr">
        <is>
          <t xml:space="preserve">     其他交通费</t>
        </is>
      </c>
      <c r="B77" s="156" t="n">
        <v>233.04</v>
      </c>
      <c r="C77" s="156" t="n">
        <v>1850.55</v>
      </c>
      <c r="D77" s="161" t="n">
        <v>0</v>
      </c>
      <c r="E77" s="161" t="n">
        <v>0</v>
      </c>
      <c r="F77" s="161" t="n">
        <v>233.04</v>
      </c>
      <c r="G77" s="161" t="n">
        <v>1850.55</v>
      </c>
    </row>
    <row r="78">
      <c r="A78" s="157" t="inlineStr">
        <is>
          <t xml:space="preserve">     税金及附加</t>
        </is>
      </c>
      <c r="B78" s="156" t="n">
        <v>0</v>
      </c>
      <c r="C78" s="156" t="n">
        <v>29753.91</v>
      </c>
      <c r="D78" s="161" t="n">
        <v>0</v>
      </c>
      <c r="E78" s="161" t="n">
        <v>0</v>
      </c>
      <c r="F78" s="161" t="n">
        <v>0</v>
      </c>
      <c r="G78" s="161" t="n">
        <v>29753.91</v>
      </c>
    </row>
    <row r="79">
      <c r="A79" s="157" t="inlineStr">
        <is>
          <t xml:space="preserve">     其他商品和服务支出</t>
        </is>
      </c>
      <c r="B79" s="156" t="n">
        <v>2753283.3</v>
      </c>
      <c r="C79" s="156" t="n">
        <v>12369218.25</v>
      </c>
      <c r="D79" s="161" t="n">
        <v>2541769.1</v>
      </c>
      <c r="E79" s="161" t="n">
        <v>9779225.699999999</v>
      </c>
      <c r="F79" s="161" t="n">
        <v>211514.2</v>
      </c>
      <c r="G79" s="161" t="n">
        <v>2589992.55</v>
      </c>
    </row>
    <row r="80" ht="14.25" customHeight="1" s="247">
      <c r="A80" s="220" t="inlineStr">
        <is>
          <t>单位负责人：                   总会计师：                   财务负责人：                   审核：                   制表人：</t>
        </is>
      </c>
      <c r="B80" s="291" t="n"/>
      <c r="C80" s="291" t="n"/>
      <c r="D80" s="291" t="n"/>
      <c r="E80" s="291" t="n"/>
      <c r="F80" s="291" t="n"/>
      <c r="G80" s="291" t="n"/>
    </row>
    <row r="81" ht="14.25" customHeight="1" s="247">
      <c r="A81" s="225" t="inlineStr">
        <is>
          <t>注：本表“医疗成本”及所属明细项目，根据“业务活动费用”“单位管理费用”科目及所属明细科目、经费性质为财政基本拨款经费、其他经费的本期发生额填列。</t>
        </is>
      </c>
    </row>
  </sheetData>
  <mergeCells count="11">
    <mergeCell ref="F3:G3"/>
    <mergeCell ref="F4:G4"/>
    <mergeCell ref="F2:G2"/>
    <mergeCell ref="A1:G1"/>
    <mergeCell ref="A80:G80"/>
    <mergeCell ref="A4:A5"/>
    <mergeCell ref="C3:E3"/>
    <mergeCell ref="D4:E4"/>
    <mergeCell ref="A81:G81"/>
    <mergeCell ref="A3:B3"/>
    <mergeCell ref="B4:C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1"/>
  <sheetViews>
    <sheetView topLeftCell="A61" workbookViewId="0">
      <selection activeCell="A1" sqref="A1:G81"/>
    </sheetView>
  </sheetViews>
  <sheetFormatPr baseColWidth="8" defaultRowHeight="14"/>
  <cols>
    <col width="30.08203125" bestFit="1" customWidth="1" style="247" min="1" max="1"/>
    <col width="14.08203125" bestFit="1" customWidth="1" style="247" min="2" max="2"/>
    <col width="16.08203125" bestFit="1" customWidth="1" style="247" min="3" max="3"/>
    <col width="14.08203125" bestFit="1" customWidth="1" style="247" min="4" max="4"/>
    <col width="16.08203125" bestFit="1" customWidth="1" style="247" min="5" max="5"/>
    <col width="13.08203125" bestFit="1" customWidth="1" style="247" min="6" max="6"/>
    <col width="14.08203125" bestFit="1" customWidth="1" style="247" min="7" max="7"/>
  </cols>
  <sheetData>
    <row r="1" ht="23" customHeight="1" s="247">
      <c r="A1" s="222" t="inlineStr">
        <is>
          <t>医疗成本费用明细表</t>
        </is>
      </c>
    </row>
    <row r="2">
      <c r="A2" s="183" t="n"/>
      <c r="B2" s="183" t="n"/>
      <c r="C2" s="183" t="n"/>
      <c r="D2" s="183" t="n"/>
      <c r="E2" s="183" t="n"/>
      <c r="F2" s="234" t="inlineStr">
        <is>
          <t>附表-03</t>
        </is>
      </c>
    </row>
    <row r="3">
      <c r="A3" s="235" t="inlineStr">
        <is>
          <t>编制单位：上海交通大学医学院附属新华医院</t>
        </is>
      </c>
      <c r="B3" s="299" t="n"/>
      <c r="C3" s="235" t="inlineStr">
        <is>
          <t>2025年5月</t>
        </is>
      </c>
      <c r="D3" s="299" t="n"/>
      <c r="E3" s="299" t="n"/>
      <c r="F3" s="303" t="inlineStr">
        <is>
          <t>单位：元</t>
        </is>
      </c>
      <c r="G3" s="299" t="n"/>
    </row>
    <row r="4">
      <c r="A4" s="304" t="inlineStr">
        <is>
          <t>项    目</t>
        </is>
      </c>
      <c r="B4" s="300" t="inlineStr">
        <is>
          <t>合  计</t>
        </is>
      </c>
      <c r="C4" s="305" t="n"/>
      <c r="D4" s="300" t="inlineStr">
        <is>
          <t>业务活动费用</t>
        </is>
      </c>
      <c r="E4" s="305" t="n"/>
      <c r="F4" s="300" t="inlineStr">
        <is>
          <t>单位管理费用</t>
        </is>
      </c>
      <c r="G4" s="305" t="n"/>
    </row>
    <row r="5">
      <c r="A5" s="306" t="n"/>
      <c r="B5" s="300" t="inlineStr">
        <is>
          <t>本月数</t>
        </is>
      </c>
      <c r="C5" s="300" t="inlineStr">
        <is>
          <t>累计数</t>
        </is>
      </c>
      <c r="D5" s="300" t="inlineStr">
        <is>
          <t>本月数</t>
        </is>
      </c>
      <c r="E5" s="300" t="inlineStr">
        <is>
          <t>累计数</t>
        </is>
      </c>
      <c r="F5" s="300" t="inlineStr">
        <is>
          <t>本月数</t>
        </is>
      </c>
      <c r="G5" s="307" t="inlineStr">
        <is>
          <t>累计数</t>
        </is>
      </c>
    </row>
    <row r="6">
      <c r="A6" s="170" t="inlineStr">
        <is>
          <t>医疗成本合计</t>
        </is>
      </c>
      <c r="B6" s="191">
        <f>D6+F6</f>
        <v/>
      </c>
      <c r="C6" s="191">
        <f>E6+G6</f>
        <v/>
      </c>
      <c r="D6" s="191">
        <f>D7+D33+D47+D51+D52+D53+D54</f>
        <v/>
      </c>
      <c r="E6" s="191">
        <f>E7+E33+E47+E51+E52+E53+E54</f>
        <v/>
      </c>
      <c r="F6" s="191">
        <f>F7+F33+F47+F51+F52+F54</f>
        <v/>
      </c>
      <c r="G6" s="192">
        <f>G7+G33+G47+G51+G52+G54</f>
        <v/>
      </c>
    </row>
    <row r="7">
      <c r="A7" s="172" t="inlineStr">
        <is>
          <t>（一）人员经费</t>
        </is>
      </c>
      <c r="B7" s="191">
        <f>D7+F7</f>
        <v/>
      </c>
      <c r="C7" s="191">
        <f>E7+G7</f>
        <v/>
      </c>
      <c r="D7" s="191">
        <f>D8+D21</f>
        <v/>
      </c>
      <c r="E7" s="191">
        <f>E8+E21</f>
        <v/>
      </c>
      <c r="F7" s="191">
        <f>F8+F21</f>
        <v/>
      </c>
      <c r="G7" s="192">
        <f>G8+G21</f>
        <v/>
      </c>
    </row>
    <row r="8">
      <c r="A8" s="172" t="inlineStr">
        <is>
          <t xml:space="preserve">  工资福利费用</t>
        </is>
      </c>
      <c r="B8" s="191">
        <f>D8+F8</f>
        <v/>
      </c>
      <c r="C8" s="191">
        <f>E8+G8</f>
        <v/>
      </c>
      <c r="D8" s="191">
        <f>SUM(D9:D20)</f>
        <v/>
      </c>
      <c r="E8" s="191">
        <f>SUM(E9:E20)</f>
        <v/>
      </c>
      <c r="F8" s="191">
        <f>SUM(F9:F20)</f>
        <v/>
      </c>
      <c r="G8" s="192">
        <f>SUM(G9:G20)</f>
        <v/>
      </c>
    </row>
    <row r="9">
      <c r="A9" s="175" t="inlineStr">
        <is>
          <t xml:space="preserve">     基本工资</t>
        </is>
      </c>
      <c r="B9" s="191">
        <f>D9+F9</f>
        <v/>
      </c>
      <c r="C9" s="191">
        <f>E9+G9</f>
        <v/>
      </c>
      <c r="D9" s="191" t="n">
        <v>23956697.98</v>
      </c>
      <c r="E9" s="191" t="n">
        <v>131764452.68</v>
      </c>
      <c r="F9" s="191" t="n">
        <v>2604682</v>
      </c>
      <c r="G9" s="192" t="n">
        <v>13998382.8</v>
      </c>
    </row>
    <row r="10">
      <c r="A10" s="175" t="inlineStr">
        <is>
          <t xml:space="preserve">     津贴补贴</t>
        </is>
      </c>
      <c r="B10" s="191">
        <f>D10+F10</f>
        <v/>
      </c>
      <c r="C10" s="191">
        <f>E10+G10</f>
        <v/>
      </c>
      <c r="D10" s="191" t="n">
        <v>3909533</v>
      </c>
      <c r="E10" s="191" t="n">
        <v>19660461</v>
      </c>
      <c r="F10" s="191" t="n">
        <v>298156.5</v>
      </c>
      <c r="G10" s="192" t="n">
        <v>1441494.5</v>
      </c>
    </row>
    <row r="11">
      <c r="A11" s="175" t="inlineStr">
        <is>
          <t xml:space="preserve">     奖金</t>
        </is>
      </c>
      <c r="B11" s="191">
        <f>D11+F11</f>
        <v/>
      </c>
      <c r="C11" s="191">
        <f>E11+G11</f>
        <v/>
      </c>
      <c r="D11" s="191" t="n">
        <v>0</v>
      </c>
      <c r="E11" s="191" t="n">
        <v>0</v>
      </c>
      <c r="F11" s="191" t="n">
        <v>0</v>
      </c>
      <c r="G11" s="192" t="n">
        <v>0</v>
      </c>
    </row>
    <row r="12">
      <c r="A12" s="175" t="inlineStr">
        <is>
          <t xml:space="preserve">     伙食补助费</t>
        </is>
      </c>
      <c r="B12" s="191">
        <f>D12+F12</f>
        <v/>
      </c>
      <c r="C12" s="191">
        <f>E12+G12</f>
        <v/>
      </c>
      <c r="D12" s="191" t="n">
        <v>2496940</v>
      </c>
      <c r="E12" s="191" t="n">
        <v>11559820.66</v>
      </c>
      <c r="F12" s="191" t="n">
        <v>500</v>
      </c>
      <c r="G12" s="192" t="n">
        <v>684500</v>
      </c>
    </row>
    <row r="13">
      <c r="A13" s="175" t="inlineStr">
        <is>
          <t xml:space="preserve">     绩效工资</t>
        </is>
      </c>
      <c r="B13" s="191">
        <f>D13+F13</f>
        <v/>
      </c>
      <c r="C13" s="191">
        <f>E13+G13</f>
        <v/>
      </c>
      <c r="D13" s="191" t="n">
        <v>92938292.20999999</v>
      </c>
      <c r="E13" s="191" t="n">
        <v>613948819.01</v>
      </c>
      <c r="F13" s="191" t="n">
        <v>9104201.58</v>
      </c>
      <c r="G13" s="192" t="n">
        <v>64008731.23</v>
      </c>
    </row>
    <row r="14">
      <c r="A14" s="175" t="inlineStr">
        <is>
          <t xml:space="preserve">     基本养老保险缴费</t>
        </is>
      </c>
      <c r="B14" s="191">
        <f>D14+F14</f>
        <v/>
      </c>
      <c r="C14" s="191">
        <f>E14+G14</f>
        <v/>
      </c>
      <c r="D14" s="191" t="n">
        <v>20377979.57</v>
      </c>
      <c r="E14" s="191" t="n">
        <v>98222546.77</v>
      </c>
      <c r="F14" s="191" t="n">
        <v>1120116.91</v>
      </c>
      <c r="G14" s="192" t="n">
        <v>9630073.380000001</v>
      </c>
    </row>
    <row r="15">
      <c r="A15" s="175" t="inlineStr">
        <is>
          <t xml:space="preserve">     职业年金缴费</t>
        </is>
      </c>
      <c r="B15" s="191">
        <f>D15+F15</f>
        <v/>
      </c>
      <c r="C15" s="191">
        <f>E15+G15</f>
        <v/>
      </c>
      <c r="D15" s="191" t="n">
        <v>5723381.42</v>
      </c>
      <c r="E15" s="191" t="n">
        <v>26718594.34</v>
      </c>
      <c r="F15" s="191" t="n">
        <v>529530.92</v>
      </c>
      <c r="G15" s="192" t="n">
        <v>4583700.2</v>
      </c>
    </row>
    <row r="16">
      <c r="A16" s="175" t="inlineStr">
        <is>
          <t xml:space="preserve">     基本医疗保险缴费</t>
        </is>
      </c>
      <c r="B16" s="191">
        <f>D16+F16</f>
        <v/>
      </c>
      <c r="C16" s="191">
        <f>E16+G16</f>
        <v/>
      </c>
      <c r="D16" s="191" t="n">
        <v>5832482.96</v>
      </c>
      <c r="E16" s="191" t="n">
        <v>27216626.26</v>
      </c>
      <c r="F16" s="191" t="n">
        <v>518653.6</v>
      </c>
      <c r="G16" s="192" t="n">
        <v>4496986.58</v>
      </c>
    </row>
    <row r="17">
      <c r="A17" s="175" t="inlineStr">
        <is>
          <t xml:space="preserve">     其他社会保障缴费</t>
        </is>
      </c>
      <c r="B17" s="191">
        <f>D17+F17</f>
        <v/>
      </c>
      <c r="C17" s="191">
        <f>E17+G17</f>
        <v/>
      </c>
      <c r="D17" s="191" t="n">
        <v>894547.83</v>
      </c>
      <c r="E17" s="191" t="n">
        <v>4264886.17</v>
      </c>
      <c r="F17" s="191" t="n">
        <v>41133.7</v>
      </c>
      <c r="G17" s="192" t="n">
        <v>341119.44</v>
      </c>
    </row>
    <row r="18">
      <c r="A18" s="175" t="inlineStr">
        <is>
          <t xml:space="preserve">     住房公积金</t>
        </is>
      </c>
      <c r="B18" s="191">
        <f>D18+F18</f>
        <v/>
      </c>
      <c r="C18" s="191">
        <f>E18+G18</f>
        <v/>
      </c>
      <c r="D18" s="191" t="n">
        <v>7203769.7</v>
      </c>
      <c r="E18" s="191" t="n">
        <v>34169809.84</v>
      </c>
      <c r="F18" s="191" t="n">
        <v>453471.3</v>
      </c>
      <c r="G18" s="192" t="n">
        <v>3795975.16</v>
      </c>
    </row>
    <row r="19">
      <c r="A19" s="175" t="inlineStr">
        <is>
          <t xml:space="preserve">     医疗费</t>
        </is>
      </c>
      <c r="B19" s="191">
        <f>D19+F19</f>
        <v/>
      </c>
      <c r="C19" s="191">
        <f>E19+G19</f>
        <v/>
      </c>
      <c r="D19" s="191" t="n">
        <v>0</v>
      </c>
      <c r="E19" s="191" t="n">
        <v>0</v>
      </c>
      <c r="F19" s="191" t="n">
        <v>0</v>
      </c>
      <c r="G19" s="192" t="n">
        <v>0</v>
      </c>
    </row>
    <row r="20">
      <c r="A20" s="175" t="inlineStr">
        <is>
          <t xml:space="preserve">     其他工资福利支出</t>
        </is>
      </c>
      <c r="B20" s="191">
        <f>D20+F20</f>
        <v/>
      </c>
      <c r="C20" s="191">
        <f>E20+G20</f>
        <v/>
      </c>
      <c r="D20" s="191" t="n">
        <v>1660534.75</v>
      </c>
      <c r="E20" s="191" t="n">
        <v>4679096.37</v>
      </c>
      <c r="F20" s="191" t="n">
        <v>61995.99</v>
      </c>
      <c r="G20" s="192" t="n">
        <v>213351.68</v>
      </c>
    </row>
    <row r="21">
      <c r="A21" s="172" t="inlineStr">
        <is>
          <t xml:space="preserve">  对个人和家庭的补助费用</t>
        </is>
      </c>
      <c r="B21" s="191">
        <f>D21+F21</f>
        <v/>
      </c>
      <c r="C21" s="191">
        <f>E21+G21</f>
        <v/>
      </c>
      <c r="D21" s="191">
        <f>SUM(D22:D32)</f>
        <v/>
      </c>
      <c r="E21" s="191">
        <f>SUM(E22:E32)</f>
        <v/>
      </c>
      <c r="F21" s="191">
        <f>SUM(F22:F32)</f>
        <v/>
      </c>
      <c r="G21" s="192">
        <f>SUM(G22:G32)</f>
        <v/>
      </c>
    </row>
    <row r="22">
      <c r="A22" s="175" t="inlineStr">
        <is>
          <t xml:space="preserve">     离休费</t>
        </is>
      </c>
      <c r="B22" s="191">
        <f>D22+F22</f>
        <v/>
      </c>
      <c r="C22" s="191">
        <f>E22+G22</f>
        <v/>
      </c>
      <c r="D22" s="191" t="n">
        <v>0</v>
      </c>
      <c r="E22" s="191" t="n">
        <v>0</v>
      </c>
      <c r="F22" s="191" t="n">
        <v>3552</v>
      </c>
      <c r="G22" s="192" t="n">
        <v>70384</v>
      </c>
    </row>
    <row r="23">
      <c r="A23" s="175" t="inlineStr">
        <is>
          <t xml:space="preserve">     退休费</t>
        </is>
      </c>
      <c r="B23" s="191">
        <f>D23+F23</f>
        <v/>
      </c>
      <c r="C23" s="191">
        <f>E23+G23</f>
        <v/>
      </c>
      <c r="D23" s="191" t="n">
        <v>0</v>
      </c>
      <c r="E23" s="191" t="n">
        <v>0</v>
      </c>
      <c r="F23" s="191" t="n">
        <v>2321164</v>
      </c>
      <c r="G23" s="192" t="n">
        <v>11385179</v>
      </c>
    </row>
    <row r="24">
      <c r="A24" s="175" t="inlineStr">
        <is>
          <t xml:space="preserve">     退职费</t>
        </is>
      </c>
      <c r="B24" s="191">
        <f>D24+F24</f>
        <v/>
      </c>
      <c r="C24" s="191">
        <f>E24+G24</f>
        <v/>
      </c>
      <c r="D24" s="191" t="n">
        <v>0</v>
      </c>
      <c r="E24" s="191" t="n">
        <v>0</v>
      </c>
      <c r="F24" s="191" t="n">
        <v>0</v>
      </c>
      <c r="G24" s="192" t="n">
        <v>0</v>
      </c>
    </row>
    <row r="25">
      <c r="A25" s="175" t="inlineStr">
        <is>
          <t xml:space="preserve">     抚恤金</t>
        </is>
      </c>
      <c r="B25" s="191">
        <f>D25+F25</f>
        <v/>
      </c>
      <c r="C25" s="191">
        <f>E25+G25</f>
        <v/>
      </c>
      <c r="D25" s="191" t="n">
        <v>0</v>
      </c>
      <c r="E25" s="191" t="n">
        <v>0</v>
      </c>
      <c r="F25" s="191" t="n">
        <v>355484</v>
      </c>
      <c r="G25" s="192" t="n">
        <v>1140378</v>
      </c>
    </row>
    <row r="26">
      <c r="A26" s="175" t="inlineStr">
        <is>
          <t xml:space="preserve">     生活补助</t>
        </is>
      </c>
      <c r="B26" s="191">
        <f>D26+F26</f>
        <v/>
      </c>
      <c r="C26" s="191">
        <f>E26+G26</f>
        <v/>
      </c>
      <c r="D26" s="191" t="n">
        <v>0</v>
      </c>
      <c r="E26" s="191" t="n">
        <v>3500</v>
      </c>
      <c r="F26" s="191" t="n">
        <v>300</v>
      </c>
      <c r="G26" s="192" t="n">
        <v>10200</v>
      </c>
    </row>
    <row r="27">
      <c r="A27" s="175" t="inlineStr">
        <is>
          <t xml:space="preserve">     救济费</t>
        </is>
      </c>
      <c r="B27" s="191">
        <f>D27+F27</f>
        <v/>
      </c>
      <c r="C27" s="191">
        <f>E27+G27</f>
        <v/>
      </c>
      <c r="D27" s="191" t="n">
        <v>0</v>
      </c>
      <c r="E27" s="191" t="n">
        <v>0</v>
      </c>
      <c r="F27" s="191" t="n">
        <v>0</v>
      </c>
      <c r="G27" s="192" t="n">
        <v>0</v>
      </c>
    </row>
    <row r="28">
      <c r="A28" s="175" t="inlineStr">
        <is>
          <t xml:space="preserve">     医疗补助费</t>
        </is>
      </c>
      <c r="B28" s="191">
        <f>D28+F28</f>
        <v/>
      </c>
      <c r="C28" s="191">
        <f>E28+G28</f>
        <v/>
      </c>
      <c r="D28" s="191" t="n">
        <v>16492.86</v>
      </c>
      <c r="E28" s="191" t="n">
        <v>570476.7</v>
      </c>
      <c r="F28" s="191" t="n">
        <v>44299.23</v>
      </c>
      <c r="G28" s="192" t="n">
        <v>375088.66</v>
      </c>
    </row>
    <row r="29">
      <c r="A29" s="175" t="inlineStr">
        <is>
          <t xml:space="preserve">     助学金</t>
        </is>
      </c>
      <c r="B29" s="191">
        <f>D29+F29</f>
        <v/>
      </c>
      <c r="C29" s="191">
        <f>E29+G29</f>
        <v/>
      </c>
      <c r="D29" s="191" t="n">
        <v>0</v>
      </c>
      <c r="E29" s="191" t="n">
        <v>0</v>
      </c>
      <c r="F29" s="191" t="n">
        <v>0</v>
      </c>
      <c r="G29" s="192" t="n">
        <v>0</v>
      </c>
    </row>
    <row r="30">
      <c r="A30" s="175" t="inlineStr">
        <is>
          <t xml:space="preserve">     奖励金</t>
        </is>
      </c>
      <c r="B30" s="191">
        <f>D30+F30</f>
        <v/>
      </c>
      <c r="C30" s="191">
        <f>E30+G30</f>
        <v/>
      </c>
      <c r="D30" s="191" t="n">
        <v>0</v>
      </c>
      <c r="E30" s="191" t="n">
        <v>0</v>
      </c>
      <c r="F30" s="191" t="n">
        <v>0</v>
      </c>
      <c r="G30" s="192" t="n">
        <v>0</v>
      </c>
    </row>
    <row r="31">
      <c r="A31" s="175" t="inlineStr">
        <is>
          <t xml:space="preserve">     生产补贴</t>
        </is>
      </c>
      <c r="B31" s="191">
        <f>D31+F31</f>
        <v/>
      </c>
      <c r="C31" s="191">
        <f>E31+G31</f>
        <v/>
      </c>
      <c r="D31" s="191" t="n">
        <v>0</v>
      </c>
      <c r="E31" s="191" t="n">
        <v>0</v>
      </c>
      <c r="F31" s="191" t="n">
        <v>0</v>
      </c>
      <c r="G31" s="192" t="n">
        <v>0</v>
      </c>
    </row>
    <row r="32">
      <c r="A32" s="175" t="inlineStr">
        <is>
          <t xml:space="preserve">     其他对个人和家庭补助支出</t>
        </is>
      </c>
      <c r="B32" s="191">
        <f>D32+F32</f>
        <v/>
      </c>
      <c r="C32" s="191">
        <f>E32+G32</f>
        <v/>
      </c>
      <c r="D32" s="191" t="n">
        <v>8750</v>
      </c>
      <c r="E32" s="191" t="n">
        <v>42846</v>
      </c>
      <c r="F32" s="191" t="n">
        <v>1650</v>
      </c>
      <c r="G32" s="192" t="n">
        <v>5250</v>
      </c>
    </row>
    <row r="33">
      <c r="A33" s="172" t="inlineStr">
        <is>
          <t>（二）卫生材料费</t>
        </is>
      </c>
      <c r="B33" s="191">
        <f>D33+F33</f>
        <v/>
      </c>
      <c r="C33" s="191">
        <f>E33+G33</f>
        <v/>
      </c>
      <c r="D33" s="191">
        <f>D34+D35+D36+D37+D38+D45+D46</f>
        <v/>
      </c>
      <c r="E33" s="191">
        <f>E34+E35+E36+E37+E38+E45+E46</f>
        <v/>
      </c>
      <c r="F33" s="191" t="n">
        <v>1120215.53</v>
      </c>
      <c r="G33" s="192" t="n">
        <v>3916005.87</v>
      </c>
    </row>
    <row r="34">
      <c r="A34" s="175" t="inlineStr">
        <is>
          <t xml:space="preserve">     血费</t>
        </is>
      </c>
      <c r="B34" s="191">
        <f>D34+F34</f>
        <v/>
      </c>
      <c r="C34" s="191">
        <f>E34+G34</f>
        <v/>
      </c>
      <c r="D34" s="191" t="n">
        <v>1132330</v>
      </c>
      <c r="E34" s="191" t="n">
        <v>4180545</v>
      </c>
      <c r="F34" s="191" t="n"/>
      <c r="G34" s="192" t="n"/>
    </row>
    <row r="35">
      <c r="A35" s="175" t="inlineStr">
        <is>
          <t xml:space="preserve">     氧气费</t>
        </is>
      </c>
      <c r="B35" s="191">
        <f>D35+F35</f>
        <v/>
      </c>
      <c r="C35" s="191">
        <f>E35+G35</f>
        <v/>
      </c>
      <c r="D35" s="191" t="n">
        <v>761268.5</v>
      </c>
      <c r="E35" s="191" t="n">
        <v>2503872.6</v>
      </c>
      <c r="F35" s="191" t="n"/>
      <c r="G35" s="192" t="n"/>
    </row>
    <row r="36">
      <c r="A36" s="175" t="inlineStr">
        <is>
          <t xml:space="preserve">     放射材料费</t>
        </is>
      </c>
      <c r="B36" s="191">
        <f>D36+F36</f>
        <v/>
      </c>
      <c r="C36" s="191">
        <f>E36+G36</f>
        <v/>
      </c>
      <c r="D36" s="191" t="n">
        <v>72000</v>
      </c>
      <c r="E36" s="191" t="n">
        <v>120000</v>
      </c>
      <c r="F36" s="191" t="n"/>
      <c r="G36" s="192" t="n"/>
    </row>
    <row r="37">
      <c r="A37" s="175" t="inlineStr">
        <is>
          <t xml:space="preserve">     化验材料费</t>
        </is>
      </c>
      <c r="B37" s="191">
        <f>D37+F37</f>
        <v/>
      </c>
      <c r="C37" s="191">
        <f>E37+G37</f>
        <v/>
      </c>
      <c r="D37" s="191" t="n">
        <v>24505851.5</v>
      </c>
      <c r="E37" s="191" t="n">
        <v>91822953.84999999</v>
      </c>
      <c r="F37" s="191" t="n"/>
      <c r="G37" s="192" t="n"/>
    </row>
    <row r="38">
      <c r="A38" s="175" t="inlineStr">
        <is>
          <t xml:space="preserve">     一次性医疗器械</t>
        </is>
      </c>
      <c r="B38" s="191">
        <f>D38+F38</f>
        <v/>
      </c>
      <c r="C38" s="191">
        <f>E38+G38</f>
        <v/>
      </c>
      <c r="D38" s="191">
        <f>SUM(D39:D44)</f>
        <v/>
      </c>
      <c r="E38" s="191">
        <f>SUM(E39:E44)</f>
        <v/>
      </c>
      <c r="F38" s="191" t="n"/>
      <c r="G38" s="192" t="n"/>
    </row>
    <row r="39">
      <c r="A39" s="175" t="inlineStr">
        <is>
          <t xml:space="preserve">          手术器械类</t>
        </is>
      </c>
      <c r="B39" s="191">
        <f>D39+F39</f>
        <v/>
      </c>
      <c r="C39" s="191">
        <f>E39+G39</f>
        <v/>
      </c>
      <c r="D39" s="191" t="n">
        <v>12063201.44</v>
      </c>
      <c r="E39" s="191" t="n">
        <v>66080951.36</v>
      </c>
      <c r="F39" s="191" t="n"/>
      <c r="G39" s="192" t="n"/>
    </row>
    <row r="40">
      <c r="A40" s="175" t="inlineStr">
        <is>
          <t xml:space="preserve">          植入材料和人工器官</t>
        </is>
      </c>
      <c r="B40" s="191">
        <f>D40+F40</f>
        <v/>
      </c>
      <c r="C40" s="191">
        <f>E40+G40</f>
        <v/>
      </c>
      <c r="D40" s="191" t="n">
        <v>43715743</v>
      </c>
      <c r="E40" s="191" t="n">
        <v>204300330.84</v>
      </c>
      <c r="F40" s="191" t="n"/>
      <c r="G40" s="192" t="n"/>
    </row>
    <row r="41">
      <c r="A41" s="175" t="inlineStr">
        <is>
          <t xml:space="preserve">          各类介入器械</t>
        </is>
      </c>
      <c r="B41" s="191">
        <f>D41+F41</f>
        <v/>
      </c>
      <c r="C41" s="191">
        <f>E41+G41</f>
        <v/>
      </c>
      <c r="D41" s="191" t="n">
        <v>43917458.38</v>
      </c>
      <c r="E41" s="191" t="n">
        <v>203791463.09</v>
      </c>
      <c r="F41" s="191" t="n"/>
      <c r="G41" s="192" t="n"/>
    </row>
    <row r="42">
      <c r="A42" s="175" t="inlineStr">
        <is>
          <t xml:space="preserve">          医用材料高分子生物材料</t>
        </is>
      </c>
      <c r="B42" s="191">
        <f>D42+F42</f>
        <v/>
      </c>
      <c r="C42" s="191">
        <f>E42+G42</f>
        <v/>
      </c>
      <c r="D42" s="191" t="n">
        <v>9336745.85</v>
      </c>
      <c r="E42" s="191" t="n">
        <v>67176901.13</v>
      </c>
      <c r="F42" s="191" t="n"/>
      <c r="G42" s="192" t="n"/>
    </row>
    <row r="43">
      <c r="A43" s="175" t="inlineStr">
        <is>
          <t xml:space="preserve">          口腔材料</t>
        </is>
      </c>
      <c r="B43" s="191">
        <f>D43+F43</f>
        <v/>
      </c>
      <c r="C43" s="191">
        <f>E43+G43</f>
        <v/>
      </c>
      <c r="D43" s="191" t="n">
        <v>190756</v>
      </c>
      <c r="E43" s="191" t="n">
        <v>2352036</v>
      </c>
      <c r="F43" s="191" t="n"/>
      <c r="G43" s="192" t="n"/>
    </row>
    <row r="44">
      <c r="A44" s="175" t="inlineStr">
        <is>
          <t xml:space="preserve">          其他一次性医疗器械</t>
        </is>
      </c>
      <c r="B44" s="191">
        <f>D44+F44</f>
        <v/>
      </c>
      <c r="C44" s="191">
        <f>E44+G44</f>
        <v/>
      </c>
      <c r="D44" s="191" t="n">
        <v>16950817.63</v>
      </c>
      <c r="E44" s="191" t="n">
        <v>81397839.03</v>
      </c>
      <c r="F44" s="191" t="n"/>
      <c r="G44" s="192" t="n"/>
    </row>
    <row r="45">
      <c r="A45" s="175" t="inlineStr">
        <is>
          <t xml:space="preserve">     不可单独收费医用消耗材料</t>
        </is>
      </c>
      <c r="B45" s="191">
        <f>D45+F45</f>
        <v/>
      </c>
      <c r="C45" s="191">
        <f>E45+G45</f>
        <v/>
      </c>
      <c r="D45" s="191" t="n">
        <v>7106980.61</v>
      </c>
      <c r="E45" s="191" t="n">
        <v>33425787.85</v>
      </c>
      <c r="F45" s="191" t="n"/>
      <c r="G45" s="192" t="n"/>
    </row>
    <row r="46">
      <c r="A46" s="175" t="inlineStr">
        <is>
          <t xml:space="preserve">     其他卫生材料</t>
        </is>
      </c>
      <c r="B46" s="191">
        <f>D46+F46</f>
        <v/>
      </c>
      <c r="C46" s="191">
        <f>E46+G46</f>
        <v/>
      </c>
      <c r="D46" s="191" t="n">
        <v>1140028.47</v>
      </c>
      <c r="E46" s="191" t="n">
        <v>4673824.09</v>
      </c>
      <c r="F46" s="191">
        <f>F33</f>
        <v/>
      </c>
      <c r="G46" s="192">
        <f>G33</f>
        <v/>
      </c>
    </row>
    <row r="47">
      <c r="A47" s="172" t="inlineStr">
        <is>
          <t>（三）药品费</t>
        </is>
      </c>
      <c r="B47" s="191">
        <f>D47+F47</f>
        <v/>
      </c>
      <c r="C47" s="191">
        <f>E47+G47</f>
        <v/>
      </c>
      <c r="D47" s="191">
        <f>D48+D49+D50</f>
        <v/>
      </c>
      <c r="E47" s="191">
        <f>E48+E49+E50</f>
        <v/>
      </c>
      <c r="F47" s="191" t="n">
        <v>0</v>
      </c>
      <c r="G47" s="192" t="n">
        <v>0</v>
      </c>
    </row>
    <row r="48">
      <c r="A48" s="175" t="inlineStr">
        <is>
          <t xml:space="preserve">     西药费</t>
        </is>
      </c>
      <c r="B48" s="191">
        <f>D48+F48</f>
        <v/>
      </c>
      <c r="C48" s="191">
        <f>E48+G48</f>
        <v/>
      </c>
      <c r="D48" s="193" t="n">
        <v>115894327.32</v>
      </c>
      <c r="E48" s="193" t="n">
        <v>583234790.95</v>
      </c>
      <c r="F48" s="193" t="n"/>
      <c r="G48" s="194" t="n"/>
    </row>
    <row r="49">
      <c r="A49" s="175" t="inlineStr">
        <is>
          <t xml:space="preserve">     中成药费</t>
        </is>
      </c>
      <c r="B49" s="191">
        <f>D49+F49</f>
        <v/>
      </c>
      <c r="C49" s="191">
        <f>E49+G49</f>
        <v/>
      </c>
      <c r="D49" s="193" t="n">
        <v>8590394.4</v>
      </c>
      <c r="E49" s="193" t="n">
        <v>38278449.13</v>
      </c>
      <c r="F49" s="193" t="n"/>
      <c r="G49" s="194" t="n"/>
    </row>
    <row r="50">
      <c r="A50" s="175" t="inlineStr">
        <is>
          <t xml:space="preserve">     中药饮片费</t>
        </is>
      </c>
      <c r="B50" s="191">
        <f>D50+F50</f>
        <v/>
      </c>
      <c r="C50" s="191">
        <f>E50+G50</f>
        <v/>
      </c>
      <c r="D50" s="193" t="n">
        <v>2062130.91</v>
      </c>
      <c r="E50" s="193" t="n">
        <v>10225924.98</v>
      </c>
      <c r="F50" s="193" t="n"/>
      <c r="G50" s="194" t="n"/>
    </row>
    <row r="51">
      <c r="A51" s="172" t="inlineStr">
        <is>
          <t>（四）固定资产折旧费</t>
        </is>
      </c>
      <c r="B51" s="191">
        <f>D51+F51</f>
        <v/>
      </c>
      <c r="C51" s="191">
        <f>E51+G51</f>
        <v/>
      </c>
      <c r="D51" s="193" t="n">
        <v>6810505.62</v>
      </c>
      <c r="E51" s="193" t="n">
        <v>34815749.35</v>
      </c>
      <c r="F51" s="193" t="n">
        <v>2074796.38</v>
      </c>
      <c r="G51" s="194" t="n">
        <v>10434816.61</v>
      </c>
    </row>
    <row r="52">
      <c r="A52" s="172" t="inlineStr">
        <is>
          <t>（五）无形资产摊销费</t>
        </is>
      </c>
      <c r="B52" s="191">
        <f>D52+F52</f>
        <v/>
      </c>
      <c r="C52" s="191">
        <f>E52+G52</f>
        <v/>
      </c>
      <c r="D52" s="193" t="n">
        <v>34405.82</v>
      </c>
      <c r="E52" s="193" t="n">
        <v>172028.95</v>
      </c>
      <c r="F52" s="193" t="n">
        <v>1968754.86</v>
      </c>
      <c r="G52" s="194" t="n">
        <v>10022542.21</v>
      </c>
    </row>
    <row r="53">
      <c r="A53" s="172" t="inlineStr">
        <is>
          <t>（六）提取医疗风险基金</t>
        </is>
      </c>
      <c r="B53" s="191">
        <f>D53+F53</f>
        <v/>
      </c>
      <c r="C53" s="191">
        <f>E53+G53</f>
        <v/>
      </c>
      <c r="D53" s="193" t="n">
        <v>723094.77</v>
      </c>
      <c r="E53" s="193" t="n">
        <v>3614334.71</v>
      </c>
      <c r="F53" s="193" t="n"/>
      <c r="G53" s="194" t="n"/>
    </row>
    <row r="54">
      <c r="A54" s="172" t="inlineStr">
        <is>
          <t>（七）商品和服务费用</t>
        </is>
      </c>
      <c r="B54" s="191">
        <f>D54+F54</f>
        <v/>
      </c>
      <c r="C54" s="191">
        <f>E54+G54</f>
        <v/>
      </c>
      <c r="D54" s="193">
        <f>SUM(D55:D79)</f>
        <v/>
      </c>
      <c r="E54" s="193">
        <f>SUM(E55:E79)</f>
        <v/>
      </c>
      <c r="F54" s="193">
        <f>SUM(F55:F79)</f>
        <v/>
      </c>
      <c r="G54" s="194">
        <f>SUM(G55:G79)</f>
        <v/>
      </c>
    </row>
    <row r="55">
      <c r="A55" s="175" t="inlineStr">
        <is>
          <t xml:space="preserve">     办公费</t>
        </is>
      </c>
      <c r="B55" s="191">
        <f>D55+F55</f>
        <v/>
      </c>
      <c r="C55" s="191">
        <f>E55+G55</f>
        <v/>
      </c>
      <c r="D55" s="193" t="n">
        <v>0</v>
      </c>
      <c r="E55" s="193" t="n">
        <v>0</v>
      </c>
      <c r="F55" s="193" t="n">
        <v>0</v>
      </c>
      <c r="G55" s="194" t="n">
        <v>0</v>
      </c>
    </row>
    <row r="56">
      <c r="A56" s="175" t="inlineStr">
        <is>
          <t xml:space="preserve">     印刷费</t>
        </is>
      </c>
      <c r="B56" s="191">
        <f>D56+F56</f>
        <v/>
      </c>
      <c r="C56" s="191">
        <f>E56+G56</f>
        <v/>
      </c>
      <c r="D56" s="193" t="n">
        <v>273976.09</v>
      </c>
      <c r="E56" s="193" t="n">
        <v>1963539.35</v>
      </c>
      <c r="F56" s="193" t="n">
        <v>47968.28</v>
      </c>
      <c r="G56" s="194" t="n">
        <v>142994.84</v>
      </c>
    </row>
    <row r="57">
      <c r="A57" s="175" t="inlineStr">
        <is>
          <t xml:space="preserve">     咨询费</t>
        </is>
      </c>
      <c r="B57" s="191">
        <f>D57+F57</f>
        <v/>
      </c>
      <c r="C57" s="191">
        <f>E57+G57</f>
        <v/>
      </c>
      <c r="D57" s="193" t="n">
        <v>0</v>
      </c>
      <c r="E57" s="193" t="n">
        <v>0</v>
      </c>
      <c r="F57" s="193" t="n">
        <v>0</v>
      </c>
      <c r="G57" s="194" t="n">
        <v>0</v>
      </c>
    </row>
    <row r="58">
      <c r="A58" s="175" t="inlineStr">
        <is>
          <t xml:space="preserve">     手续费</t>
        </is>
      </c>
      <c r="B58" s="191">
        <f>D58+F58</f>
        <v/>
      </c>
      <c r="C58" s="191">
        <f>E58+G58</f>
        <v/>
      </c>
      <c r="D58" s="193" t="n">
        <v>0</v>
      </c>
      <c r="E58" s="193" t="n">
        <v>0</v>
      </c>
      <c r="F58" s="193" t="n">
        <v>0</v>
      </c>
      <c r="G58" s="194" t="n">
        <v>0</v>
      </c>
    </row>
    <row r="59">
      <c r="A59" s="175" t="inlineStr">
        <is>
          <t xml:space="preserve">     水费</t>
        </is>
      </c>
      <c r="B59" s="191">
        <f>D59+F59</f>
        <v/>
      </c>
      <c r="C59" s="191">
        <f>E59+G59</f>
        <v/>
      </c>
      <c r="D59" s="193" t="n">
        <v>497055.9</v>
      </c>
      <c r="E59" s="193" t="n">
        <v>2342816.31</v>
      </c>
      <c r="F59" s="193" t="n">
        <v>45987.93</v>
      </c>
      <c r="G59" s="194" t="n">
        <v>406385.4</v>
      </c>
    </row>
    <row r="60">
      <c r="A60" s="175" t="inlineStr">
        <is>
          <t xml:space="preserve">     电费</t>
        </is>
      </c>
      <c r="B60" s="191">
        <f>D60+F60</f>
        <v/>
      </c>
      <c r="C60" s="191">
        <f>E60+G60</f>
        <v/>
      </c>
      <c r="D60" s="193" t="n">
        <v>2704307.27</v>
      </c>
      <c r="E60" s="193" t="n">
        <v>12497950.79</v>
      </c>
      <c r="F60" s="193" t="n">
        <v>250204.24</v>
      </c>
      <c r="G60" s="194" t="n">
        <v>2156472.9</v>
      </c>
    </row>
    <row r="61">
      <c r="A61" s="175" t="inlineStr">
        <is>
          <t xml:space="preserve">     邮电费</t>
        </is>
      </c>
      <c r="B61" s="191">
        <f>D61+F61</f>
        <v/>
      </c>
      <c r="C61" s="191">
        <f>E61+G61</f>
        <v/>
      </c>
      <c r="D61" s="193" t="n">
        <v>276589.46</v>
      </c>
      <c r="E61" s="193" t="n">
        <v>1686918.22</v>
      </c>
      <c r="F61" s="193" t="n">
        <v>39684.09</v>
      </c>
      <c r="G61" s="194" t="n">
        <v>368027.72</v>
      </c>
    </row>
    <row r="62">
      <c r="A62" s="175" t="inlineStr">
        <is>
          <t xml:space="preserve">     取暖费</t>
        </is>
      </c>
      <c r="B62" s="191">
        <f>D62+F62</f>
        <v/>
      </c>
      <c r="C62" s="191">
        <f>E62+G62</f>
        <v/>
      </c>
      <c r="D62" s="193" t="n">
        <v>0</v>
      </c>
      <c r="E62" s="193" t="n">
        <v>0</v>
      </c>
      <c r="F62" s="193" t="n">
        <v>0</v>
      </c>
      <c r="G62" s="194" t="n">
        <v>0</v>
      </c>
    </row>
    <row r="63">
      <c r="A63" s="175" t="inlineStr">
        <is>
          <t xml:space="preserve">     物业管理费</t>
        </is>
      </c>
      <c r="B63" s="191">
        <f>D63+F63</f>
        <v/>
      </c>
      <c r="C63" s="191">
        <f>E63+G63</f>
        <v/>
      </c>
      <c r="D63" s="193" t="n">
        <v>6668521.33</v>
      </c>
      <c r="E63" s="193" t="n">
        <v>35612077.02</v>
      </c>
      <c r="F63" s="193" t="n">
        <v>616975.8199999999</v>
      </c>
      <c r="G63" s="194" t="n">
        <v>6466254.86</v>
      </c>
    </row>
    <row r="64">
      <c r="A64" s="175" t="inlineStr">
        <is>
          <t xml:space="preserve">     差旅费</t>
        </is>
      </c>
      <c r="B64" s="191">
        <f>D64+F64</f>
        <v/>
      </c>
      <c r="C64" s="191">
        <f>E64+G64</f>
        <v/>
      </c>
      <c r="D64" s="193" t="n">
        <v>53703.33</v>
      </c>
      <c r="E64" s="193" t="n">
        <v>393708.4</v>
      </c>
      <c r="F64" s="193" t="n">
        <v>78726.2</v>
      </c>
      <c r="G64" s="194" t="n">
        <v>232002.38</v>
      </c>
    </row>
    <row r="65">
      <c r="A65" s="175" t="inlineStr">
        <is>
          <t xml:space="preserve">     因公出国（境）费</t>
        </is>
      </c>
      <c r="B65" s="191">
        <f>D65+F65</f>
        <v/>
      </c>
      <c r="C65" s="191">
        <f>E65+G65</f>
        <v/>
      </c>
      <c r="D65" s="193" t="n">
        <v>52846.75</v>
      </c>
      <c r="E65" s="193" t="n">
        <v>285497.53</v>
      </c>
      <c r="F65" s="193" t="n">
        <v>0</v>
      </c>
      <c r="G65" s="194" t="n">
        <v>0</v>
      </c>
    </row>
    <row r="66">
      <c r="A66" s="175" t="inlineStr">
        <is>
          <t xml:space="preserve">     维修(护）费</t>
        </is>
      </c>
      <c r="B66" s="191">
        <f>D66+F66</f>
        <v/>
      </c>
      <c r="C66" s="191">
        <f>E66+G66</f>
        <v/>
      </c>
      <c r="D66" s="193" t="n">
        <v>3437371</v>
      </c>
      <c r="E66" s="193" t="n">
        <v>19098847.82</v>
      </c>
      <c r="F66" s="193" t="n">
        <v>3755471.73</v>
      </c>
      <c r="G66" s="194" t="n">
        <v>34443946.89</v>
      </c>
    </row>
    <row r="67">
      <c r="A67" s="175" t="inlineStr">
        <is>
          <t xml:space="preserve">     租赁费</t>
        </is>
      </c>
      <c r="B67" s="191">
        <f>D67+F67</f>
        <v/>
      </c>
      <c r="C67" s="191">
        <f>E67+G67</f>
        <v/>
      </c>
      <c r="D67" s="193" t="n">
        <v>0</v>
      </c>
      <c r="E67" s="193" t="n">
        <v>0</v>
      </c>
      <c r="F67" s="193" t="n">
        <v>3394183.23</v>
      </c>
      <c r="G67" s="194" t="n">
        <v>16538826.54</v>
      </c>
    </row>
    <row r="68">
      <c r="A68" s="175" t="inlineStr">
        <is>
          <t xml:space="preserve">     会议费</t>
        </is>
      </c>
      <c r="B68" s="191">
        <f>D68+F68</f>
        <v/>
      </c>
      <c r="C68" s="191">
        <f>E68+G68</f>
        <v/>
      </c>
      <c r="D68" s="193" t="n">
        <v>8600</v>
      </c>
      <c r="E68" s="193" t="n">
        <v>115550.87</v>
      </c>
      <c r="F68" s="193" t="n">
        <v>5575.94</v>
      </c>
      <c r="G68" s="194" t="n">
        <v>42296.22</v>
      </c>
    </row>
    <row r="69">
      <c r="A69" s="175" t="inlineStr">
        <is>
          <t xml:space="preserve">     培训费</t>
        </is>
      </c>
      <c r="B69" s="191">
        <f>D69+F69</f>
        <v/>
      </c>
      <c r="C69" s="191">
        <f>E69+G69</f>
        <v/>
      </c>
      <c r="D69" s="193" t="n">
        <v>14560</v>
      </c>
      <c r="E69" s="193" t="n">
        <v>198224</v>
      </c>
      <c r="F69" s="193" t="n">
        <v>7000</v>
      </c>
      <c r="G69" s="194" t="n">
        <v>23260</v>
      </c>
    </row>
    <row r="70">
      <c r="A70" s="175" t="inlineStr">
        <is>
          <t xml:space="preserve">     公务接待费</t>
        </is>
      </c>
      <c r="B70" s="191">
        <f>D70+F70</f>
        <v/>
      </c>
      <c r="C70" s="191">
        <f>E70+G70</f>
        <v/>
      </c>
      <c r="D70" s="193" t="n">
        <v>0</v>
      </c>
      <c r="E70" s="193" t="n">
        <v>0</v>
      </c>
      <c r="F70" s="193" t="n">
        <v>0</v>
      </c>
      <c r="G70" s="194" t="n">
        <v>53740</v>
      </c>
    </row>
    <row r="71">
      <c r="A71" s="175" t="inlineStr">
        <is>
          <t xml:space="preserve">     专用材料费</t>
        </is>
      </c>
      <c r="B71" s="191">
        <f>D71+F71</f>
        <v/>
      </c>
      <c r="C71" s="191">
        <f>E71+G71</f>
        <v/>
      </c>
      <c r="D71" s="193" t="n">
        <v>578795.5</v>
      </c>
      <c r="E71" s="193" t="n">
        <v>2960921.33</v>
      </c>
      <c r="F71" s="193" t="n">
        <v>571981.14</v>
      </c>
      <c r="G71" s="194" t="n">
        <v>1204263.55</v>
      </c>
    </row>
    <row r="72">
      <c r="A72" s="175" t="inlineStr">
        <is>
          <t xml:space="preserve">     燃气费</t>
        </is>
      </c>
      <c r="B72" s="191">
        <f>D72+F72</f>
        <v/>
      </c>
      <c r="C72" s="191">
        <f>E72+G72</f>
        <v/>
      </c>
      <c r="D72" s="193" t="n">
        <v>1183416.54</v>
      </c>
      <c r="E72" s="193" t="n">
        <v>8442902.939999999</v>
      </c>
      <c r="F72" s="193" t="n">
        <v>95883.25999999999</v>
      </c>
      <c r="G72" s="194" t="n">
        <v>1441349.26</v>
      </c>
    </row>
    <row r="73">
      <c r="A73" s="175" t="inlineStr">
        <is>
          <t xml:space="preserve">     劳务费</t>
        </is>
      </c>
      <c r="B73" s="191">
        <f>D73+F73</f>
        <v/>
      </c>
      <c r="C73" s="191">
        <f>E73+G73</f>
        <v/>
      </c>
      <c r="D73" s="193" t="n">
        <v>2486379.65</v>
      </c>
      <c r="E73" s="193" t="n">
        <v>11366195.97</v>
      </c>
      <c r="F73" s="193" t="n">
        <v>755723</v>
      </c>
      <c r="G73" s="194" t="n">
        <v>4589645.58</v>
      </c>
    </row>
    <row r="74">
      <c r="A74" s="175" t="inlineStr">
        <is>
          <t xml:space="preserve">     委托业务费</t>
        </is>
      </c>
      <c r="B74" s="191">
        <f>D74+F74</f>
        <v/>
      </c>
      <c r="C74" s="191">
        <f>E74+G74</f>
        <v/>
      </c>
      <c r="D74" s="193" t="n">
        <v>430406.9</v>
      </c>
      <c r="E74" s="193" t="n">
        <v>12925289</v>
      </c>
      <c r="F74" s="193" t="n">
        <v>95421</v>
      </c>
      <c r="G74" s="194" t="n">
        <v>553028.4</v>
      </c>
    </row>
    <row r="75">
      <c r="A75" s="175" t="inlineStr">
        <is>
          <t xml:space="preserve">     工会经费</t>
        </is>
      </c>
      <c r="B75" s="191">
        <f>D75+F75</f>
        <v/>
      </c>
      <c r="C75" s="191">
        <f>E75+G75</f>
        <v/>
      </c>
      <c r="D75" s="193" t="n">
        <v>0</v>
      </c>
      <c r="E75" s="193" t="n">
        <v>0</v>
      </c>
      <c r="F75" s="193" t="n">
        <v>0</v>
      </c>
      <c r="G75" s="194" t="n">
        <v>4808750</v>
      </c>
    </row>
    <row r="76">
      <c r="A76" s="175" t="inlineStr">
        <is>
          <t xml:space="preserve">     福利费</t>
        </is>
      </c>
      <c r="B76" s="191">
        <f>D76+F76</f>
        <v/>
      </c>
      <c r="C76" s="191">
        <f>E76+G76</f>
        <v/>
      </c>
      <c r="D76" s="193" t="n">
        <v>0</v>
      </c>
      <c r="E76" s="193" t="n">
        <v>0</v>
      </c>
      <c r="F76" s="193" t="n">
        <v>0</v>
      </c>
      <c r="G76" s="194" t="n">
        <v>0</v>
      </c>
    </row>
    <row r="77">
      <c r="A77" s="175" t="inlineStr">
        <is>
          <t xml:space="preserve">     其他交通费</t>
        </is>
      </c>
      <c r="B77" s="191">
        <f>D77+F77</f>
        <v/>
      </c>
      <c r="C77" s="191">
        <f>E77+G77</f>
        <v/>
      </c>
      <c r="D77" s="193" t="n">
        <v>0</v>
      </c>
      <c r="E77" s="193" t="n">
        <v>0</v>
      </c>
      <c r="F77" s="193" t="n">
        <v>596.46</v>
      </c>
      <c r="G77" s="194" t="n">
        <v>41512.09</v>
      </c>
    </row>
    <row r="78">
      <c r="A78" s="175" t="inlineStr">
        <is>
          <t xml:space="preserve">     税金及附加</t>
        </is>
      </c>
      <c r="B78" s="191">
        <f>D78+F78</f>
        <v/>
      </c>
      <c r="C78" s="191">
        <f>E78+G78</f>
        <v/>
      </c>
      <c r="D78" s="193" t="n">
        <v>0</v>
      </c>
      <c r="E78" s="193" t="n">
        <v>0</v>
      </c>
      <c r="F78" s="193" t="n">
        <v>375.17</v>
      </c>
      <c r="G78" s="194" t="n">
        <v>1634.41</v>
      </c>
    </row>
    <row r="79">
      <c r="A79" s="175" t="inlineStr">
        <is>
          <t xml:space="preserve">     其他商品和服务支出</t>
        </is>
      </c>
      <c r="B79" s="191">
        <f>D79+F79</f>
        <v/>
      </c>
      <c r="C79" s="191">
        <f>E79+G79</f>
        <v/>
      </c>
      <c r="D79" s="193" t="n">
        <v>6811890.26</v>
      </c>
      <c r="E79" s="193" t="n">
        <v>23509754.7</v>
      </c>
      <c r="F79" s="193" t="n">
        <v>1247305.67</v>
      </c>
      <c r="G79" s="194" t="n">
        <v>8644920.949999999</v>
      </c>
    </row>
    <row r="80" ht="14.25" customHeight="1" s="247">
      <c r="A80" s="241" t="inlineStr">
        <is>
          <t>单位负责人：                   总会计师：                   财务负责人：                   审核：                   制表人：</t>
        </is>
      </c>
      <c r="B80" s="291" t="n"/>
      <c r="C80" s="291" t="n"/>
      <c r="D80" s="291" t="n"/>
      <c r="E80" s="291" t="n"/>
      <c r="F80" s="291" t="n"/>
      <c r="G80" s="291" t="n"/>
    </row>
    <row r="81" ht="14.25" customHeight="1" s="247">
      <c r="A81" s="232" t="inlineStr">
        <is>
          <t>注：本表“医疗成本”及所属明细项目，根据“业务活动费用”“单位管理费用”科目及所属明细科目、经费性质为财政基本拨款经费、其他经费的本期发生额填列。</t>
        </is>
      </c>
    </row>
  </sheetData>
  <mergeCells count="11">
    <mergeCell ref="F3:G3"/>
    <mergeCell ref="F4:G4"/>
    <mergeCell ref="F2:G2"/>
    <mergeCell ref="A1:G1"/>
    <mergeCell ref="A80:G80"/>
    <mergeCell ref="A4:A5"/>
    <mergeCell ref="C3:E3"/>
    <mergeCell ref="D4:E4"/>
    <mergeCell ref="A81:G81"/>
    <mergeCell ref="A3:B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dawei lu</dc:creator>
  <dcterms:created xmlns:dcterms="http://purl.org/dc/terms/" xmlns:xsi="http://www.w3.org/2001/XMLSchema-instance" xsi:type="dcterms:W3CDTF">2026-04-04T01:10:06Z</dcterms:created>
  <dcterms:modified xmlns:dcterms="http://purl.org/dc/terms/" xmlns:xsi="http://www.w3.org/2001/XMLSchema-instance" xsi:type="dcterms:W3CDTF">2026-06-04T04:44:00Z</dcterms:modified>
  <cp:lastModifiedBy>dawei lu</cp:lastModifiedBy>
</cp:coreProperties>
</file>