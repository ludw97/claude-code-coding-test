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-code-coding-test\test\"/>
    </mc:Choice>
  </mc:AlternateContent>
  <xr:revisionPtr revIDLastSave="0" documentId="13_ncr:1_{405B2CC6-A4C5-4F7C-A267-72445A8F0698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饼图" sheetId="5" r:id="rId1"/>
    <sheet name="医疗成本" sheetId="1" r:id="rId2"/>
    <sheet name="人员经费" sheetId="6" r:id="rId3"/>
    <sheet name="水电煤" sheetId="11" r:id="rId4"/>
    <sheet name="预算完成情况" sheetId="12" r:id="rId5"/>
    <sheet name="收支结余" sheetId="13" r:id="rId6"/>
    <sheet name="商品服务" sheetId="20" r:id="rId7"/>
    <sheet name="物业管理" sheetId="21" r:id="rId8"/>
    <sheet name="维修护费" sheetId="22" r:id="rId9"/>
    <sheet name="后勤维修" sheetId="23" r:id="rId10"/>
    <sheet name="卫生材料" sheetId="7" r:id="rId11"/>
    <sheet name="当年累计数据表" sheetId="17" r:id="rId12"/>
    <sheet name="当年累计数据表奉贤" sheetId="19" r:id="rId13"/>
    <sheet name="去年累计数据表" sheetId="18" r:id="rId14"/>
    <sheet name="当年连续累计数据表" sheetId="24" r:id="rId15"/>
    <sheet name="当月附表1" sheetId="14" r:id="rId16"/>
    <sheet name="当月奉贤附表1" sheetId="15" r:id="rId17"/>
    <sheet name="上年同期附表1" sheetId="16" r:id="rId18"/>
    <sheet name="当月附表2" sheetId="8" r:id="rId19"/>
    <sheet name="当月奉贤附表2" sheetId="10" r:id="rId20"/>
    <sheet name="上年同期附表2" sheetId="9" r:id="rId21"/>
    <sheet name="当月附表3" sheetId="2" r:id="rId22"/>
    <sheet name="上年同期附表3" sheetId="4" r:id="rId23"/>
    <sheet name="当月奉贤附表3" sheetId="3" r:id="rId24"/>
  </sheets>
  <externalReferences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2" l="1"/>
  <c r="E14" i="7"/>
  <c r="D14" i="7"/>
  <c r="C14" i="7"/>
  <c r="E4" i="7"/>
  <c r="D4" i="7"/>
  <c r="C4" i="7"/>
  <c r="F4" i="7" s="1"/>
  <c r="G4" i="7" s="1"/>
  <c r="D9" i="7"/>
  <c r="E9" i="7"/>
  <c r="C9" i="7"/>
  <c r="F5" i="6" l="1"/>
  <c r="G5" i="6" s="1"/>
  <c r="E5" i="6"/>
  <c r="D5" i="6"/>
  <c r="C5" i="6"/>
  <c r="D9" i="13"/>
  <c r="C9" i="13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G54" i="4"/>
  <c r="F54" i="4"/>
  <c r="B54" i="4" s="1"/>
  <c r="E54" i="4"/>
  <c r="D54" i="4"/>
  <c r="C53" i="4"/>
  <c r="B53" i="4"/>
  <c r="C52" i="4"/>
  <c r="B52" i="4"/>
  <c r="C51" i="4"/>
  <c r="B51" i="4"/>
  <c r="C50" i="4"/>
  <c r="B50" i="4"/>
  <c r="C49" i="4"/>
  <c r="B49" i="4"/>
  <c r="C48" i="4"/>
  <c r="B48" i="4"/>
  <c r="E47" i="4"/>
  <c r="C47" i="4" s="1"/>
  <c r="D47" i="4"/>
  <c r="B47" i="4" s="1"/>
  <c r="G46" i="4"/>
  <c r="F46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E38" i="4"/>
  <c r="C38" i="4" s="1"/>
  <c r="D38" i="4"/>
  <c r="B38" i="4" s="1"/>
  <c r="C37" i="4"/>
  <c r="B37" i="4"/>
  <c r="C36" i="4"/>
  <c r="B36" i="4"/>
  <c r="C35" i="4"/>
  <c r="B35" i="4"/>
  <c r="C34" i="4"/>
  <c r="B34" i="4"/>
  <c r="E33" i="4"/>
  <c r="C33" i="4" s="1"/>
  <c r="D33" i="4"/>
  <c r="B33" i="4" s="1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G21" i="4"/>
  <c r="F21" i="4"/>
  <c r="E21" i="4"/>
  <c r="D21" i="4"/>
  <c r="B21" i="4" s="1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G8" i="4"/>
  <c r="F8" i="4"/>
  <c r="E8" i="4"/>
  <c r="C8" i="4" s="1"/>
  <c r="D8" i="4"/>
  <c r="B8" i="4" s="1"/>
  <c r="C26" i="16"/>
  <c r="B26" i="16"/>
  <c r="C23" i="16"/>
  <c r="B23" i="16"/>
  <c r="C20" i="16"/>
  <c r="B20" i="16"/>
  <c r="C19" i="16"/>
  <c r="C11" i="16"/>
  <c r="C5" i="16" s="1"/>
  <c r="B11" i="16"/>
  <c r="B5" i="16" s="1"/>
  <c r="E9" i="13" s="1"/>
  <c r="C6" i="16"/>
  <c r="B6" i="16"/>
  <c r="B29" i="16" l="1"/>
  <c r="C29" i="16"/>
  <c r="F7" i="4"/>
  <c r="F6" i="4" s="1"/>
  <c r="G7" i="4"/>
  <c r="G6" i="4" s="1"/>
  <c r="C21" i="4"/>
  <c r="C54" i="4"/>
  <c r="E7" i="4"/>
  <c r="D7" i="4"/>
  <c r="E12" i="20"/>
  <c r="E10" i="20"/>
  <c r="E9" i="20"/>
  <c r="E8" i="20"/>
  <c r="E7" i="20"/>
  <c r="E6" i="20"/>
  <c r="E4" i="20"/>
  <c r="D12" i="20"/>
  <c r="D10" i="20"/>
  <c r="D9" i="20"/>
  <c r="D8" i="20"/>
  <c r="D7" i="20"/>
  <c r="D6" i="20"/>
  <c r="D4" i="20"/>
  <c r="C12" i="20"/>
  <c r="C10" i="20"/>
  <c r="C9" i="20"/>
  <c r="C8" i="20"/>
  <c r="C7" i="20"/>
  <c r="C6" i="20"/>
  <c r="D7" i="11"/>
  <c r="D6" i="11"/>
  <c r="D5" i="11"/>
  <c r="E7" i="11"/>
  <c r="E6" i="11"/>
  <c r="E5" i="11"/>
  <c r="C7" i="11"/>
  <c r="C6" i="11"/>
  <c r="C5" i="11"/>
  <c r="C4" i="20"/>
  <c r="E10" i="6"/>
  <c r="E8" i="6"/>
  <c r="E7" i="6"/>
  <c r="D10" i="6"/>
  <c r="D8" i="6"/>
  <c r="D7" i="6"/>
  <c r="C10" i="6"/>
  <c r="C8" i="6"/>
  <c r="C7" i="6"/>
  <c r="D9" i="6" l="1"/>
  <c r="B7" i="4"/>
  <c r="G5" i="1" s="1"/>
  <c r="E6" i="6" s="1"/>
  <c r="D6" i="4"/>
  <c r="B6" i="4" s="1"/>
  <c r="G11" i="1" s="1"/>
  <c r="E6" i="13" s="1"/>
  <c r="C7" i="4"/>
  <c r="E6" i="4"/>
  <c r="C6" i="4" s="1"/>
  <c r="K5" i="1"/>
  <c r="G10" i="1"/>
  <c r="G9" i="1"/>
  <c r="G7" i="1"/>
  <c r="E5" i="7" s="1"/>
  <c r="E6" i="7" s="1"/>
  <c r="G6" i="1"/>
  <c r="E11" i="1"/>
  <c r="E10" i="1"/>
  <c r="E9" i="1"/>
  <c r="E7" i="1"/>
  <c r="E6" i="1"/>
  <c r="E5" i="1"/>
  <c r="C11" i="1"/>
  <c r="C10" i="1"/>
  <c r="C9" i="1"/>
  <c r="C7" i="1"/>
  <c r="C6" i="1"/>
  <c r="C5" i="1"/>
  <c r="E17" i="13"/>
  <c r="F17" i="13" s="1"/>
  <c r="M5" i="23"/>
  <c r="M9" i="23" s="1"/>
  <c r="N5" i="23"/>
  <c r="N9" i="23" s="1"/>
  <c r="L5" i="23"/>
  <c r="L9" i="23" s="1"/>
  <c r="O8" i="23"/>
  <c r="P8" i="23" s="1"/>
  <c r="O7" i="23"/>
  <c r="P7" i="23" s="1"/>
  <c r="O6" i="23"/>
  <c r="P6" i="23" s="1"/>
  <c r="G15" i="23"/>
  <c r="H15" i="23" s="1"/>
  <c r="G14" i="23"/>
  <c r="H14" i="23" s="1"/>
  <c r="G13" i="23"/>
  <c r="H13" i="23" s="1"/>
  <c r="G12" i="23"/>
  <c r="H12" i="23" s="1"/>
  <c r="G11" i="23"/>
  <c r="H11" i="23" s="1"/>
  <c r="G10" i="23"/>
  <c r="H10" i="23" s="1"/>
  <c r="G9" i="23"/>
  <c r="H9" i="23" s="1"/>
  <c r="G8" i="23"/>
  <c r="H8" i="23" s="1"/>
  <c r="G7" i="23"/>
  <c r="H7" i="23" s="1"/>
  <c r="G6" i="23"/>
  <c r="H6" i="23" s="1"/>
  <c r="E5" i="23"/>
  <c r="E16" i="23" s="1"/>
  <c r="F5" i="23"/>
  <c r="F16" i="23" s="1"/>
  <c r="D5" i="23"/>
  <c r="L5" i="21"/>
  <c r="L11" i="21" s="1"/>
  <c r="M10" i="21"/>
  <c r="N10" i="21" s="1"/>
  <c r="M9" i="21"/>
  <c r="N9" i="21" s="1"/>
  <c r="M8" i="21"/>
  <c r="N8" i="21" s="1"/>
  <c r="M7" i="21"/>
  <c r="N7" i="21" s="1"/>
  <c r="M6" i="21"/>
  <c r="N6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6" i="21" s="1"/>
  <c r="E5" i="21"/>
  <c r="E18" i="21" s="1"/>
  <c r="F7" i="22"/>
  <c r="G7" i="22" s="1"/>
  <c r="F6" i="22"/>
  <c r="G6" i="22" s="1"/>
  <c r="F5" i="22"/>
  <c r="G5" i="22" s="1"/>
  <c r="G4" i="22"/>
  <c r="E3" i="22"/>
  <c r="F11" i="20"/>
  <c r="F9" i="20"/>
  <c r="G9" i="20" s="1"/>
  <c r="F8" i="20"/>
  <c r="G8" i="20" s="1"/>
  <c r="F12" i="20"/>
  <c r="G12" i="20" s="1"/>
  <c r="F10" i="20"/>
  <c r="G10" i="20" s="1"/>
  <c r="K5" i="21"/>
  <c r="K11" i="21" s="1"/>
  <c r="F7" i="20"/>
  <c r="G7" i="20" s="1"/>
  <c r="D3" i="22"/>
  <c r="C3" i="22"/>
  <c r="K3" i="12"/>
  <c r="E17" i="7"/>
  <c r="D17" i="7"/>
  <c r="C17" i="7"/>
  <c r="E16" i="7"/>
  <c r="D16" i="7"/>
  <c r="C16" i="7"/>
  <c r="D4" i="13"/>
  <c r="E4" i="13"/>
  <c r="C4" i="13"/>
  <c r="D4" i="12" s="1"/>
  <c r="E4" i="12" s="1"/>
  <c r="F4" i="12" s="1"/>
  <c r="F5" i="13"/>
  <c r="G5" i="13" s="1"/>
  <c r="F9" i="13"/>
  <c r="H28" i="16"/>
  <c r="H27" i="16"/>
  <c r="H25" i="16"/>
  <c r="H24" i="16"/>
  <c r="H22" i="16"/>
  <c r="H21" i="16"/>
  <c r="H13" i="16"/>
  <c r="H12" i="16"/>
  <c r="H10" i="16"/>
  <c r="H9" i="16"/>
  <c r="H8" i="16"/>
  <c r="H7" i="16"/>
  <c r="E4" i="11"/>
  <c r="E5" i="20" s="1"/>
  <c r="F7" i="11"/>
  <c r="G7" i="11" s="1"/>
  <c r="F6" i="11"/>
  <c r="G6" i="11" s="1"/>
  <c r="C4" i="11"/>
  <c r="C5" i="20" s="1"/>
  <c r="F13" i="7"/>
  <c r="G13" i="7" s="1"/>
  <c r="E12" i="7"/>
  <c r="D12" i="7"/>
  <c r="C12" i="7"/>
  <c r="F7" i="7"/>
  <c r="F8" i="7"/>
  <c r="F12" i="7" s="1"/>
  <c r="F10" i="6"/>
  <c r="G10" i="6" s="1"/>
  <c r="F8" i="6"/>
  <c r="G8" i="6" s="1"/>
  <c r="F7" i="6"/>
  <c r="G7" i="6" s="1"/>
  <c r="L18" i="5"/>
  <c r="M6" i="5"/>
  <c r="D30" i="5"/>
  <c r="C30" i="5"/>
  <c r="H29" i="5"/>
  <c r="F29" i="5"/>
  <c r="H28" i="5"/>
  <c r="F28" i="5"/>
  <c r="H27" i="5"/>
  <c r="F27" i="5"/>
  <c r="R24" i="5"/>
  <c r="P24" i="5"/>
  <c r="G7" i="7" l="1"/>
  <c r="F9" i="7"/>
  <c r="G9" i="7" s="1"/>
  <c r="H30" i="5"/>
  <c r="G5" i="23"/>
  <c r="H5" i="23" s="1"/>
  <c r="G11" i="20"/>
  <c r="E15" i="7"/>
  <c r="D15" i="7"/>
  <c r="C8" i="1"/>
  <c r="F14" i="7"/>
  <c r="G14" i="7" s="1"/>
  <c r="C15" i="7"/>
  <c r="F15" i="7" s="1"/>
  <c r="H5" i="16"/>
  <c r="F17" i="7"/>
  <c r="G17" i="7" s="1"/>
  <c r="F16" i="7"/>
  <c r="G16" i="7" s="1"/>
  <c r="E7" i="13"/>
  <c r="E8" i="13" s="1"/>
  <c r="F3" i="22"/>
  <c r="G3" i="22" s="1"/>
  <c r="D5" i="21"/>
  <c r="D18" i="21" s="1"/>
  <c r="D4" i="11"/>
  <c r="D5" i="20" s="1"/>
  <c r="D13" i="20" s="1"/>
  <c r="D24" i="20" s="1"/>
  <c r="J5" i="21"/>
  <c r="J11" i="21" s="1"/>
  <c r="M11" i="21" s="1"/>
  <c r="N11" i="21" s="1"/>
  <c r="F5" i="20"/>
  <c r="G5" i="20" s="1"/>
  <c r="F4" i="11"/>
  <c r="G4" i="11" s="1"/>
  <c r="F5" i="11"/>
  <c r="G5" i="11" s="1"/>
  <c r="F4" i="20"/>
  <c r="G4" i="20" s="1"/>
  <c r="C9" i="6"/>
  <c r="D6" i="12"/>
  <c r="F6" i="20"/>
  <c r="G6" i="20" s="1"/>
  <c r="C5" i="21"/>
  <c r="O5" i="23"/>
  <c r="P5" i="23" s="1"/>
  <c r="D16" i="23"/>
  <c r="G16" i="23" s="1"/>
  <c r="H16" i="23" s="1"/>
  <c r="O9" i="23"/>
  <c r="P9" i="23" s="1"/>
  <c r="E13" i="20"/>
  <c r="E24" i="20" s="1"/>
  <c r="F4" i="13"/>
  <c r="G4" i="13" s="1"/>
  <c r="G8" i="7"/>
  <c r="G12" i="7" s="1"/>
  <c r="E9" i="6"/>
  <c r="L15" i="5"/>
  <c r="M5" i="5"/>
  <c r="M4" i="5"/>
  <c r="M10" i="5"/>
  <c r="M8" i="5"/>
  <c r="L16" i="5"/>
  <c r="F30" i="5"/>
  <c r="F5" i="21" l="1"/>
  <c r="G5" i="21" s="1"/>
  <c r="C18" i="21"/>
  <c r="M5" i="21"/>
  <c r="N5" i="21" s="1"/>
  <c r="F9" i="6"/>
  <c r="G9" i="6" s="1"/>
  <c r="E6" i="12"/>
  <c r="F6" i="12" s="1"/>
  <c r="K4" i="12"/>
  <c r="L4" i="12" s="1"/>
  <c r="F18" i="21"/>
  <c r="G18" i="21" s="1"/>
  <c r="C13" i="20"/>
  <c r="L14" i="5"/>
  <c r="F13" i="20" l="1"/>
  <c r="C24" i="20"/>
  <c r="L17" i="5"/>
  <c r="M7" i="5"/>
  <c r="G13" i="20" l="1"/>
  <c r="F24" i="20"/>
  <c r="G24" i="20" s="1"/>
  <c r="K11" i="1"/>
  <c r="K10" i="1"/>
  <c r="K9" i="1"/>
  <c r="K7" i="1"/>
  <c r="K6" i="1"/>
  <c r="H5" i="1"/>
  <c r="D6" i="13"/>
  <c r="D7" i="13" s="1"/>
  <c r="D8" i="13" s="1"/>
  <c r="F9" i="1"/>
  <c r="D5" i="7"/>
  <c r="D6" i="7" s="1"/>
  <c r="F6" i="1"/>
  <c r="D6" i="6"/>
  <c r="C6" i="13"/>
  <c r="D10" i="1"/>
  <c r="C5" i="7"/>
  <c r="I6" i="1"/>
  <c r="J6" i="1" s="1"/>
  <c r="C6" i="6"/>
  <c r="F10" i="1" l="1"/>
  <c r="F7" i="1"/>
  <c r="F5" i="1"/>
  <c r="D7" i="1"/>
  <c r="D6" i="1"/>
  <c r="D8" i="1"/>
  <c r="I10" i="1"/>
  <c r="J10" i="1" s="1"/>
  <c r="I5" i="1"/>
  <c r="I9" i="1"/>
  <c r="J9" i="1" s="1"/>
  <c r="D5" i="1"/>
  <c r="I7" i="1"/>
  <c r="J7" i="1" s="1"/>
  <c r="C6" i="7"/>
  <c r="F6" i="7" s="1"/>
  <c r="G6" i="7" s="1"/>
  <c r="F5" i="7"/>
  <c r="G5" i="7" s="1"/>
  <c r="D9" i="1"/>
  <c r="I11" i="1"/>
  <c r="J11" i="1" s="1"/>
  <c r="F6" i="13"/>
  <c r="G6" i="13" s="1"/>
  <c r="D5" i="12"/>
  <c r="E5" i="12" s="1"/>
  <c r="F5" i="12" s="1"/>
  <c r="C7" i="13"/>
  <c r="K8" i="1"/>
  <c r="H6" i="1"/>
  <c r="H7" i="1"/>
  <c r="H9" i="1"/>
  <c r="H10" i="1"/>
  <c r="G8" i="1"/>
  <c r="H8" i="1" s="1"/>
  <c r="E8" i="1"/>
  <c r="F8" i="1" s="1"/>
  <c r="I8" i="1" l="1"/>
  <c r="J8" i="1" s="1"/>
  <c r="F6" i="6"/>
  <c r="J5" i="1"/>
  <c r="G6" i="6" s="1"/>
  <c r="C8" i="13"/>
  <c r="F8" i="13" s="1"/>
  <c r="F7" i="13"/>
  <c r="G7" i="13" s="1"/>
</calcChain>
</file>

<file path=xl/sharedStrings.xml><?xml version="1.0" encoding="utf-8"?>
<sst xmlns="http://schemas.openxmlformats.org/spreadsheetml/2006/main" count="2172" uniqueCount="588">
  <si>
    <t>项  目</t>
  </si>
  <si>
    <t>2026年</t>
  </si>
  <si>
    <t>占 比%</t>
  </si>
  <si>
    <t>奉贤院区</t>
  </si>
  <si>
    <t>2025年</t>
  </si>
  <si>
    <t>增减额</t>
  </si>
  <si>
    <t>增减率</t>
  </si>
  <si>
    <t>人员经费</t>
  </si>
  <si>
    <t>药品费</t>
  </si>
  <si>
    <t>卫生材料费</t>
  </si>
  <si>
    <t>折旧/摊销</t>
  </si>
  <si>
    <t>医疗风险基金</t>
  </si>
  <si>
    <t>商品和服务费</t>
  </si>
  <si>
    <t>医疗成本合计</t>
  </si>
  <si>
    <t>医疗成本费用明细表</t>
  </si>
  <si>
    <t/>
  </si>
  <si>
    <t>附表-03</t>
  </si>
  <si>
    <t>编制单位：上海交通大学医学院附属新华医院</t>
  </si>
  <si>
    <t>单位：元</t>
  </si>
  <si>
    <t>项    目</t>
  </si>
  <si>
    <t>合  计</t>
  </si>
  <si>
    <t>业务活动费用</t>
  </si>
  <si>
    <t>单位管理费用</t>
  </si>
  <si>
    <t>本月数</t>
  </si>
  <si>
    <t>累计数</t>
  </si>
  <si>
    <t>（一）人员经费</t>
  </si>
  <si>
    <t xml:space="preserve">  工资福利费用</t>
  </si>
  <si>
    <t xml:space="preserve">     基本工资</t>
  </si>
  <si>
    <t xml:space="preserve">     津贴补贴</t>
  </si>
  <si>
    <t xml:space="preserve">     奖金</t>
  </si>
  <si>
    <t xml:space="preserve">     伙食补助费</t>
  </si>
  <si>
    <t xml:space="preserve">     绩效工资</t>
  </si>
  <si>
    <t xml:space="preserve">     基本养老保险缴费</t>
  </si>
  <si>
    <t xml:space="preserve">     职业年金缴费</t>
  </si>
  <si>
    <t xml:space="preserve">     基本医疗保险缴费</t>
  </si>
  <si>
    <t xml:space="preserve">     其他社会保障缴费</t>
  </si>
  <si>
    <t xml:space="preserve">     住房公积金</t>
  </si>
  <si>
    <t xml:space="preserve">     医疗费</t>
  </si>
  <si>
    <t xml:space="preserve">     其他工资福利支出</t>
  </si>
  <si>
    <t xml:space="preserve">  对个人和家庭的补助费用</t>
  </si>
  <si>
    <t xml:space="preserve">     离休费</t>
  </si>
  <si>
    <t xml:space="preserve">     退休费</t>
  </si>
  <si>
    <t xml:space="preserve">     退职费</t>
  </si>
  <si>
    <t xml:space="preserve">     抚恤金</t>
  </si>
  <si>
    <t xml:space="preserve">     生活补助</t>
  </si>
  <si>
    <t xml:space="preserve">     救济费</t>
  </si>
  <si>
    <t xml:space="preserve">     医疗补助费</t>
  </si>
  <si>
    <t xml:space="preserve">     助学金</t>
  </si>
  <si>
    <t xml:space="preserve">     奖励金</t>
  </si>
  <si>
    <t xml:space="preserve">     生产补贴</t>
  </si>
  <si>
    <t xml:space="preserve">     其他对个人和家庭补助支出</t>
  </si>
  <si>
    <t>（二）卫生材料费</t>
  </si>
  <si>
    <t xml:space="preserve">     血费</t>
  </si>
  <si>
    <t xml:space="preserve">     氧气费</t>
  </si>
  <si>
    <t xml:space="preserve">     放射材料费</t>
  </si>
  <si>
    <t xml:space="preserve">     化验材料费</t>
  </si>
  <si>
    <t xml:space="preserve">     一次性医疗器械</t>
  </si>
  <si>
    <t xml:space="preserve">          手术器械类</t>
  </si>
  <si>
    <t xml:space="preserve">          植入材料和人工器官</t>
  </si>
  <si>
    <t xml:space="preserve">          各类介入器械</t>
  </si>
  <si>
    <t xml:space="preserve">          医用材料高分子生物材料</t>
  </si>
  <si>
    <t xml:space="preserve">          口腔材料</t>
  </si>
  <si>
    <t xml:space="preserve">          其他一次性医疗器械</t>
  </si>
  <si>
    <t xml:space="preserve">     不可单独收费医用消耗材料</t>
  </si>
  <si>
    <t xml:space="preserve">     其他卫生材料</t>
  </si>
  <si>
    <t>（三）药品费</t>
  </si>
  <si>
    <t xml:space="preserve">     西药费</t>
  </si>
  <si>
    <t xml:space="preserve">     中成药费</t>
  </si>
  <si>
    <t xml:space="preserve">     中药饮片费</t>
  </si>
  <si>
    <t>（四）固定资产折旧费</t>
  </si>
  <si>
    <t>（五）无形资产摊销费</t>
  </si>
  <si>
    <t>（六）提取医疗风险基金</t>
  </si>
  <si>
    <t>（七）商品和服务费用</t>
  </si>
  <si>
    <t xml:space="preserve">     办公费</t>
  </si>
  <si>
    <t xml:space="preserve">     印刷费</t>
  </si>
  <si>
    <t xml:space="preserve">     咨询费</t>
  </si>
  <si>
    <t xml:space="preserve">     手续费</t>
  </si>
  <si>
    <t xml:space="preserve">     水费</t>
  </si>
  <si>
    <t xml:space="preserve">     电费</t>
  </si>
  <si>
    <t xml:space="preserve">     邮电费</t>
  </si>
  <si>
    <t xml:space="preserve">     取暖费</t>
  </si>
  <si>
    <t xml:space="preserve">     物业管理费</t>
  </si>
  <si>
    <t xml:space="preserve">     差旅费</t>
  </si>
  <si>
    <t xml:space="preserve">     因公出国（境）费</t>
  </si>
  <si>
    <t xml:space="preserve">     维修(护）费</t>
  </si>
  <si>
    <t xml:space="preserve">     租赁费</t>
  </si>
  <si>
    <t xml:space="preserve">     会议费</t>
  </si>
  <si>
    <t xml:space="preserve">     培训费</t>
  </si>
  <si>
    <t xml:space="preserve">     公务接待费</t>
  </si>
  <si>
    <t xml:space="preserve">     专用材料费</t>
  </si>
  <si>
    <t xml:space="preserve">     燃气费</t>
  </si>
  <si>
    <t xml:space="preserve">     劳务费</t>
  </si>
  <si>
    <t xml:space="preserve">     委托业务费</t>
  </si>
  <si>
    <t xml:space="preserve">     工会经费</t>
  </si>
  <si>
    <t xml:space="preserve">     福利费</t>
  </si>
  <si>
    <t xml:space="preserve">     其他交通费</t>
  </si>
  <si>
    <t xml:space="preserve">     税金及附加</t>
  </si>
  <si>
    <t xml:space="preserve">     其他商品和服务支出</t>
  </si>
  <si>
    <t>单位负责人：                   总会计师：                   财务负责人：                   审核：                   制表人：</t>
  </si>
  <si>
    <t>注：本表“医疗成本”及所属明细项目，根据“业务活动费用”“单位管理费用”科目及所属明细科目、经费性质为财政基本拨款经费、其他经费的本期发生额填列。</t>
  </si>
  <si>
    <t>编制单位：上海交通大学医学院附属新华医院（奉贤）</t>
  </si>
  <si>
    <t>1月</t>
    <phoneticPr fontId="11" type="noConversion"/>
  </si>
  <si>
    <t>自动</t>
    <phoneticPr fontId="11" type="noConversion"/>
  </si>
  <si>
    <t>2026年</t>
    <phoneticPr fontId="11" type="noConversion"/>
  </si>
  <si>
    <t>占 比 %</t>
  </si>
  <si>
    <t>奉贤</t>
    <phoneticPr fontId="11" type="noConversion"/>
  </si>
  <si>
    <t>2025年</t>
    <phoneticPr fontId="11" type="noConversion"/>
  </si>
  <si>
    <t>耗材费</t>
  </si>
  <si>
    <t>风险基金</t>
    <phoneticPr fontId="11" type="noConversion"/>
  </si>
  <si>
    <t>其他费用</t>
  </si>
  <si>
    <t>2024年</t>
    <phoneticPr fontId="11" type="noConversion"/>
  </si>
  <si>
    <t>人员经费</t>
    <phoneticPr fontId="11" type="noConversion"/>
  </si>
  <si>
    <t>医疗风险基金</t>
    <phoneticPr fontId="11" type="noConversion"/>
  </si>
  <si>
    <t>药品费</t>
    <phoneticPr fontId="11" type="noConversion"/>
  </si>
  <si>
    <t>能源费</t>
    <phoneticPr fontId="11" type="noConversion"/>
  </si>
  <si>
    <t>耗材费</t>
    <phoneticPr fontId="11" type="noConversion"/>
  </si>
  <si>
    <t>物业管理费</t>
    <phoneticPr fontId="11" type="noConversion"/>
  </si>
  <si>
    <t>折旧/摊销</t>
    <phoneticPr fontId="11" type="noConversion"/>
  </si>
  <si>
    <t>维修护费</t>
    <phoneticPr fontId="11" type="noConversion"/>
  </si>
  <si>
    <t>其他费用</t>
    <phoneticPr fontId="11" type="noConversion"/>
  </si>
  <si>
    <t>劳务费</t>
    <phoneticPr fontId="11" type="noConversion"/>
  </si>
  <si>
    <t>其他</t>
    <phoneticPr fontId="11" type="noConversion"/>
  </si>
  <si>
    <t>2024年</t>
  </si>
  <si>
    <t>2023年</t>
  </si>
  <si>
    <t>总计</t>
    <phoneticPr fontId="11" type="noConversion"/>
  </si>
  <si>
    <t>项   目</t>
  </si>
  <si>
    <t>1-9月</t>
  </si>
  <si>
    <t>医疗成本</t>
  </si>
  <si>
    <t>其中：工资总额</t>
  </si>
  <si>
    <t>小  计</t>
  </si>
  <si>
    <t>其中</t>
  </si>
  <si>
    <t xml:space="preserve">    其中：基本工资等</t>
  </si>
  <si>
    <t xml:space="preserve">               绩效工资</t>
  </si>
  <si>
    <t>　　　社保公积金</t>
  </si>
  <si>
    <t xml:space="preserve"> 其中：可收费</t>
  </si>
  <si>
    <t xml:space="preserve">           不可收费</t>
  </si>
  <si>
    <t xml:space="preserve">           其中：检验试剂</t>
  </si>
  <si>
    <t>调整</t>
    <phoneticPr fontId="9" type="noConversion"/>
  </si>
  <si>
    <t>其中：奉贤院区</t>
  </si>
  <si>
    <t>检验试剂成本</t>
  </si>
  <si>
    <t xml:space="preserve">        其中：医学检验科</t>
  </si>
  <si>
    <t>化验收入</t>
  </si>
  <si>
    <t>成本收入比重</t>
  </si>
  <si>
    <t>-　</t>
  </si>
  <si>
    <t>门急诊人次</t>
  </si>
  <si>
    <t>住院人次</t>
  </si>
  <si>
    <t>医疗收入成本表</t>
  </si>
  <si>
    <t>附表-02</t>
  </si>
  <si>
    <t>本年累计数</t>
  </si>
  <si>
    <t>一、医疗收入</t>
  </si>
  <si>
    <t>一、医疗成本</t>
  </si>
  <si>
    <t>1.门急诊收入</t>
  </si>
  <si>
    <t>（一）按性质分类</t>
  </si>
  <si>
    <t xml:space="preserve">    其中：挂号收入</t>
  </si>
  <si>
    <t xml:space="preserve">     1.人员经费</t>
  </si>
  <si>
    <t xml:space="preserve">     诊察收入</t>
  </si>
  <si>
    <t xml:space="preserve">     2.卫生材料费</t>
  </si>
  <si>
    <t xml:space="preserve">     检查收入</t>
  </si>
  <si>
    <t xml:space="preserve">     3.药品费</t>
  </si>
  <si>
    <t xml:space="preserve">     化验收入</t>
  </si>
  <si>
    <t xml:space="preserve">     4.固定资产折旧费</t>
  </si>
  <si>
    <t xml:space="preserve">     治疗收入</t>
  </si>
  <si>
    <t xml:space="preserve">     5.无形资产摊销费</t>
  </si>
  <si>
    <t xml:space="preserve">     手术收入</t>
  </si>
  <si>
    <t xml:space="preserve">     6.提取医疗风险基金</t>
  </si>
  <si>
    <t xml:space="preserve">     卫生材料收入</t>
  </si>
  <si>
    <t xml:space="preserve">     7.其他费用</t>
  </si>
  <si>
    <t xml:space="preserve">     药品收入</t>
  </si>
  <si>
    <t>（二）按功能分类</t>
  </si>
  <si>
    <t xml:space="preserve">     其中：西药收入</t>
  </si>
  <si>
    <t xml:space="preserve">     1.业务活动费用</t>
  </si>
  <si>
    <t xml:space="preserve">          中成药收入</t>
  </si>
  <si>
    <t xml:space="preserve">     2.单位管理费用</t>
  </si>
  <si>
    <t xml:space="preserve">          中药饮片收入</t>
  </si>
  <si>
    <t xml:space="preserve">     其他门诊收入</t>
  </si>
  <si>
    <t>2.住院收入</t>
  </si>
  <si>
    <t xml:space="preserve">    其中：床位收入</t>
  </si>
  <si>
    <t xml:space="preserve">     护理收入</t>
  </si>
  <si>
    <t xml:space="preserve">     其他住院收入</t>
  </si>
  <si>
    <t>单位负责人：</t>
  </si>
  <si>
    <t xml:space="preserve">总会计师：  </t>
  </si>
  <si>
    <t>财务负责人：</t>
  </si>
  <si>
    <t xml:space="preserve"> 审核： </t>
  </si>
  <si>
    <t>制表：</t>
  </si>
  <si>
    <t>注：本表“医疗成本”及所属明细项目，根据“业务活动费用”“单位管理费用”科目及所属明细科目、经费性质为财政基本拨款经费、其他经费（不含非同级财政项目经费）的本期发生额填列。</t>
  </si>
  <si>
    <t>能耗成本</t>
  </si>
  <si>
    <t>其中：水费</t>
  </si>
  <si>
    <t>电费</t>
  </si>
  <si>
    <t>燃气费</t>
  </si>
  <si>
    <t>执行率指标</t>
  </si>
  <si>
    <t>核定数</t>
  </si>
  <si>
    <t>执行数</t>
  </si>
  <si>
    <t>执行率</t>
  </si>
  <si>
    <t>与时间节点比较</t>
  </si>
  <si>
    <t>医疗收入</t>
  </si>
  <si>
    <t xml:space="preserve">          工资总额</t>
  </si>
  <si>
    <t>加：财政基本拨款收入</t>
  </si>
  <si>
    <t>-</t>
  </si>
  <si>
    <t>减：医疗成本</t>
  </si>
  <si>
    <t>医疗服务盈余</t>
  </si>
  <si>
    <t>其他盈余</t>
  </si>
  <si>
    <t>收支结余</t>
  </si>
  <si>
    <t>收入费用盈余表</t>
  </si>
  <si>
    <t>附表-01</t>
  </si>
  <si>
    <t>一、医疗业务盈余：</t>
  </si>
  <si>
    <t>（一）医疗服务盈余：</t>
  </si>
  <si>
    <t xml:space="preserve">     医疗收入</t>
  </si>
  <si>
    <t xml:space="preserve">     加：财政基本拨款收入</t>
  </si>
  <si>
    <t xml:space="preserve">     加：非同级财政基本拨款收入</t>
  </si>
  <si>
    <t xml:space="preserve">     减：医疗成本</t>
  </si>
  <si>
    <t>（二）其他盈余：</t>
  </si>
  <si>
    <t xml:space="preserve">     其他医疗活动收入</t>
  </si>
  <si>
    <t xml:space="preserve">     减：其他医疗活动费用</t>
  </si>
  <si>
    <t>（三）结转入结余分配：</t>
  </si>
  <si>
    <t>\</t>
  </si>
  <si>
    <t xml:space="preserve">     加：年初未弥补亏损</t>
  </si>
  <si>
    <t xml:space="preserve">     加：累计盈余弥补亏损</t>
  </si>
  <si>
    <t xml:space="preserve">     减：提取职工福利基金</t>
  </si>
  <si>
    <t xml:space="preserve">         转入累计盈余</t>
  </si>
  <si>
    <t xml:space="preserve">         年末未弥补亏损</t>
  </si>
  <si>
    <t>二、医疗项目盈余：</t>
  </si>
  <si>
    <t xml:space="preserve">     非同级财政项目拨款收入</t>
  </si>
  <si>
    <t xml:space="preserve">     减：非同级财政项目费用</t>
  </si>
  <si>
    <t>三、财政项目盈余：</t>
  </si>
  <si>
    <t xml:space="preserve">     财政项目拨款收入</t>
  </si>
  <si>
    <t xml:space="preserve">     减：财政项目费用</t>
  </si>
  <si>
    <t>四、科教盈余：</t>
  </si>
  <si>
    <t xml:space="preserve">     科教收入</t>
  </si>
  <si>
    <t xml:space="preserve">     减：科教费用</t>
  </si>
  <si>
    <t>本期盈余合计</t>
  </si>
  <si>
    <t>单位负责人：          总会计师：           财务负责人：          审核：          制表：</t>
  </si>
  <si>
    <t>注：本表“医疗成本”根据“业务活动费用”“单位管理费用”科目及所属明细科目、经费性质为财政基本拨款经费、其他经费的本期发生额填列；“非同级财政项目费用”根据“业务活动费用”“单位管理费用”科目及所属明细科目、经费性质为非同级财政拨款经费的本期发生额填列。</t>
  </si>
  <si>
    <t>1=2+5=8+43</t>
  </si>
  <si>
    <t>2=3+4</t>
  </si>
  <si>
    <t>5=6+7</t>
  </si>
  <si>
    <t>8=9+12=15+22+29+36</t>
  </si>
  <si>
    <t>9=10+11</t>
  </si>
  <si>
    <t>12=13+14</t>
  </si>
  <si>
    <t>15=16+19</t>
  </si>
  <si>
    <t>16=17+18</t>
  </si>
  <si>
    <t>19=20+21</t>
  </si>
  <si>
    <t>22=23+26</t>
  </si>
  <si>
    <t>23=24+25</t>
  </si>
  <si>
    <t>26=27+28</t>
  </si>
  <si>
    <t>29=30+33</t>
  </si>
  <si>
    <t>30=31+32</t>
  </si>
  <si>
    <t>33=34+35</t>
  </si>
  <si>
    <t>36=37+40</t>
  </si>
  <si>
    <t>37=38+39</t>
  </si>
  <si>
    <t>40=41+42</t>
  </si>
  <si>
    <t>43=50+57+64+71=44+47</t>
  </si>
  <si>
    <t>44=45+46</t>
  </si>
  <si>
    <t>47=48+49</t>
  </si>
  <si>
    <t>50=51+54</t>
  </si>
  <si>
    <t>51=52+53</t>
  </si>
  <si>
    <t>54=55+56</t>
  </si>
  <si>
    <t>57=58+61</t>
  </si>
  <si>
    <t>58=59+60</t>
  </si>
  <si>
    <t>61=62+63</t>
  </si>
  <si>
    <t>64=65+68</t>
  </si>
  <si>
    <t>65=66+67</t>
  </si>
  <si>
    <t>68=69+70</t>
  </si>
  <si>
    <t>71=72+75</t>
  </si>
  <si>
    <t>72=73+74</t>
  </si>
  <si>
    <t>75=76+77</t>
  </si>
  <si>
    <t>78=85+93+100+108+86+101=79+82</t>
  </si>
  <si>
    <t>79=80+81</t>
  </si>
  <si>
    <t>82=83+84</t>
  </si>
  <si>
    <t>85=87+90=78-93-100-108-86-101</t>
  </si>
  <si>
    <t>87=88+89</t>
  </si>
  <si>
    <t>90=91+92</t>
  </si>
  <si>
    <t>93=94+97</t>
  </si>
  <si>
    <t>94=95+96</t>
  </si>
  <si>
    <t>97=98+99</t>
  </si>
  <si>
    <t>100=102+105</t>
  </si>
  <si>
    <t>102=103+104</t>
  </si>
  <si>
    <t>105=106+107</t>
  </si>
  <si>
    <t>108=109+112</t>
  </si>
  <si>
    <t>109=110+111</t>
  </si>
  <si>
    <t>112=113+114</t>
  </si>
  <si>
    <t>115=116+119</t>
  </si>
  <si>
    <t>116=117+118</t>
  </si>
  <si>
    <t>119=120+121</t>
  </si>
  <si>
    <t>122=123+124+125</t>
  </si>
  <si>
    <t>126=127+128+129</t>
  </si>
  <si>
    <t>130=131+132</t>
  </si>
  <si>
    <t>序号</t>
  </si>
  <si>
    <t>科室类别</t>
  </si>
  <si>
    <t>科室名称</t>
  </si>
  <si>
    <t>医疗收入不含药耗</t>
  </si>
  <si>
    <t>门急诊收入不含药耗</t>
  </si>
  <si>
    <t>住院收入不含药耗</t>
  </si>
  <si>
    <t>门急诊治疗收入</t>
  </si>
  <si>
    <t>门急诊手术收入</t>
  </si>
  <si>
    <t>门诊中药饮片收入</t>
  </si>
  <si>
    <t>住院治疗收入</t>
  </si>
  <si>
    <t>住院手术收入</t>
  </si>
  <si>
    <t>住院中药饮片收入</t>
  </si>
  <si>
    <t>其中本地病人医疗收入</t>
  </si>
  <si>
    <t>其中本地病人医保医疗收入</t>
  </si>
  <si>
    <t>其中本地病人自费医疗收入</t>
  </si>
  <si>
    <t>其中异地病人医疗收入</t>
  </si>
  <si>
    <t>其中异地病人医保医疗收入</t>
  </si>
  <si>
    <t>其中异地病人自费医疗收入</t>
  </si>
  <si>
    <t>门急诊收入</t>
  </si>
  <si>
    <t>门急诊药品收入</t>
  </si>
  <si>
    <t>门急诊耗材收入</t>
  </si>
  <si>
    <t>门急诊检查化验收入</t>
  </si>
  <si>
    <t>门急诊劳务收入</t>
  </si>
  <si>
    <t>住院收入</t>
  </si>
  <si>
    <t>住院药品收入</t>
  </si>
  <si>
    <t>住院耗材收入</t>
  </si>
  <si>
    <t>住院检查化验收入</t>
  </si>
  <si>
    <t>住院劳务收入</t>
  </si>
  <si>
    <t>急诊收入</t>
  </si>
  <si>
    <t>普通门诊收入</t>
  </si>
  <si>
    <t>专家门诊收入</t>
  </si>
  <si>
    <t>专病门诊收入</t>
  </si>
  <si>
    <t>特需门诊收入</t>
  </si>
  <si>
    <t>MDT门诊收入</t>
  </si>
  <si>
    <t>镜朗诊疗部收入</t>
  </si>
  <si>
    <t>特需病房收入</t>
  </si>
  <si>
    <t>其中本地病人人次</t>
  </si>
  <si>
    <t>其中本地病人医保人次</t>
  </si>
  <si>
    <t>其中本地病人自费人次</t>
  </si>
  <si>
    <t>其中异地病人人次</t>
  </si>
  <si>
    <t>其中异地病人医保人次</t>
  </si>
  <si>
    <t>其中异地病人自费人次</t>
  </si>
  <si>
    <t>普通门诊
(普通+专病)</t>
  </si>
  <si>
    <t>互联网普通门诊人次</t>
  </si>
  <si>
    <t>专家门诊</t>
  </si>
  <si>
    <t>特需门诊
(特需+MDT)</t>
  </si>
  <si>
    <t>互联网特需门诊人次</t>
  </si>
  <si>
    <t>急诊人次</t>
  </si>
  <si>
    <t>手术人次与操作人次</t>
  </si>
  <si>
    <t>手术人次</t>
  </si>
  <si>
    <t>介入人次</t>
  </si>
  <si>
    <t>操作人次(治疗+诊断)</t>
  </si>
  <si>
    <t>微创手术人次（手术）</t>
  </si>
  <si>
    <t>微创手术人次（介入）</t>
  </si>
  <si>
    <t>微创手术人次（操作）</t>
  </si>
  <si>
    <t>三级手术</t>
  </si>
  <si>
    <t>三级手术(手术)</t>
  </si>
  <si>
    <t>三级手术(介入)</t>
  </si>
  <si>
    <t>三级手术(操作)</t>
  </si>
  <si>
    <t>四级手术</t>
  </si>
  <si>
    <t>四级手术(手术)</t>
  </si>
  <si>
    <t>四级手术(介入)</t>
  </si>
  <si>
    <t>重点病种人次</t>
  </si>
  <si>
    <t>小计：</t>
  </si>
  <si>
    <t>成人非手术</t>
  </si>
  <si>
    <t>内科</t>
  </si>
  <si>
    <t>呼吸内科</t>
  </si>
  <si>
    <t>消化内科（内窥镜诊治部）</t>
  </si>
  <si>
    <t>神经内科</t>
  </si>
  <si>
    <t>心血管内科</t>
  </si>
  <si>
    <t>血液内科</t>
  </si>
  <si>
    <t>肾脏风湿免疫科</t>
  </si>
  <si>
    <t>内分泌科</t>
  </si>
  <si>
    <t>老年医学科</t>
  </si>
  <si>
    <t>全科医学科</t>
  </si>
  <si>
    <t>成人手术</t>
  </si>
  <si>
    <t>普外科</t>
  </si>
  <si>
    <t>神经外科</t>
  </si>
  <si>
    <t>骨科</t>
  </si>
  <si>
    <t>泌尿外科</t>
  </si>
  <si>
    <t>心胸外科</t>
  </si>
  <si>
    <t>整形外科</t>
  </si>
  <si>
    <t>肛肠外科</t>
  </si>
  <si>
    <t>脊柱中心</t>
  </si>
  <si>
    <t>移植科</t>
  </si>
  <si>
    <t>乳腺外科</t>
  </si>
  <si>
    <t>介入血管外科</t>
  </si>
  <si>
    <t>妇产科</t>
  </si>
  <si>
    <t>儿童非手术</t>
  </si>
  <si>
    <t>儿内科</t>
  </si>
  <si>
    <t>儿消化营养科</t>
  </si>
  <si>
    <t>儿呼吸内科</t>
  </si>
  <si>
    <t>儿肾脏内科</t>
  </si>
  <si>
    <t>儿血液肿瘤科</t>
  </si>
  <si>
    <t>儿内分泌遗传科</t>
  </si>
  <si>
    <t>新生儿科</t>
  </si>
  <si>
    <t>儿童手术</t>
  </si>
  <si>
    <t>儿心脏中心</t>
  </si>
  <si>
    <t>儿神经内科</t>
  </si>
  <si>
    <t>儿感染科</t>
  </si>
  <si>
    <t>儿急危重症医学科</t>
  </si>
  <si>
    <t>儿普外科</t>
  </si>
  <si>
    <t>儿泌尿外科</t>
  </si>
  <si>
    <t>儿骨科</t>
  </si>
  <si>
    <t>儿神经外科</t>
  </si>
  <si>
    <t>发育行为儿童保健科</t>
  </si>
  <si>
    <t>眼科</t>
  </si>
  <si>
    <t>耳鼻咽喉-头颈外科</t>
  </si>
  <si>
    <t>口腔科</t>
  </si>
  <si>
    <t>皮肤疾病诊治中心</t>
  </si>
  <si>
    <t>临床心理科</t>
  </si>
  <si>
    <t>肿瘤内科</t>
  </si>
  <si>
    <t>急诊医学科</t>
  </si>
  <si>
    <t>康复医学科</t>
  </si>
  <si>
    <t>中医科</t>
  </si>
  <si>
    <t>医技平台</t>
  </si>
  <si>
    <t>核医学科</t>
  </si>
  <si>
    <t>临床营养科</t>
  </si>
  <si>
    <t>重症医学科(筹)</t>
  </si>
  <si>
    <t>疼痛科</t>
  </si>
  <si>
    <t>生殖医学中心</t>
  </si>
  <si>
    <t>其他</t>
  </si>
  <si>
    <t>上海市罕见病诊治中心</t>
  </si>
  <si>
    <t>健康管理中心</t>
  </si>
  <si>
    <t>感染科</t>
  </si>
  <si>
    <t>新冠核酸检测</t>
  </si>
  <si>
    <t>胎儿医院（筹）</t>
  </si>
  <si>
    <t>麻醉科</t>
  </si>
  <si>
    <t>放疗科</t>
  </si>
  <si>
    <t>特需门诊</t>
  </si>
  <si>
    <t>病理科</t>
  </si>
  <si>
    <t>放射科</t>
  </si>
  <si>
    <t>超声诊断科</t>
  </si>
  <si>
    <t>临床药物试验办公室GCP</t>
  </si>
  <si>
    <t>其它</t>
  </si>
  <si>
    <t>心血管一科</t>
  </si>
  <si>
    <t>心血管二科</t>
  </si>
  <si>
    <t>妇科</t>
  </si>
  <si>
    <t>特需病房</t>
  </si>
  <si>
    <t>肿瘤综合诊治中心</t>
  </si>
  <si>
    <t>年终</t>
    <phoneticPr fontId="9" type="noConversion"/>
  </si>
  <si>
    <t>商品服务</t>
  </si>
  <si>
    <t xml:space="preserve">  其中：能源成本</t>
  </si>
  <si>
    <t xml:space="preserve">            维修护费</t>
  </si>
  <si>
    <t xml:space="preserve">            物业管理费</t>
  </si>
  <si>
    <t xml:space="preserve">            委托业务费</t>
  </si>
  <si>
    <t xml:space="preserve">            劳务费</t>
  </si>
  <si>
    <t xml:space="preserve">            专用材料费</t>
  </si>
  <si>
    <t>供应室外包成本</t>
  </si>
  <si>
    <t xml:space="preserve">            其他</t>
  </si>
  <si>
    <t>物业管理费</t>
  </si>
  <si>
    <t xml:space="preserve">           其中： 电梯驾驶服务</t>
  </si>
  <si>
    <t xml:space="preserve">            保安管理</t>
  </si>
  <si>
    <t xml:space="preserve">            运送服务费</t>
  </si>
  <si>
    <t xml:space="preserve">            保洁服务</t>
  </si>
  <si>
    <t xml:space="preserve">            被服洗涤</t>
  </si>
  <si>
    <t>维修费</t>
  </si>
  <si>
    <r>
      <t xml:space="preserve">  其中：</t>
    </r>
    <r>
      <rPr>
        <sz val="16"/>
        <color rgb="FF000000"/>
        <rFont val="微软雅黑"/>
        <family val="2"/>
        <charset val="134"/>
      </rPr>
      <t>网络维修</t>
    </r>
  </si>
  <si>
    <r>
      <t>设备</t>
    </r>
    <r>
      <rPr>
        <sz val="15"/>
        <color rgb="FF0F1321"/>
        <rFont val="微软雅黑"/>
        <family val="2"/>
        <charset val="134"/>
      </rPr>
      <t>维修</t>
    </r>
  </si>
  <si>
    <t xml:space="preserve">            后勤维修</t>
  </si>
  <si>
    <t xml:space="preserve">            房屋维修</t>
  </si>
  <si>
    <t>会务</t>
    <phoneticPr fontId="9" type="noConversion"/>
  </si>
  <si>
    <t>绿化</t>
    <phoneticPr fontId="9" type="noConversion"/>
  </si>
  <si>
    <t>垃圾清运</t>
    <phoneticPr fontId="9" type="noConversion"/>
  </si>
  <si>
    <t>危险废弃物</t>
    <phoneticPr fontId="9" type="noConversion"/>
  </si>
  <si>
    <t>医废处置</t>
    <phoneticPr fontId="9" type="noConversion"/>
  </si>
  <si>
    <t>医废收运</t>
    <phoneticPr fontId="9" type="noConversion"/>
  </si>
  <si>
    <t>其他</t>
    <phoneticPr fontId="9" type="noConversion"/>
  </si>
  <si>
    <t xml:space="preserve">            物业其他</t>
    <phoneticPr fontId="9" type="noConversion"/>
  </si>
  <si>
    <t>后勤维修费</t>
  </si>
  <si>
    <t xml:space="preserve">  其中：物业维修</t>
  </si>
  <si>
    <t xml:space="preserve">            电梯运行</t>
  </si>
  <si>
    <t xml:space="preserve">            通用设施</t>
  </si>
  <si>
    <t xml:space="preserve">            空调运行管理费</t>
  </si>
  <si>
    <t>柯渡</t>
    <phoneticPr fontId="9" type="noConversion"/>
  </si>
  <si>
    <t>电站运行</t>
    <phoneticPr fontId="9" type="noConversion"/>
  </si>
  <si>
    <t>给排水锅炉</t>
    <phoneticPr fontId="9" type="noConversion"/>
  </si>
  <si>
    <t>后勤智能化</t>
    <phoneticPr fontId="9" type="noConversion"/>
  </si>
  <si>
    <t>污水处理站</t>
    <phoneticPr fontId="9" type="noConversion"/>
  </si>
  <si>
    <t>污水管线</t>
    <phoneticPr fontId="9" type="noConversion"/>
  </si>
  <si>
    <t>医用气体</t>
    <phoneticPr fontId="9" type="noConversion"/>
  </si>
  <si>
    <t>新华医疗开发公司</t>
  </si>
  <si>
    <t>胎儿医学与宫内儿科学诊治中心</t>
  </si>
  <si>
    <t>2026年04月-2026年04月</t>
  </si>
  <si>
    <t>项 目</t>
  </si>
  <si>
    <t>加：非同级财政基本拨款收入</t>
  </si>
  <si>
    <t>其他医疗活动收入</t>
  </si>
  <si>
    <t>减：其他医疗活动费用</t>
  </si>
  <si>
    <t>加：年初未弥补亏损</t>
  </si>
  <si>
    <t>加：累计盈余弥补亏损</t>
  </si>
  <si>
    <t>减：提取职工福利基金</t>
  </si>
  <si>
    <t>转入累计盈余</t>
  </si>
  <si>
    <t>年末未弥补亏损</t>
  </si>
  <si>
    <t>非同级财政项目拨款收入</t>
  </si>
  <si>
    <t>减：非同级财政项目费用</t>
  </si>
  <si>
    <t>财政项目拨款收入</t>
  </si>
  <si>
    <t>减：财政项目费用</t>
  </si>
  <si>
    <t>科教收入</t>
  </si>
  <si>
    <t>减：科教费用</t>
  </si>
  <si>
    <t>单位负责人： 总会计师： 财务负责人： 审核： 制表：</t>
  </si>
  <si>
    <t>2025年4月</t>
  </si>
  <si>
    <t>其中：挂号收入</t>
  </si>
  <si>
    <t>1.人员经费</t>
  </si>
  <si>
    <t>诊察收入</t>
  </si>
  <si>
    <t>2.卫生材料费</t>
  </si>
  <si>
    <t>检查收入</t>
  </si>
  <si>
    <t>3.药品费</t>
  </si>
  <si>
    <t>4.固定资产折旧费</t>
  </si>
  <si>
    <t>治疗收入</t>
  </si>
  <si>
    <t>5.无形资产摊销费</t>
  </si>
  <si>
    <t>手术收入</t>
  </si>
  <si>
    <t>6.提取医疗风险基金</t>
  </si>
  <si>
    <t>卫生材料收入</t>
  </si>
  <si>
    <t>7.其他费用</t>
  </si>
  <si>
    <t>药品收入</t>
  </si>
  <si>
    <t>其中：西药收入</t>
  </si>
  <si>
    <t>1.业务活动费用</t>
  </si>
  <si>
    <t>中成药收入</t>
  </si>
  <si>
    <t>2.单位管理费用</t>
  </si>
  <si>
    <t>中药饮片收入</t>
  </si>
  <si>
    <t>其他门诊收入</t>
  </si>
  <si>
    <t>其中：床位收入</t>
  </si>
  <si>
    <t>护理收入</t>
  </si>
  <si>
    <t>其他住院收入</t>
  </si>
  <si>
    <t>总会计师：</t>
  </si>
  <si>
    <t>审核：</t>
  </si>
  <si>
    <t>合 计</t>
  </si>
  <si>
    <t>工资福利费用</t>
  </si>
  <si>
    <t>基本工资</t>
  </si>
  <si>
    <t>津贴补贴</t>
  </si>
  <si>
    <t>奖金</t>
  </si>
  <si>
    <t>伙食补助费</t>
  </si>
  <si>
    <t>绩效工资</t>
  </si>
  <si>
    <t>基本养老保险缴费</t>
  </si>
  <si>
    <t>职业年金缴费</t>
  </si>
  <si>
    <t>基本医疗保险缴费</t>
  </si>
  <si>
    <t>其他社会保障缴费</t>
  </si>
  <si>
    <t>住房公积金</t>
  </si>
  <si>
    <t>医疗费</t>
  </si>
  <si>
    <t>其他工资福利支出</t>
  </si>
  <si>
    <t>对个人和家庭的补助费用</t>
  </si>
  <si>
    <t>离休费</t>
  </si>
  <si>
    <t>退休费</t>
  </si>
  <si>
    <t>退职费</t>
  </si>
  <si>
    <t>抚恤金</t>
  </si>
  <si>
    <t>生活补助</t>
  </si>
  <si>
    <t>救济费</t>
  </si>
  <si>
    <t>医疗补助费</t>
  </si>
  <si>
    <t>助学金</t>
  </si>
  <si>
    <t>奖励金</t>
  </si>
  <si>
    <t>生产补贴</t>
  </si>
  <si>
    <t>其他对个人和家庭补助支出</t>
  </si>
  <si>
    <t>血费</t>
  </si>
  <si>
    <t>氧气费</t>
  </si>
  <si>
    <t>放射材料费</t>
  </si>
  <si>
    <t>化验材料费</t>
  </si>
  <si>
    <t>一次性医疗器械</t>
  </si>
  <si>
    <t>手术器械类</t>
  </si>
  <si>
    <t>植入材料和人工器官</t>
  </si>
  <si>
    <t>各类介入器械</t>
  </si>
  <si>
    <t>医用材料高分子生物材料</t>
  </si>
  <si>
    <t>口腔材料</t>
  </si>
  <si>
    <t>其他一次性医疗器械</t>
  </si>
  <si>
    <t>不可单独收费医用消耗材料</t>
  </si>
  <si>
    <t>其他卫生材料</t>
  </si>
  <si>
    <t>西药费</t>
  </si>
  <si>
    <t>中成药费</t>
  </si>
  <si>
    <t>中药饮片费</t>
  </si>
  <si>
    <t>办公费</t>
  </si>
  <si>
    <t>印刷费</t>
  </si>
  <si>
    <t>咨询费</t>
  </si>
  <si>
    <t>手续费</t>
  </si>
  <si>
    <t>水费</t>
  </si>
  <si>
    <t>邮电费</t>
  </si>
  <si>
    <t>取暖费</t>
  </si>
  <si>
    <t>差旅费</t>
  </si>
  <si>
    <t>因公出国（境）费</t>
  </si>
  <si>
    <t>维修(护）费</t>
  </si>
  <si>
    <t>租赁费</t>
  </si>
  <si>
    <t>会议费</t>
  </si>
  <si>
    <t>培训费</t>
  </si>
  <si>
    <t>公务接待费</t>
  </si>
  <si>
    <t>专用材料费</t>
  </si>
  <si>
    <t>劳务费</t>
  </si>
  <si>
    <t>委托业务费</t>
  </si>
  <si>
    <t>工会经费</t>
  </si>
  <si>
    <t>福利费</t>
  </si>
  <si>
    <t>其他交通费</t>
  </si>
  <si>
    <t>税金及附加</t>
  </si>
  <si>
    <t>其他商品和服务支出</t>
  </si>
  <si>
    <t>单位负责人： 总会计师： 财务负责人： 审核： 制表人：</t>
  </si>
  <si>
    <t>4月</t>
  </si>
  <si>
    <t>医疗服务收入</t>
    <phoneticPr fontId="9" type="noConversion"/>
  </si>
  <si>
    <t>日期范围：20250401-20250430</t>
  </si>
  <si>
    <t>日期范围：20260401-20260430</t>
  </si>
  <si>
    <t xml:space="preserve">                    其他不可收费卫生材料</t>
  </si>
  <si>
    <t>卫生材料收入</t>
    <phoneticPr fontId="9" type="noConversion"/>
  </si>
  <si>
    <t>通用设施设备管理</t>
    <phoneticPr fontId="9" type="noConversion"/>
  </si>
  <si>
    <t>交通管理服务费</t>
    <phoneticPr fontId="9" type="noConversion"/>
  </si>
  <si>
    <t>日期范围：20260101-20260430</t>
  </si>
  <si>
    <t>镜朗特需与国际医疗部</t>
  </si>
  <si>
    <t xml:space="preserve">           物业管理其他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</si>
</sst>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;\-0.00;&quot;0.00&quot;"/>
    <numFmt numFmtId="177" formatCode="0.0%"/>
    <numFmt numFmtId="178" formatCode="#,##0_ "/>
    <numFmt numFmtId="179" formatCode="#,###.00;\-#,###.00"/>
    <numFmt numFmtId="180" formatCode="#,##0.00_ "/>
  </numFmts>
  <fonts count="4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name val="Arial"/>
      <family val="2"/>
    </font>
    <font>
      <b/>
      <sz val="14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b/>
      <sz val="16"/>
      <color rgb="FFC00000"/>
      <name val="微软雅黑"/>
      <family val="2"/>
      <charset val="134"/>
    </font>
    <font>
      <sz val="14"/>
      <color rgb="FFC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000000"/>
      <name val="宋体"/>
      <family val="3"/>
      <charset val="134"/>
    </font>
    <font>
      <sz val="9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sz val="18"/>
      <color rgb="FF000000"/>
      <name val="微软雅黑"/>
      <family val="2"/>
      <charset val="134"/>
    </font>
    <font>
      <sz val="15"/>
      <color rgb="FF0000FF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5"/>
      <color rgb="FF000000"/>
      <name val="微软雅黑"/>
      <family val="2"/>
      <charset val="134"/>
    </font>
    <font>
      <b/>
      <sz val="16"/>
      <color rgb="FF000066"/>
      <name val="微软雅黑"/>
      <family val="2"/>
      <charset val="134"/>
    </font>
    <font>
      <b/>
      <sz val="15"/>
      <color rgb="FF000066"/>
      <name val="微软雅黑"/>
      <family val="2"/>
      <charset val="134"/>
    </font>
    <font>
      <sz val="12"/>
      <color rgb="FF0F1321"/>
      <name val="微软雅黑"/>
      <family val="2"/>
      <charset val="134"/>
    </font>
    <font>
      <sz val="15"/>
      <color rgb="FF0F1321"/>
      <name val="微软雅黑"/>
      <family val="2"/>
      <charset val="134"/>
    </font>
    <font>
      <b/>
      <sz val="20"/>
      <color rgb="FF000066"/>
      <name val="微软雅黑"/>
      <family val="2"/>
      <charset val="134"/>
    </font>
    <font>
      <sz val="15"/>
      <color rgb="FF000000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8"/>
      <color rgb="FF000066"/>
      <name val="微软雅黑"/>
      <family val="2"/>
      <charset val="134"/>
    </font>
    <font>
      <b/>
      <sz val="20"/>
      <color rgb="FF002060"/>
      <name val="微软雅黑"/>
      <family val="2"/>
      <charset val="134"/>
    </font>
    <font>
      <b/>
      <sz val="16"/>
      <color rgb="FF0000FF"/>
      <name val="微软雅黑"/>
      <family val="2"/>
      <charset val="134"/>
    </font>
    <font>
      <sz val="16"/>
      <color rgb="FF000000"/>
      <name val="微软雅黑"/>
      <family val="2"/>
      <charset val="134"/>
    </font>
    <font>
      <b/>
      <sz val="14"/>
      <color rgb="FF000066"/>
      <name val="微软雅黑"/>
      <family val="2"/>
      <charset val="134"/>
    </font>
    <font>
      <b/>
      <sz val="15"/>
      <color rgb="FFC0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9"/>
      <name val="SimSun"/>
      <charset val="134"/>
    </font>
    <font>
      <b/>
      <sz val="15"/>
      <color rgb="FF0F1321"/>
      <name val="微软雅黑"/>
      <family val="2"/>
      <charset val="134"/>
    </font>
    <font>
      <sz val="14"/>
      <color rgb="FF0F1321"/>
      <name val="微软雅黑"/>
      <family val="2"/>
      <charset val="134"/>
    </font>
    <font>
      <b/>
      <sz val="18"/>
      <color rgb="FF2C3E50"/>
      <name val="宋体"/>
      <family val="3"/>
      <charset val="134"/>
    </font>
    <font>
      <sz val="9"/>
      <color rgb="FF2C3E50"/>
      <name val="宋体"/>
      <family val="3"/>
      <charset val="134"/>
    </font>
    <font>
      <b/>
      <sz val="9"/>
      <color rgb="FF2C3E50"/>
      <name val="宋体"/>
      <family val="3"/>
      <charset val="134"/>
    </font>
    <font>
      <sz val="11"/>
      <color rgb="FF2C3E50"/>
      <name val="宋体"/>
      <family val="3"/>
      <charset val="134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4"/>
      <color rgb="FF2C3E50"/>
      <name val="宋体"/>
      <family val="3"/>
      <charset val="134"/>
    </font>
    <font>
      <b/>
      <sz val="14"/>
      <name val="宋体"/>
      <family val="3"/>
      <charset val="134"/>
    </font>
    <font>
      <b/>
      <sz val="11"/>
      <color rgb="FF2C3E50"/>
      <name val="宋体"/>
      <family val="3"/>
      <charset val="134"/>
    </font>
    <font>
      <b/>
      <sz val="1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CCCC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rgb="FF333399"/>
      </top>
      <bottom style="medium">
        <color rgb="FF333399"/>
      </bottom>
      <diagonal/>
    </border>
    <border>
      <left/>
      <right/>
      <top style="medium">
        <color rgb="FF333399"/>
      </top>
      <bottom/>
      <diagonal/>
    </border>
    <border>
      <left/>
      <right/>
      <top/>
      <bottom style="medium">
        <color rgb="FF33339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2D2D8A"/>
      </top>
      <bottom/>
      <diagonal/>
    </border>
    <border>
      <left/>
      <right/>
      <top/>
      <bottom style="medium">
        <color rgb="FF2D2D8A"/>
      </bottom>
      <diagonal/>
    </border>
    <border>
      <left/>
      <right/>
      <top style="medium">
        <color rgb="FF2D2D8A"/>
      </top>
      <bottom style="medium">
        <color rgb="FF2D2D8A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333399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3" fontId="0" fillId="0" borderId="0" xfId="0" applyNumberFormat="1">
      <alignment vertical="center"/>
    </xf>
    <xf numFmtId="3" fontId="4" fillId="0" borderId="2" xfId="0" applyNumberFormat="1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center" vertical="center" wrapText="1" readingOrder="1"/>
    </xf>
    <xf numFmtId="3" fontId="4" fillId="0" borderId="0" xfId="0" applyNumberFormat="1" applyFont="1" applyAlignment="1">
      <alignment horizontal="center" vertical="center" wrapText="1" readingOrder="1"/>
    </xf>
    <xf numFmtId="3" fontId="5" fillId="0" borderId="0" xfId="0" applyNumberFormat="1" applyFont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3" fontId="7" fillId="0" borderId="3" xfId="0" applyNumberFormat="1" applyFont="1" applyBorder="1" applyAlignment="1">
      <alignment horizontal="center" vertical="center" wrapText="1" readingOrder="1"/>
    </xf>
    <xf numFmtId="3" fontId="8" fillId="0" borderId="3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3" fontId="3" fillId="0" borderId="2" xfId="0" applyNumberFormat="1" applyFont="1" applyBorder="1" applyAlignment="1">
      <alignment horizontal="center" vertical="center" wrapText="1" readingOrder="1"/>
    </xf>
    <xf numFmtId="177" fontId="3" fillId="0" borderId="2" xfId="0" applyNumberFormat="1" applyFont="1" applyBorder="1" applyAlignment="1">
      <alignment horizontal="center" vertical="center" wrapText="1" readingOrder="1"/>
    </xf>
    <xf numFmtId="177" fontId="0" fillId="0" borderId="0" xfId="0" applyNumberFormat="1">
      <alignment vertical="center"/>
    </xf>
    <xf numFmtId="0" fontId="3" fillId="0" borderId="0" xfId="0" applyFont="1" applyAlignment="1">
      <alignment horizontal="left" vertical="center" wrapText="1" indent="1" readingOrder="1"/>
    </xf>
    <xf numFmtId="3" fontId="3" fillId="0" borderId="0" xfId="0" applyNumberFormat="1" applyFont="1" applyAlignment="1">
      <alignment horizontal="center" vertical="center" wrapText="1" readingOrder="1"/>
    </xf>
    <xf numFmtId="177" fontId="3" fillId="0" borderId="0" xfId="0" applyNumberFormat="1" applyFont="1" applyAlignment="1">
      <alignment horizontal="center" vertical="center" wrapText="1" readingOrder="1"/>
    </xf>
    <xf numFmtId="177" fontId="3" fillId="0" borderId="0" xfId="1" applyNumberFormat="1" applyFont="1" applyBorder="1" applyAlignment="1">
      <alignment horizontal="center" vertical="center" wrapText="1" readingOrder="1"/>
    </xf>
    <xf numFmtId="3" fontId="6" fillId="0" borderId="3" xfId="0" applyNumberFormat="1" applyFont="1" applyBorder="1" applyAlignment="1">
      <alignment horizontal="center" vertical="center" wrapText="1" readingOrder="1"/>
    </xf>
    <xf numFmtId="177" fontId="6" fillId="0" borderId="3" xfId="0" applyNumberFormat="1" applyFont="1" applyBorder="1" applyAlignment="1">
      <alignment horizontal="center" vertical="center" wrapText="1" readingOrder="1"/>
    </xf>
    <xf numFmtId="177" fontId="0" fillId="0" borderId="0" xfId="1" applyNumberFormat="1" applyFont="1" applyAlignment="1">
      <alignment horizontal="center" vertical="center"/>
    </xf>
    <xf numFmtId="0" fontId="12" fillId="0" borderId="7" xfId="0" applyFont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center" vertical="center" wrapText="1" readingOrder="1"/>
    </xf>
    <xf numFmtId="178" fontId="13" fillId="0" borderId="7" xfId="0" applyNumberFormat="1" applyFont="1" applyBorder="1" applyAlignment="1">
      <alignment horizontal="center" vertical="center" wrapText="1" readingOrder="1"/>
    </xf>
    <xf numFmtId="178" fontId="2" fillId="0" borderId="7" xfId="0" applyNumberFormat="1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 readingOrder="1"/>
    </xf>
    <xf numFmtId="178" fontId="14" fillId="0" borderId="0" xfId="0" applyNumberFormat="1" applyFont="1" applyAlignment="1">
      <alignment horizontal="center" vertical="center" wrapText="1" readingOrder="1"/>
    </xf>
    <xf numFmtId="10" fontId="14" fillId="0" borderId="0" xfId="1" applyNumberFormat="1" applyFont="1" applyAlignment="1">
      <alignment horizontal="center" vertical="center" wrapText="1" readingOrder="1"/>
    </xf>
    <xf numFmtId="0" fontId="14" fillId="0" borderId="0" xfId="0" applyFont="1" applyAlignment="1">
      <alignment horizontal="left" vertical="center" wrapText="1" readingOrder="1"/>
    </xf>
    <xf numFmtId="178" fontId="13" fillId="0" borderId="0" xfId="0" applyNumberFormat="1" applyFont="1" applyAlignment="1">
      <alignment horizontal="center" vertical="center" wrapText="1" readingOrder="1"/>
    </xf>
    <xf numFmtId="178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 readingOrder="1"/>
    </xf>
    <xf numFmtId="178" fontId="15" fillId="0" borderId="0" xfId="0" applyNumberFormat="1" applyFont="1" applyAlignment="1">
      <alignment horizontal="center" vertical="center" wrapText="1" readingOrder="1"/>
    </xf>
    <xf numFmtId="10" fontId="15" fillId="0" borderId="0" xfId="1" applyNumberFormat="1" applyFont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1"/>
    </xf>
    <xf numFmtId="0" fontId="16" fillId="0" borderId="0" xfId="0" applyFont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0" fontId="17" fillId="0" borderId="7" xfId="0" applyFont="1" applyBorder="1" applyAlignment="1">
      <alignment horizontal="left" vertical="center" wrapText="1" indent="3" readingOrder="1"/>
    </xf>
    <xf numFmtId="3" fontId="18" fillId="0" borderId="7" xfId="0" applyNumberFormat="1" applyFont="1" applyBorder="1" applyAlignment="1">
      <alignment horizontal="center" vertical="center" wrapText="1" readingOrder="1"/>
    </xf>
    <xf numFmtId="10" fontId="18" fillId="0" borderId="7" xfId="0" applyNumberFormat="1" applyFont="1" applyBorder="1" applyAlignment="1">
      <alignment horizontal="center" vertical="center" wrapText="1" readingOrder="1"/>
    </xf>
    <xf numFmtId="3" fontId="16" fillId="0" borderId="0" xfId="0" applyNumberFormat="1" applyFont="1" applyAlignment="1">
      <alignment horizontal="center" vertical="center" wrapText="1" readingOrder="1"/>
    </xf>
    <xf numFmtId="0" fontId="19" fillId="0" borderId="0" xfId="0" applyFont="1" applyAlignment="1">
      <alignment horizontal="right" vertical="center" wrapText="1" indent="3" readingOrder="1"/>
    </xf>
    <xf numFmtId="3" fontId="20" fillId="0" borderId="0" xfId="0" applyNumberFormat="1" applyFont="1" applyAlignment="1">
      <alignment horizontal="center" vertical="center" wrapText="1" readingOrder="1"/>
    </xf>
    <xf numFmtId="0" fontId="20" fillId="0" borderId="0" xfId="0" applyFont="1" applyAlignment="1">
      <alignment horizontal="center" vertical="center" wrapText="1" readingOrder="1"/>
    </xf>
    <xf numFmtId="0" fontId="21" fillId="0" borderId="7" xfId="0" applyFont="1" applyBorder="1" applyAlignment="1">
      <alignment horizontal="left" vertical="center" wrapText="1" indent="3" readingOrder="1"/>
    </xf>
    <xf numFmtId="0" fontId="16" fillId="0" borderId="0" xfId="0" applyFont="1" applyAlignment="1">
      <alignment horizontal="left" vertical="center" wrapText="1" indent="3" readingOrder="1"/>
    </xf>
    <xf numFmtId="3" fontId="22" fillId="0" borderId="0" xfId="0" applyNumberFormat="1" applyFont="1" applyAlignment="1">
      <alignment horizontal="center" vertical="center" wrapText="1" readingOrder="1"/>
    </xf>
    <xf numFmtId="10" fontId="22" fillId="0" borderId="0" xfId="0" applyNumberFormat="1" applyFont="1" applyAlignment="1">
      <alignment horizontal="center" vertical="center" wrapText="1" readingOrder="1"/>
    </xf>
    <xf numFmtId="0" fontId="20" fillId="0" borderId="0" xfId="0" applyFont="1" applyAlignment="1">
      <alignment horizontal="left" vertical="center" wrapText="1" indent="3" readingOrder="1"/>
    </xf>
    <xf numFmtId="177" fontId="22" fillId="0" borderId="0" xfId="0" applyNumberFormat="1" applyFont="1" applyAlignment="1">
      <alignment horizontal="center" vertical="center" wrapText="1" readingOrder="1"/>
    </xf>
    <xf numFmtId="0" fontId="16" fillId="0" borderId="9" xfId="0" applyFont="1" applyBorder="1" applyAlignment="1">
      <alignment horizontal="center" vertical="center" wrapText="1" readingOrder="1"/>
    </xf>
    <xf numFmtId="3" fontId="21" fillId="0" borderId="7" xfId="0" applyNumberFormat="1" applyFont="1" applyBorder="1" applyAlignment="1">
      <alignment horizontal="center" vertical="center" wrapText="1" readingOrder="1"/>
    </xf>
    <xf numFmtId="0" fontId="21" fillId="0" borderId="0" xfId="0" applyFont="1" applyAlignment="1">
      <alignment horizontal="left" vertical="center" wrapText="1" indent="3" readingOrder="1"/>
    </xf>
    <xf numFmtId="3" fontId="21" fillId="0" borderId="0" xfId="0" applyNumberFormat="1" applyFont="1" applyAlignment="1">
      <alignment horizontal="center" vertical="center" wrapText="1" readingOrder="1"/>
    </xf>
    <xf numFmtId="0" fontId="23" fillId="0" borderId="10" xfId="0" applyFont="1" applyBorder="1" applyAlignment="1">
      <alignment horizontal="left" vertical="center" wrapText="1" indent="3" readingOrder="1"/>
    </xf>
    <xf numFmtId="10" fontId="23" fillId="0" borderId="10" xfId="0" applyNumberFormat="1" applyFont="1" applyBorder="1" applyAlignment="1">
      <alignment horizontal="center" vertical="center" wrapText="1" readingOrder="1"/>
    </xf>
    <xf numFmtId="0" fontId="20" fillId="0" borderId="11" xfId="0" applyFont="1" applyBorder="1" applyAlignment="1">
      <alignment horizontal="left" vertical="center" wrapText="1" indent="3" readingOrder="1"/>
    </xf>
    <xf numFmtId="0" fontId="20" fillId="0" borderId="11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left" vertical="center" wrapText="1" indent="3" readingOrder="1"/>
    </xf>
    <xf numFmtId="0" fontId="20" fillId="0" borderId="10" xfId="0" applyFont="1" applyBorder="1" applyAlignment="1">
      <alignment horizontal="center" vertical="center" wrapText="1" readingOrder="1"/>
    </xf>
    <xf numFmtId="3" fontId="24" fillId="0" borderId="7" xfId="0" applyNumberFormat="1" applyFont="1" applyBorder="1" applyAlignment="1">
      <alignment horizontal="center" vertical="center" wrapText="1" readingOrder="1"/>
    </xf>
    <xf numFmtId="10" fontId="25" fillId="0" borderId="7" xfId="0" applyNumberFormat="1" applyFont="1" applyBorder="1" applyAlignment="1">
      <alignment horizontal="center" vertical="center" wrapText="1" readingOrder="1"/>
    </xf>
    <xf numFmtId="0" fontId="13" fillId="0" borderId="0" xfId="0" applyFont="1" applyAlignment="1">
      <alignment horizontal="right" vertical="center" wrapText="1" readingOrder="1"/>
    </xf>
    <xf numFmtId="0" fontId="22" fillId="0" borderId="0" xfId="0" applyFont="1" applyAlignment="1">
      <alignment horizontal="center" vertical="center" wrapText="1" readingOrder="1"/>
    </xf>
    <xf numFmtId="3" fontId="25" fillId="0" borderId="7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left" vertical="center" wrapText="1" readingOrder="1"/>
    </xf>
    <xf numFmtId="3" fontId="4" fillId="3" borderId="13" xfId="0" applyNumberFormat="1" applyFont="1" applyFill="1" applyBorder="1" applyAlignment="1">
      <alignment horizontal="center" vertical="center" wrapText="1" readingOrder="1"/>
    </xf>
    <xf numFmtId="10" fontId="4" fillId="3" borderId="13" xfId="0" applyNumberFormat="1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left" vertical="center" wrapText="1" readingOrder="1"/>
    </xf>
    <xf numFmtId="3" fontId="4" fillId="3" borderId="11" xfId="0" applyNumberFormat="1" applyFont="1" applyFill="1" applyBorder="1" applyAlignment="1">
      <alignment horizontal="center" vertical="center" wrapText="1" readingOrder="1"/>
    </xf>
    <xf numFmtId="10" fontId="4" fillId="3" borderId="11" xfId="0" applyNumberFormat="1" applyFont="1" applyFill="1" applyBorder="1" applyAlignment="1">
      <alignment horizontal="center" vertical="center" wrapText="1" readingOrder="1"/>
    </xf>
    <xf numFmtId="0" fontId="27" fillId="3" borderId="0" xfId="0" applyFont="1" applyFill="1" applyAlignment="1">
      <alignment horizontal="left" vertical="center" wrapText="1" readingOrder="1"/>
    </xf>
    <xf numFmtId="3" fontId="27" fillId="3" borderId="0" xfId="0" applyNumberFormat="1" applyFont="1" applyFill="1" applyAlignment="1">
      <alignment horizontal="center" vertical="center" wrapText="1" readingOrder="1"/>
    </xf>
    <xf numFmtId="10" fontId="27" fillId="3" borderId="0" xfId="0" applyNumberFormat="1" applyFont="1" applyFill="1" applyAlignment="1">
      <alignment horizontal="center" vertical="center" wrapText="1" readingOrder="1"/>
    </xf>
    <xf numFmtId="0" fontId="16" fillId="0" borderId="6" xfId="0" applyFont="1" applyBorder="1" applyAlignment="1">
      <alignment horizontal="center" vertical="center" wrapText="1" readingOrder="1"/>
    </xf>
    <xf numFmtId="0" fontId="28" fillId="0" borderId="7" xfId="0" applyFont="1" applyBorder="1" applyAlignment="1">
      <alignment horizontal="left" vertical="center" wrapText="1" indent="3" readingOrder="1"/>
    </xf>
    <xf numFmtId="0" fontId="28" fillId="0" borderId="0" xfId="0" applyFont="1" applyAlignment="1">
      <alignment horizontal="left" vertical="center" wrapText="1" indent="3" readingOrder="1"/>
    </xf>
    <xf numFmtId="3" fontId="18" fillId="0" borderId="0" xfId="0" applyNumberFormat="1" applyFont="1" applyAlignment="1">
      <alignment horizontal="center" vertical="center" wrapText="1" readingOrder="1"/>
    </xf>
    <xf numFmtId="0" fontId="18" fillId="0" borderId="0" xfId="0" applyFont="1" applyAlignment="1">
      <alignment horizontal="center" vertical="center" wrapText="1" readingOrder="1"/>
    </xf>
    <xf numFmtId="10" fontId="18" fillId="0" borderId="0" xfId="0" applyNumberFormat="1" applyFont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3" fontId="29" fillId="0" borderId="0" xfId="0" applyNumberFormat="1" applyFont="1" applyAlignment="1">
      <alignment horizontal="center" vertical="center" wrapText="1" readingOrder="1"/>
    </xf>
    <xf numFmtId="0" fontId="30" fillId="0" borderId="0" xfId="0" applyFont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0" fillId="0" borderId="0" xfId="0" applyFont="1" applyProtection="1">
      <alignment vertical="center"/>
      <protection locked="0"/>
    </xf>
    <xf numFmtId="0" fontId="10" fillId="4" borderId="4" xfId="0" applyFont="1" applyFill="1" applyBorder="1" applyAlignment="1">
      <alignment horizontal="left" vertical="center"/>
    </xf>
    <xf numFmtId="0" fontId="30" fillId="0" borderId="6" xfId="0" applyFont="1" applyBorder="1" applyProtection="1">
      <alignment vertical="center"/>
      <protection locked="0"/>
    </xf>
    <xf numFmtId="0" fontId="30" fillId="0" borderId="14" xfId="0" applyFont="1" applyBorder="1" applyProtection="1">
      <alignment vertical="center"/>
      <protection locked="0"/>
    </xf>
    <xf numFmtId="0" fontId="30" fillId="0" borderId="4" xfId="0" applyFont="1" applyBorder="1" applyProtection="1">
      <alignment vertical="center"/>
      <protection locked="0"/>
    </xf>
    <xf numFmtId="0" fontId="30" fillId="0" borderId="15" xfId="0" applyFont="1" applyBorder="1" applyProtection="1">
      <alignment vertical="center"/>
      <protection locked="0"/>
    </xf>
    <xf numFmtId="0" fontId="10" fillId="4" borderId="5" xfId="0" applyFont="1" applyFill="1" applyBorder="1" applyProtection="1">
      <alignment vertical="center"/>
      <protection locked="0"/>
    </xf>
    <xf numFmtId="179" fontId="10" fillId="4" borderId="5" xfId="0" applyNumberFormat="1" applyFont="1" applyFill="1" applyBorder="1" applyAlignment="1">
      <alignment horizontal="right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4" fontId="11" fillId="0" borderId="5" xfId="0" applyNumberFormat="1" applyFont="1" applyBorder="1" applyAlignment="1">
      <alignment horizontal="right" vertical="center" wrapText="1"/>
    </xf>
    <xf numFmtId="3" fontId="11" fillId="0" borderId="5" xfId="0" applyNumberFormat="1" applyFont="1" applyBorder="1" applyAlignment="1">
      <alignment horizontal="right" vertical="center" wrapText="1"/>
    </xf>
    <xf numFmtId="0" fontId="31" fillId="0" borderId="5" xfId="0" applyFont="1" applyBorder="1" applyAlignment="1">
      <alignment vertical="center" wrapText="1"/>
    </xf>
    <xf numFmtId="177" fontId="0" fillId="0" borderId="0" xfId="1" applyNumberFormat="1" applyFont="1">
      <alignment vertical="center"/>
    </xf>
    <xf numFmtId="9" fontId="0" fillId="6" borderId="0" xfId="0" applyNumberFormat="1" applyFill="1">
      <alignment vertical="center"/>
    </xf>
    <xf numFmtId="3" fontId="18" fillId="6" borderId="0" xfId="0" applyNumberFormat="1" applyFont="1" applyFill="1" applyAlignment="1">
      <alignment horizontal="center" vertical="center" wrapText="1" readingOrder="1"/>
    </xf>
    <xf numFmtId="0" fontId="24" fillId="0" borderId="7" xfId="0" applyFont="1" applyBorder="1" applyAlignment="1">
      <alignment horizontal="left" vertical="center" wrapText="1" readingOrder="1"/>
    </xf>
    <xf numFmtId="0" fontId="32" fillId="0" borderId="0" xfId="0" applyFont="1" applyAlignment="1">
      <alignment horizontal="right" vertical="center" wrapText="1" readingOrder="1"/>
    </xf>
    <xf numFmtId="0" fontId="24" fillId="0" borderId="7" xfId="0" applyFont="1" applyBorder="1" applyAlignment="1">
      <alignment horizontal="center" vertical="center" wrapText="1" readingOrder="1"/>
    </xf>
    <xf numFmtId="0" fontId="25" fillId="0" borderId="7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right" vertical="center" wrapText="1" readingOrder="1"/>
    </xf>
    <xf numFmtId="0" fontId="33" fillId="0" borderId="0" xfId="0" applyFont="1" applyAlignment="1">
      <alignment horizontal="right" vertical="center" wrapText="1" readingOrder="1"/>
    </xf>
    <xf numFmtId="0" fontId="20" fillId="0" borderId="0" xfId="0" applyFont="1" applyAlignment="1">
      <alignment horizontal="right" vertical="center" wrapText="1" readingOrder="1"/>
    </xf>
    <xf numFmtId="0" fontId="27" fillId="0" borderId="0" xfId="0" applyFont="1" applyAlignment="1">
      <alignment horizontal="right" vertical="center" wrapText="1" readingOrder="1"/>
    </xf>
    <xf numFmtId="0" fontId="22" fillId="0" borderId="0" xfId="0" applyFont="1" applyAlignment="1">
      <alignment horizontal="right" vertical="center" wrapText="1" readingOrder="1"/>
    </xf>
    <xf numFmtId="177" fontId="25" fillId="0" borderId="7" xfId="0" applyNumberFormat="1" applyFont="1" applyBorder="1" applyAlignment="1">
      <alignment horizontal="center" vertical="center" wrapText="1" readingOrder="1"/>
    </xf>
    <xf numFmtId="177" fontId="16" fillId="0" borderId="0" xfId="0" applyNumberFormat="1" applyFont="1" applyAlignment="1">
      <alignment horizontal="center" vertical="center" wrapText="1" readingOrder="1"/>
    </xf>
    <xf numFmtId="177" fontId="20" fillId="0" borderId="0" xfId="0" applyNumberFormat="1" applyFont="1" applyAlignment="1">
      <alignment horizontal="center" vertical="center" wrapText="1" readingOrder="1"/>
    </xf>
    <xf numFmtId="177" fontId="21" fillId="0" borderId="7" xfId="0" applyNumberFormat="1" applyFont="1" applyBorder="1" applyAlignment="1">
      <alignment horizontal="center" vertical="center" wrapText="1" readingOrder="1"/>
    </xf>
    <xf numFmtId="177" fontId="21" fillId="0" borderId="0" xfId="0" applyNumberFormat="1" applyFont="1" applyAlignment="1">
      <alignment horizontal="center" vertical="center" wrapText="1" readingOrder="1"/>
    </xf>
    <xf numFmtId="177" fontId="23" fillId="0" borderId="10" xfId="0" applyNumberFormat="1" applyFont="1" applyBorder="1" applyAlignment="1">
      <alignment horizontal="center" vertical="center" wrapText="1" readingOrder="1"/>
    </xf>
    <xf numFmtId="177" fontId="20" fillId="0" borderId="11" xfId="0" applyNumberFormat="1" applyFont="1" applyBorder="1" applyAlignment="1">
      <alignment horizontal="center" vertical="center" wrapText="1" readingOrder="1"/>
    </xf>
    <xf numFmtId="177" fontId="20" fillId="0" borderId="10" xfId="0" applyNumberFormat="1" applyFont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 readingOrder="1"/>
    </xf>
    <xf numFmtId="0" fontId="21" fillId="0" borderId="7" xfId="0" applyFont="1" applyBorder="1" applyAlignment="1">
      <alignment horizontal="center" vertical="center" wrapText="1" readingOrder="1"/>
    </xf>
    <xf numFmtId="4" fontId="21" fillId="0" borderId="7" xfId="0" applyNumberFormat="1" applyFont="1" applyBorder="1" applyAlignment="1">
      <alignment horizontal="center" vertical="center" wrapText="1" readingOrder="1"/>
    </xf>
    <xf numFmtId="10" fontId="21" fillId="0" borderId="7" xfId="0" applyNumberFormat="1" applyFont="1" applyBorder="1" applyAlignment="1">
      <alignment horizontal="center" vertical="center" wrapText="1" readingOrder="1"/>
    </xf>
    <xf numFmtId="180" fontId="21" fillId="0" borderId="7" xfId="0" applyNumberFormat="1" applyFont="1" applyBorder="1" applyAlignment="1">
      <alignment horizontal="center" vertical="center" wrapText="1" readingOrder="1"/>
    </xf>
    <xf numFmtId="177" fontId="4" fillId="0" borderId="2" xfId="0" applyNumberFormat="1" applyFont="1" applyBorder="1" applyAlignment="1">
      <alignment horizontal="center" vertical="center" wrapText="1" readingOrder="1"/>
    </xf>
    <xf numFmtId="177" fontId="4" fillId="0" borderId="0" xfId="0" applyNumberFormat="1" applyFont="1" applyAlignment="1">
      <alignment horizontal="center" vertical="center" wrapText="1" readingOrder="1"/>
    </xf>
    <xf numFmtId="177" fontId="7" fillId="0" borderId="3" xfId="0" applyNumberFormat="1" applyFont="1" applyBorder="1" applyAlignment="1">
      <alignment horizontal="center" vertical="center" wrapText="1" readingOrder="1"/>
    </xf>
    <xf numFmtId="177" fontId="5" fillId="0" borderId="2" xfId="0" applyNumberFormat="1" applyFont="1" applyBorder="1" applyAlignment="1">
      <alignment horizontal="center" vertical="center" wrapText="1" readingOrder="1"/>
    </xf>
    <xf numFmtId="177" fontId="5" fillId="0" borderId="0" xfId="0" applyNumberFormat="1" applyFont="1" applyAlignment="1">
      <alignment horizontal="center" vertical="center" wrapText="1" readingOrder="1"/>
    </xf>
    <xf numFmtId="177" fontId="8" fillId="0" borderId="3" xfId="0" applyNumberFormat="1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right" vertical="center" wrapText="1"/>
    </xf>
    <xf numFmtId="0" fontId="35" fillId="3" borderId="0" xfId="0" applyFont="1" applyFill="1" applyAlignment="1">
      <alignment vertical="center" wrapText="1"/>
    </xf>
    <xf numFmtId="0" fontId="35" fillId="3" borderId="0" xfId="0" applyFont="1" applyFill="1" applyAlignment="1">
      <alignment horizontal="right" vertical="center" wrapText="1"/>
    </xf>
    <xf numFmtId="0" fontId="35" fillId="3" borderId="4" xfId="0" applyFont="1" applyFill="1" applyBorder="1" applyAlignment="1">
      <alignment vertical="center" wrapText="1"/>
    </xf>
    <xf numFmtId="0" fontId="35" fillId="3" borderId="4" xfId="0" applyFont="1" applyFill="1" applyBorder="1" applyAlignment="1">
      <alignment horizontal="right" vertical="center" wrapText="1"/>
    </xf>
    <xf numFmtId="0" fontId="36" fillId="3" borderId="5" xfId="0" applyFont="1" applyFill="1" applyBorder="1" applyAlignment="1">
      <alignment horizontal="center" vertical="center" wrapText="1"/>
    </xf>
    <xf numFmtId="0" fontId="36" fillId="3" borderId="5" xfId="0" applyFont="1" applyFill="1" applyBorder="1" applyAlignment="1">
      <alignment vertical="center" wrapText="1"/>
    </xf>
    <xf numFmtId="4" fontId="35" fillId="3" borderId="5" xfId="0" applyNumberFormat="1" applyFont="1" applyFill="1" applyBorder="1" applyAlignment="1">
      <alignment horizontal="right" vertical="center" wrapText="1"/>
    </xf>
    <xf numFmtId="0" fontId="35" fillId="3" borderId="5" xfId="0" applyFont="1" applyFill="1" applyBorder="1" applyAlignment="1">
      <alignment vertical="center" wrapText="1"/>
    </xf>
    <xf numFmtId="0" fontId="35" fillId="3" borderId="5" xfId="0" applyFont="1" applyFill="1" applyBorder="1" applyAlignment="1">
      <alignment horizontal="right" vertical="center" wrapText="1"/>
    </xf>
    <xf numFmtId="0" fontId="35" fillId="3" borderId="5" xfId="0" applyFont="1" applyFill="1" applyBorder="1" applyAlignment="1">
      <alignment horizontal="center" vertical="center" wrapText="1"/>
    </xf>
    <xf numFmtId="0" fontId="39" fillId="0" borderId="0" xfId="0" applyFont="1" applyAlignment="1"/>
    <xf numFmtId="0" fontId="40" fillId="0" borderId="0" xfId="0" applyFont="1" applyAlignment="1">
      <alignment horizontal="right"/>
    </xf>
    <xf numFmtId="0" fontId="40" fillId="0" borderId="20" xfId="0" applyFont="1" applyBorder="1" applyAlignment="1">
      <alignment horizontal="left"/>
    </xf>
    <xf numFmtId="0" fontId="40" fillId="0" borderId="20" xfId="0" applyFont="1" applyBorder="1" applyAlignment="1">
      <alignment horizontal="left" vertical="center"/>
    </xf>
    <xf numFmtId="0" fontId="40" fillId="0" borderId="20" xfId="0" applyFont="1" applyBorder="1" applyAlignment="1">
      <alignment horizontal="right"/>
    </xf>
    <xf numFmtId="0" fontId="41" fillId="0" borderId="21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41" fillId="0" borderId="21" xfId="0" applyFont="1" applyBorder="1" applyAlignment="1">
      <alignment horizontal="left" vertical="center"/>
    </xf>
    <xf numFmtId="179" fontId="40" fillId="0" borderId="21" xfId="0" applyNumberFormat="1" applyFont="1" applyBorder="1" applyAlignment="1">
      <alignment horizontal="right" vertical="center"/>
    </xf>
    <xf numFmtId="179" fontId="40" fillId="0" borderId="22" xfId="0" applyNumberFormat="1" applyFont="1" applyBorder="1" applyAlignment="1">
      <alignment horizontal="right" vertical="center"/>
    </xf>
    <xf numFmtId="0" fontId="40" fillId="0" borderId="21" xfId="0" applyFont="1" applyBorder="1" applyAlignment="1">
      <alignment horizontal="left" vertical="center"/>
    </xf>
    <xf numFmtId="0" fontId="40" fillId="7" borderId="21" xfId="0" applyFont="1" applyFill="1" applyBorder="1" applyAlignment="1">
      <alignment horizontal="left" vertical="center"/>
    </xf>
    <xf numFmtId="179" fontId="40" fillId="0" borderId="21" xfId="0" applyNumberFormat="1" applyFont="1" applyBorder="1" applyAlignment="1">
      <alignment horizontal="center" vertical="center"/>
    </xf>
    <xf numFmtId="179" fontId="40" fillId="8" borderId="22" xfId="0" applyNumberFormat="1" applyFont="1" applyFill="1" applyBorder="1" applyAlignment="1">
      <alignment horizontal="right" vertical="center"/>
    </xf>
    <xf numFmtId="0" fontId="36" fillId="3" borderId="0" xfId="0" applyFont="1" applyFill="1" applyAlignment="1">
      <alignment horizontal="center" vertical="center" wrapText="1"/>
    </xf>
    <xf numFmtId="0" fontId="36" fillId="3" borderId="6" xfId="0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176" fontId="41" fillId="0" borderId="0" xfId="0" applyNumberFormat="1" applyFont="1" applyAlignment="1">
      <alignment horizontal="center" vertical="center"/>
    </xf>
    <xf numFmtId="176" fontId="41" fillId="0" borderId="21" xfId="0" applyNumberFormat="1" applyFont="1" applyBorder="1" applyAlignment="1">
      <alignment horizontal="center" vertical="center"/>
    </xf>
    <xf numFmtId="179" fontId="41" fillId="0" borderId="21" xfId="0" applyNumberFormat="1" applyFont="1" applyBorder="1" applyAlignment="1">
      <alignment horizontal="left" vertical="center"/>
    </xf>
    <xf numFmtId="0" fontId="40" fillId="0" borderId="21" xfId="0" applyFont="1" applyBorder="1">
      <alignment vertical="center"/>
    </xf>
    <xf numFmtId="0" fontId="41" fillId="0" borderId="6" xfId="0" applyFont="1" applyBorder="1" applyAlignment="1">
      <alignment horizontal="left" vertical="center"/>
    </xf>
    <xf numFmtId="0" fontId="41" fillId="0" borderId="6" xfId="0" applyFont="1" applyBorder="1">
      <alignment vertical="center"/>
    </xf>
    <xf numFmtId="176" fontId="41" fillId="0" borderId="22" xfId="0" applyNumberFormat="1" applyFont="1" applyBorder="1" applyAlignment="1">
      <alignment horizontal="center" vertical="center"/>
    </xf>
    <xf numFmtId="39" fontId="40" fillId="0" borderId="21" xfId="0" applyNumberFormat="1" applyFont="1" applyBorder="1" applyAlignment="1">
      <alignment horizontal="right" vertical="center"/>
    </xf>
    <xf numFmtId="39" fontId="40" fillId="0" borderId="22" xfId="0" applyNumberFormat="1" applyFont="1" applyBorder="1" applyAlignment="1">
      <alignment horizontal="right" vertical="center"/>
    </xf>
    <xf numFmtId="39" fontId="40" fillId="7" borderId="21" xfId="0" applyNumberFormat="1" applyFont="1" applyFill="1" applyBorder="1" applyAlignment="1">
      <alignment horizontal="right" vertical="center"/>
    </xf>
    <xf numFmtId="39" fontId="40" fillId="7" borderId="22" xfId="0" applyNumberFormat="1" applyFont="1" applyFill="1" applyBorder="1" applyAlignment="1">
      <alignment horizontal="right" vertical="center"/>
    </xf>
    <xf numFmtId="57" fontId="12" fillId="0" borderId="9" xfId="0" applyNumberFormat="1" applyFont="1" applyBorder="1" applyAlignment="1">
      <alignment horizontal="center" vertical="center" wrapText="1" readingOrder="1"/>
    </xf>
    <xf numFmtId="57" fontId="3" fillId="0" borderId="9" xfId="0" applyNumberFormat="1" applyFont="1" applyBorder="1" applyAlignment="1">
      <alignment horizontal="center" vertical="center" wrapText="1" readingOrder="1"/>
    </xf>
    <xf numFmtId="0" fontId="17" fillId="0" borderId="0" xfId="0" applyFont="1" applyAlignment="1">
      <alignment horizontal="left" vertical="center" wrapText="1" indent="3" readingOrder="1"/>
    </xf>
    <xf numFmtId="177" fontId="18" fillId="0" borderId="0" xfId="0" applyNumberFormat="1" applyFont="1" applyAlignment="1">
      <alignment horizontal="center" vertical="center" wrapText="1" readingOrder="1"/>
    </xf>
    <xf numFmtId="0" fontId="32" fillId="6" borderId="0" xfId="0" applyFont="1" applyFill="1" applyAlignment="1">
      <alignment horizontal="right" vertical="center" wrapText="1" readingOrder="1"/>
    </xf>
    <xf numFmtId="57" fontId="16" fillId="0" borderId="7" xfId="0" applyNumberFormat="1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57" fontId="5" fillId="0" borderId="2" xfId="0" applyNumberFormat="1" applyFont="1" applyBorder="1" applyAlignment="1">
      <alignment horizontal="center" vertical="center" wrapText="1" readingOrder="1"/>
    </xf>
    <xf numFmtId="57" fontId="5" fillId="0" borderId="3" xfId="0" applyNumberFormat="1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57" fontId="3" fillId="0" borderId="7" xfId="0" applyNumberFormat="1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57" fontId="4" fillId="0" borderId="6" xfId="0" applyNumberFormat="1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16" fillId="0" borderId="6" xfId="0" applyFont="1" applyBorder="1" applyAlignment="1">
      <alignment horizontal="center" vertical="center" wrapText="1" readingOrder="1"/>
    </xf>
    <xf numFmtId="57" fontId="4" fillId="0" borderId="7" xfId="0" applyNumberFormat="1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right" vertical="center" wrapText="1"/>
    </xf>
    <xf numFmtId="0" fontId="11" fillId="0" borderId="5" xfId="0" applyFont="1" applyBorder="1" applyAlignment="1">
      <alignment horizontal="right" vertical="center" wrapText="1"/>
    </xf>
    <xf numFmtId="0" fontId="34" fillId="3" borderId="0" xfId="0" applyFont="1" applyFill="1" applyAlignment="1">
      <alignment horizontal="center" vertical="center" wrapText="1"/>
    </xf>
    <xf numFmtId="0" fontId="36" fillId="3" borderId="6" xfId="0" applyFont="1" applyFill="1" applyBorder="1" applyAlignment="1">
      <alignment vertical="center" wrapText="1"/>
    </xf>
    <xf numFmtId="0" fontId="37" fillId="3" borderId="0" xfId="0" applyFont="1" applyFill="1" applyAlignment="1">
      <alignment vertical="center" wrapText="1"/>
    </xf>
    <xf numFmtId="0" fontId="38" fillId="0" borderId="0" xfId="0" applyFont="1" applyAlignment="1">
      <alignment horizontal="center" vertical="center"/>
    </xf>
    <xf numFmtId="0" fontId="41" fillId="0" borderId="6" xfId="0" applyFont="1" applyBorder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35" fillId="3" borderId="0" xfId="0" applyFont="1" applyFill="1" applyAlignment="1">
      <alignment vertical="center" wrapText="1"/>
    </xf>
    <xf numFmtId="0" fontId="43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right" vertical="center" wrapText="1"/>
    </xf>
    <xf numFmtId="0" fontId="35" fillId="3" borderId="4" xfId="0" applyFont="1" applyFill="1" applyBorder="1" applyAlignment="1">
      <alignment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right" vertical="center" wrapText="1"/>
    </xf>
    <xf numFmtId="0" fontId="36" fillId="3" borderId="6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0" fillId="0" borderId="0" xfId="0" applyFont="1" applyAlignment="1">
      <alignment horizontal="right" vertical="center"/>
    </xf>
    <xf numFmtId="0" fontId="40" fillId="0" borderId="20" xfId="0" applyFont="1" applyBorder="1" applyAlignment="1">
      <alignment horizontal="left" vertical="center"/>
    </xf>
    <xf numFmtId="0" fontId="40" fillId="0" borderId="20" xfId="0" applyFont="1" applyBorder="1" applyAlignment="1">
      <alignment horizontal="center" vertical="center"/>
    </xf>
    <xf numFmtId="0" fontId="40" fillId="0" borderId="20" xfId="0" applyFont="1" applyBorder="1" applyAlignment="1">
      <alignment horizontal="right" vertical="center"/>
    </xf>
    <xf numFmtId="0" fontId="41" fillId="0" borderId="6" xfId="0" applyFont="1" applyBorder="1" applyAlignment="1">
      <alignment horizontal="center" vertical="center"/>
    </xf>
    <xf numFmtId="57" fontId="35" fillId="3" borderId="4" xfId="0" applyNumberFormat="1" applyFont="1" applyFill="1" applyBorder="1" applyAlignment="1">
      <alignment vertical="center" wrapText="1"/>
    </xf>
    <xf numFmtId="0" fontId="45" fillId="3" borderId="18" xfId="0" applyFont="1" applyFill="1" applyBorder="1" applyAlignment="1">
      <alignment horizontal="center" vertical="center" wrapText="1"/>
    </xf>
    <xf numFmtId="0" fontId="45" fillId="3" borderId="19" xfId="0" applyFont="1" applyFill="1" applyBorder="1" applyAlignment="1">
      <alignment horizontal="center" vertical="center" wrapText="1"/>
    </xf>
    <xf numFmtId="0" fontId="36" fillId="3" borderId="16" xfId="0" applyFont="1" applyFill="1" applyBorder="1" applyAlignment="1">
      <alignment horizontal="center" vertical="center" wrapText="1"/>
    </xf>
    <xf numFmtId="0" fontId="36" fillId="3" borderId="17" xfId="0" applyFont="1" applyFill="1" applyBorder="1" applyAlignment="1">
      <alignment horizontal="center" vertical="center" wrapText="1"/>
    </xf>
    <xf numFmtId="0" fontId="41" fillId="0" borderId="6" xfId="0" applyFont="1" applyBorder="1" applyAlignment="1">
      <alignment vertical="center" wrapText="1"/>
    </xf>
    <xf numFmtId="176" fontId="40" fillId="0" borderId="20" xfId="0" applyNumberFormat="1" applyFont="1" applyBorder="1" applyAlignment="1">
      <alignment horizontal="right" vertical="center"/>
    </xf>
    <xf numFmtId="0" fontId="46" fillId="0" borderId="23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176" fontId="41" fillId="0" borderId="24" xfId="0" applyNumberFormat="1" applyFont="1" applyBorder="1" applyAlignment="1">
      <alignment horizontal="center" vertical="center"/>
    </xf>
    <xf numFmtId="176" fontId="41" fillId="0" borderId="25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9.0045960658145574E-2"/>
                  <c:y val="3.9802163535725597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人员经费</a:t>
                    </a:r>
                  </a:p>
                  <a:p>
                    <a:r>
                      <a:rPr lang="en-US" altLang="zh-CN"/>
                      <a:t>-2.9%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C9A-4DD6-BD33-0720B0ACBD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zh-CN" altLang="en-US"/>
                      <a:t>药品费</a:t>
                    </a:r>
                  </a:p>
                  <a:p>
                    <a:r>
                      <a:rPr lang="en-US" altLang="zh-CN"/>
                      <a:t>+0.2%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C9A-4DD6-BD33-0720B0ACBD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zh-CN" altLang="en-US"/>
                      <a:t>耗材费</a:t>
                    </a:r>
                  </a:p>
                  <a:p>
                    <a:r>
                      <a:rPr lang="en-US" altLang="zh-CN"/>
                      <a:t>+2.4%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C9A-4DD6-BD33-0720B0ACBD4E}"/>
                </c:ext>
              </c:extLst>
            </c:dLbl>
            <c:dLbl>
              <c:idx val="3"/>
              <c:layout>
                <c:manualLayout>
                  <c:x val="1.1288057742782152E-2"/>
                  <c:y val="5.671296296296296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折旧</a:t>
                    </a:r>
                    <a:r>
                      <a:rPr lang="en-US" altLang="zh-CN"/>
                      <a:t>/</a:t>
                    </a:r>
                    <a:r>
                      <a:rPr lang="zh-CN" altLang="en-US"/>
                      <a:t>摊销</a:t>
                    </a:r>
                  </a:p>
                  <a:p>
                    <a:r>
                      <a:rPr lang="en-US" altLang="zh-CN"/>
                      <a:t>-0.3%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C9A-4DD6-BD33-0720B0ACBD4E}"/>
                </c:ext>
              </c:extLst>
            </c:dLbl>
            <c:dLbl>
              <c:idx val="4"/>
              <c:layout>
                <c:manualLayout>
                  <c:x val="0.1034363517060367"/>
                  <c:y val="2.893518518518518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/>
                      <a:t>其他费用</a:t>
                    </a:r>
                  </a:p>
                  <a:p>
                    <a:r>
                      <a:rPr lang="en-US" altLang="zh-CN"/>
                      <a:t>+0.5%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C9A-4DD6-BD33-0720B0ACB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[1]医疗成本结构分析!$K$14:$K$18</c:f>
              <c:strCache>
                <c:ptCount val="5"/>
                <c:pt idx="0">
                  <c:v>人员经费</c:v>
                </c:pt>
                <c:pt idx="1">
                  <c:v>药品费</c:v>
                </c:pt>
                <c:pt idx="2">
                  <c:v>耗材费</c:v>
                </c:pt>
                <c:pt idx="3">
                  <c:v>折旧/摊销</c:v>
                </c:pt>
                <c:pt idx="4">
                  <c:v>其他费用</c:v>
                </c:pt>
              </c:strCache>
            </c:strRef>
          </c:cat>
          <c:val>
            <c:numRef>
              <c:f>[1]医疗成本结构分析!$L$14:$L$18</c:f>
              <c:numCache>
                <c:formatCode>General</c:formatCode>
                <c:ptCount val="5"/>
                <c:pt idx="0">
                  <c:v>0.28926025661333754</c:v>
                </c:pt>
                <c:pt idx="1">
                  <c:v>0.25303342309520038</c:v>
                </c:pt>
                <c:pt idx="2">
                  <c:v>0.35097418026294946</c:v>
                </c:pt>
                <c:pt idx="3">
                  <c:v>1.7487723744653887E-2</c:v>
                </c:pt>
                <c:pt idx="4">
                  <c:v>8.7660383335973383E-2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9A-4DD6-BD33-0720B0ACBD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spPr>
    <a:solidFill>
      <a:srgbClr val="5B9BD5"/>
    </a:solidFill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1800225</xdr:colOff>
      <xdr:row>12</xdr:row>
      <xdr:rowOff>28575</xdr:rowOff>
    </xdr:from>
    <xdr:to>
      <xdr:col>9</xdr:col>
      <xdr:colOff>123825</xdr:colOff>
      <xdr:row>21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47A930-A7C1-495C-B5CD-593EA8A02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dw\Desktop\3&#26376;&#20998;&#26512;&#21152;&#29677;\&#21346;&#22823;&#20255;-26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门诊业务结构"/>
      <sheetName val="住院业务量"/>
      <sheetName val="医疗收入情况-3月"/>
      <sheetName val="医疗收入业务结构情况"/>
      <sheetName val="3月业务量"/>
      <sheetName val="成人-恢复率"/>
      <sheetName val="儿科-恢复率"/>
      <sheetName val="医疗收支对比分析"/>
      <sheetName val="医疗成本结构分析3月"/>
      <sheetName val="Sheet2"/>
      <sheetName val="Sheet1"/>
      <sheetName val="成人均次费用"/>
      <sheetName val="儿童均次费用"/>
      <sheetName val="各类医疗收入同比增幅"/>
      <sheetName val="其他收入、费用"/>
      <sheetName val="指标分析"/>
      <sheetName val="资产负债率"/>
      <sheetName val="预算完成情况"/>
      <sheetName val="收支结余"/>
      <sheetName val="医疗成本结构分析"/>
      <sheetName val="其他费用"/>
      <sheetName val="人员经费"/>
      <sheetName val="药品费"/>
      <sheetName val="卫生材料费"/>
      <sheetName val="商品服务其他"/>
      <sheetName val="成人-剔除药"/>
      <sheetName val="手术业务恢复情况"/>
      <sheetName val="儿科-剔除药耗"/>
      <sheetName val="门急诊业务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4">
          <cell r="K14" t="str">
            <v>人员经费</v>
          </cell>
          <cell r="L14">
            <v>0.28926025661333754</v>
          </cell>
        </row>
        <row r="15">
          <cell r="K15" t="str">
            <v>药品费</v>
          </cell>
          <cell r="L15">
            <v>0.25303342309520038</v>
          </cell>
        </row>
        <row r="16">
          <cell r="K16" t="str">
            <v>耗材费</v>
          </cell>
          <cell r="L16">
            <v>0.35097418026294946</v>
          </cell>
        </row>
        <row r="17">
          <cell r="K17" t="str">
            <v>折旧/摊销</v>
          </cell>
          <cell r="L17">
            <v>1.7487723744653887E-2</v>
          </cell>
        </row>
        <row r="18">
          <cell r="K18" t="str">
            <v>其他费用</v>
          </cell>
          <cell r="L18">
            <v>8.7660383335973383E-2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1"/>
  <sheetViews>
    <sheetView zoomScale="85" zoomScaleNormal="85" workbookViewId="0">
      <selection activeCell="D4" sqref="D4"/>
    </sheetView>
  </sheetViews>
  <sheetFormatPr defaultRowHeight="23.25" customHeight="1"/>
  <cols>
    <col min="2" max="2" width="22.5" customWidth="1"/>
    <col min="3" max="3" width="24" customWidth="1"/>
    <col min="4" max="5" width="16.875" customWidth="1"/>
    <col min="6" max="11" width="14.5" customWidth="1"/>
    <col min="12" max="12" width="9" style="15"/>
  </cols>
  <sheetData>
    <row r="1" spans="3:18" ht="14.25">
      <c r="D1" s="192" t="s">
        <v>101</v>
      </c>
      <c r="E1" s="192"/>
      <c r="F1" s="192"/>
      <c r="G1" s="192"/>
      <c r="H1" s="192"/>
      <c r="I1" s="192"/>
      <c r="J1" s="192"/>
      <c r="K1" s="192"/>
    </row>
    <row r="2" spans="3:18" s="15" customFormat="1" ht="15" thickBot="1">
      <c r="F2" s="15" t="s">
        <v>102</v>
      </c>
      <c r="I2" s="15" t="s">
        <v>102</v>
      </c>
      <c r="J2" s="15" t="s">
        <v>102</v>
      </c>
      <c r="K2" s="15" t="s">
        <v>102</v>
      </c>
    </row>
    <row r="3" spans="3:18" ht="21.75" thickBot="1">
      <c r="C3" s="16" t="s">
        <v>0</v>
      </c>
      <c r="D3" s="16" t="s">
        <v>103</v>
      </c>
      <c r="E3" s="16" t="s">
        <v>104</v>
      </c>
      <c r="F3" s="16" t="s">
        <v>105</v>
      </c>
      <c r="G3" s="2" t="s">
        <v>104</v>
      </c>
      <c r="H3" s="16" t="s">
        <v>106</v>
      </c>
      <c r="I3" s="16" t="s">
        <v>104</v>
      </c>
      <c r="J3" s="16" t="s">
        <v>5</v>
      </c>
      <c r="K3" s="16" t="s">
        <v>6</v>
      </c>
    </row>
    <row r="4" spans="3:18" ht="21">
      <c r="C4" s="17" t="s">
        <v>7</v>
      </c>
      <c r="D4" s="18">
        <v>24327</v>
      </c>
      <c r="E4" s="19">
        <v>0.34595693847947895</v>
      </c>
      <c r="F4" s="18">
        <v>6393</v>
      </c>
      <c r="G4" s="19">
        <v>0.36775195582144499</v>
      </c>
      <c r="H4" s="18">
        <v>21579</v>
      </c>
      <c r="I4" s="19">
        <v>0.37453138017217441</v>
      </c>
      <c r="J4" s="18">
        <v>2748</v>
      </c>
      <c r="K4" s="19">
        <v>0.12734603086333937</v>
      </c>
      <c r="M4" s="20">
        <f>E4-I4</f>
        <v>-2.8574441692695463E-2</v>
      </c>
    </row>
    <row r="5" spans="3:18" ht="21">
      <c r="C5" s="21" t="s">
        <v>8</v>
      </c>
      <c r="D5" s="22">
        <v>16495</v>
      </c>
      <c r="E5" s="23">
        <v>0.23457720640518787</v>
      </c>
      <c r="F5" s="22">
        <v>2771</v>
      </c>
      <c r="G5" s="24">
        <v>0.15939944776806259</v>
      </c>
      <c r="H5" s="22">
        <v>13387</v>
      </c>
      <c r="I5" s="23">
        <v>0.23234865315190226</v>
      </c>
      <c r="J5" s="22">
        <v>3108</v>
      </c>
      <c r="K5" s="23">
        <v>0.23216553372674983</v>
      </c>
      <c r="M5" s="20">
        <f>E5-I5</f>
        <v>2.2285532532856089E-3</v>
      </c>
    </row>
    <row r="6" spans="3:18" ht="21">
      <c r="C6" s="21" t="s">
        <v>107</v>
      </c>
      <c r="D6" s="22">
        <v>22400</v>
      </c>
      <c r="E6" s="23">
        <v>0.31855285986518389</v>
      </c>
      <c r="F6" s="22">
        <v>6605</v>
      </c>
      <c r="G6" s="24">
        <v>0.37994707777266451</v>
      </c>
      <c r="H6" s="22">
        <v>16986</v>
      </c>
      <c r="I6" s="23">
        <v>0.29481394057206334</v>
      </c>
      <c r="J6" s="22">
        <v>5414</v>
      </c>
      <c r="K6" s="23">
        <v>0.31873307429647946</v>
      </c>
      <c r="M6" s="20">
        <f>E6-I6</f>
        <v>2.3738919293120553E-2</v>
      </c>
    </row>
    <row r="7" spans="3:18" ht="21">
      <c r="C7" s="21" t="s">
        <v>10</v>
      </c>
      <c r="D7" s="22">
        <v>1120</v>
      </c>
      <c r="E7" s="23">
        <v>1.5927642993259192E-2</v>
      </c>
      <c r="F7" s="22">
        <v>178</v>
      </c>
      <c r="G7" s="24">
        <v>1.023930050621261E-2</v>
      </c>
      <c r="H7" s="22">
        <v>1078</v>
      </c>
      <c r="I7" s="23">
        <v>1.8710080533185226E-2</v>
      </c>
      <c r="J7" s="1">
        <v>42</v>
      </c>
      <c r="K7" s="23">
        <v>3.896103896103896E-2</v>
      </c>
      <c r="M7" s="20">
        <f>E7-I7</f>
        <v>-2.7824375399260332E-3</v>
      </c>
    </row>
    <row r="8" spans="3:18" ht="21">
      <c r="C8" s="21" t="s">
        <v>108</v>
      </c>
      <c r="D8" s="22">
        <v>103</v>
      </c>
      <c r="E8" s="23">
        <v>1.4647743109872295E-3</v>
      </c>
      <c r="F8" s="22">
        <v>22</v>
      </c>
      <c r="G8" s="24">
        <v>1.2655315232397606E-3</v>
      </c>
      <c r="H8" s="22">
        <v>77</v>
      </c>
      <c r="I8" s="23">
        <v>1.3364343237989447E-3</v>
      </c>
      <c r="J8" s="22">
        <v>26</v>
      </c>
      <c r="K8" s="23">
        <v>0.33766233766233766</v>
      </c>
      <c r="L8" s="15" t="s">
        <v>102</v>
      </c>
      <c r="M8" s="20">
        <f>E9-I9</f>
        <v>5.2610666990270255E-3</v>
      </c>
    </row>
    <row r="9" spans="3:18" ht="21">
      <c r="C9" s="21" t="s">
        <v>109</v>
      </c>
      <c r="D9" s="22">
        <v>5873</v>
      </c>
      <c r="E9" s="23">
        <v>8.3520577945902896E-2</v>
      </c>
      <c r="F9" s="22">
        <v>1415</v>
      </c>
      <c r="G9" s="24">
        <v>8.1396686608375513E-2</v>
      </c>
      <c r="H9" s="22">
        <v>4509</v>
      </c>
      <c r="I9" s="23">
        <v>7.8259511246875871E-2</v>
      </c>
      <c r="J9" s="22">
        <v>1364</v>
      </c>
      <c r="K9" s="23">
        <v>0.30250609891328456</v>
      </c>
      <c r="M9" s="20"/>
    </row>
    <row r="10" spans="3:18" ht="21.75" thickBot="1">
      <c r="C10" s="12" t="s">
        <v>13</v>
      </c>
      <c r="D10" s="25">
        <v>70318</v>
      </c>
      <c r="E10" s="26">
        <v>1</v>
      </c>
      <c r="F10" s="25">
        <v>17384</v>
      </c>
      <c r="G10" s="26">
        <v>1</v>
      </c>
      <c r="H10" s="25">
        <v>57616</v>
      </c>
      <c r="I10" s="26">
        <v>1</v>
      </c>
      <c r="J10" s="25">
        <v>12702</v>
      </c>
      <c r="K10" s="26">
        <v>0.22045959455706748</v>
      </c>
      <c r="L10" s="15" t="s">
        <v>102</v>
      </c>
      <c r="M10" s="20">
        <f>E9-I9</f>
        <v>5.2610666990270255E-3</v>
      </c>
    </row>
    <row r="13" spans="3:18" ht="15" thickBot="1">
      <c r="L13" s="15" t="s">
        <v>102</v>
      </c>
      <c r="P13" t="s">
        <v>106</v>
      </c>
      <c r="R13" t="s">
        <v>110</v>
      </c>
    </row>
    <row r="14" spans="3:18" ht="21">
      <c r="K14" s="17" t="s">
        <v>111</v>
      </c>
      <c r="L14" s="27">
        <f>E4</f>
        <v>0.34595693847947895</v>
      </c>
      <c r="O14" t="s">
        <v>112</v>
      </c>
      <c r="P14">
        <v>78</v>
      </c>
      <c r="R14">
        <v>78</v>
      </c>
    </row>
    <row r="15" spans="3:18" ht="21">
      <c r="K15" s="21" t="s">
        <v>113</v>
      </c>
      <c r="L15" s="27">
        <f>E5</f>
        <v>0.23457720640518787</v>
      </c>
      <c r="O15" t="s">
        <v>114</v>
      </c>
      <c r="P15">
        <v>516</v>
      </c>
      <c r="R15">
        <v>472</v>
      </c>
    </row>
    <row r="16" spans="3:18" ht="21">
      <c r="K16" s="21" t="s">
        <v>115</v>
      </c>
      <c r="L16" s="27">
        <f>E6</f>
        <v>0.31855285986518389</v>
      </c>
      <c r="O16" t="s">
        <v>116</v>
      </c>
      <c r="R16">
        <v>624</v>
      </c>
    </row>
    <row r="17" spans="2:18" ht="21">
      <c r="K17" s="21" t="s">
        <v>117</v>
      </c>
      <c r="L17" s="27">
        <f>E7</f>
        <v>1.5927642993259192E-2</v>
      </c>
      <c r="O17" t="s">
        <v>118</v>
      </c>
      <c r="R17">
        <v>1353</v>
      </c>
    </row>
    <row r="18" spans="2:18" ht="21">
      <c r="K18" s="21" t="s">
        <v>119</v>
      </c>
      <c r="L18" s="27">
        <f>E9</f>
        <v>8.3520577945902896E-2</v>
      </c>
      <c r="O18" t="s">
        <v>120</v>
      </c>
      <c r="R18">
        <v>354</v>
      </c>
    </row>
    <row r="24" spans="2:18" ht="15" thickBot="1">
      <c r="O24" t="s">
        <v>121</v>
      </c>
      <c r="P24">
        <f>P25-P14-P15-P16-P17-P18-P19-P20-P21-P22-P23</f>
        <v>3992</v>
      </c>
      <c r="R24">
        <f>R25-R14-R15-R16-R17-R18-R19-R20-R21-R22-R23</f>
        <v>1243</v>
      </c>
    </row>
    <row r="25" spans="2:18" ht="25.5" thickBot="1">
      <c r="C25" s="28" t="s">
        <v>122</v>
      </c>
      <c r="D25" s="28" t="s">
        <v>123</v>
      </c>
      <c r="E25" s="28"/>
      <c r="F25" s="193" t="s">
        <v>5</v>
      </c>
      <c r="G25" s="28"/>
      <c r="H25" s="193" t="s">
        <v>6</v>
      </c>
      <c r="O25" t="s">
        <v>124</v>
      </c>
      <c r="P25">
        <v>4586</v>
      </c>
      <c r="R25">
        <v>4124</v>
      </c>
    </row>
    <row r="26" spans="2:18" ht="25.5" thickBot="1">
      <c r="B26" s="193" t="s">
        <v>125</v>
      </c>
      <c r="C26" s="29" t="s">
        <v>126</v>
      </c>
      <c r="D26" s="29" t="s">
        <v>126</v>
      </c>
      <c r="E26" s="29"/>
      <c r="F26" s="194"/>
      <c r="G26" s="29"/>
      <c r="H26" s="194"/>
    </row>
    <row r="27" spans="2:18" ht="25.5" thickBot="1">
      <c r="B27" s="194"/>
      <c r="C27" s="30">
        <v>498726</v>
      </c>
      <c r="D27" s="30">
        <v>451737</v>
      </c>
      <c r="E27" s="30"/>
      <c r="F27" s="31">
        <f>C27-D27</f>
        <v>46989</v>
      </c>
      <c r="G27" s="31"/>
      <c r="H27" s="32">
        <f>C27/D27-1</f>
        <v>0.10401848863387331</v>
      </c>
    </row>
    <row r="28" spans="2:18" ht="24.75">
      <c r="B28" s="33" t="s">
        <v>127</v>
      </c>
      <c r="C28" s="34">
        <v>143587</v>
      </c>
      <c r="D28" s="34">
        <v>127531</v>
      </c>
      <c r="E28" s="34"/>
      <c r="F28" s="34">
        <f>C28-D28</f>
        <v>16056</v>
      </c>
      <c r="G28" s="34"/>
      <c r="H28" s="35">
        <f>C28/D28-1</f>
        <v>0.12589880107581686</v>
      </c>
    </row>
    <row r="29" spans="2:18" ht="24.75">
      <c r="B29" s="36" t="s">
        <v>128</v>
      </c>
      <c r="C29" s="37">
        <v>3802</v>
      </c>
      <c r="D29" s="38">
        <v>3829</v>
      </c>
      <c r="E29" s="38"/>
      <c r="F29" s="38">
        <f>C29-D29</f>
        <v>-27</v>
      </c>
      <c r="G29" s="38"/>
      <c r="H29" s="39">
        <f>C29/D29-1</f>
        <v>-7.051449464612225E-3</v>
      </c>
    </row>
    <row r="30" spans="2:18" ht="24.75">
      <c r="B30" s="40" t="s">
        <v>109</v>
      </c>
      <c r="C30" s="41">
        <f>C27+C29</f>
        <v>502528</v>
      </c>
      <c r="D30" s="41">
        <f>D27+D29</f>
        <v>455566</v>
      </c>
      <c r="E30" s="41"/>
      <c r="F30" s="41">
        <f>C30-D30</f>
        <v>46962</v>
      </c>
      <c r="G30" s="41"/>
      <c r="H30" s="42">
        <f>C30/D30-1</f>
        <v>0.10308495366203796</v>
      </c>
    </row>
    <row r="31" spans="2:18" ht="24.75">
      <c r="B31" s="43" t="s">
        <v>129</v>
      </c>
    </row>
  </sheetData>
  <mergeCells count="4">
    <mergeCell ref="D1:K1"/>
    <mergeCell ref="F25:F26"/>
    <mergeCell ref="H25:H26"/>
    <mergeCell ref="B26:B27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1"/>
  <sheetViews>
    <sheetView workbookViewId="0">
      <selection activeCell="C5" sqref="C5:J11"/>
    </sheetView>
  </sheetViews>
  <sheetFormatPr defaultRowHeight="14.25"/>
  <cols>
    <col min="2" max="2" width="14.625" customWidth="1"/>
    <col min="3" max="3" width="12.75" bestFit="1" customWidth="1"/>
    <col min="4" max="4" width="15.5" bestFit="1" customWidth="1"/>
    <col min="5" max="5" width="12.5" customWidth="1"/>
    <col min="6" max="6" width="13" bestFit="1" customWidth="1"/>
    <col min="7" max="7" width="12.75" bestFit="1" customWidth="1"/>
    <col min="8" max="8" width="15.5" bestFit="1" customWidth="1"/>
    <col min="9" max="9" width="10.875" bestFit="1" customWidth="1"/>
    <col min="10" max="10" width="13.625" bestFit="1" customWidth="1"/>
    <col min="11" max="11" width="13.75" bestFit="1" customWidth="1"/>
  </cols>
  <sheetData>
    <row r="2" spans="2:11" ht="15" thickBot="1"/>
    <row r="3" spans="2:11" ht="22.5">
      <c r="B3" s="199" t="s">
        <v>0</v>
      </c>
      <c r="C3" s="4" t="s">
        <v>1</v>
      </c>
      <c r="D3" s="195" t="s">
        <v>2</v>
      </c>
      <c r="E3" s="201" t="s">
        <v>3</v>
      </c>
      <c r="F3" s="201" t="s">
        <v>2</v>
      </c>
      <c r="G3" s="4" t="s">
        <v>4</v>
      </c>
      <c r="H3" s="195" t="s">
        <v>2</v>
      </c>
      <c r="I3" s="195" t="s">
        <v>5</v>
      </c>
      <c r="J3" s="195" t="s">
        <v>6</v>
      </c>
      <c r="K3" s="197">
        <v>46082</v>
      </c>
    </row>
    <row r="4" spans="2:11" ht="23.25" thickBot="1">
      <c r="B4" s="200"/>
      <c r="C4" s="5" t="s">
        <v>577</v>
      </c>
      <c r="D4" s="196"/>
      <c r="E4" s="202"/>
      <c r="F4" s="202"/>
      <c r="G4" s="5" t="s">
        <v>577</v>
      </c>
      <c r="H4" s="196"/>
      <c r="I4" s="196"/>
      <c r="J4" s="196"/>
      <c r="K4" s="198"/>
    </row>
    <row r="5" spans="2:11" ht="42" customHeight="1">
      <c r="B5" s="2" t="s">
        <v>7</v>
      </c>
      <c r="C5" s="8">
        <f>ROUND(当月附表3!B7/10000,0)</f>
        <v>24327</v>
      </c>
      <c r="D5" s="138">
        <f>C5/C$11</f>
        <v>0.34595693847947895</v>
      </c>
      <c r="E5" s="9">
        <f>ROUND(当月奉贤附表3!B7/10000,0)</f>
        <v>6393</v>
      </c>
      <c r="F5" s="141">
        <f>E5/E$11</f>
        <v>0.36775195582144499</v>
      </c>
      <c r="G5" s="8">
        <f>ROUND(上年同期附表3!B7/10000,0)</f>
        <v>21579</v>
      </c>
      <c r="H5" s="138">
        <f>G5/G$11</f>
        <v>0.37453138017217441</v>
      </c>
      <c r="I5" s="8">
        <f>C5-G5</f>
        <v>2748</v>
      </c>
      <c r="J5" s="138">
        <f>I5/G5</f>
        <v>0.12734603086333937</v>
      </c>
      <c r="K5" s="9">
        <f>ROUND(当月附表3!B7/10000,0)</f>
        <v>24327</v>
      </c>
    </row>
    <row r="6" spans="2:11" ht="22.5">
      <c r="B6" s="1" t="s">
        <v>8</v>
      </c>
      <c r="C6" s="10">
        <f>ROUND(当月附表3!B47/10000,0)</f>
        <v>16495</v>
      </c>
      <c r="D6" s="139">
        <f t="shared" ref="D6:F10" si="0">C6/C$11</f>
        <v>0.23457720640518787</v>
      </c>
      <c r="E6" s="11">
        <f>ROUND(当月奉贤附表3!B47/10000,0)</f>
        <v>2771</v>
      </c>
      <c r="F6" s="142">
        <f t="shared" si="0"/>
        <v>0.15939944776806259</v>
      </c>
      <c r="G6" s="10">
        <f>ROUND(上年同期附表3!B47/10000,0)</f>
        <v>13387</v>
      </c>
      <c r="H6" s="139">
        <f t="shared" ref="H6" si="1">G6/G$11</f>
        <v>0.23234865315190226</v>
      </c>
      <c r="I6" s="10">
        <f t="shared" ref="I6:I10" si="2">C6-G6</f>
        <v>3108</v>
      </c>
      <c r="J6" s="139">
        <f>I6/G6</f>
        <v>0.23216553372674983</v>
      </c>
      <c r="K6" s="11">
        <f>ROUND(当月附表3!B47/10000,0)</f>
        <v>16495</v>
      </c>
    </row>
    <row r="7" spans="2:11" ht="42" customHeight="1">
      <c r="B7" s="1" t="s">
        <v>9</v>
      </c>
      <c r="C7" s="10">
        <f>ROUND(当月附表3!B33/10000,0)</f>
        <v>22400</v>
      </c>
      <c r="D7" s="139">
        <f t="shared" si="0"/>
        <v>0.31855285986518389</v>
      </c>
      <c r="E7" s="11">
        <f>ROUND(当月奉贤附表3!B33/10000,0)</f>
        <v>6605</v>
      </c>
      <c r="F7" s="142">
        <f t="shared" ref="F7" si="3">E7/E$11</f>
        <v>0.37994707777266451</v>
      </c>
      <c r="G7" s="10">
        <f>ROUND(上年同期附表3!B33/10000,0)</f>
        <v>16986</v>
      </c>
      <c r="H7" s="139">
        <f t="shared" ref="H7" si="4">G7/G$11</f>
        <v>0.29481394057206334</v>
      </c>
      <c r="I7" s="10">
        <f t="shared" si="2"/>
        <v>5414</v>
      </c>
      <c r="J7" s="139">
        <f t="shared" ref="J7:J11" si="5">I7/G7</f>
        <v>0.31873307429647946</v>
      </c>
      <c r="K7" s="11">
        <f>ROUND(当月附表3!B33/10000,0)</f>
        <v>22400</v>
      </c>
    </row>
    <row r="8" spans="2:11" ht="22.5">
      <c r="B8" s="1" t="s">
        <v>10</v>
      </c>
      <c r="C8" s="10">
        <f>C11-C10-C7-C6-C5-C9</f>
        <v>1120</v>
      </c>
      <c r="D8" s="139">
        <f t="shared" si="0"/>
        <v>1.5927642993259192E-2</v>
      </c>
      <c r="E8" s="11">
        <f>E11-E10-E7-E6-E5-E9</f>
        <v>178</v>
      </c>
      <c r="F8" s="142">
        <f t="shared" ref="F8" si="6">E8/E$11</f>
        <v>1.023930050621261E-2</v>
      </c>
      <c r="G8" s="10">
        <f>G11-G10-G7-G6-G5-G9</f>
        <v>1078</v>
      </c>
      <c r="H8" s="139">
        <f t="shared" ref="H8" si="7">G8/G$11</f>
        <v>1.8710080533185226E-2</v>
      </c>
      <c r="I8" s="10">
        <f t="shared" si="2"/>
        <v>42</v>
      </c>
      <c r="J8" s="139">
        <f t="shared" si="5"/>
        <v>3.896103896103896E-2</v>
      </c>
      <c r="K8" s="11">
        <f>K11-K10-K7-K6-K5-K9</f>
        <v>1120</v>
      </c>
    </row>
    <row r="9" spans="2:11" ht="42">
      <c r="B9" s="1" t="s">
        <v>11</v>
      </c>
      <c r="C9" s="3">
        <f>ROUND(当月附表3!B53/10000,0)</f>
        <v>103</v>
      </c>
      <c r="D9" s="139">
        <f t="shared" si="0"/>
        <v>1.4647743109872295E-3</v>
      </c>
      <c r="E9" s="11">
        <f>ROUND(当月奉贤附表3!B53/10000,0)</f>
        <v>22</v>
      </c>
      <c r="F9" s="142">
        <f t="shared" ref="F9" si="8">E9/E$11</f>
        <v>1.2655315232397606E-3</v>
      </c>
      <c r="G9" s="3">
        <f>ROUND(上年同期附表3!B53/10000,0)</f>
        <v>77</v>
      </c>
      <c r="H9" s="139">
        <f t="shared" ref="H9" si="9">G9/G$11</f>
        <v>1.3364343237989447E-3</v>
      </c>
      <c r="I9" s="10">
        <f t="shared" si="2"/>
        <v>26</v>
      </c>
      <c r="J9" s="139">
        <f t="shared" si="5"/>
        <v>0.33766233766233766</v>
      </c>
      <c r="K9" s="6">
        <f>ROUND(当月附表3!B53/10000,0)</f>
        <v>103</v>
      </c>
    </row>
    <row r="10" spans="2:11" ht="42">
      <c r="B10" s="1" t="s">
        <v>12</v>
      </c>
      <c r="C10" s="10">
        <f>ROUND(当月附表3!B54/10000,0)</f>
        <v>5873</v>
      </c>
      <c r="D10" s="139">
        <f t="shared" si="0"/>
        <v>8.3520577945902896E-2</v>
      </c>
      <c r="E10" s="11">
        <f>ROUND(当月奉贤附表3!B54/10000,0)</f>
        <v>1415</v>
      </c>
      <c r="F10" s="142">
        <f t="shared" ref="F10" si="10">E10/E$11</f>
        <v>8.1396686608375513E-2</v>
      </c>
      <c r="G10" s="10">
        <f>ROUND(上年同期附表3!B54/10000,0)</f>
        <v>4509</v>
      </c>
      <c r="H10" s="139">
        <f t="shared" ref="H10" si="11">G10/G$11</f>
        <v>7.8259511246875871E-2</v>
      </c>
      <c r="I10" s="10">
        <f t="shared" si="2"/>
        <v>1364</v>
      </c>
      <c r="J10" s="139">
        <f t="shared" si="5"/>
        <v>0.30250609891328456</v>
      </c>
      <c r="K10" s="11">
        <f>ROUND(当月附表3!B54/10000,0)</f>
        <v>5873</v>
      </c>
    </row>
    <row r="11" spans="2:11" ht="42.75" thickBot="1">
      <c r="B11" s="12" t="s">
        <v>13</v>
      </c>
      <c r="C11" s="13">
        <f>ROUND(当月附表3!B6/10000,0)</f>
        <v>70318</v>
      </c>
      <c r="D11" s="140">
        <v>1</v>
      </c>
      <c r="E11" s="14">
        <f>ROUND(当月奉贤附表3!B6/10000,0)</f>
        <v>17384</v>
      </c>
      <c r="F11" s="143">
        <v>1</v>
      </c>
      <c r="G11" s="13">
        <f>ROUND(上年同期附表3!B6/10000,0)</f>
        <v>57616</v>
      </c>
      <c r="H11" s="140">
        <v>1</v>
      </c>
      <c r="I11" s="13">
        <f>C11-G11</f>
        <v>12702</v>
      </c>
      <c r="J11" s="140">
        <f t="shared" si="5"/>
        <v>0.22045959455706748</v>
      </c>
      <c r="K11" s="14">
        <f>ROUND(当月附表3!B6/10000,0)</f>
        <v>70318</v>
      </c>
    </row>
  </sheetData>
  <mergeCells count="8">
    <mergeCell ref="J3:J4"/>
    <mergeCell ref="K3:K4"/>
    <mergeCell ref="B3:B4"/>
    <mergeCell ref="D3:D4"/>
    <mergeCell ref="E3:E4"/>
    <mergeCell ref="F3:F4"/>
    <mergeCell ref="H3:H4"/>
    <mergeCell ref="I3:I4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0"/>
  <sheetViews>
    <sheetView workbookViewId="0">
      <selection activeCell="C5" sqref="C5"/>
    </sheetView>
  </sheetViews>
  <sheetFormatPr defaultRowHeight="14.25"/>
  <cols>
    <col min="2" max="2" width="28.25" customWidth="1"/>
    <col min="3" max="3" width="18.125" bestFit="1" customWidth="1"/>
    <col min="4" max="4" width="12.875" customWidth="1"/>
    <col min="5" max="5" width="17.125" bestFit="1" customWidth="1"/>
    <col min="6" max="6" width="10" bestFit="1" customWidth="1"/>
    <col min="7" max="7" width="10.875" bestFit="1" customWidth="1"/>
  </cols>
  <sheetData>
    <row r="2" spans="2:7" ht="15" thickBot="1"/>
    <row r="3" spans="2:7" ht="21.75">
      <c r="B3" s="191" t="s">
        <v>125</v>
      </c>
      <c r="C3" s="203">
        <v>46113</v>
      </c>
      <c r="D3" s="45" t="s">
        <v>130</v>
      </c>
      <c r="E3" s="203">
        <v>45748</v>
      </c>
      <c r="F3" s="191" t="s">
        <v>5</v>
      </c>
      <c r="G3" s="191" t="s">
        <v>6</v>
      </c>
    </row>
    <row r="4" spans="2:7" ht="29.25" customHeight="1" thickBot="1">
      <c r="B4" s="190"/>
      <c r="C4" s="204"/>
      <c r="D4" s="46" t="s">
        <v>3</v>
      </c>
      <c r="E4" s="204"/>
      <c r="F4" s="190"/>
      <c r="G4" s="190"/>
    </row>
    <row r="5" spans="2:7" ht="29.25" customHeight="1">
      <c r="B5" s="47" t="s">
        <v>578</v>
      </c>
      <c r="C5" s="50">
        <f>ROUND((当年累计数据表!AQ3+当年累计数据表!AX3+当年累计数据表!BZ3+当年累计数据表!CG3)/10000,0)</f>
        <v>31689</v>
      </c>
      <c r="D5" s="50">
        <f>ROUND((当年累计数据表奉贤!AQ3+当年累计数据表奉贤!AX3+当年累计数据表奉贤!BZ3+当年累计数据表奉贤!CG3)/10000,0)</f>
        <v>6304</v>
      </c>
      <c r="E5" s="50">
        <f>ROUND((去年累计数据表!AQ3+去年累计数据表!AX3+去年累计数据表!BZ3+去年累计数据表!CG3)/10000,0)</f>
        <v>24331</v>
      </c>
      <c r="F5" s="50">
        <f>C5-E5</f>
        <v>7358</v>
      </c>
      <c r="G5" s="126">
        <f>F5/E5</f>
        <v>0.30241256010850354</v>
      </c>
    </row>
    <row r="6" spans="2:7" ht="28.5" customHeight="1">
      <c r="B6" s="186" t="s">
        <v>7</v>
      </c>
      <c r="C6" s="89">
        <f>医疗成本!C5</f>
        <v>24327</v>
      </c>
      <c r="D6" s="89">
        <f>医疗成本!E5</f>
        <v>6393</v>
      </c>
      <c r="E6" s="89">
        <f>医疗成本!G5</f>
        <v>21579</v>
      </c>
      <c r="F6" s="89">
        <f>医疗成本!I5</f>
        <v>2748</v>
      </c>
      <c r="G6" s="187">
        <f>医疗成本!J5</f>
        <v>0.12734603086333937</v>
      </c>
    </row>
    <row r="7" spans="2:7" ht="28.5" customHeight="1">
      <c r="B7" s="1" t="s">
        <v>128</v>
      </c>
      <c r="C7" s="50">
        <f>ROUND((当月附表3!B9+当月附表3!B10+当月附表3!B11+当月附表3!B12+当月附表3!B13+当月附表3!B20)/10000,0)</f>
        <v>19440</v>
      </c>
      <c r="D7" s="50">
        <f>ROUND((当月奉贤附表3!B9+当月奉贤附表3!B10+当月奉贤附表3!B11+当月奉贤附表3!B12+当月奉贤附表3!B13+当月奉贤附表3!B20)/10000,0)</f>
        <v>5701</v>
      </c>
      <c r="E7" s="50">
        <f>ROUND((上年同期附表3!B9+上年同期附表3!B10+上年同期附表3!B11+上年同期附表3!B12+上年同期附表3!B13+上年同期附表3!B20)/10000,0)</f>
        <v>17018</v>
      </c>
      <c r="F7" s="50">
        <f>C7-E7</f>
        <v>2422</v>
      </c>
      <c r="G7" s="126">
        <f>F7/E7</f>
        <v>0.14231989658009167</v>
      </c>
    </row>
    <row r="8" spans="2:7" ht="28.5" customHeight="1">
      <c r="B8" s="51" t="s">
        <v>131</v>
      </c>
      <c r="C8" s="52">
        <f>ROUND((当月附表3!B9+当月附表3!B10+当月附表3!B11+当月附表3!B12+当月附表3!B20)/10000,0)</f>
        <v>3697</v>
      </c>
      <c r="D8" s="52">
        <f>ROUND((当月奉贤附表3!B9+当月奉贤附表3!B10+当月奉贤附表3!B11+当月奉贤附表3!B12+当月奉贤附表3!B20)/10000,0)</f>
        <v>520</v>
      </c>
      <c r="E8" s="52">
        <f>ROUND((上年同期附表3!B9+上年同期附表3!B10+上年同期附表3!B11+上年同期附表3!B12+上年同期附表3!B20)/10000,0)</f>
        <v>3848</v>
      </c>
      <c r="F8" s="53">
        <f>C8-E8</f>
        <v>-151</v>
      </c>
      <c r="G8" s="127">
        <f>F8/E8</f>
        <v>-3.9241164241164243E-2</v>
      </c>
    </row>
    <row r="9" spans="2:7" ht="28.5" customHeight="1">
      <c r="B9" s="51" t="s">
        <v>132</v>
      </c>
      <c r="C9" s="52">
        <f>C7-C8</f>
        <v>15743</v>
      </c>
      <c r="D9" s="52">
        <f>D7-D8</f>
        <v>5181</v>
      </c>
      <c r="E9" s="52">
        <f>E7-E8</f>
        <v>13170</v>
      </c>
      <c r="F9" s="52">
        <f>C9-E9</f>
        <v>2573</v>
      </c>
      <c r="G9" s="127">
        <f>F9/E9</f>
        <v>0.19536826119969627</v>
      </c>
    </row>
    <row r="10" spans="2:7" ht="28.5" customHeight="1">
      <c r="B10" s="1" t="s">
        <v>133</v>
      </c>
      <c r="C10" s="22">
        <f>ROUND((当月附表3!B14+当月附表3!B15+当月附表3!B16+当月附表3!B17+当月附表3!B18)/10000,0)</f>
        <v>4601</v>
      </c>
      <c r="D10" s="22">
        <f>ROUND((当月奉贤附表3!B14+当月奉贤附表3!B15+当月奉贤附表3!B16+当月奉贤附表3!B17+当月奉贤附表3!B18)/10000,0)</f>
        <v>692</v>
      </c>
      <c r="E10" s="22">
        <f>ROUND((上年同期附表3!B14+上年同期附表3!B15+上年同期附表3!B16+上年同期附表3!B17+上年同期附表3!B18)/10000,0)</f>
        <v>4270</v>
      </c>
      <c r="F10" s="44">
        <f>C10-E10</f>
        <v>331</v>
      </c>
      <c r="G10" s="126">
        <f>F10/E10</f>
        <v>7.751756440281031E-2</v>
      </c>
    </row>
  </sheetData>
  <mergeCells count="5">
    <mergeCell ref="B3:B4"/>
    <mergeCell ref="C3:C4"/>
    <mergeCell ref="E3:E4"/>
    <mergeCell ref="F3:F4"/>
    <mergeCell ref="G3:G4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7"/>
  <sheetViews>
    <sheetView workbookViewId="0">
      <selection activeCell="E5" sqref="E5"/>
    </sheetView>
  </sheetViews>
  <sheetFormatPr defaultRowHeight="14.25"/>
  <cols>
    <col min="2" max="2" width="19.375" customWidth="1"/>
    <col min="3" max="3" width="17.625" bestFit="1" customWidth="1"/>
    <col min="5" max="5" width="17.625" bestFit="1" customWidth="1"/>
    <col min="7" max="7" width="15.375" bestFit="1" customWidth="1"/>
  </cols>
  <sheetData>
    <row r="1" spans="2:7" ht="15" thickBot="1"/>
    <row r="2" spans="2:7" ht="21.75">
      <c r="B2" s="191" t="s">
        <v>125</v>
      </c>
      <c r="C2" s="189">
        <v>46113</v>
      </c>
      <c r="D2" s="45" t="s">
        <v>130</v>
      </c>
      <c r="E2" s="189">
        <v>45748</v>
      </c>
      <c r="F2" s="191" t="s">
        <v>5</v>
      </c>
      <c r="G2" s="191" t="s">
        <v>6</v>
      </c>
    </row>
    <row r="3" spans="2:7" ht="44.25" thickBot="1">
      <c r="B3" s="190"/>
      <c r="C3" s="190"/>
      <c r="D3" s="46" t="s">
        <v>3</v>
      </c>
      <c r="E3" s="190"/>
      <c r="F3" s="190"/>
      <c r="G3" s="190"/>
    </row>
    <row r="4" spans="2:7" ht="29.25">
      <c r="B4" s="28" t="s">
        <v>185</v>
      </c>
      <c r="C4" s="70">
        <f>C5+C6+C7</f>
        <v>461</v>
      </c>
      <c r="D4" s="70">
        <f t="shared" ref="D4:E4" si="0">D5+D6+D7</f>
        <v>134</v>
      </c>
      <c r="E4" s="70">
        <f t="shared" si="0"/>
        <v>515</v>
      </c>
      <c r="F4" s="74">
        <f>C4-E4</f>
        <v>-54</v>
      </c>
      <c r="G4" s="125">
        <f>F4/E4</f>
        <v>-0.10485436893203884</v>
      </c>
    </row>
    <row r="5" spans="2:7" ht="24.75">
      <c r="B5" s="72" t="s">
        <v>186</v>
      </c>
      <c r="C5" s="73">
        <f>ROUND(当月附表3!B59/10000,0)</f>
        <v>61</v>
      </c>
      <c r="D5" s="73">
        <f>ROUND(当月奉贤附表3!B59/10000,0)</f>
        <v>8</v>
      </c>
      <c r="E5" s="73">
        <f>ROUND(上年同期附表3!B59/10000,0)</f>
        <v>58</v>
      </c>
      <c r="F5" s="73">
        <f>C5-E5</f>
        <v>3</v>
      </c>
      <c r="G5" s="59">
        <f>F5/E5</f>
        <v>5.1724137931034482E-2</v>
      </c>
    </row>
    <row r="6" spans="2:7" ht="24.75">
      <c r="B6" s="72" t="s">
        <v>187</v>
      </c>
      <c r="C6" s="73">
        <f>ROUND(当月附表3!B60/10000,0)</f>
        <v>338</v>
      </c>
      <c r="D6" s="73">
        <f>ROUND(当月奉贤附表3!B60/10000,0)</f>
        <v>95</v>
      </c>
      <c r="E6" s="73">
        <f>ROUND(上年同期附表3!B60/10000,0)</f>
        <v>326</v>
      </c>
      <c r="F6" s="73">
        <f>C6-E6</f>
        <v>12</v>
      </c>
      <c r="G6" s="59">
        <f>F6/E6</f>
        <v>3.6809815950920248E-2</v>
      </c>
    </row>
    <row r="7" spans="2:7" ht="24.75">
      <c r="B7" s="72" t="s">
        <v>188</v>
      </c>
      <c r="C7" s="73">
        <f>ROUND(当月附表3!B72/10000,0)</f>
        <v>62</v>
      </c>
      <c r="D7" s="73">
        <f>ROUND(当月奉贤附表3!B72/10000,0)</f>
        <v>31</v>
      </c>
      <c r="E7" s="73">
        <f>ROUND(上年同期附表3!B72/10000,0)</f>
        <v>131</v>
      </c>
      <c r="F7" s="73">
        <f>C7-E7</f>
        <v>-69</v>
      </c>
      <c r="G7" s="59">
        <f>F7/E7</f>
        <v>-0.52671755725190839</v>
      </c>
    </row>
  </sheetData>
  <mergeCells count="5">
    <mergeCell ref="B2:B3"/>
    <mergeCell ref="C2:C3"/>
    <mergeCell ref="E2:E3"/>
    <mergeCell ref="F2:F3"/>
    <mergeCell ref="G2:G3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6"/>
  <sheetViews>
    <sheetView workbookViewId="0">
      <selection activeCell="F11" sqref="F11"/>
    </sheetView>
  </sheetViews>
  <sheetFormatPr defaultRowHeight="14.25"/>
  <cols>
    <col min="2" max="2" width="19.125" customWidth="1"/>
    <col min="3" max="3" width="17.125" customWidth="1"/>
    <col min="4" max="4" width="15.625" customWidth="1"/>
    <col min="5" max="5" width="11.875" bestFit="1" customWidth="1"/>
    <col min="6" max="6" width="22.125" customWidth="1"/>
  </cols>
  <sheetData>
    <row r="1" spans="2:12" ht="15" thickBot="1"/>
    <row r="2" spans="2:12" ht="24" thickBot="1">
      <c r="B2" s="195" t="s">
        <v>19</v>
      </c>
      <c r="C2" s="206" t="s">
        <v>189</v>
      </c>
      <c r="D2" s="206"/>
      <c r="E2" s="206"/>
      <c r="F2" s="75"/>
      <c r="J2" t="s">
        <v>426</v>
      </c>
    </row>
    <row r="3" spans="2:12" ht="23.25" thickBot="1">
      <c r="B3" s="205"/>
      <c r="C3" s="76" t="s">
        <v>190</v>
      </c>
      <c r="D3" s="76" t="s">
        <v>191</v>
      </c>
      <c r="E3" s="76" t="s">
        <v>192</v>
      </c>
      <c r="F3" s="76" t="s">
        <v>193</v>
      </c>
      <c r="H3" s="114">
        <v>0.33300000000000002</v>
      </c>
      <c r="J3">
        <v>17532</v>
      </c>
      <c r="K3">
        <f>J3*(1-H3)</f>
        <v>11693.844000000001</v>
      </c>
    </row>
    <row r="4" spans="2:12" ht="23.25" thickBot="1">
      <c r="B4" s="77" t="s">
        <v>194</v>
      </c>
      <c r="C4" s="78">
        <v>750000</v>
      </c>
      <c r="D4" s="78">
        <f>收支结余!C4</f>
        <v>67338</v>
      </c>
      <c r="E4" s="79">
        <f>D4/C4</f>
        <v>8.9784000000000003E-2</v>
      </c>
      <c r="F4" s="79">
        <f>E4-$H$3</f>
        <v>-0.24321600000000002</v>
      </c>
      <c r="K4" s="7">
        <f>D6-K3</f>
        <v>7746.155999999999</v>
      </c>
      <c r="L4" s="113">
        <f>K4/C6</f>
        <v>3.4427359999999997E-2</v>
      </c>
    </row>
    <row r="5" spans="2:12" ht="22.5">
      <c r="B5" s="80" t="s">
        <v>127</v>
      </c>
      <c r="C5" s="81">
        <v>768743</v>
      </c>
      <c r="D5" s="81">
        <f>收支结余!C6</f>
        <v>70318</v>
      </c>
      <c r="E5" s="82">
        <f>D5/C5</f>
        <v>9.1471402016018361E-2</v>
      </c>
      <c r="F5" s="82">
        <f>E5-$H$3</f>
        <v>-0.24152859798398166</v>
      </c>
      <c r="K5" s="7"/>
      <c r="L5" s="113"/>
    </row>
    <row r="6" spans="2:12" ht="22.5">
      <c r="B6" s="83" t="s">
        <v>195</v>
      </c>
      <c r="C6" s="84">
        <v>225000</v>
      </c>
      <c r="D6" s="84">
        <f>人员经费!C7</f>
        <v>19440</v>
      </c>
      <c r="E6" s="85">
        <f>D6/C6</f>
        <v>8.6400000000000005E-2</v>
      </c>
      <c r="F6" s="85">
        <f>E6-$H$3</f>
        <v>-0.24660000000000001</v>
      </c>
    </row>
  </sheetData>
  <mergeCells count="2">
    <mergeCell ref="B2:B3"/>
    <mergeCell ref="C2:E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7"/>
  <sheetViews>
    <sheetView workbookViewId="0">
      <selection activeCell="C4" sqref="C4:G9"/>
    </sheetView>
  </sheetViews>
  <sheetFormatPr defaultRowHeight="14.25"/>
  <cols>
    <col min="2" max="2" width="28.375" customWidth="1"/>
    <col min="3" max="3" width="19" bestFit="1" customWidth="1"/>
    <col min="4" max="4" width="17.625" bestFit="1" customWidth="1"/>
    <col min="5" max="5" width="19" bestFit="1" customWidth="1"/>
    <col min="6" max="6" width="17" bestFit="1" customWidth="1"/>
    <col min="7" max="7" width="12.625" bestFit="1" customWidth="1"/>
  </cols>
  <sheetData>
    <row r="1" spans="2:7" ht="15" thickBot="1"/>
    <row r="2" spans="2:7" ht="23.25" customHeight="1">
      <c r="B2" s="191" t="s">
        <v>125</v>
      </c>
      <c r="C2" s="207">
        <v>46113</v>
      </c>
      <c r="D2" s="86" t="s">
        <v>130</v>
      </c>
      <c r="E2" s="207">
        <v>45748</v>
      </c>
      <c r="F2" s="209" t="s">
        <v>5</v>
      </c>
      <c r="G2" s="209" t="s">
        <v>6</v>
      </c>
    </row>
    <row r="3" spans="2:7" ht="22.5" customHeight="1" thickBot="1">
      <c r="B3" s="190"/>
      <c r="C3" s="208"/>
      <c r="D3" s="46" t="s">
        <v>3</v>
      </c>
      <c r="E3" s="208"/>
      <c r="F3" s="190"/>
      <c r="G3" s="190"/>
    </row>
    <row r="4" spans="2:7" ht="32.25" customHeight="1">
      <c r="B4" s="87" t="s">
        <v>194</v>
      </c>
      <c r="C4" s="48">
        <f>ROUND(当年累计数据表!O3/10000,0)</f>
        <v>67338</v>
      </c>
      <c r="D4" s="48">
        <f>ROUND(当年累计数据表奉贤!O3/10000,0)</f>
        <v>14595</v>
      </c>
      <c r="E4" s="48">
        <f>ROUND(去年累计数据表!O3/10000,0)</f>
        <v>51336</v>
      </c>
      <c r="F4" s="48">
        <f t="shared" ref="F4:F9" si="0">C4-E4</f>
        <v>16002</v>
      </c>
      <c r="G4" s="49">
        <f>F4/E4</f>
        <v>0.31171107994389902</v>
      </c>
    </row>
    <row r="5" spans="2:7" ht="32.25" customHeight="1">
      <c r="B5" s="88" t="s">
        <v>196</v>
      </c>
      <c r="C5" s="115">
        <v>2502</v>
      </c>
      <c r="D5" s="90">
        <v>0</v>
      </c>
      <c r="E5" s="115">
        <v>2411</v>
      </c>
      <c r="F5" s="90">
        <f t="shared" si="0"/>
        <v>91</v>
      </c>
      <c r="G5" s="91">
        <f>F5/E5</f>
        <v>3.7743674823724593E-2</v>
      </c>
    </row>
    <row r="6" spans="2:7" ht="32.25" customHeight="1">
      <c r="B6" s="88" t="s">
        <v>198</v>
      </c>
      <c r="C6" s="89">
        <f>医疗成本!C11</f>
        <v>70318</v>
      </c>
      <c r="D6" s="89">
        <f>医疗成本!E11</f>
        <v>17384</v>
      </c>
      <c r="E6" s="89">
        <f>医疗成本!G11</f>
        <v>57616</v>
      </c>
      <c r="F6" s="89">
        <f t="shared" si="0"/>
        <v>12702</v>
      </c>
      <c r="G6" s="91">
        <f>F6/E6</f>
        <v>0.22045959455706748</v>
      </c>
    </row>
    <row r="7" spans="2:7" ht="32.25" customHeight="1">
      <c r="B7" s="88" t="s">
        <v>199</v>
      </c>
      <c r="C7" s="89">
        <f>C4+C5-C6</f>
        <v>-478</v>
      </c>
      <c r="D7" s="89">
        <f t="shared" ref="D7:E7" si="1">D4+D5-D6</f>
        <v>-2789</v>
      </c>
      <c r="E7" s="89">
        <f t="shared" si="1"/>
        <v>-3869</v>
      </c>
      <c r="F7" s="89">
        <f t="shared" si="0"/>
        <v>3391</v>
      </c>
      <c r="G7" s="91">
        <f>F7/E7</f>
        <v>-0.87645386404755754</v>
      </c>
    </row>
    <row r="8" spans="2:7" ht="32.25" customHeight="1">
      <c r="B8" s="88" t="s">
        <v>200</v>
      </c>
      <c r="C8" s="89">
        <f>C9-C7</f>
        <v>277</v>
      </c>
      <c r="D8" s="89">
        <f t="shared" ref="D8:E8" si="2">D9-D7</f>
        <v>116</v>
      </c>
      <c r="E8" s="89">
        <f t="shared" si="2"/>
        <v>1854</v>
      </c>
      <c r="F8" s="89">
        <f t="shared" si="0"/>
        <v>-1577</v>
      </c>
      <c r="G8" s="92" t="s">
        <v>197</v>
      </c>
    </row>
    <row r="9" spans="2:7" ht="32.25" customHeight="1">
      <c r="B9" s="93" t="s">
        <v>201</v>
      </c>
      <c r="C9" s="94">
        <f>ROUND(当月附表1!B5/10000,0)</f>
        <v>-201</v>
      </c>
      <c r="D9" s="94">
        <f>ROUND(当月奉贤附表1!B5/10000,0)</f>
        <v>-2673</v>
      </c>
      <c r="E9" s="94">
        <f>ROUND(上年同期附表1!B5/10000,0)</f>
        <v>-2015</v>
      </c>
      <c r="F9" s="94">
        <f t="shared" si="0"/>
        <v>1814</v>
      </c>
      <c r="G9" s="93" t="s">
        <v>197</v>
      </c>
    </row>
    <row r="15" spans="2:7" ht="15" thickBot="1"/>
    <row r="16" spans="2:7" ht="25.5" thickBot="1">
      <c r="B16" s="133" t="s">
        <v>125</v>
      </c>
      <c r="C16" s="184">
        <v>46113</v>
      </c>
      <c r="D16" s="184">
        <v>45748</v>
      </c>
      <c r="E16" s="133" t="s">
        <v>5</v>
      </c>
      <c r="F16" s="133" t="s">
        <v>6</v>
      </c>
    </row>
    <row r="17" spans="2:6" ht="58.5">
      <c r="B17" s="54" t="s">
        <v>467</v>
      </c>
      <c r="C17" s="134"/>
      <c r="D17" s="135"/>
      <c r="E17" s="137">
        <f>C17-D17</f>
        <v>0</v>
      </c>
      <c r="F17" s="136" t="e">
        <f>E17/D17</f>
        <v>#DIV/0!</v>
      </c>
    </row>
  </sheetData>
  <mergeCells count="5">
    <mergeCell ref="B2:B3"/>
    <mergeCell ref="C2:C3"/>
    <mergeCell ref="E2:E3"/>
    <mergeCell ref="F2:F3"/>
    <mergeCell ref="G2:G3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4"/>
  <sheetViews>
    <sheetView workbookViewId="0">
      <selection activeCell="E18" sqref="E18"/>
    </sheetView>
  </sheetViews>
  <sheetFormatPr defaultRowHeight="14.25"/>
  <cols>
    <col min="2" max="2" width="24.625" bestFit="1" customWidth="1"/>
    <col min="3" max="3" width="17.625" bestFit="1" customWidth="1"/>
    <col min="4" max="4" width="15.5" customWidth="1"/>
    <col min="5" max="5" width="17.625" bestFit="1" customWidth="1"/>
    <col min="6" max="6" width="11.875" bestFit="1" customWidth="1"/>
    <col min="7" max="7" width="15.375" bestFit="1" customWidth="1"/>
  </cols>
  <sheetData>
    <row r="1" spans="2:7" ht="15" thickBot="1"/>
    <row r="2" spans="2:7" ht="21.75">
      <c r="B2" s="191" t="s">
        <v>125</v>
      </c>
      <c r="C2" s="189">
        <v>46113</v>
      </c>
      <c r="D2" s="45" t="s">
        <v>130</v>
      </c>
      <c r="E2" s="189">
        <v>45748</v>
      </c>
      <c r="F2" s="191" t="s">
        <v>5</v>
      </c>
      <c r="G2" s="191" t="s">
        <v>6</v>
      </c>
    </row>
    <row r="3" spans="2:7" ht="22.5" thickBot="1">
      <c r="B3" s="190"/>
      <c r="C3" s="190"/>
      <c r="D3" s="46" t="s">
        <v>3</v>
      </c>
      <c r="E3" s="190"/>
      <c r="F3" s="190"/>
      <c r="G3" s="190"/>
    </row>
    <row r="4" spans="2:7" ht="26.25" customHeight="1">
      <c r="B4" s="116" t="s">
        <v>427</v>
      </c>
      <c r="C4" s="70">
        <f>ROUND(当月附表3!B54/10000,0)</f>
        <v>5873</v>
      </c>
      <c r="D4" s="70">
        <f>ROUND(当月奉贤附表3!B54/10000,0)</f>
        <v>1415</v>
      </c>
      <c r="E4" s="70">
        <f>ROUND(上年同期附表3!B54/10000,0)</f>
        <v>4509</v>
      </c>
      <c r="F4" s="74">
        <f>C4-E4</f>
        <v>1364</v>
      </c>
      <c r="G4" s="125">
        <f>F4/E4</f>
        <v>0.30250609891328456</v>
      </c>
    </row>
    <row r="5" spans="2:7" ht="26.25" customHeight="1">
      <c r="B5" s="117" t="s">
        <v>428</v>
      </c>
      <c r="C5" s="56">
        <f>水电煤!C4</f>
        <v>461</v>
      </c>
      <c r="D5" s="56">
        <f>水电煤!D4</f>
        <v>134</v>
      </c>
      <c r="E5" s="56">
        <f>水电煤!E4</f>
        <v>515</v>
      </c>
      <c r="F5" s="73">
        <f>C5-E5</f>
        <v>-54</v>
      </c>
      <c r="G5" s="59">
        <f t="shared" ref="G5:G13" si="0">F5/E5</f>
        <v>-0.10485436893203884</v>
      </c>
    </row>
    <row r="6" spans="2:7" ht="26.25" customHeight="1">
      <c r="B6" s="117" t="s">
        <v>429</v>
      </c>
      <c r="C6" s="56">
        <f>ROUND(当月附表3!B66/10000,0)</f>
        <v>723</v>
      </c>
      <c r="D6" s="73">
        <f>ROUND(当月奉贤附表3!B66/10000,0)</f>
        <v>219</v>
      </c>
      <c r="E6" s="56">
        <f>ROUND(上年同期附表3!B66/10000,0)</f>
        <v>731</v>
      </c>
      <c r="F6" s="73">
        <f t="shared" ref="F6:F13" si="1">C6-E6</f>
        <v>-8</v>
      </c>
      <c r="G6" s="59">
        <f t="shared" si="0"/>
        <v>-1.094391244870041E-2</v>
      </c>
    </row>
    <row r="7" spans="2:7" ht="26.25" customHeight="1">
      <c r="B7" s="117" t="s">
        <v>430</v>
      </c>
      <c r="C7" s="56">
        <f>ROUND(当月附表3!B63/10000,0)</f>
        <v>1046</v>
      </c>
      <c r="D7" s="73">
        <f>ROUND(当月奉贤附表3!B63/10000,0)</f>
        <v>367</v>
      </c>
      <c r="E7" s="56">
        <f>ROUND(上年同期附表3!B63/10000,0)</f>
        <v>854</v>
      </c>
      <c r="F7" s="73">
        <f t="shared" si="1"/>
        <v>192</v>
      </c>
      <c r="G7" s="59">
        <f t="shared" si="0"/>
        <v>0.22482435597189696</v>
      </c>
    </row>
    <row r="8" spans="2:7" ht="26.25" customHeight="1">
      <c r="B8" s="117" t="s">
        <v>431</v>
      </c>
      <c r="C8" s="73">
        <f>ROUND(当月附表3!B74/10000,0)</f>
        <v>1094</v>
      </c>
      <c r="D8" s="73">
        <f>ROUND(当月奉贤附表3!B74/10000,0)</f>
        <v>93</v>
      </c>
      <c r="E8" s="73">
        <f>ROUND(上年同期附表3!B74/10000,0)</f>
        <v>840</v>
      </c>
      <c r="F8" s="73">
        <f t="shared" si="1"/>
        <v>254</v>
      </c>
      <c r="G8" s="59">
        <f t="shared" si="0"/>
        <v>0.30238095238095236</v>
      </c>
    </row>
    <row r="9" spans="2:7" ht="26.25" customHeight="1">
      <c r="B9" s="117" t="s">
        <v>432</v>
      </c>
      <c r="C9" s="56">
        <f>ROUND(当月附表3!B73/10000,0)</f>
        <v>584</v>
      </c>
      <c r="D9" s="73">
        <f>ROUND(当月奉贤附表3!B73/10000,0)</f>
        <v>185</v>
      </c>
      <c r="E9" s="73">
        <f>ROUND(上年同期附表3!B73/10000,0)</f>
        <v>358</v>
      </c>
      <c r="F9" s="73">
        <f t="shared" si="1"/>
        <v>226</v>
      </c>
      <c r="G9" s="59">
        <f t="shared" si="0"/>
        <v>0.63128491620111726</v>
      </c>
    </row>
    <row r="10" spans="2:7" ht="26.25" customHeight="1">
      <c r="B10" s="117" t="s">
        <v>433</v>
      </c>
      <c r="C10" s="73">
        <f>ROUND(当月附表3!B71/10000,0)</f>
        <v>149</v>
      </c>
      <c r="D10" s="73">
        <f>ROUND(当月奉贤附表3!B71/10000,0)</f>
        <v>30</v>
      </c>
      <c r="E10" s="73">
        <f>ROUND(上年同期附表3!B71/10000,0)</f>
        <v>106</v>
      </c>
      <c r="F10" s="73">
        <f t="shared" si="1"/>
        <v>43</v>
      </c>
      <c r="G10" s="59">
        <f t="shared" si="0"/>
        <v>0.40566037735849059</v>
      </c>
    </row>
    <row r="11" spans="2:7" ht="26.25" customHeight="1">
      <c r="B11" s="188" t="s">
        <v>434</v>
      </c>
      <c r="C11" s="73">
        <v>470</v>
      </c>
      <c r="D11" s="73">
        <v>104</v>
      </c>
      <c r="E11" s="73">
        <v>575</v>
      </c>
      <c r="F11" s="73">
        <f t="shared" si="1"/>
        <v>-105</v>
      </c>
      <c r="G11" s="59">
        <f t="shared" si="0"/>
        <v>-0.18260869565217391</v>
      </c>
    </row>
    <row r="12" spans="2:7" ht="26.25" customHeight="1">
      <c r="B12" s="117" t="s">
        <v>85</v>
      </c>
      <c r="C12" s="73">
        <f>ROUND(当月附表3!B67/10000,0)</f>
        <v>372</v>
      </c>
      <c r="D12" s="73">
        <f>ROUND(当月奉贤附表3!B67/10000,0)</f>
        <v>95</v>
      </c>
      <c r="E12" s="73">
        <f>ROUND(上年同期附表3!B67/10000,0)</f>
        <v>328</v>
      </c>
      <c r="F12" s="73">
        <f t="shared" si="1"/>
        <v>44</v>
      </c>
      <c r="G12" s="59">
        <f t="shared" si="0"/>
        <v>0.13414634146341464</v>
      </c>
    </row>
    <row r="13" spans="2:7" ht="26.25" customHeight="1">
      <c r="B13" s="117" t="s">
        <v>435</v>
      </c>
      <c r="C13" s="56">
        <f>C4-C5-C6-C7-C8-C9-C10-C11-C12</f>
        <v>974</v>
      </c>
      <c r="D13" s="56">
        <f t="shared" ref="D13:E13" si="2">D4-D5-D6-D7-D8-D9-D10-D11-D12</f>
        <v>188</v>
      </c>
      <c r="E13" s="56">
        <f t="shared" si="2"/>
        <v>202</v>
      </c>
      <c r="F13" s="73">
        <f t="shared" si="1"/>
        <v>772</v>
      </c>
      <c r="G13" s="59">
        <f t="shared" si="0"/>
        <v>3.8217821782178216</v>
      </c>
    </row>
    <row r="24" spans="3:7" ht="21.75">
      <c r="C24" s="56">
        <f>C11+C13</f>
        <v>1444</v>
      </c>
      <c r="D24" s="56">
        <f t="shared" ref="D24:F24" si="3">D11+D13</f>
        <v>292</v>
      </c>
      <c r="E24" s="56">
        <f t="shared" si="3"/>
        <v>777</v>
      </c>
      <c r="F24" s="56">
        <f t="shared" si="3"/>
        <v>667</v>
      </c>
      <c r="G24" s="59">
        <f t="shared" ref="G24" si="4">F24/E24</f>
        <v>0.85842985842985842</v>
      </c>
    </row>
  </sheetData>
  <mergeCells count="5">
    <mergeCell ref="B2:B3"/>
    <mergeCell ref="C2:C3"/>
    <mergeCell ref="E2:E3"/>
    <mergeCell ref="F2:F3"/>
    <mergeCell ref="G2:G3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18"/>
  <sheetViews>
    <sheetView tabSelected="1" topLeftCell="A4" workbookViewId="0">
      <selection activeCell="B18" sqref="B18"/>
    </sheetView>
  </sheetViews>
  <sheetFormatPr defaultRowHeight="14.25"/>
  <cols>
    <col min="1" max="1" width="17.25" bestFit="1" customWidth="1"/>
    <col min="2" max="2" width="34.5" bestFit="1" customWidth="1"/>
    <col min="3" max="3" width="17.625" bestFit="1" customWidth="1"/>
    <col min="4" max="4" width="14.125" customWidth="1"/>
    <col min="5" max="5" width="17.625" bestFit="1" customWidth="1"/>
    <col min="6" max="6" width="18.625" customWidth="1"/>
    <col min="7" max="7" width="35.125" bestFit="1" customWidth="1"/>
    <col min="9" max="9" width="34.5" bestFit="1" customWidth="1"/>
    <col min="10" max="10" width="10.375" bestFit="1" customWidth="1"/>
    <col min="12" max="12" width="17.625" bestFit="1" customWidth="1"/>
    <col min="14" max="14" width="15.875" bestFit="1" customWidth="1"/>
  </cols>
  <sheetData>
    <row r="2" spans="2:14" ht="15" thickBot="1"/>
    <row r="3" spans="2:14" ht="21.75">
      <c r="B3" s="191" t="s">
        <v>125</v>
      </c>
      <c r="C3" s="189">
        <v>46113</v>
      </c>
      <c r="D3" s="45" t="s">
        <v>130</v>
      </c>
      <c r="E3" s="189">
        <v>45748</v>
      </c>
      <c r="F3" s="191" t="s">
        <v>5</v>
      </c>
      <c r="G3" s="191" t="s">
        <v>6</v>
      </c>
      <c r="I3" s="191" t="s">
        <v>125</v>
      </c>
      <c r="J3" s="189">
        <v>46113</v>
      </c>
      <c r="K3" s="45" t="s">
        <v>130</v>
      </c>
      <c r="L3" s="189">
        <v>45748</v>
      </c>
      <c r="M3" s="191" t="s">
        <v>5</v>
      </c>
      <c r="N3" s="191" t="s">
        <v>6</v>
      </c>
    </row>
    <row r="4" spans="2:14" ht="44.25" thickBot="1">
      <c r="B4" s="190"/>
      <c r="C4" s="190"/>
      <c r="D4" s="46" t="s">
        <v>3</v>
      </c>
      <c r="E4" s="190"/>
      <c r="F4" s="190"/>
      <c r="G4" s="190"/>
      <c r="I4" s="190"/>
      <c r="J4" s="190"/>
      <c r="K4" s="46" t="s">
        <v>3</v>
      </c>
      <c r="L4" s="190"/>
      <c r="M4" s="190"/>
      <c r="N4" s="190"/>
    </row>
    <row r="5" spans="2:14" ht="30.75" customHeight="1">
      <c r="B5" s="116" t="s">
        <v>436</v>
      </c>
      <c r="C5" s="70">
        <f>商品服务!C7</f>
        <v>1046</v>
      </c>
      <c r="D5" s="70">
        <f>商品服务!D7</f>
        <v>367</v>
      </c>
      <c r="E5" s="70">
        <f>商品服务!E7</f>
        <v>854</v>
      </c>
      <c r="F5" s="74">
        <f>C5-E5</f>
        <v>192</v>
      </c>
      <c r="G5" s="71">
        <f>F5/E5</f>
        <v>0.22482435597189696</v>
      </c>
      <c r="I5" s="116" t="s">
        <v>436</v>
      </c>
      <c r="J5" s="70">
        <f>商品服务!C7</f>
        <v>1046</v>
      </c>
      <c r="K5" s="70">
        <f>商品服务!D7</f>
        <v>367</v>
      </c>
      <c r="L5" s="70">
        <f>商品服务!E7</f>
        <v>854</v>
      </c>
      <c r="M5" s="74">
        <f>J5-L5</f>
        <v>192</v>
      </c>
      <c r="N5" s="125">
        <f>M5/L5</f>
        <v>0.22482435597189696</v>
      </c>
    </row>
    <row r="6" spans="2:14" ht="30.75" customHeight="1">
      <c r="B6" s="120" t="s">
        <v>437</v>
      </c>
      <c r="C6" s="73">
        <v>-51</v>
      </c>
      <c r="D6" s="73">
        <v>15</v>
      </c>
      <c r="E6" s="73">
        <v>0</v>
      </c>
      <c r="F6" s="73">
        <f t="shared" ref="F6:F16" si="0">C6-E6</f>
        <v>-51</v>
      </c>
      <c r="G6" s="57" t="e">
        <f t="shared" ref="G6:G16" si="1">F6/E6</f>
        <v>#DIV/0!</v>
      </c>
      <c r="I6" s="120" t="s">
        <v>437</v>
      </c>
      <c r="J6" s="73"/>
      <c r="K6" s="73"/>
      <c r="L6" s="73"/>
      <c r="M6" s="73">
        <f t="shared" ref="M6:M10" si="2">J6-L6</f>
        <v>0</v>
      </c>
      <c r="N6" s="59" t="e">
        <f t="shared" ref="N6:N10" si="3">M6/L6</f>
        <v>#DIV/0!</v>
      </c>
    </row>
    <row r="7" spans="2:14" ht="30.75" customHeight="1">
      <c r="B7" s="120" t="s">
        <v>438</v>
      </c>
      <c r="C7" s="73">
        <v>180</v>
      </c>
      <c r="D7" s="73">
        <v>58</v>
      </c>
      <c r="E7" s="73">
        <v>157</v>
      </c>
      <c r="F7" s="73">
        <f t="shared" si="0"/>
        <v>23</v>
      </c>
      <c r="G7" s="57">
        <f t="shared" si="1"/>
        <v>0.1464968152866242</v>
      </c>
      <c r="I7" s="120" t="s">
        <v>438</v>
      </c>
      <c r="J7" s="73">
        <v>180</v>
      </c>
      <c r="K7" s="73">
        <v>58</v>
      </c>
      <c r="L7" s="73">
        <v>157</v>
      </c>
      <c r="M7" s="73">
        <f t="shared" si="2"/>
        <v>23</v>
      </c>
      <c r="N7" s="59">
        <f t="shared" si="3"/>
        <v>0.1464968152866242</v>
      </c>
    </row>
    <row r="8" spans="2:14" ht="30.75" customHeight="1">
      <c r="B8" s="121" t="s">
        <v>439</v>
      </c>
      <c r="C8" s="73">
        <v>137</v>
      </c>
      <c r="D8" s="73">
        <v>74</v>
      </c>
      <c r="E8" s="73">
        <v>122</v>
      </c>
      <c r="F8" s="73">
        <f t="shared" si="0"/>
        <v>15</v>
      </c>
      <c r="G8" s="57">
        <f t="shared" si="1"/>
        <v>0.12295081967213115</v>
      </c>
      <c r="I8" s="121" t="s">
        <v>439</v>
      </c>
      <c r="J8" s="73">
        <v>137</v>
      </c>
      <c r="K8" s="73">
        <v>74</v>
      </c>
      <c r="L8" s="73">
        <v>122</v>
      </c>
      <c r="M8" s="73">
        <f t="shared" si="2"/>
        <v>15</v>
      </c>
      <c r="N8" s="59">
        <f t="shared" si="3"/>
        <v>0.12295081967213115</v>
      </c>
    </row>
    <row r="9" spans="2:14" ht="30.75" customHeight="1">
      <c r="B9" s="121" t="s">
        <v>440</v>
      </c>
      <c r="C9" s="73">
        <v>595</v>
      </c>
      <c r="D9" s="73">
        <v>123</v>
      </c>
      <c r="E9" s="73">
        <v>272</v>
      </c>
      <c r="F9" s="73">
        <f t="shared" si="0"/>
        <v>323</v>
      </c>
      <c r="G9" s="57">
        <f t="shared" si="1"/>
        <v>1.1875</v>
      </c>
      <c r="I9" s="121" t="s">
        <v>440</v>
      </c>
      <c r="J9" s="73">
        <v>595</v>
      </c>
      <c r="K9" s="73">
        <v>123</v>
      </c>
      <c r="L9" s="73">
        <v>272</v>
      </c>
      <c r="M9" s="73">
        <f t="shared" si="2"/>
        <v>323</v>
      </c>
      <c r="N9" s="59">
        <f t="shared" si="3"/>
        <v>1.1875</v>
      </c>
    </row>
    <row r="10" spans="2:14" ht="30.75" customHeight="1">
      <c r="B10" s="121" t="s">
        <v>441</v>
      </c>
      <c r="C10" s="73">
        <v>73</v>
      </c>
      <c r="D10" s="73">
        <v>29</v>
      </c>
      <c r="E10" s="73">
        <v>58</v>
      </c>
      <c r="F10" s="73">
        <f t="shared" si="0"/>
        <v>15</v>
      </c>
      <c r="G10" s="57">
        <f t="shared" si="1"/>
        <v>0.25862068965517243</v>
      </c>
      <c r="I10" s="121" t="s">
        <v>441</v>
      </c>
      <c r="J10" s="73">
        <v>73</v>
      </c>
      <c r="K10" s="73">
        <v>29</v>
      </c>
      <c r="L10" s="73">
        <v>58</v>
      </c>
      <c r="M10" s="73">
        <f t="shared" si="2"/>
        <v>15</v>
      </c>
      <c r="N10" s="59">
        <f t="shared" si="3"/>
        <v>0.25862068965517243</v>
      </c>
    </row>
    <row r="11" spans="2:14" ht="21.75">
      <c r="B11" s="121" t="s">
        <v>447</v>
      </c>
      <c r="C11" s="73">
        <v>30</v>
      </c>
      <c r="D11" s="73">
        <v>20</v>
      </c>
      <c r="E11" s="73">
        <v>0</v>
      </c>
      <c r="F11" s="73">
        <f t="shared" si="0"/>
        <v>30</v>
      </c>
      <c r="G11" s="57" t="e">
        <f t="shared" si="1"/>
        <v>#DIV/0!</v>
      </c>
      <c r="I11" s="120" t="s">
        <v>454</v>
      </c>
      <c r="J11" s="56">
        <f>J5-J6-J7-J8-J9-J10</f>
        <v>61</v>
      </c>
      <c r="K11" s="56">
        <f t="shared" ref="K11:L11" si="4">K5-K6-K7-K8-K9-K10</f>
        <v>83</v>
      </c>
      <c r="L11" s="56">
        <f t="shared" si="4"/>
        <v>245</v>
      </c>
      <c r="M11" s="73">
        <f>J11-L11</f>
        <v>-184</v>
      </c>
      <c r="N11" s="59">
        <f>M11/L11</f>
        <v>-0.75102040816326532</v>
      </c>
    </row>
    <row r="12" spans="2:14" ht="21.75">
      <c r="B12" s="121" t="s">
        <v>448</v>
      </c>
      <c r="C12" s="73">
        <v>3</v>
      </c>
      <c r="D12" s="73">
        <v>0</v>
      </c>
      <c r="E12" s="73">
        <v>2</v>
      </c>
      <c r="F12" s="73">
        <f t="shared" si="0"/>
        <v>1</v>
      </c>
      <c r="G12" s="57">
        <f t="shared" si="1"/>
        <v>0.5</v>
      </c>
    </row>
    <row r="13" spans="2:14" ht="21.75">
      <c r="B13" s="121" t="s">
        <v>449</v>
      </c>
      <c r="C13" s="73">
        <v>17</v>
      </c>
      <c r="D13" s="73">
        <v>2</v>
      </c>
      <c r="E13" s="73">
        <v>7</v>
      </c>
      <c r="F13" s="73">
        <f t="shared" si="0"/>
        <v>10</v>
      </c>
      <c r="G13" s="57">
        <f t="shared" si="1"/>
        <v>1.4285714285714286</v>
      </c>
    </row>
    <row r="14" spans="2:14" ht="21.75">
      <c r="B14" s="121" t="s">
        <v>450</v>
      </c>
      <c r="C14" s="73">
        <v>3</v>
      </c>
      <c r="D14" s="73">
        <v>1</v>
      </c>
      <c r="E14" s="73">
        <v>124</v>
      </c>
      <c r="F14" s="73">
        <f t="shared" si="0"/>
        <v>-121</v>
      </c>
      <c r="G14" s="57">
        <f t="shared" si="1"/>
        <v>-0.97580645161290325</v>
      </c>
    </row>
    <row r="15" spans="2:14" ht="21.75">
      <c r="B15" s="121" t="s">
        <v>451</v>
      </c>
      <c r="C15" s="73">
        <v>19</v>
      </c>
      <c r="D15" s="73">
        <v>14</v>
      </c>
      <c r="E15" s="73">
        <v>0</v>
      </c>
      <c r="F15" s="73">
        <f t="shared" si="0"/>
        <v>19</v>
      </c>
      <c r="G15" s="57" t="e">
        <f t="shared" si="1"/>
        <v>#DIV/0!</v>
      </c>
    </row>
    <row r="16" spans="2:14" ht="21.75">
      <c r="B16" s="121" t="s">
        <v>452</v>
      </c>
      <c r="C16" s="73">
        <v>14</v>
      </c>
      <c r="D16" s="73">
        <v>7</v>
      </c>
      <c r="E16" s="73">
        <v>10</v>
      </c>
      <c r="F16" s="73">
        <f t="shared" si="0"/>
        <v>4</v>
      </c>
      <c r="G16" s="57">
        <f t="shared" si="1"/>
        <v>0.4</v>
      </c>
    </row>
    <row r="17" spans="2:7" ht="21.75">
      <c r="B17" s="121" t="s">
        <v>584</v>
      </c>
      <c r="C17" s="73">
        <v>6</v>
      </c>
      <c r="D17" s="73">
        <v>1</v>
      </c>
      <c r="E17" s="73"/>
      <c r="F17" s="73"/>
      <c r="G17" s="57"/>
    </row>
    <row r="18" spans="2:7" ht="21.75">
      <c r="B18" s="120" t="s">
        <v>587</v>
      </c>
      <c r="C18" s="56">
        <f>C5-C6-C7-C8-C9-C10-C11-C12-C13-C14-C15-C16-C17</f>
        <v>20</v>
      </c>
      <c r="D18" s="56">
        <f t="shared" ref="D18:E18" si="5">D5-D6-D7-D8-D9-D10-D11-D12-D13-D14-D15-D16-D17</f>
        <v>23</v>
      </c>
      <c r="E18" s="56">
        <f t="shared" si="5"/>
        <v>102</v>
      </c>
      <c r="F18" s="73">
        <f>C18-E18</f>
        <v>-82</v>
      </c>
      <c r="G18" s="57">
        <f>F18/E18</f>
        <v>-0.80392156862745101</v>
      </c>
    </row>
  </sheetData>
  <mergeCells count="10">
    <mergeCell ref="J3:J4"/>
    <mergeCell ref="L3:L4"/>
    <mergeCell ref="M3:M4"/>
    <mergeCell ref="N3:N4"/>
    <mergeCell ref="B3:B4"/>
    <mergeCell ref="C3:C4"/>
    <mergeCell ref="E3:E4"/>
    <mergeCell ref="F3:F4"/>
    <mergeCell ref="G3:G4"/>
    <mergeCell ref="I3:I4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7"/>
  <sheetViews>
    <sheetView workbookViewId="0">
      <selection activeCell="D17" sqref="D17"/>
    </sheetView>
  </sheetViews>
  <sheetFormatPr defaultRowHeight="14.25"/>
  <cols>
    <col min="2" max="2" width="26.875" customWidth="1"/>
    <col min="3" max="3" width="14.625" bestFit="1" customWidth="1"/>
    <col min="4" max="4" width="13.125" customWidth="1"/>
    <col min="5" max="5" width="14.625" bestFit="1" customWidth="1"/>
    <col min="6" max="6" width="10.125" bestFit="1" customWidth="1"/>
    <col min="7" max="7" width="17" bestFit="1" customWidth="1"/>
  </cols>
  <sheetData>
    <row r="1" spans="2:10" ht="21.75" customHeight="1">
      <c r="B1" s="191" t="s">
        <v>125</v>
      </c>
      <c r="C1" s="189">
        <v>46113</v>
      </c>
      <c r="D1" s="45" t="s">
        <v>130</v>
      </c>
      <c r="E1" s="189">
        <v>45748</v>
      </c>
      <c r="F1" s="191" t="s">
        <v>5</v>
      </c>
      <c r="G1" s="191" t="s">
        <v>6</v>
      </c>
    </row>
    <row r="2" spans="2:10" ht="21.75" customHeight="1" thickBot="1">
      <c r="B2" s="190"/>
      <c r="C2" s="190"/>
      <c r="D2" s="46" t="s">
        <v>3</v>
      </c>
      <c r="E2" s="190"/>
      <c r="F2" s="190"/>
      <c r="G2" s="190"/>
      <c r="I2" t="s">
        <v>460</v>
      </c>
    </row>
    <row r="3" spans="2:10" ht="29.25">
      <c r="B3" s="116" t="s">
        <v>442</v>
      </c>
      <c r="C3" s="70">
        <f>商品服务!C6</f>
        <v>723</v>
      </c>
      <c r="D3" s="70">
        <f>商品服务!D6</f>
        <v>219</v>
      </c>
      <c r="E3" s="70">
        <f>商品服务!E6</f>
        <v>731</v>
      </c>
      <c r="F3" s="74">
        <f>C3-E3</f>
        <v>-8</v>
      </c>
      <c r="G3" s="125">
        <f>F3/E3</f>
        <v>-1.094391244870041E-2</v>
      </c>
    </row>
    <row r="4" spans="2:10" ht="35.25" customHeight="1">
      <c r="B4" s="122" t="s">
        <v>443</v>
      </c>
      <c r="C4" s="73">
        <v>6</v>
      </c>
      <c r="D4" s="73">
        <v>1</v>
      </c>
      <c r="E4" s="73">
        <v>5</v>
      </c>
      <c r="F4" s="73">
        <f t="shared" ref="F4:F7" si="0">C4-E4</f>
        <v>1</v>
      </c>
      <c r="G4" s="59">
        <f t="shared" ref="G4:G7" si="1">F4/E4</f>
        <v>0.2</v>
      </c>
    </row>
    <row r="5" spans="2:10" ht="35.25" customHeight="1">
      <c r="B5" s="123" t="s">
        <v>444</v>
      </c>
      <c r="C5" s="73">
        <v>371</v>
      </c>
      <c r="D5" s="73">
        <v>86</v>
      </c>
      <c r="E5" s="73">
        <v>228</v>
      </c>
      <c r="F5" s="73">
        <f t="shared" si="0"/>
        <v>143</v>
      </c>
      <c r="G5" s="59">
        <f t="shared" si="1"/>
        <v>0.6271929824561403</v>
      </c>
      <c r="H5" s="73">
        <v>1114</v>
      </c>
      <c r="I5" s="73">
        <v>100</v>
      </c>
      <c r="J5">
        <v>1146</v>
      </c>
    </row>
    <row r="6" spans="2:10" ht="35.25" customHeight="1">
      <c r="B6" s="122" t="s">
        <v>445</v>
      </c>
      <c r="C6" s="73">
        <v>343</v>
      </c>
      <c r="D6" s="73">
        <v>132</v>
      </c>
      <c r="E6" s="73">
        <v>492</v>
      </c>
      <c r="F6" s="73">
        <f t="shared" si="0"/>
        <v>-149</v>
      </c>
      <c r="G6" s="59">
        <f t="shared" si="1"/>
        <v>-0.30284552845528456</v>
      </c>
    </row>
    <row r="7" spans="2:10" ht="35.25" customHeight="1">
      <c r="B7" s="122" t="s">
        <v>446</v>
      </c>
      <c r="C7" s="73">
        <v>3</v>
      </c>
      <c r="D7" s="73">
        <v>0</v>
      </c>
      <c r="E7" s="73">
        <v>6</v>
      </c>
      <c r="F7" s="73">
        <f t="shared" si="0"/>
        <v>-3</v>
      </c>
      <c r="G7" s="59">
        <f t="shared" si="1"/>
        <v>-0.5</v>
      </c>
    </row>
  </sheetData>
  <mergeCells count="5">
    <mergeCell ref="B1:B2"/>
    <mergeCell ref="C1:C2"/>
    <mergeCell ref="E1:E2"/>
    <mergeCell ref="F1:F2"/>
    <mergeCell ref="G1:G2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P16"/>
  <sheetViews>
    <sheetView workbookViewId="0">
      <selection activeCell="E22" sqref="E22"/>
    </sheetView>
  </sheetViews>
  <sheetFormatPr defaultRowHeight="14.25"/>
  <cols>
    <col min="1" max="1" width="21.375" bestFit="1" customWidth="1"/>
    <col min="2" max="2" width="15.625" bestFit="1" customWidth="1"/>
    <col min="3" max="3" width="28.375" customWidth="1"/>
    <col min="4" max="4" width="17.75" customWidth="1"/>
    <col min="5" max="5" width="16.5" customWidth="1"/>
    <col min="6" max="6" width="16.25" customWidth="1"/>
    <col min="7" max="7" width="34.25" customWidth="1"/>
    <col min="8" max="8" width="17" bestFit="1" customWidth="1"/>
    <col min="11" max="11" width="28.5" customWidth="1"/>
    <col min="12" max="16" width="15.625" customWidth="1"/>
  </cols>
  <sheetData>
    <row r="2" spans="3:16" ht="15" thickBot="1"/>
    <row r="3" spans="3:16" ht="21.75" customHeight="1">
      <c r="C3" s="191" t="s">
        <v>125</v>
      </c>
      <c r="D3" s="189">
        <v>46113</v>
      </c>
      <c r="E3" s="45" t="s">
        <v>130</v>
      </c>
      <c r="F3" s="189">
        <v>45748</v>
      </c>
      <c r="G3" s="191" t="s">
        <v>5</v>
      </c>
      <c r="H3" s="191" t="s">
        <v>6</v>
      </c>
      <c r="K3" s="191" t="s">
        <v>125</v>
      </c>
      <c r="L3" s="189">
        <v>46113</v>
      </c>
      <c r="M3" s="45" t="s">
        <v>130</v>
      </c>
      <c r="N3" s="189">
        <v>45748</v>
      </c>
      <c r="O3" s="191" t="s">
        <v>5</v>
      </c>
      <c r="P3" s="191" t="s">
        <v>6</v>
      </c>
    </row>
    <row r="4" spans="3:16" ht="22.5" thickBot="1">
      <c r="C4" s="190"/>
      <c r="D4" s="190"/>
      <c r="E4" s="46" t="s">
        <v>3</v>
      </c>
      <c r="F4" s="190"/>
      <c r="G4" s="190"/>
      <c r="H4" s="190"/>
      <c r="K4" s="190"/>
      <c r="L4" s="190"/>
      <c r="M4" s="46" t="s">
        <v>3</v>
      </c>
      <c r="N4" s="190"/>
      <c r="O4" s="190"/>
      <c r="P4" s="190"/>
    </row>
    <row r="5" spans="3:16" ht="29.25">
      <c r="C5" s="116" t="s">
        <v>455</v>
      </c>
      <c r="D5" s="118">
        <f>维修护费!C6</f>
        <v>343</v>
      </c>
      <c r="E5" s="118">
        <f>维修护费!D6</f>
        <v>132</v>
      </c>
      <c r="F5" s="118">
        <f>维修护费!E6</f>
        <v>492</v>
      </c>
      <c r="G5" s="119">
        <f>D5-F5</f>
        <v>-149</v>
      </c>
      <c r="H5" s="125">
        <f>G5/F5</f>
        <v>-0.30284552845528456</v>
      </c>
      <c r="K5" s="116" t="s">
        <v>455</v>
      </c>
      <c r="L5" s="118">
        <f>维修护费!C6</f>
        <v>343</v>
      </c>
      <c r="M5" s="118">
        <f>维修护费!D6</f>
        <v>132</v>
      </c>
      <c r="N5" s="118">
        <f>维修护费!E6</f>
        <v>492</v>
      </c>
      <c r="O5" s="119">
        <f>L5-N5</f>
        <v>-149</v>
      </c>
      <c r="P5" s="125">
        <f>O5/N5</f>
        <v>-0.30284552845528456</v>
      </c>
    </row>
    <row r="6" spans="3:16" ht="21.75">
      <c r="C6" s="124" t="s">
        <v>456</v>
      </c>
      <c r="D6" s="73">
        <v>68</v>
      </c>
      <c r="E6" s="73">
        <v>32</v>
      </c>
      <c r="F6" s="73">
        <v>64</v>
      </c>
      <c r="G6" s="73">
        <f t="shared" ref="G6:G16" si="0">D6-F6</f>
        <v>4</v>
      </c>
      <c r="H6" s="59">
        <f t="shared" ref="H6:H16" si="1">G6/F6</f>
        <v>6.25E-2</v>
      </c>
      <c r="K6" s="124" t="s">
        <v>456</v>
      </c>
      <c r="L6" s="73">
        <v>68</v>
      </c>
      <c r="M6" s="73">
        <v>32</v>
      </c>
      <c r="N6" s="73">
        <v>64</v>
      </c>
      <c r="O6" s="73">
        <f t="shared" ref="O6:O9" si="2">L6-N6</f>
        <v>4</v>
      </c>
      <c r="P6" s="59">
        <f t="shared" ref="P6:P9" si="3">O6/N6</f>
        <v>6.25E-2</v>
      </c>
    </row>
    <row r="7" spans="3:16" ht="21.75">
      <c r="C7" s="124" t="s">
        <v>457</v>
      </c>
      <c r="D7" s="73">
        <v>12</v>
      </c>
      <c r="E7" s="73">
        <v>2</v>
      </c>
      <c r="F7" s="73">
        <v>0</v>
      </c>
      <c r="G7" s="73">
        <f t="shared" si="0"/>
        <v>12</v>
      </c>
      <c r="H7" s="59" t="e">
        <f t="shared" si="1"/>
        <v>#DIV/0!</v>
      </c>
      <c r="K7" s="124" t="s">
        <v>583</v>
      </c>
      <c r="L7" s="73">
        <v>46</v>
      </c>
      <c r="M7" s="73">
        <v>9</v>
      </c>
      <c r="N7" s="73">
        <v>244</v>
      </c>
      <c r="O7" s="73">
        <f t="shared" si="2"/>
        <v>-198</v>
      </c>
      <c r="P7" s="59">
        <f t="shared" si="3"/>
        <v>-0.81147540983606559</v>
      </c>
    </row>
    <row r="8" spans="3:16" ht="21.75">
      <c r="C8" s="124" t="s">
        <v>458</v>
      </c>
      <c r="D8" s="73">
        <v>46</v>
      </c>
      <c r="E8" s="73">
        <v>9</v>
      </c>
      <c r="F8" s="73">
        <v>244</v>
      </c>
      <c r="G8" s="73">
        <f t="shared" si="0"/>
        <v>-198</v>
      </c>
      <c r="H8" s="59">
        <f t="shared" si="1"/>
        <v>-0.81147540983606559</v>
      </c>
      <c r="K8" s="124" t="s">
        <v>459</v>
      </c>
      <c r="L8" s="73">
        <v>128</v>
      </c>
      <c r="M8" s="73">
        <v>30</v>
      </c>
      <c r="N8" s="73">
        <v>33</v>
      </c>
      <c r="O8" s="73">
        <f t="shared" si="2"/>
        <v>95</v>
      </c>
      <c r="P8" s="59">
        <f t="shared" si="3"/>
        <v>2.8787878787878789</v>
      </c>
    </row>
    <row r="9" spans="3:16" ht="21.75">
      <c r="C9" s="124" t="s">
        <v>459</v>
      </c>
      <c r="D9" s="73">
        <v>128</v>
      </c>
      <c r="E9" s="73">
        <v>30</v>
      </c>
      <c r="F9" s="73">
        <v>33</v>
      </c>
      <c r="G9" s="73">
        <f t="shared" si="0"/>
        <v>95</v>
      </c>
      <c r="H9" s="59">
        <f t="shared" si="1"/>
        <v>2.8787878787878789</v>
      </c>
      <c r="K9" s="124" t="s">
        <v>453</v>
      </c>
      <c r="L9" s="73">
        <f>L5-L6-L7-L8</f>
        <v>101</v>
      </c>
      <c r="M9" s="73">
        <f t="shared" ref="M9:N9" si="4">M5-M6-M7-M8</f>
        <v>61</v>
      </c>
      <c r="N9" s="73">
        <f t="shared" si="4"/>
        <v>151</v>
      </c>
      <c r="O9" s="73">
        <f t="shared" si="2"/>
        <v>-50</v>
      </c>
      <c r="P9" s="59">
        <f t="shared" si="3"/>
        <v>-0.33112582781456956</v>
      </c>
    </row>
    <row r="10" spans="3:16" ht="21.75">
      <c r="C10" s="124" t="s">
        <v>461</v>
      </c>
      <c r="D10" s="73">
        <v>1</v>
      </c>
      <c r="E10" s="73">
        <v>12</v>
      </c>
      <c r="F10" s="73">
        <v>9</v>
      </c>
      <c r="G10" s="73">
        <f t="shared" si="0"/>
        <v>-8</v>
      </c>
      <c r="H10" s="59">
        <f t="shared" si="1"/>
        <v>-0.88888888888888884</v>
      </c>
    </row>
    <row r="11" spans="3:16" ht="21.75">
      <c r="C11" s="124" t="s">
        <v>462</v>
      </c>
      <c r="D11" s="73">
        <v>18</v>
      </c>
      <c r="E11" s="73">
        <v>12</v>
      </c>
      <c r="F11" s="73">
        <v>0</v>
      </c>
      <c r="G11" s="73">
        <f t="shared" si="0"/>
        <v>18</v>
      </c>
      <c r="H11" s="59" t="e">
        <f t="shared" si="1"/>
        <v>#DIV/0!</v>
      </c>
    </row>
    <row r="12" spans="3:16" ht="21.75">
      <c r="C12" s="124" t="s">
        <v>463</v>
      </c>
      <c r="D12" s="73">
        <v>8</v>
      </c>
      <c r="E12" s="73">
        <v>5</v>
      </c>
      <c r="F12" s="73">
        <v>0</v>
      </c>
      <c r="G12" s="73">
        <f t="shared" si="0"/>
        <v>8</v>
      </c>
      <c r="H12" s="59" t="e">
        <f t="shared" si="1"/>
        <v>#DIV/0!</v>
      </c>
    </row>
    <row r="13" spans="3:16" ht="21.75">
      <c r="C13" s="124" t="s">
        <v>464</v>
      </c>
      <c r="D13" s="73">
        <v>27</v>
      </c>
      <c r="E13" s="73">
        <v>20</v>
      </c>
      <c r="F13" s="73">
        <v>11</v>
      </c>
      <c r="G13" s="73">
        <f t="shared" si="0"/>
        <v>16</v>
      </c>
      <c r="H13" s="59">
        <f t="shared" si="1"/>
        <v>1.4545454545454546</v>
      </c>
    </row>
    <row r="14" spans="3:16" ht="21.75">
      <c r="C14" s="124" t="s">
        <v>465</v>
      </c>
      <c r="D14" s="73">
        <v>2</v>
      </c>
      <c r="E14" s="73">
        <v>1</v>
      </c>
      <c r="F14" s="73">
        <v>1</v>
      </c>
      <c r="G14" s="73">
        <f t="shared" si="0"/>
        <v>1</v>
      </c>
      <c r="H14" s="59">
        <f t="shared" si="1"/>
        <v>1</v>
      </c>
    </row>
    <row r="15" spans="3:16" ht="21.75">
      <c r="C15" s="124" t="s">
        <v>466</v>
      </c>
      <c r="D15" s="73">
        <v>9</v>
      </c>
      <c r="E15" s="73">
        <v>5</v>
      </c>
      <c r="F15" s="73">
        <v>12</v>
      </c>
      <c r="G15" s="73">
        <f t="shared" si="0"/>
        <v>-3</v>
      </c>
      <c r="H15" s="59">
        <f t="shared" si="1"/>
        <v>-0.25</v>
      </c>
    </row>
    <row r="16" spans="3:16" ht="21.75">
      <c r="C16" s="124" t="s">
        <v>453</v>
      </c>
      <c r="D16" s="73">
        <f t="shared" ref="D16:E16" si="5">D5-D6-D7-D8-D9-D10-D11-D12-D13-D14-D15</f>
        <v>24</v>
      </c>
      <c r="E16" s="73">
        <f t="shared" si="5"/>
        <v>4</v>
      </c>
      <c r="F16" s="73">
        <f>F5-F6-F7-F8-F9-F10-F11-F12-F13-F14-F15</f>
        <v>118</v>
      </c>
      <c r="G16" s="73">
        <f t="shared" si="0"/>
        <v>-94</v>
      </c>
      <c r="H16" s="59">
        <f t="shared" si="1"/>
        <v>-0.79661016949152541</v>
      </c>
    </row>
  </sheetData>
  <mergeCells count="10">
    <mergeCell ref="L3:L4"/>
    <mergeCell ref="N3:N4"/>
    <mergeCell ref="O3:O4"/>
    <mergeCell ref="P3:P4"/>
    <mergeCell ref="C3:C4"/>
    <mergeCell ref="D3:D4"/>
    <mergeCell ref="F3:F4"/>
    <mergeCell ref="G3:G4"/>
    <mergeCell ref="H3:H4"/>
    <mergeCell ref="K3:K4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7"/>
  <sheetViews>
    <sheetView topLeftCell="B1" workbookViewId="0">
      <selection activeCell="I11" sqref="I11"/>
    </sheetView>
  </sheetViews>
  <sheetFormatPr defaultRowHeight="14.25"/>
  <cols>
    <col min="2" max="2" width="34.375" bestFit="1" customWidth="1"/>
    <col min="3" max="3" width="19" bestFit="1" customWidth="1"/>
    <col min="4" max="4" width="15.375" bestFit="1" customWidth="1"/>
    <col min="5" max="5" width="19" bestFit="1" customWidth="1"/>
    <col min="6" max="6" width="15.375" bestFit="1" customWidth="1"/>
    <col min="7" max="7" width="17.625" bestFit="1" customWidth="1"/>
  </cols>
  <sheetData>
    <row r="1" spans="2:9" ht="15" thickBot="1"/>
    <row r="2" spans="2:9" ht="23.25" customHeight="1">
      <c r="B2" s="191" t="s">
        <v>125</v>
      </c>
      <c r="C2" s="210">
        <v>46113</v>
      </c>
      <c r="D2" s="45" t="s">
        <v>130</v>
      </c>
      <c r="E2" s="210">
        <v>45748</v>
      </c>
      <c r="F2" s="191" t="s">
        <v>5</v>
      </c>
      <c r="G2" s="191" t="s">
        <v>6</v>
      </c>
    </row>
    <row r="3" spans="2:9" ht="22.5" thickBot="1">
      <c r="B3" s="190"/>
      <c r="C3" s="208"/>
      <c r="D3" s="46" t="s">
        <v>3</v>
      </c>
      <c r="E3" s="208"/>
      <c r="F3" s="190"/>
      <c r="G3" s="190"/>
    </row>
    <row r="4" spans="2:9" ht="29.25">
      <c r="B4" s="54" t="s">
        <v>582</v>
      </c>
      <c r="C4" s="89">
        <f>ROUND((当年累计数据表!AJ3+当年累计数据表!BS3)/10000,0)</f>
        <v>19200</v>
      </c>
      <c r="D4" s="89">
        <f>ROUND((当年累计数据表奉贤!AJ3+当年累计数据表奉贤!BS3)/10000,0)</f>
        <v>5553</v>
      </c>
      <c r="E4" s="89">
        <f>ROUND((去年累计数据表!AJ3+去年累计数据表!BS3)/10000,0)</f>
        <v>13661</v>
      </c>
      <c r="F4" s="89">
        <f>C4-E4</f>
        <v>5539</v>
      </c>
      <c r="G4" s="187">
        <f t="shared" ref="G4:G9" si="0">F4/E4</f>
        <v>0.40546080081985214</v>
      </c>
    </row>
    <row r="5" spans="2:9" ht="41.25" customHeight="1">
      <c r="B5" s="62" t="s">
        <v>9</v>
      </c>
      <c r="C5" s="89">
        <f>医疗成本!C7</f>
        <v>22400</v>
      </c>
      <c r="D5" s="89">
        <f>医疗成本!E7</f>
        <v>6605</v>
      </c>
      <c r="E5" s="89">
        <f>医疗成本!G7</f>
        <v>16986</v>
      </c>
      <c r="F5" s="89">
        <f>C5-E5</f>
        <v>5414</v>
      </c>
      <c r="G5" s="187">
        <f t="shared" si="0"/>
        <v>0.31873307429647946</v>
      </c>
    </row>
    <row r="6" spans="2:9" ht="41.25" customHeight="1">
      <c r="B6" s="55" t="s">
        <v>134</v>
      </c>
      <c r="C6" s="56">
        <f>C5-C7</f>
        <v>18910</v>
      </c>
      <c r="D6" s="56">
        <f>D5-D7</f>
        <v>5891</v>
      </c>
      <c r="E6" s="56">
        <f>E5-E7</f>
        <v>14222</v>
      </c>
      <c r="F6" s="56">
        <f>C6-E6</f>
        <v>4688</v>
      </c>
      <c r="G6" s="59">
        <f t="shared" si="0"/>
        <v>0.32963015047110111</v>
      </c>
      <c r="I6" t="s">
        <v>137</v>
      </c>
    </row>
    <row r="7" spans="2:9" ht="41.25" customHeight="1">
      <c r="B7" s="55" t="s">
        <v>135</v>
      </c>
      <c r="C7" s="56">
        <v>3490</v>
      </c>
      <c r="D7" s="56">
        <v>714</v>
      </c>
      <c r="E7" s="56">
        <v>2764</v>
      </c>
      <c r="F7" s="56">
        <f t="shared" ref="F7:F8" si="1">C7-E7</f>
        <v>726</v>
      </c>
      <c r="G7" s="59">
        <f t="shared" si="0"/>
        <v>0.26266280752532561</v>
      </c>
      <c r="I7">
        <v>101</v>
      </c>
    </row>
    <row r="8" spans="2:9" ht="41.25" customHeight="1">
      <c r="B8" s="58" t="s">
        <v>136</v>
      </c>
      <c r="C8" s="56">
        <v>2558</v>
      </c>
      <c r="D8" s="56">
        <v>567</v>
      </c>
      <c r="E8" s="56">
        <v>1729</v>
      </c>
      <c r="F8" s="56">
        <f t="shared" si="1"/>
        <v>829</v>
      </c>
      <c r="G8" s="59">
        <f t="shared" si="0"/>
        <v>0.47946790052053212</v>
      </c>
    </row>
    <row r="9" spans="2:9" ht="43.5">
      <c r="B9" s="58" t="s">
        <v>581</v>
      </c>
      <c r="C9" s="56">
        <f>C7-C8</f>
        <v>932</v>
      </c>
      <c r="D9" s="56">
        <f t="shared" ref="D9:E9" si="2">D7-D8</f>
        <v>147</v>
      </c>
      <c r="E9" s="56">
        <f t="shared" si="2"/>
        <v>1035</v>
      </c>
      <c r="F9" s="56">
        <f>F7-F8</f>
        <v>-103</v>
      </c>
      <c r="G9" s="59">
        <f t="shared" si="0"/>
        <v>-9.9516908212560387E-2</v>
      </c>
    </row>
    <row r="10" spans="2:9" ht="15" thickBot="1"/>
    <row r="11" spans="2:9" ht="44.25" thickBot="1">
      <c r="B11" s="60" t="s">
        <v>125</v>
      </c>
      <c r="C11" s="185">
        <v>46113</v>
      </c>
      <c r="D11" s="60" t="s">
        <v>138</v>
      </c>
      <c r="E11" s="185">
        <v>45748</v>
      </c>
      <c r="F11" s="60" t="s">
        <v>5</v>
      </c>
      <c r="G11" s="60" t="s">
        <v>6</v>
      </c>
    </row>
    <row r="12" spans="2:9" ht="29.25">
      <c r="B12" s="54" t="s">
        <v>139</v>
      </c>
      <c r="C12" s="61">
        <f>C8</f>
        <v>2558</v>
      </c>
      <c r="D12" s="61">
        <f>D8</f>
        <v>567</v>
      </c>
      <c r="E12" s="61">
        <f>E8</f>
        <v>1729</v>
      </c>
      <c r="F12" s="61">
        <f>F8</f>
        <v>829</v>
      </c>
      <c r="G12" s="128">
        <f>G8</f>
        <v>0.47946790052053212</v>
      </c>
    </row>
    <row r="13" spans="2:9" ht="21.75">
      <c r="B13" s="58" t="s">
        <v>140</v>
      </c>
      <c r="C13" s="52">
        <v>2059</v>
      </c>
      <c r="D13" s="53">
        <v>395</v>
      </c>
      <c r="E13" s="52">
        <v>1373</v>
      </c>
      <c r="F13" s="52">
        <f>C13-E13</f>
        <v>686</v>
      </c>
      <c r="G13" s="127">
        <f>F13/E13</f>
        <v>0.49963583394027677</v>
      </c>
    </row>
    <row r="14" spans="2:9" ht="29.25">
      <c r="B14" s="62" t="s">
        <v>141</v>
      </c>
      <c r="C14" s="63">
        <f>ROUND((当月附表2!B10+当月附表2!B23)/10000,0)</f>
        <v>8020</v>
      </c>
      <c r="D14" s="63">
        <f>ROUND((当月奉贤附表2!B10+当月奉贤附表2!B23)/10000,0)</f>
        <v>1512</v>
      </c>
      <c r="E14" s="63">
        <f>ROUND((上年同期附表2!B10+上年同期附表2!B23)/10000,0)</f>
        <v>6132</v>
      </c>
      <c r="F14" s="63">
        <f>C14-E14</f>
        <v>1888</v>
      </c>
      <c r="G14" s="129">
        <f>F14/E14</f>
        <v>0.30789302022178733</v>
      </c>
    </row>
    <row r="15" spans="2:9" ht="30" thickBot="1">
      <c r="B15" s="64" t="s">
        <v>142</v>
      </c>
      <c r="C15" s="65">
        <f>C12/C14</f>
        <v>0.31895261845386536</v>
      </c>
      <c r="D15" s="65">
        <f t="shared" ref="D15:E15" si="3">D12/D14</f>
        <v>0.375</v>
      </c>
      <c r="E15" s="65">
        <f t="shared" si="3"/>
        <v>0.2819634703196347</v>
      </c>
      <c r="F15" s="65">
        <f>C15-E15</f>
        <v>3.6989148134230654E-2</v>
      </c>
      <c r="G15" s="130" t="s">
        <v>143</v>
      </c>
    </row>
    <row r="16" spans="2:9" ht="21.75">
      <c r="B16" s="66" t="s">
        <v>144</v>
      </c>
      <c r="C16" s="67">
        <f>ROUND(当年累计数据表!G3/10000,2)</f>
        <v>46.53</v>
      </c>
      <c r="D16" s="67">
        <f>ROUND(当年累计数据表奉贤!G3/10000,2)</f>
        <v>9.69</v>
      </c>
      <c r="E16" s="67">
        <f>ROUND(去年累计数据表!G3/10000,2)</f>
        <v>36.18</v>
      </c>
      <c r="F16" s="67">
        <f>C16-E16</f>
        <v>10.350000000000001</v>
      </c>
      <c r="G16" s="131">
        <f>F16/E16</f>
        <v>0.28606965174129356</v>
      </c>
    </row>
    <row r="17" spans="2:7" ht="22.5" thickBot="1">
      <c r="B17" s="68" t="s">
        <v>145</v>
      </c>
      <c r="C17" s="69">
        <f>ROUND(当年累计数据表!H3/10000,2)</f>
        <v>1.63</v>
      </c>
      <c r="D17" s="69">
        <f>ROUND(当年累计数据表奉贤!H3/10000,2)</f>
        <v>0.36</v>
      </c>
      <c r="E17" s="69">
        <f>ROUND(去年累计数据表!H3/10000,2)</f>
        <v>1.35</v>
      </c>
      <c r="F17" s="69">
        <f>C17-E17</f>
        <v>0.2799999999999998</v>
      </c>
      <c r="G17" s="132">
        <f>F17/E17</f>
        <v>0.20740740740740726</v>
      </c>
    </row>
  </sheetData>
  <mergeCells count="5">
    <mergeCell ref="B2:B3"/>
    <mergeCell ref="C2:C3"/>
    <mergeCell ref="E2:E3"/>
    <mergeCell ref="F2:F3"/>
    <mergeCell ref="G2:G3"/>
  </mergeCells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B67"/>
  <sheetViews>
    <sheetView workbookViewId="0">
      <selection activeCell="F1" sqref="F1"/>
    </sheetView>
  </sheetViews>
  <sheetFormatPr defaultColWidth="10" defaultRowHeight="14.25"/>
  <cols>
    <col min="1" max="1" width="7.75" customWidth="1"/>
    <col min="2" max="2" width="12.875" customWidth="1"/>
    <col min="3" max="3" width="18" customWidth="1"/>
    <col min="4" max="99" width="15.375" customWidth="1"/>
    <col min="100" max="100" width="16.125" customWidth="1"/>
    <col min="101" max="158" width="15.375" customWidth="1"/>
    <col min="159" max="161" width="9.75" customWidth="1"/>
  </cols>
  <sheetData>
    <row r="1" spans="1:158" ht="43.9" customHeight="1">
      <c r="A1" s="211" t="s">
        <v>580</v>
      </c>
      <c r="B1" s="211"/>
      <c r="C1" s="211"/>
      <c r="D1" s="144">
        <v>25</v>
      </c>
      <c r="E1" s="144"/>
      <c r="F1" s="105"/>
      <c r="G1" s="106"/>
      <c r="H1" s="106"/>
      <c r="I1" s="106"/>
      <c r="J1" s="106"/>
      <c r="K1" s="106"/>
      <c r="L1" s="106"/>
      <c r="M1" s="106"/>
      <c r="N1" s="106"/>
      <c r="O1" s="106" t="s">
        <v>232</v>
      </c>
      <c r="P1" s="106" t="s">
        <v>233</v>
      </c>
      <c r="Q1" s="106">
        <v>3</v>
      </c>
      <c r="R1" s="106">
        <v>4</v>
      </c>
      <c r="S1" s="106" t="s">
        <v>234</v>
      </c>
      <c r="T1" s="106">
        <v>6</v>
      </c>
      <c r="U1" s="106">
        <v>7</v>
      </c>
      <c r="V1" s="106" t="s">
        <v>235</v>
      </c>
      <c r="W1" s="106" t="s">
        <v>236</v>
      </c>
      <c r="X1" s="106">
        <v>10</v>
      </c>
      <c r="Y1" s="106">
        <v>11</v>
      </c>
      <c r="Z1" s="106" t="s">
        <v>237</v>
      </c>
      <c r="AA1" s="106">
        <v>13</v>
      </c>
      <c r="AB1" s="106">
        <v>14</v>
      </c>
      <c r="AC1" s="106" t="s">
        <v>238</v>
      </c>
      <c r="AD1" s="106" t="s">
        <v>239</v>
      </c>
      <c r="AE1" s="106">
        <v>17</v>
      </c>
      <c r="AF1" s="106">
        <v>18</v>
      </c>
      <c r="AG1" s="106" t="s">
        <v>240</v>
      </c>
      <c r="AH1" s="106">
        <v>20</v>
      </c>
      <c r="AI1" s="106">
        <v>21</v>
      </c>
      <c r="AJ1" s="106" t="s">
        <v>241</v>
      </c>
      <c r="AK1" s="106" t="s">
        <v>242</v>
      </c>
      <c r="AL1" s="106">
        <v>24</v>
      </c>
      <c r="AM1" s="106">
        <v>25</v>
      </c>
      <c r="AN1" s="106" t="s">
        <v>243</v>
      </c>
      <c r="AO1" s="106">
        <v>27</v>
      </c>
      <c r="AP1" s="106">
        <v>28</v>
      </c>
      <c r="AQ1" s="106" t="s">
        <v>244</v>
      </c>
      <c r="AR1" s="106" t="s">
        <v>245</v>
      </c>
      <c r="AS1" s="106">
        <v>31</v>
      </c>
      <c r="AT1" s="106">
        <v>32</v>
      </c>
      <c r="AU1" s="106" t="s">
        <v>246</v>
      </c>
      <c r="AV1" s="106">
        <v>34</v>
      </c>
      <c r="AW1" s="106">
        <v>35</v>
      </c>
      <c r="AX1" s="106" t="s">
        <v>247</v>
      </c>
      <c r="AY1" s="106" t="s">
        <v>248</v>
      </c>
      <c r="AZ1" s="106">
        <v>38</v>
      </c>
      <c r="BA1" s="106">
        <v>39</v>
      </c>
      <c r="BB1" s="106" t="s">
        <v>249</v>
      </c>
      <c r="BC1" s="106">
        <v>41</v>
      </c>
      <c r="BD1" s="106">
        <v>42</v>
      </c>
      <c r="BE1" s="106" t="s">
        <v>250</v>
      </c>
      <c r="BF1" s="106" t="s">
        <v>251</v>
      </c>
      <c r="BG1" s="106">
        <v>45</v>
      </c>
      <c r="BH1" s="106">
        <v>46</v>
      </c>
      <c r="BI1" s="106" t="s">
        <v>252</v>
      </c>
      <c r="BJ1" s="106">
        <v>48</v>
      </c>
      <c r="BK1" s="106">
        <v>49</v>
      </c>
      <c r="BL1" s="106" t="s">
        <v>253</v>
      </c>
      <c r="BM1" s="106" t="s">
        <v>254</v>
      </c>
      <c r="BN1" s="106">
        <v>52</v>
      </c>
      <c r="BO1" s="106">
        <v>53</v>
      </c>
      <c r="BP1" s="106" t="s">
        <v>255</v>
      </c>
      <c r="BQ1" s="106">
        <v>55</v>
      </c>
      <c r="BR1" s="106">
        <v>56</v>
      </c>
      <c r="BS1" s="106" t="s">
        <v>256</v>
      </c>
      <c r="BT1" s="106" t="s">
        <v>257</v>
      </c>
      <c r="BU1" s="106">
        <v>59</v>
      </c>
      <c r="BV1" s="106">
        <v>60</v>
      </c>
      <c r="BW1" s="106" t="s">
        <v>258</v>
      </c>
      <c r="BX1" s="106">
        <v>62</v>
      </c>
      <c r="BY1" s="106">
        <v>63</v>
      </c>
      <c r="BZ1" s="106" t="s">
        <v>259</v>
      </c>
      <c r="CA1" s="106" t="s">
        <v>260</v>
      </c>
      <c r="CB1" s="106">
        <v>66</v>
      </c>
      <c r="CC1" s="106">
        <v>67</v>
      </c>
      <c r="CD1" s="106" t="s">
        <v>261</v>
      </c>
      <c r="CE1" s="106">
        <v>69</v>
      </c>
      <c r="CF1" s="106">
        <v>70</v>
      </c>
      <c r="CG1" s="106" t="s">
        <v>262</v>
      </c>
      <c r="CH1" s="106" t="s">
        <v>263</v>
      </c>
      <c r="CI1" s="106">
        <v>73</v>
      </c>
      <c r="CJ1" s="106">
        <v>74</v>
      </c>
      <c r="CK1" s="106" t="s">
        <v>264</v>
      </c>
      <c r="CL1" s="106">
        <v>76</v>
      </c>
      <c r="CM1" s="106">
        <v>77</v>
      </c>
      <c r="CN1" s="106"/>
      <c r="CO1" s="106"/>
      <c r="CP1" s="112"/>
      <c r="CQ1" s="112"/>
      <c r="CR1" s="106"/>
      <c r="CS1" s="106"/>
      <c r="CT1" s="106"/>
      <c r="CU1" s="106"/>
      <c r="CV1" s="106" t="s">
        <v>265</v>
      </c>
      <c r="CW1" s="106" t="s">
        <v>266</v>
      </c>
      <c r="CX1" s="106">
        <v>80</v>
      </c>
      <c r="CY1" s="106">
        <v>81</v>
      </c>
      <c r="CZ1" s="106" t="s">
        <v>267</v>
      </c>
      <c r="DA1" s="106">
        <v>83</v>
      </c>
      <c r="DB1" s="106">
        <v>84</v>
      </c>
      <c r="DC1" s="106" t="s">
        <v>268</v>
      </c>
      <c r="DD1" s="106">
        <v>86</v>
      </c>
      <c r="DE1" s="106" t="s">
        <v>269</v>
      </c>
      <c r="DF1" s="106">
        <v>88</v>
      </c>
      <c r="DG1" s="106">
        <v>89</v>
      </c>
      <c r="DH1" s="106" t="s">
        <v>270</v>
      </c>
      <c r="DI1" s="106">
        <v>91</v>
      </c>
      <c r="DJ1" s="106">
        <v>92</v>
      </c>
      <c r="DK1" s="106" t="s">
        <v>271</v>
      </c>
      <c r="DL1" s="106" t="s">
        <v>272</v>
      </c>
      <c r="DM1" s="106">
        <v>95</v>
      </c>
      <c r="DN1" s="106">
        <v>96</v>
      </c>
      <c r="DO1" s="106" t="s">
        <v>273</v>
      </c>
      <c r="DP1" s="106">
        <v>98</v>
      </c>
      <c r="DQ1" s="106">
        <v>99</v>
      </c>
      <c r="DR1" s="106" t="s">
        <v>274</v>
      </c>
      <c r="DS1" s="106">
        <v>101</v>
      </c>
      <c r="DT1" s="106" t="s">
        <v>275</v>
      </c>
      <c r="DU1" s="106">
        <v>103</v>
      </c>
      <c r="DV1" s="106">
        <v>104</v>
      </c>
      <c r="DW1" s="106" t="s">
        <v>276</v>
      </c>
      <c r="DX1" s="106">
        <v>106</v>
      </c>
      <c r="DY1" s="106">
        <v>107</v>
      </c>
      <c r="DZ1" s="106" t="s">
        <v>277</v>
      </c>
      <c r="EA1" s="106" t="s">
        <v>278</v>
      </c>
      <c r="EB1" s="106">
        <v>110</v>
      </c>
      <c r="EC1" s="106">
        <v>111</v>
      </c>
      <c r="ED1" s="106" t="s">
        <v>279</v>
      </c>
      <c r="EE1" s="106">
        <v>113</v>
      </c>
      <c r="EF1" s="106">
        <v>114</v>
      </c>
      <c r="EG1" s="106" t="s">
        <v>280</v>
      </c>
      <c r="EH1" s="106" t="s">
        <v>281</v>
      </c>
      <c r="EI1" s="106">
        <v>117</v>
      </c>
      <c r="EJ1" s="106">
        <v>118</v>
      </c>
      <c r="EK1" s="106" t="s">
        <v>282</v>
      </c>
      <c r="EL1" s="106">
        <v>120</v>
      </c>
      <c r="EM1" s="106">
        <v>121</v>
      </c>
      <c r="EN1" s="106" t="s">
        <v>283</v>
      </c>
      <c r="EO1" s="106">
        <v>123</v>
      </c>
      <c r="EP1" s="106">
        <v>124</v>
      </c>
      <c r="EQ1" s="106">
        <v>125</v>
      </c>
      <c r="ER1" s="106"/>
      <c r="ES1" s="106"/>
      <c r="ET1" s="106"/>
      <c r="EU1" s="106" t="s">
        <v>284</v>
      </c>
      <c r="EV1" s="106">
        <v>127</v>
      </c>
      <c r="EW1" s="106">
        <v>128</v>
      </c>
      <c r="EX1" s="106">
        <v>129</v>
      </c>
      <c r="EY1" s="106" t="s">
        <v>285</v>
      </c>
      <c r="EZ1" s="106">
        <v>131</v>
      </c>
      <c r="FA1" s="106">
        <v>132</v>
      </c>
      <c r="FB1" s="106">
        <v>133</v>
      </c>
    </row>
    <row r="2" spans="1:158" ht="29.25" customHeight="1">
      <c r="A2" s="107" t="s">
        <v>286</v>
      </c>
      <c r="B2" s="107" t="s">
        <v>287</v>
      </c>
      <c r="C2" s="107" t="s">
        <v>288</v>
      </c>
      <c r="D2" s="107" t="s">
        <v>289</v>
      </c>
      <c r="E2" s="107" t="s">
        <v>290</v>
      </c>
      <c r="F2" s="107" t="s">
        <v>291</v>
      </c>
      <c r="G2" s="107" t="s">
        <v>144</v>
      </c>
      <c r="H2" s="107" t="s">
        <v>145</v>
      </c>
      <c r="I2" s="108" t="s">
        <v>292</v>
      </c>
      <c r="J2" s="108" t="s">
        <v>293</v>
      </c>
      <c r="K2" s="108" t="s">
        <v>294</v>
      </c>
      <c r="L2" s="108" t="s">
        <v>295</v>
      </c>
      <c r="M2" s="108" t="s">
        <v>296</v>
      </c>
      <c r="N2" s="108" t="s">
        <v>297</v>
      </c>
      <c r="O2" s="108" t="s">
        <v>194</v>
      </c>
      <c r="P2" s="107" t="s">
        <v>298</v>
      </c>
      <c r="Q2" s="107" t="s">
        <v>299</v>
      </c>
      <c r="R2" s="107" t="s">
        <v>300</v>
      </c>
      <c r="S2" s="107" t="s">
        <v>301</v>
      </c>
      <c r="T2" s="107" t="s">
        <v>302</v>
      </c>
      <c r="U2" s="107" t="s">
        <v>303</v>
      </c>
      <c r="V2" s="108" t="s">
        <v>304</v>
      </c>
      <c r="W2" s="107" t="s">
        <v>298</v>
      </c>
      <c r="X2" s="107" t="s">
        <v>299</v>
      </c>
      <c r="Y2" s="107" t="s">
        <v>300</v>
      </c>
      <c r="Z2" s="107" t="s">
        <v>301</v>
      </c>
      <c r="AA2" s="107" t="s">
        <v>302</v>
      </c>
      <c r="AB2" s="107" t="s">
        <v>303</v>
      </c>
      <c r="AC2" s="108" t="s">
        <v>305</v>
      </c>
      <c r="AD2" s="107" t="s">
        <v>298</v>
      </c>
      <c r="AE2" s="107" t="s">
        <v>299</v>
      </c>
      <c r="AF2" s="107" t="s">
        <v>300</v>
      </c>
      <c r="AG2" s="107" t="s">
        <v>301</v>
      </c>
      <c r="AH2" s="107" t="s">
        <v>302</v>
      </c>
      <c r="AI2" s="107" t="s">
        <v>303</v>
      </c>
      <c r="AJ2" s="108" t="s">
        <v>306</v>
      </c>
      <c r="AK2" s="107" t="s">
        <v>298</v>
      </c>
      <c r="AL2" s="107" t="s">
        <v>299</v>
      </c>
      <c r="AM2" s="107" t="s">
        <v>300</v>
      </c>
      <c r="AN2" s="107" t="s">
        <v>301</v>
      </c>
      <c r="AO2" s="107" t="s">
        <v>302</v>
      </c>
      <c r="AP2" s="107" t="s">
        <v>303</v>
      </c>
      <c r="AQ2" s="108" t="s">
        <v>307</v>
      </c>
      <c r="AR2" s="107" t="s">
        <v>298</v>
      </c>
      <c r="AS2" s="107" t="s">
        <v>299</v>
      </c>
      <c r="AT2" s="107" t="s">
        <v>300</v>
      </c>
      <c r="AU2" s="107" t="s">
        <v>301</v>
      </c>
      <c r="AV2" s="107" t="s">
        <v>302</v>
      </c>
      <c r="AW2" s="107" t="s">
        <v>303</v>
      </c>
      <c r="AX2" s="108" t="s">
        <v>308</v>
      </c>
      <c r="AY2" s="107" t="s">
        <v>298</v>
      </c>
      <c r="AZ2" s="107" t="s">
        <v>299</v>
      </c>
      <c r="BA2" s="107" t="s">
        <v>300</v>
      </c>
      <c r="BB2" s="107" t="s">
        <v>301</v>
      </c>
      <c r="BC2" s="107" t="s">
        <v>302</v>
      </c>
      <c r="BD2" s="107" t="s">
        <v>303</v>
      </c>
      <c r="BE2" s="108" t="s">
        <v>309</v>
      </c>
      <c r="BF2" s="107" t="s">
        <v>298</v>
      </c>
      <c r="BG2" s="107" t="s">
        <v>299</v>
      </c>
      <c r="BH2" s="107" t="s">
        <v>300</v>
      </c>
      <c r="BI2" s="107" t="s">
        <v>301</v>
      </c>
      <c r="BJ2" s="107" t="s">
        <v>302</v>
      </c>
      <c r="BK2" s="107" t="s">
        <v>303</v>
      </c>
      <c r="BL2" s="108" t="s">
        <v>310</v>
      </c>
      <c r="BM2" s="107" t="s">
        <v>298</v>
      </c>
      <c r="BN2" s="107" t="s">
        <v>299</v>
      </c>
      <c r="BO2" s="107" t="s">
        <v>300</v>
      </c>
      <c r="BP2" s="107" t="s">
        <v>301</v>
      </c>
      <c r="BQ2" s="107" t="s">
        <v>302</v>
      </c>
      <c r="BR2" s="107" t="s">
        <v>303</v>
      </c>
      <c r="BS2" s="108" t="s">
        <v>311</v>
      </c>
      <c r="BT2" s="107" t="s">
        <v>298</v>
      </c>
      <c r="BU2" s="107" t="s">
        <v>299</v>
      </c>
      <c r="BV2" s="107" t="s">
        <v>300</v>
      </c>
      <c r="BW2" s="107" t="s">
        <v>301</v>
      </c>
      <c r="BX2" s="107" t="s">
        <v>302</v>
      </c>
      <c r="BY2" s="107" t="s">
        <v>303</v>
      </c>
      <c r="BZ2" s="108" t="s">
        <v>312</v>
      </c>
      <c r="CA2" s="107" t="s">
        <v>298</v>
      </c>
      <c r="CB2" s="107" t="s">
        <v>299</v>
      </c>
      <c r="CC2" s="107" t="s">
        <v>300</v>
      </c>
      <c r="CD2" s="107" t="s">
        <v>301</v>
      </c>
      <c r="CE2" s="107" t="s">
        <v>302</v>
      </c>
      <c r="CF2" s="107" t="s">
        <v>303</v>
      </c>
      <c r="CG2" s="108" t="s">
        <v>313</v>
      </c>
      <c r="CH2" s="107" t="s">
        <v>298</v>
      </c>
      <c r="CI2" s="107" t="s">
        <v>299</v>
      </c>
      <c r="CJ2" s="107" t="s">
        <v>300</v>
      </c>
      <c r="CK2" s="107" t="s">
        <v>301</v>
      </c>
      <c r="CL2" s="107" t="s">
        <v>302</v>
      </c>
      <c r="CM2" s="107" t="s">
        <v>303</v>
      </c>
      <c r="CN2" s="108" t="s">
        <v>314</v>
      </c>
      <c r="CO2" s="108" t="s">
        <v>315</v>
      </c>
      <c r="CP2" s="108" t="s">
        <v>316</v>
      </c>
      <c r="CQ2" s="108" t="s">
        <v>317</v>
      </c>
      <c r="CR2" s="108" t="s">
        <v>318</v>
      </c>
      <c r="CS2" s="108" t="s">
        <v>319</v>
      </c>
      <c r="CT2" s="108" t="s">
        <v>320</v>
      </c>
      <c r="CU2" s="108" t="s">
        <v>321</v>
      </c>
      <c r="CV2" s="108" t="s">
        <v>144</v>
      </c>
      <c r="CW2" s="107" t="s">
        <v>322</v>
      </c>
      <c r="CX2" s="107" t="s">
        <v>323</v>
      </c>
      <c r="CY2" s="107" t="s">
        <v>324</v>
      </c>
      <c r="CZ2" s="107" t="s">
        <v>325</v>
      </c>
      <c r="DA2" s="107" t="s">
        <v>326</v>
      </c>
      <c r="DB2" s="107" t="s">
        <v>327</v>
      </c>
      <c r="DC2" s="108" t="s">
        <v>328</v>
      </c>
      <c r="DD2" s="108" t="s">
        <v>329</v>
      </c>
      <c r="DE2" s="107" t="s">
        <v>322</v>
      </c>
      <c r="DF2" s="107" t="s">
        <v>323</v>
      </c>
      <c r="DG2" s="107" t="s">
        <v>324</v>
      </c>
      <c r="DH2" s="107" t="s">
        <v>325</v>
      </c>
      <c r="DI2" s="107" t="s">
        <v>326</v>
      </c>
      <c r="DJ2" s="107" t="s">
        <v>327</v>
      </c>
      <c r="DK2" s="108" t="s">
        <v>330</v>
      </c>
      <c r="DL2" s="107" t="s">
        <v>322</v>
      </c>
      <c r="DM2" s="107" t="s">
        <v>323</v>
      </c>
      <c r="DN2" s="107" t="s">
        <v>324</v>
      </c>
      <c r="DO2" s="107" t="s">
        <v>325</v>
      </c>
      <c r="DP2" s="107" t="s">
        <v>326</v>
      </c>
      <c r="DQ2" s="107" t="s">
        <v>327</v>
      </c>
      <c r="DR2" s="108" t="s">
        <v>331</v>
      </c>
      <c r="DS2" s="108" t="s">
        <v>332</v>
      </c>
      <c r="DT2" s="107" t="s">
        <v>322</v>
      </c>
      <c r="DU2" s="107" t="s">
        <v>323</v>
      </c>
      <c r="DV2" s="107" t="s">
        <v>324</v>
      </c>
      <c r="DW2" s="107" t="s">
        <v>325</v>
      </c>
      <c r="DX2" s="107" t="s">
        <v>326</v>
      </c>
      <c r="DY2" s="107" t="s">
        <v>327</v>
      </c>
      <c r="DZ2" s="108" t="s">
        <v>333</v>
      </c>
      <c r="EA2" s="107" t="s">
        <v>322</v>
      </c>
      <c r="EB2" s="107" t="s">
        <v>323</v>
      </c>
      <c r="EC2" s="107" t="s">
        <v>324</v>
      </c>
      <c r="ED2" s="107" t="s">
        <v>325</v>
      </c>
      <c r="EE2" s="107" t="s">
        <v>326</v>
      </c>
      <c r="EF2" s="107" t="s">
        <v>327</v>
      </c>
      <c r="EG2" s="108" t="s">
        <v>145</v>
      </c>
      <c r="EH2" s="107" t="s">
        <v>322</v>
      </c>
      <c r="EI2" s="107" t="s">
        <v>323</v>
      </c>
      <c r="EJ2" s="107" t="s">
        <v>324</v>
      </c>
      <c r="EK2" s="107" t="s">
        <v>325</v>
      </c>
      <c r="EL2" s="107" t="s">
        <v>326</v>
      </c>
      <c r="EM2" s="107" t="s">
        <v>327</v>
      </c>
      <c r="EN2" s="108" t="s">
        <v>334</v>
      </c>
      <c r="EO2" s="108" t="s">
        <v>335</v>
      </c>
      <c r="EP2" s="108" t="s">
        <v>336</v>
      </c>
      <c r="EQ2" s="108" t="s">
        <v>337</v>
      </c>
      <c r="ER2" s="108" t="s">
        <v>338</v>
      </c>
      <c r="ES2" s="108" t="s">
        <v>339</v>
      </c>
      <c r="ET2" s="108" t="s">
        <v>340</v>
      </c>
      <c r="EU2" s="108" t="s">
        <v>341</v>
      </c>
      <c r="EV2" s="108" t="s">
        <v>342</v>
      </c>
      <c r="EW2" s="108" t="s">
        <v>343</v>
      </c>
      <c r="EX2" s="108" t="s">
        <v>344</v>
      </c>
      <c r="EY2" s="108" t="s">
        <v>345</v>
      </c>
      <c r="EZ2" s="108" t="s">
        <v>346</v>
      </c>
      <c r="FA2" s="108" t="s">
        <v>347</v>
      </c>
      <c r="FB2" s="109" t="s">
        <v>348</v>
      </c>
    </row>
    <row r="3" spans="1:158" ht="19.5" customHeight="1">
      <c r="A3" s="212" t="s">
        <v>349</v>
      </c>
      <c r="B3" s="212"/>
      <c r="C3" s="212"/>
      <c r="D3" s="110">
        <v>316891425.81</v>
      </c>
      <c r="E3" s="110">
        <v>140342839.16</v>
      </c>
      <c r="F3" s="110">
        <v>176548586.65000001</v>
      </c>
      <c r="G3" s="110">
        <v>465346</v>
      </c>
      <c r="H3" s="110">
        <v>16313</v>
      </c>
      <c r="I3" s="110">
        <v>24748352.73</v>
      </c>
      <c r="J3" s="110">
        <v>6537395.3200000003</v>
      </c>
      <c r="K3" s="110">
        <v>2649428.83</v>
      </c>
      <c r="L3" s="110">
        <v>17414724.859999999</v>
      </c>
      <c r="M3" s="110">
        <v>46022879.5</v>
      </c>
      <c r="N3" s="110">
        <v>30481.97</v>
      </c>
      <c r="O3" s="110">
        <v>673378725.66999996</v>
      </c>
      <c r="P3" s="110">
        <v>454657160.23000002</v>
      </c>
      <c r="Q3" s="110">
        <v>420168605.13999999</v>
      </c>
      <c r="R3" s="110">
        <v>34488555.090000004</v>
      </c>
      <c r="S3" s="110">
        <v>218721565.44</v>
      </c>
      <c r="T3" s="110">
        <v>183324638.56999999</v>
      </c>
      <c r="U3" s="110">
        <v>35396926.869999997</v>
      </c>
      <c r="V3" s="110">
        <v>248151853.40000001</v>
      </c>
      <c r="W3" s="110">
        <v>202916075.97</v>
      </c>
      <c r="X3" s="110">
        <v>186358173.41</v>
      </c>
      <c r="Y3" s="110">
        <v>16557902.560000001</v>
      </c>
      <c r="Z3" s="110">
        <v>45235777.43</v>
      </c>
      <c r="AA3" s="110">
        <v>24023951.059999999</v>
      </c>
      <c r="AB3" s="110">
        <v>21211826.370000001</v>
      </c>
      <c r="AC3" s="110">
        <v>99357343.569999993</v>
      </c>
      <c r="AD3" s="110">
        <v>86868261.219999999</v>
      </c>
      <c r="AE3" s="110">
        <v>83908654.680000007</v>
      </c>
      <c r="AF3" s="110">
        <v>2959606.54</v>
      </c>
      <c r="AG3" s="110">
        <v>12489082.35</v>
      </c>
      <c r="AH3" s="110">
        <v>9125418.0800000001</v>
      </c>
      <c r="AI3" s="110">
        <v>3363664.27</v>
      </c>
      <c r="AJ3" s="110">
        <v>8451670.6699999999</v>
      </c>
      <c r="AK3" s="110">
        <v>7386333.0800000001</v>
      </c>
      <c r="AL3" s="110">
        <v>6548799.3499999996</v>
      </c>
      <c r="AM3" s="110">
        <v>837533.73</v>
      </c>
      <c r="AN3" s="110">
        <v>1065337.5900000001</v>
      </c>
      <c r="AO3" s="110">
        <v>643343.93000000005</v>
      </c>
      <c r="AP3" s="110">
        <v>421993.66</v>
      </c>
      <c r="AQ3" s="110">
        <v>79576299.5</v>
      </c>
      <c r="AR3" s="110">
        <v>64896577.75</v>
      </c>
      <c r="AS3" s="110">
        <v>59049566</v>
      </c>
      <c r="AT3" s="110">
        <v>5847011.75</v>
      </c>
      <c r="AU3" s="110">
        <v>14679721.75</v>
      </c>
      <c r="AV3" s="110">
        <v>7721562</v>
      </c>
      <c r="AW3" s="110">
        <v>6958159.75</v>
      </c>
      <c r="AX3" s="110">
        <v>60766539.659999996</v>
      </c>
      <c r="AY3" s="110">
        <v>43764903.920000002</v>
      </c>
      <c r="AZ3" s="110">
        <v>36851153.380000003</v>
      </c>
      <c r="BA3" s="110">
        <v>6913750.54</v>
      </c>
      <c r="BB3" s="110">
        <v>17001635.739999998</v>
      </c>
      <c r="BC3" s="110">
        <v>6533627.0499999998</v>
      </c>
      <c r="BD3" s="110">
        <v>10468008.689999999</v>
      </c>
      <c r="BE3" s="110">
        <v>425226872.26999998</v>
      </c>
      <c r="BF3" s="110">
        <v>251741084.25999999</v>
      </c>
      <c r="BG3" s="110">
        <v>233810431.72999999</v>
      </c>
      <c r="BH3" s="110">
        <v>17930652.530000001</v>
      </c>
      <c r="BI3" s="110">
        <v>173485788.00999999</v>
      </c>
      <c r="BJ3" s="110">
        <v>159300687.50999999</v>
      </c>
      <c r="BK3" s="110">
        <v>14185100.5</v>
      </c>
      <c r="BL3" s="110">
        <v>65126079.149999999</v>
      </c>
      <c r="BM3" s="110">
        <v>35808649.009999998</v>
      </c>
      <c r="BN3" s="110">
        <v>34236416.840000004</v>
      </c>
      <c r="BO3" s="110">
        <v>1572232.17</v>
      </c>
      <c r="BP3" s="110">
        <v>29317430.140000001</v>
      </c>
      <c r="BQ3" s="110">
        <v>27074031.510000002</v>
      </c>
      <c r="BR3" s="110">
        <v>2243398.63</v>
      </c>
      <c r="BS3" s="110">
        <v>183552206.47</v>
      </c>
      <c r="BT3" s="110">
        <v>112803962.8</v>
      </c>
      <c r="BU3" s="110">
        <v>106268676.15000001</v>
      </c>
      <c r="BV3" s="110">
        <v>6535286.6500000004</v>
      </c>
      <c r="BW3" s="110">
        <v>70748243.670000002</v>
      </c>
      <c r="BX3" s="110">
        <v>66595535.560000002</v>
      </c>
      <c r="BY3" s="110">
        <v>4152708.11</v>
      </c>
      <c r="BZ3" s="110">
        <v>72619443.599999994</v>
      </c>
      <c r="CA3" s="110">
        <v>44602626.350000001</v>
      </c>
      <c r="CB3" s="110">
        <v>41788513.850000001</v>
      </c>
      <c r="CC3" s="110">
        <v>2814112.5</v>
      </c>
      <c r="CD3" s="110">
        <v>28016817.25</v>
      </c>
      <c r="CE3" s="110">
        <v>26268769.25</v>
      </c>
      <c r="CF3" s="110">
        <v>1748048</v>
      </c>
      <c r="CG3" s="110">
        <v>103929143.05</v>
      </c>
      <c r="CH3" s="110">
        <v>58525846.100000001</v>
      </c>
      <c r="CI3" s="110">
        <v>51516824.890000001</v>
      </c>
      <c r="CJ3" s="110">
        <v>7009021.21</v>
      </c>
      <c r="CK3" s="110">
        <v>45403296.950000003</v>
      </c>
      <c r="CL3" s="110">
        <v>39362351.189999998</v>
      </c>
      <c r="CM3" s="110">
        <v>6040945.7599999998</v>
      </c>
      <c r="CN3" s="110">
        <v>29773958.870000001</v>
      </c>
      <c r="CO3" s="110">
        <v>89007270.170000002</v>
      </c>
      <c r="CP3" s="110">
        <v>65220303.759999998</v>
      </c>
      <c r="CQ3" s="110">
        <v>32373823.309999999</v>
      </c>
      <c r="CR3" s="110">
        <v>31494860.719999999</v>
      </c>
      <c r="CS3" s="110">
        <v>279820.57</v>
      </c>
      <c r="CT3" s="110">
        <v>10791056.32</v>
      </c>
      <c r="CU3" s="110">
        <v>0</v>
      </c>
      <c r="CV3" s="111">
        <v>465346</v>
      </c>
      <c r="CW3" s="111">
        <v>395943</v>
      </c>
      <c r="CX3" s="111">
        <v>362249</v>
      </c>
      <c r="CY3" s="111">
        <v>33694</v>
      </c>
      <c r="CZ3" s="111">
        <v>69403</v>
      </c>
      <c r="DA3" s="111">
        <v>36636</v>
      </c>
      <c r="DB3" s="111">
        <v>32767</v>
      </c>
      <c r="DC3" s="111">
        <v>255385</v>
      </c>
      <c r="DD3" s="111">
        <v>5407</v>
      </c>
      <c r="DE3" s="111">
        <v>224825</v>
      </c>
      <c r="DF3" s="111">
        <v>209134</v>
      </c>
      <c r="DG3" s="111">
        <v>15691</v>
      </c>
      <c r="DH3" s="111">
        <v>30560</v>
      </c>
      <c r="DI3" s="111">
        <v>17462</v>
      </c>
      <c r="DJ3" s="111">
        <v>13098</v>
      </c>
      <c r="DK3" s="111">
        <v>108889</v>
      </c>
      <c r="DL3" s="111">
        <v>87969</v>
      </c>
      <c r="DM3" s="111">
        <v>80744</v>
      </c>
      <c r="DN3" s="111">
        <v>7225</v>
      </c>
      <c r="DO3" s="111">
        <v>20920</v>
      </c>
      <c r="DP3" s="111">
        <v>11751</v>
      </c>
      <c r="DQ3" s="111">
        <v>9169</v>
      </c>
      <c r="DR3" s="111">
        <v>37467</v>
      </c>
      <c r="DS3" s="111">
        <v>136</v>
      </c>
      <c r="DT3" s="111">
        <v>26808</v>
      </c>
      <c r="DU3" s="111">
        <v>22411</v>
      </c>
      <c r="DV3" s="111">
        <v>4397</v>
      </c>
      <c r="DW3" s="111">
        <v>10659</v>
      </c>
      <c r="DX3" s="111">
        <v>4049</v>
      </c>
      <c r="DY3" s="111">
        <v>6610</v>
      </c>
      <c r="DZ3" s="111">
        <v>58062</v>
      </c>
      <c r="EA3" s="111">
        <v>51845</v>
      </c>
      <c r="EB3" s="111">
        <v>46370</v>
      </c>
      <c r="EC3" s="111">
        <v>5475</v>
      </c>
      <c r="ED3" s="111">
        <v>6217</v>
      </c>
      <c r="EE3" s="111">
        <v>3342</v>
      </c>
      <c r="EF3" s="111">
        <v>2875</v>
      </c>
      <c r="EG3" s="111">
        <v>16313</v>
      </c>
      <c r="EH3" s="111">
        <v>10149</v>
      </c>
      <c r="EI3" s="111">
        <v>9379</v>
      </c>
      <c r="EJ3" s="111">
        <v>770</v>
      </c>
      <c r="EK3" s="111">
        <v>6164</v>
      </c>
      <c r="EL3" s="111">
        <v>5572</v>
      </c>
      <c r="EM3" s="111">
        <v>592</v>
      </c>
      <c r="EN3" s="111">
        <v>13222</v>
      </c>
      <c r="EO3" s="111">
        <v>7087</v>
      </c>
      <c r="EP3" s="111">
        <v>962</v>
      </c>
      <c r="EQ3" s="111">
        <v>5173</v>
      </c>
      <c r="ER3" s="111">
        <v>1793</v>
      </c>
      <c r="ES3" s="111">
        <v>0</v>
      </c>
      <c r="ET3" s="111">
        <v>122</v>
      </c>
      <c r="EU3" s="111">
        <v>3463</v>
      </c>
      <c r="EV3" s="111">
        <v>2798</v>
      </c>
      <c r="EW3" s="111">
        <v>484</v>
      </c>
      <c r="EX3" s="111">
        <v>181</v>
      </c>
      <c r="EY3" s="111">
        <v>2380</v>
      </c>
      <c r="EZ3" s="111">
        <v>2130</v>
      </c>
      <c r="FA3" s="111">
        <v>250</v>
      </c>
      <c r="FB3" s="111">
        <v>5188</v>
      </c>
    </row>
    <row r="4" spans="1:158" ht="19.5" customHeight="1">
      <c r="A4" s="107">
        <v>1</v>
      </c>
      <c r="B4" s="107" t="s">
        <v>350</v>
      </c>
      <c r="C4" s="107" t="s">
        <v>351</v>
      </c>
      <c r="D4" s="110">
        <v>210990</v>
      </c>
      <c r="E4" s="110">
        <v>210990</v>
      </c>
      <c r="F4" s="110">
        <v>0</v>
      </c>
      <c r="G4" s="110">
        <v>1084</v>
      </c>
      <c r="H4" s="110">
        <v>0</v>
      </c>
      <c r="I4" s="110">
        <v>18</v>
      </c>
      <c r="J4" s="110">
        <v>0</v>
      </c>
      <c r="K4" s="110">
        <v>0</v>
      </c>
      <c r="L4" s="110">
        <v>0</v>
      </c>
      <c r="M4" s="110">
        <v>0</v>
      </c>
      <c r="N4" s="110">
        <v>0</v>
      </c>
      <c r="O4" s="110">
        <v>530057.92000000004</v>
      </c>
      <c r="P4" s="110">
        <v>491380.33</v>
      </c>
      <c r="Q4" s="110">
        <v>472210.09</v>
      </c>
      <c r="R4" s="110">
        <v>19170.240000000002</v>
      </c>
      <c r="S4" s="110">
        <v>38677.589999999997</v>
      </c>
      <c r="T4" s="110">
        <v>31098.94</v>
      </c>
      <c r="U4" s="110">
        <v>7578.65</v>
      </c>
      <c r="V4" s="110">
        <v>530057.92000000004</v>
      </c>
      <c r="W4" s="110">
        <v>491380.33</v>
      </c>
      <c r="X4" s="110">
        <v>472210.09</v>
      </c>
      <c r="Y4" s="110">
        <v>19170.240000000002</v>
      </c>
      <c r="Z4" s="110">
        <v>38677.589999999997</v>
      </c>
      <c r="AA4" s="110">
        <v>31098.94</v>
      </c>
      <c r="AB4" s="110">
        <v>7578.65</v>
      </c>
      <c r="AC4" s="110">
        <v>318013.92</v>
      </c>
      <c r="AD4" s="110">
        <v>303723.33</v>
      </c>
      <c r="AE4" s="110">
        <v>300395.09000000003</v>
      </c>
      <c r="AF4" s="110">
        <v>3328.24</v>
      </c>
      <c r="AG4" s="110">
        <v>14290.59</v>
      </c>
      <c r="AH4" s="110">
        <v>13595.94</v>
      </c>
      <c r="AI4" s="110">
        <v>694.65</v>
      </c>
      <c r="AJ4" s="110">
        <v>1054</v>
      </c>
      <c r="AK4" s="110">
        <v>882</v>
      </c>
      <c r="AL4" s="110">
        <v>882</v>
      </c>
      <c r="AM4" s="110">
        <v>0</v>
      </c>
      <c r="AN4" s="110">
        <v>172</v>
      </c>
      <c r="AO4" s="110">
        <v>172</v>
      </c>
      <c r="AP4" s="110">
        <v>0</v>
      </c>
      <c r="AQ4" s="110">
        <v>178887</v>
      </c>
      <c r="AR4" s="110">
        <v>157880</v>
      </c>
      <c r="AS4" s="110">
        <v>143791</v>
      </c>
      <c r="AT4" s="110">
        <v>14089</v>
      </c>
      <c r="AU4" s="110">
        <v>21007</v>
      </c>
      <c r="AV4" s="110">
        <v>15851</v>
      </c>
      <c r="AW4" s="110">
        <v>5156</v>
      </c>
      <c r="AX4" s="110">
        <v>32103</v>
      </c>
      <c r="AY4" s="110">
        <v>28895</v>
      </c>
      <c r="AZ4" s="110">
        <v>27142</v>
      </c>
      <c r="BA4" s="110">
        <v>1753</v>
      </c>
      <c r="BB4" s="110">
        <v>3208</v>
      </c>
      <c r="BC4" s="110">
        <v>1480</v>
      </c>
      <c r="BD4" s="110">
        <v>1728</v>
      </c>
      <c r="BE4" s="110">
        <v>0</v>
      </c>
      <c r="BF4" s="110">
        <v>0</v>
      </c>
      <c r="BG4" s="110">
        <v>0</v>
      </c>
      <c r="BH4" s="110">
        <v>0</v>
      </c>
      <c r="BI4" s="110">
        <v>0</v>
      </c>
      <c r="BJ4" s="110">
        <v>0</v>
      </c>
      <c r="BK4" s="110">
        <v>0</v>
      </c>
      <c r="BL4" s="110">
        <v>0</v>
      </c>
      <c r="BM4" s="110">
        <v>0</v>
      </c>
      <c r="BN4" s="110">
        <v>0</v>
      </c>
      <c r="BO4" s="110">
        <v>0</v>
      </c>
      <c r="BP4" s="110">
        <v>0</v>
      </c>
      <c r="BQ4" s="110">
        <v>0</v>
      </c>
      <c r="BR4" s="110">
        <v>0</v>
      </c>
      <c r="BS4" s="110">
        <v>0</v>
      </c>
      <c r="BT4" s="110">
        <v>0</v>
      </c>
      <c r="BU4" s="110">
        <v>0</v>
      </c>
      <c r="BV4" s="110">
        <v>0</v>
      </c>
      <c r="BW4" s="110">
        <v>0</v>
      </c>
      <c r="BX4" s="110">
        <v>0</v>
      </c>
      <c r="BY4" s="110">
        <v>0</v>
      </c>
      <c r="BZ4" s="110">
        <v>0</v>
      </c>
      <c r="CA4" s="110">
        <v>0</v>
      </c>
      <c r="CB4" s="110">
        <v>0</v>
      </c>
      <c r="CC4" s="110">
        <v>0</v>
      </c>
      <c r="CD4" s="110">
        <v>0</v>
      </c>
      <c r="CE4" s="110">
        <v>0</v>
      </c>
      <c r="CF4" s="110">
        <v>0</v>
      </c>
      <c r="CG4" s="110">
        <v>0</v>
      </c>
      <c r="CH4" s="110">
        <v>0</v>
      </c>
      <c r="CI4" s="110">
        <v>0</v>
      </c>
      <c r="CJ4" s="110">
        <v>0</v>
      </c>
      <c r="CK4" s="110">
        <v>0</v>
      </c>
      <c r="CL4" s="110">
        <v>0</v>
      </c>
      <c r="CM4" s="110">
        <v>0</v>
      </c>
      <c r="CN4" s="110">
        <v>0</v>
      </c>
      <c r="CO4" s="110">
        <v>295279.03999999998</v>
      </c>
      <c r="CP4" s="110">
        <v>155014.39000000001</v>
      </c>
      <c r="CQ4" s="110">
        <v>68454.13</v>
      </c>
      <c r="CR4" s="110">
        <v>11310.36</v>
      </c>
      <c r="CS4" s="110">
        <v>0</v>
      </c>
      <c r="CT4" s="110">
        <v>0</v>
      </c>
      <c r="CU4" s="110">
        <v>0</v>
      </c>
      <c r="CV4" s="111">
        <v>1084</v>
      </c>
      <c r="CW4" s="111">
        <v>1004</v>
      </c>
      <c r="CX4" s="111">
        <v>970</v>
      </c>
      <c r="CY4" s="111">
        <v>34</v>
      </c>
      <c r="CZ4" s="111">
        <v>80</v>
      </c>
      <c r="DA4" s="111">
        <v>57</v>
      </c>
      <c r="DB4" s="111">
        <v>23</v>
      </c>
      <c r="DC4" s="111">
        <v>820</v>
      </c>
      <c r="DD4" s="111">
        <v>47</v>
      </c>
      <c r="DE4" s="111">
        <v>773</v>
      </c>
      <c r="DF4" s="111">
        <v>755</v>
      </c>
      <c r="DG4" s="111">
        <v>18</v>
      </c>
      <c r="DH4" s="111">
        <v>47</v>
      </c>
      <c r="DI4" s="111">
        <v>41</v>
      </c>
      <c r="DJ4" s="111">
        <v>6</v>
      </c>
      <c r="DK4" s="111">
        <v>207</v>
      </c>
      <c r="DL4" s="111">
        <v>190</v>
      </c>
      <c r="DM4" s="111">
        <v>184</v>
      </c>
      <c r="DN4" s="111">
        <v>6</v>
      </c>
      <c r="DO4" s="111">
        <v>17</v>
      </c>
      <c r="DP4" s="111">
        <v>15</v>
      </c>
      <c r="DQ4" s="111">
        <v>2</v>
      </c>
      <c r="DR4" s="111">
        <v>10</v>
      </c>
      <c r="DS4" s="111">
        <v>0</v>
      </c>
      <c r="DT4" s="111">
        <v>7</v>
      </c>
      <c r="DU4" s="111">
        <v>4</v>
      </c>
      <c r="DV4" s="111">
        <v>3</v>
      </c>
      <c r="DW4" s="111">
        <v>3</v>
      </c>
      <c r="DX4" s="111">
        <v>0</v>
      </c>
      <c r="DY4" s="111">
        <v>3</v>
      </c>
      <c r="DZ4" s="111">
        <v>0</v>
      </c>
      <c r="EA4" s="111">
        <v>0</v>
      </c>
      <c r="EB4" s="111">
        <v>0</v>
      </c>
      <c r="EC4" s="111">
        <v>0</v>
      </c>
      <c r="ED4" s="111">
        <v>0</v>
      </c>
      <c r="EE4" s="111">
        <v>0</v>
      </c>
      <c r="EF4" s="111">
        <v>0</v>
      </c>
      <c r="EG4" s="111">
        <v>0</v>
      </c>
      <c r="EH4" s="111">
        <v>0</v>
      </c>
      <c r="EI4" s="111">
        <v>0</v>
      </c>
      <c r="EJ4" s="111">
        <v>0</v>
      </c>
      <c r="EK4" s="111">
        <v>0</v>
      </c>
      <c r="EL4" s="111">
        <v>0</v>
      </c>
      <c r="EM4" s="111">
        <v>0</v>
      </c>
      <c r="EN4" s="111">
        <v>0</v>
      </c>
      <c r="EO4" s="111">
        <v>0</v>
      </c>
      <c r="EP4" s="111">
        <v>0</v>
      </c>
      <c r="EQ4" s="111">
        <v>0</v>
      </c>
      <c r="ER4" s="111">
        <v>0</v>
      </c>
      <c r="ES4" s="111">
        <v>0</v>
      </c>
      <c r="ET4" s="111">
        <v>0</v>
      </c>
      <c r="EU4" s="111">
        <v>0</v>
      </c>
      <c r="EV4" s="111">
        <v>0</v>
      </c>
      <c r="EW4" s="111">
        <v>0</v>
      </c>
      <c r="EX4" s="111">
        <v>0</v>
      </c>
      <c r="EY4" s="111">
        <v>0</v>
      </c>
      <c r="EZ4" s="111">
        <v>0</v>
      </c>
      <c r="FA4" s="111">
        <v>0</v>
      </c>
      <c r="FB4" s="111">
        <v>0</v>
      </c>
    </row>
    <row r="5" spans="1:158" ht="19.5" customHeight="1">
      <c r="A5" s="107">
        <v>2</v>
      </c>
      <c r="B5" s="107" t="s">
        <v>350</v>
      </c>
      <c r="C5" s="107" t="s">
        <v>352</v>
      </c>
      <c r="D5" s="110">
        <v>5743610</v>
      </c>
      <c r="E5" s="110">
        <v>2473467</v>
      </c>
      <c r="F5" s="110">
        <v>3270143</v>
      </c>
      <c r="G5" s="110">
        <v>10858</v>
      </c>
      <c r="H5" s="110">
        <v>340</v>
      </c>
      <c r="I5" s="110">
        <v>11502</v>
      </c>
      <c r="J5" s="110">
        <v>0</v>
      </c>
      <c r="K5" s="110">
        <v>0</v>
      </c>
      <c r="L5" s="110">
        <v>201558.5</v>
      </c>
      <c r="M5" s="110">
        <v>3928</v>
      </c>
      <c r="N5" s="110">
        <v>0</v>
      </c>
      <c r="O5" s="110">
        <v>10923918.82</v>
      </c>
      <c r="P5" s="110">
        <v>8259203.3099999996</v>
      </c>
      <c r="Q5" s="110">
        <v>8089892.46</v>
      </c>
      <c r="R5" s="110">
        <v>169310.85</v>
      </c>
      <c r="S5" s="110">
        <v>2664715.5099999998</v>
      </c>
      <c r="T5" s="110">
        <v>2476119.2000000002</v>
      </c>
      <c r="U5" s="110">
        <v>188596.31</v>
      </c>
      <c r="V5" s="110">
        <v>5052053.05</v>
      </c>
      <c r="W5" s="110">
        <v>4417989.0599999996</v>
      </c>
      <c r="X5" s="110">
        <v>4280274.5199999996</v>
      </c>
      <c r="Y5" s="110">
        <v>137714.54</v>
      </c>
      <c r="Z5" s="110">
        <v>634063.99</v>
      </c>
      <c r="AA5" s="110">
        <v>460326.47</v>
      </c>
      <c r="AB5" s="110">
        <v>173737.52</v>
      </c>
      <c r="AC5" s="110">
        <v>2507130.33</v>
      </c>
      <c r="AD5" s="110">
        <v>2173416.98</v>
      </c>
      <c r="AE5" s="110">
        <v>2129423.44</v>
      </c>
      <c r="AF5" s="110">
        <v>43993.54</v>
      </c>
      <c r="AG5" s="110">
        <v>333713.34999999998</v>
      </c>
      <c r="AH5" s="110">
        <v>255796.83</v>
      </c>
      <c r="AI5" s="110">
        <v>77916.52</v>
      </c>
      <c r="AJ5" s="110">
        <v>71455.72</v>
      </c>
      <c r="AK5" s="110">
        <v>62491.08</v>
      </c>
      <c r="AL5" s="110">
        <v>60164.08</v>
      </c>
      <c r="AM5" s="110">
        <v>2327</v>
      </c>
      <c r="AN5" s="110">
        <v>8964.64</v>
      </c>
      <c r="AO5" s="110">
        <v>6029.64</v>
      </c>
      <c r="AP5" s="110">
        <v>2935</v>
      </c>
      <c r="AQ5" s="110">
        <v>2076910</v>
      </c>
      <c r="AR5" s="110">
        <v>1837741</v>
      </c>
      <c r="AS5" s="110">
        <v>1762625</v>
      </c>
      <c r="AT5" s="110">
        <v>75116</v>
      </c>
      <c r="AU5" s="110">
        <v>239169</v>
      </c>
      <c r="AV5" s="110">
        <v>164325</v>
      </c>
      <c r="AW5" s="110">
        <v>74844</v>
      </c>
      <c r="AX5" s="110">
        <v>396557</v>
      </c>
      <c r="AY5" s="110">
        <v>344340</v>
      </c>
      <c r="AZ5" s="110">
        <v>328062</v>
      </c>
      <c r="BA5" s="110">
        <v>16278</v>
      </c>
      <c r="BB5" s="110">
        <v>52217</v>
      </c>
      <c r="BC5" s="110">
        <v>34175</v>
      </c>
      <c r="BD5" s="110">
        <v>18042</v>
      </c>
      <c r="BE5" s="110">
        <v>5871865.7699999996</v>
      </c>
      <c r="BF5" s="110">
        <v>3841214.25</v>
      </c>
      <c r="BG5" s="110">
        <v>3809617.94</v>
      </c>
      <c r="BH5" s="110">
        <v>31596.31</v>
      </c>
      <c r="BI5" s="110">
        <v>2030651.52</v>
      </c>
      <c r="BJ5" s="110">
        <v>2015792.73</v>
      </c>
      <c r="BK5" s="110">
        <v>14858.79</v>
      </c>
      <c r="BL5" s="110">
        <v>2420489.4</v>
      </c>
      <c r="BM5" s="110">
        <v>1566584.5</v>
      </c>
      <c r="BN5" s="110">
        <v>1548759.88</v>
      </c>
      <c r="BO5" s="110">
        <v>17824.62</v>
      </c>
      <c r="BP5" s="110">
        <v>853904.9</v>
      </c>
      <c r="BQ5" s="110">
        <v>853761.81</v>
      </c>
      <c r="BR5" s="110">
        <v>143.09</v>
      </c>
      <c r="BS5" s="110">
        <v>181233.37</v>
      </c>
      <c r="BT5" s="110">
        <v>118209.25</v>
      </c>
      <c r="BU5" s="110">
        <v>117998.56</v>
      </c>
      <c r="BV5" s="110">
        <v>210.69</v>
      </c>
      <c r="BW5" s="110">
        <v>63024.12</v>
      </c>
      <c r="BX5" s="110">
        <v>61750.42</v>
      </c>
      <c r="BY5" s="110">
        <v>1273.7</v>
      </c>
      <c r="BZ5" s="110">
        <v>2557112</v>
      </c>
      <c r="CA5" s="110">
        <v>1660445</v>
      </c>
      <c r="CB5" s="110">
        <v>1649058</v>
      </c>
      <c r="CC5" s="110">
        <v>11387</v>
      </c>
      <c r="CD5" s="110">
        <v>896667</v>
      </c>
      <c r="CE5" s="110">
        <v>884599</v>
      </c>
      <c r="CF5" s="110">
        <v>12068</v>
      </c>
      <c r="CG5" s="110">
        <v>713031</v>
      </c>
      <c r="CH5" s="110">
        <v>495975.5</v>
      </c>
      <c r="CI5" s="110">
        <v>493801.5</v>
      </c>
      <c r="CJ5" s="110">
        <v>2174</v>
      </c>
      <c r="CK5" s="110">
        <v>217055.5</v>
      </c>
      <c r="CL5" s="110">
        <v>215681.5</v>
      </c>
      <c r="CM5" s="110">
        <v>1374</v>
      </c>
      <c r="CN5" s="110">
        <v>25</v>
      </c>
      <c r="CO5" s="110">
        <v>3106612.2</v>
      </c>
      <c r="CP5" s="110">
        <v>1604478.95</v>
      </c>
      <c r="CQ5" s="110">
        <v>91788.1</v>
      </c>
      <c r="CR5" s="110">
        <v>249173.8</v>
      </c>
      <c r="CS5" s="110">
        <v>0</v>
      </c>
      <c r="CT5" s="110">
        <v>0</v>
      </c>
      <c r="CU5" s="110">
        <v>0</v>
      </c>
      <c r="CV5" s="111">
        <v>10858</v>
      </c>
      <c r="CW5" s="111">
        <v>9614</v>
      </c>
      <c r="CX5" s="111">
        <v>9269</v>
      </c>
      <c r="CY5" s="111">
        <v>345</v>
      </c>
      <c r="CZ5" s="111">
        <v>1244</v>
      </c>
      <c r="DA5" s="111">
        <v>854</v>
      </c>
      <c r="DB5" s="111">
        <v>390</v>
      </c>
      <c r="DC5" s="111">
        <v>8091</v>
      </c>
      <c r="DD5" s="111">
        <v>59</v>
      </c>
      <c r="DE5" s="111">
        <v>7212</v>
      </c>
      <c r="DF5" s="111">
        <v>6974</v>
      </c>
      <c r="DG5" s="111">
        <v>238</v>
      </c>
      <c r="DH5" s="111">
        <v>879</v>
      </c>
      <c r="DI5" s="111">
        <v>603</v>
      </c>
      <c r="DJ5" s="111">
        <v>276</v>
      </c>
      <c r="DK5" s="111">
        <v>2400</v>
      </c>
      <c r="DL5" s="111">
        <v>2096</v>
      </c>
      <c r="DM5" s="111">
        <v>2010</v>
      </c>
      <c r="DN5" s="111">
        <v>86</v>
      </c>
      <c r="DO5" s="111">
        <v>304</v>
      </c>
      <c r="DP5" s="111">
        <v>218</v>
      </c>
      <c r="DQ5" s="111">
        <v>86</v>
      </c>
      <c r="DR5" s="111">
        <v>307</v>
      </c>
      <c r="DS5" s="111">
        <v>1</v>
      </c>
      <c r="DT5" s="111">
        <v>248</v>
      </c>
      <c r="DU5" s="111">
        <v>229</v>
      </c>
      <c r="DV5" s="111">
        <v>19</v>
      </c>
      <c r="DW5" s="111">
        <v>59</v>
      </c>
      <c r="DX5" s="111">
        <v>33</v>
      </c>
      <c r="DY5" s="111">
        <v>26</v>
      </c>
      <c r="DZ5" s="111">
        <v>0</v>
      </c>
      <c r="EA5" s="111">
        <v>0</v>
      </c>
      <c r="EB5" s="111">
        <v>0</v>
      </c>
      <c r="EC5" s="111">
        <v>0</v>
      </c>
      <c r="ED5" s="111">
        <v>0</v>
      </c>
      <c r="EE5" s="111">
        <v>0</v>
      </c>
      <c r="EF5" s="111">
        <v>0</v>
      </c>
      <c r="EG5" s="111">
        <v>340</v>
      </c>
      <c r="EH5" s="111">
        <v>225</v>
      </c>
      <c r="EI5" s="111">
        <v>223</v>
      </c>
      <c r="EJ5" s="111">
        <v>2</v>
      </c>
      <c r="EK5" s="111">
        <v>115</v>
      </c>
      <c r="EL5" s="111">
        <v>114</v>
      </c>
      <c r="EM5" s="111">
        <v>1</v>
      </c>
      <c r="EN5" s="111">
        <v>208</v>
      </c>
      <c r="EO5" s="111">
        <v>3</v>
      </c>
      <c r="EP5" s="111">
        <v>0</v>
      </c>
      <c r="EQ5" s="111">
        <v>205</v>
      </c>
      <c r="ER5" s="111">
        <v>1</v>
      </c>
      <c r="ES5" s="111">
        <v>0</v>
      </c>
      <c r="ET5" s="111">
        <v>1</v>
      </c>
      <c r="EU5" s="111">
        <v>1</v>
      </c>
      <c r="EV5" s="111">
        <v>1</v>
      </c>
      <c r="EW5" s="111">
        <v>0</v>
      </c>
      <c r="EX5" s="111">
        <v>0</v>
      </c>
      <c r="EY5" s="111">
        <v>0</v>
      </c>
      <c r="EZ5" s="111">
        <v>0</v>
      </c>
      <c r="FA5" s="111">
        <v>0</v>
      </c>
      <c r="FB5" s="111">
        <v>99</v>
      </c>
    </row>
    <row r="6" spans="1:158" ht="28.5" customHeight="1">
      <c r="A6" s="107">
        <v>3</v>
      </c>
      <c r="B6" s="107" t="s">
        <v>350</v>
      </c>
      <c r="C6" s="107" t="s">
        <v>353</v>
      </c>
      <c r="D6" s="110">
        <v>11432853</v>
      </c>
      <c r="E6" s="110">
        <v>6981108</v>
      </c>
      <c r="F6" s="110">
        <v>4451745</v>
      </c>
      <c r="G6" s="110">
        <v>23158</v>
      </c>
      <c r="H6" s="110">
        <v>737</v>
      </c>
      <c r="I6" s="110">
        <v>472266</v>
      </c>
      <c r="J6" s="110">
        <v>30900</v>
      </c>
      <c r="K6" s="110">
        <v>0</v>
      </c>
      <c r="L6" s="110">
        <v>385759</v>
      </c>
      <c r="M6" s="110">
        <v>495540</v>
      </c>
      <c r="N6" s="110">
        <v>1397</v>
      </c>
      <c r="O6" s="110">
        <v>20840482.760000002</v>
      </c>
      <c r="P6" s="110">
        <v>17231788.260000002</v>
      </c>
      <c r="Q6" s="110">
        <v>16550936.24</v>
      </c>
      <c r="R6" s="110">
        <v>680852.02</v>
      </c>
      <c r="S6" s="110">
        <v>3608694.5</v>
      </c>
      <c r="T6" s="110">
        <v>2986734.82</v>
      </c>
      <c r="U6" s="110">
        <v>621959.68000000005</v>
      </c>
      <c r="V6" s="110">
        <v>12923344.48</v>
      </c>
      <c r="W6" s="110">
        <v>11282767.82</v>
      </c>
      <c r="X6" s="110">
        <v>10674431.33</v>
      </c>
      <c r="Y6" s="110">
        <v>608336.49</v>
      </c>
      <c r="Z6" s="110">
        <v>1640576.66</v>
      </c>
      <c r="AA6" s="110">
        <v>1087990.73</v>
      </c>
      <c r="AB6" s="110">
        <v>552585.93000000005</v>
      </c>
      <c r="AC6" s="110">
        <v>5239104.1900000004</v>
      </c>
      <c r="AD6" s="110">
        <v>4637267.53</v>
      </c>
      <c r="AE6" s="110">
        <v>4506613.04</v>
      </c>
      <c r="AF6" s="110">
        <v>130654.49</v>
      </c>
      <c r="AG6" s="110">
        <v>601836.66</v>
      </c>
      <c r="AH6" s="110">
        <v>420962.73</v>
      </c>
      <c r="AI6" s="110">
        <v>180873.93</v>
      </c>
      <c r="AJ6" s="110">
        <v>703132.29</v>
      </c>
      <c r="AK6" s="110">
        <v>612125.29</v>
      </c>
      <c r="AL6" s="110">
        <v>584896.29</v>
      </c>
      <c r="AM6" s="110">
        <v>27229</v>
      </c>
      <c r="AN6" s="110">
        <v>91007</v>
      </c>
      <c r="AO6" s="110">
        <v>69451</v>
      </c>
      <c r="AP6" s="110">
        <v>21556</v>
      </c>
      <c r="AQ6" s="110">
        <v>4965555</v>
      </c>
      <c r="AR6" s="110">
        <v>4322568</v>
      </c>
      <c r="AS6" s="110">
        <v>4147890</v>
      </c>
      <c r="AT6" s="110">
        <v>174678</v>
      </c>
      <c r="AU6" s="110">
        <v>642987</v>
      </c>
      <c r="AV6" s="110">
        <v>452893</v>
      </c>
      <c r="AW6" s="110">
        <v>190094</v>
      </c>
      <c r="AX6" s="110">
        <v>2015553</v>
      </c>
      <c r="AY6" s="110">
        <v>1710807</v>
      </c>
      <c r="AZ6" s="110">
        <v>1435032</v>
      </c>
      <c r="BA6" s="110">
        <v>275775</v>
      </c>
      <c r="BB6" s="110">
        <v>304746</v>
      </c>
      <c r="BC6" s="110">
        <v>144684</v>
      </c>
      <c r="BD6" s="110">
        <v>160062</v>
      </c>
      <c r="BE6" s="110">
        <v>7917138.2800000003</v>
      </c>
      <c r="BF6" s="110">
        <v>5949020.4400000004</v>
      </c>
      <c r="BG6" s="110">
        <v>5876504.9100000001</v>
      </c>
      <c r="BH6" s="110">
        <v>72515.53</v>
      </c>
      <c r="BI6" s="110">
        <v>1968117.84</v>
      </c>
      <c r="BJ6" s="110">
        <v>1898744.09</v>
      </c>
      <c r="BK6" s="110">
        <v>69373.75</v>
      </c>
      <c r="BL6" s="110">
        <v>1423513.2</v>
      </c>
      <c r="BM6" s="110">
        <v>1053361.67</v>
      </c>
      <c r="BN6" s="110">
        <v>1044954.02</v>
      </c>
      <c r="BO6" s="110">
        <v>8407.65</v>
      </c>
      <c r="BP6" s="110">
        <v>370151.53</v>
      </c>
      <c r="BQ6" s="110">
        <v>360460.12</v>
      </c>
      <c r="BR6" s="110">
        <v>9691.41</v>
      </c>
      <c r="BS6" s="110">
        <v>2041880.08</v>
      </c>
      <c r="BT6" s="110">
        <v>1595162.27</v>
      </c>
      <c r="BU6" s="110">
        <v>1575099.39</v>
      </c>
      <c r="BV6" s="110">
        <v>20062.88</v>
      </c>
      <c r="BW6" s="110">
        <v>446717.81</v>
      </c>
      <c r="BX6" s="110">
        <v>418325.47</v>
      </c>
      <c r="BY6" s="110">
        <v>28392.34</v>
      </c>
      <c r="BZ6" s="110">
        <v>2879927</v>
      </c>
      <c r="CA6" s="110">
        <v>2082617</v>
      </c>
      <c r="CB6" s="110">
        <v>2058262</v>
      </c>
      <c r="CC6" s="110">
        <v>24355</v>
      </c>
      <c r="CD6" s="110">
        <v>797310</v>
      </c>
      <c r="CE6" s="110">
        <v>775874</v>
      </c>
      <c r="CF6" s="110">
        <v>21436</v>
      </c>
      <c r="CG6" s="110">
        <v>1571818</v>
      </c>
      <c r="CH6" s="110">
        <v>1217879.5</v>
      </c>
      <c r="CI6" s="110">
        <v>1198189.5</v>
      </c>
      <c r="CJ6" s="110">
        <v>19690</v>
      </c>
      <c r="CK6" s="110">
        <v>353938.5</v>
      </c>
      <c r="CL6" s="110">
        <v>344084.5</v>
      </c>
      <c r="CM6" s="110">
        <v>9854</v>
      </c>
      <c r="CN6" s="110">
        <v>-981</v>
      </c>
      <c r="CO6" s="110">
        <v>6424854.04</v>
      </c>
      <c r="CP6" s="110">
        <v>3097263.48</v>
      </c>
      <c r="CQ6" s="110">
        <v>1826549.76</v>
      </c>
      <c r="CR6" s="110">
        <v>1574677.2</v>
      </c>
      <c r="CS6" s="110">
        <v>0</v>
      </c>
      <c r="CT6" s="110">
        <v>96162.559999999998</v>
      </c>
      <c r="CU6" s="110">
        <v>0</v>
      </c>
      <c r="CV6" s="111">
        <v>23158</v>
      </c>
      <c r="CW6" s="111">
        <v>20250</v>
      </c>
      <c r="CX6" s="111">
        <v>19321</v>
      </c>
      <c r="CY6" s="111">
        <v>929</v>
      </c>
      <c r="CZ6" s="111">
        <v>2908</v>
      </c>
      <c r="DA6" s="111">
        <v>1894</v>
      </c>
      <c r="DB6" s="111">
        <v>1014</v>
      </c>
      <c r="DC6" s="111">
        <v>16127</v>
      </c>
      <c r="DD6" s="111">
        <v>251</v>
      </c>
      <c r="DE6" s="111">
        <v>14217</v>
      </c>
      <c r="DF6" s="111">
        <v>13703</v>
      </c>
      <c r="DG6" s="111">
        <v>514</v>
      </c>
      <c r="DH6" s="111">
        <v>1910</v>
      </c>
      <c r="DI6" s="111">
        <v>1272</v>
      </c>
      <c r="DJ6" s="111">
        <v>638</v>
      </c>
      <c r="DK6" s="111">
        <v>5607</v>
      </c>
      <c r="DL6" s="111">
        <v>4839</v>
      </c>
      <c r="DM6" s="111">
        <v>4665</v>
      </c>
      <c r="DN6" s="111">
        <v>174</v>
      </c>
      <c r="DO6" s="111">
        <v>768</v>
      </c>
      <c r="DP6" s="111">
        <v>540</v>
      </c>
      <c r="DQ6" s="111">
        <v>228</v>
      </c>
      <c r="DR6" s="111">
        <v>1173</v>
      </c>
      <c r="DS6" s="111">
        <v>0</v>
      </c>
      <c r="DT6" s="111">
        <v>957</v>
      </c>
      <c r="DU6" s="111">
        <v>722</v>
      </c>
      <c r="DV6" s="111">
        <v>235</v>
      </c>
      <c r="DW6" s="111">
        <v>216</v>
      </c>
      <c r="DX6" s="111">
        <v>78</v>
      </c>
      <c r="DY6" s="111">
        <v>138</v>
      </c>
      <c r="DZ6" s="111">
        <v>0</v>
      </c>
      <c r="EA6" s="111">
        <v>0</v>
      </c>
      <c r="EB6" s="111">
        <v>0</v>
      </c>
      <c r="EC6" s="111">
        <v>0</v>
      </c>
      <c r="ED6" s="111">
        <v>0</v>
      </c>
      <c r="EE6" s="111">
        <v>0</v>
      </c>
      <c r="EF6" s="111">
        <v>0</v>
      </c>
      <c r="EG6" s="111">
        <v>737</v>
      </c>
      <c r="EH6" s="111">
        <v>550</v>
      </c>
      <c r="EI6" s="111">
        <v>545</v>
      </c>
      <c r="EJ6" s="111">
        <v>5</v>
      </c>
      <c r="EK6" s="111">
        <v>187</v>
      </c>
      <c r="EL6" s="111">
        <v>181</v>
      </c>
      <c r="EM6" s="111">
        <v>6</v>
      </c>
      <c r="EN6" s="111">
        <v>860</v>
      </c>
      <c r="EO6" s="111">
        <v>0</v>
      </c>
      <c r="EP6" s="111">
        <v>0</v>
      </c>
      <c r="EQ6" s="111">
        <v>860</v>
      </c>
      <c r="ER6" s="111">
        <v>0</v>
      </c>
      <c r="ES6" s="111">
        <v>0</v>
      </c>
      <c r="ET6" s="111">
        <v>98</v>
      </c>
      <c r="EU6" s="111">
        <v>73</v>
      </c>
      <c r="EV6" s="111">
        <v>0</v>
      </c>
      <c r="EW6" s="111">
        <v>0</v>
      </c>
      <c r="EX6" s="111">
        <v>73</v>
      </c>
      <c r="EY6" s="111">
        <v>0</v>
      </c>
      <c r="EZ6" s="111">
        <v>0</v>
      </c>
      <c r="FA6" s="111">
        <v>0</v>
      </c>
      <c r="FB6" s="111">
        <v>54</v>
      </c>
    </row>
    <row r="7" spans="1:158" ht="19.5" customHeight="1">
      <c r="A7" s="107">
        <v>4</v>
      </c>
      <c r="B7" s="107" t="s">
        <v>350</v>
      </c>
      <c r="C7" s="107" t="s">
        <v>354</v>
      </c>
      <c r="D7" s="110">
        <v>6972544.5</v>
      </c>
      <c r="E7" s="110">
        <v>3626581.5</v>
      </c>
      <c r="F7" s="110">
        <v>3345963</v>
      </c>
      <c r="G7" s="110">
        <v>15467</v>
      </c>
      <c r="H7" s="110">
        <v>306</v>
      </c>
      <c r="I7" s="110">
        <v>826</v>
      </c>
      <c r="J7" s="110">
        <v>0</v>
      </c>
      <c r="K7" s="110">
        <v>93509.65</v>
      </c>
      <c r="L7" s="110">
        <v>156244.5</v>
      </c>
      <c r="M7" s="110">
        <v>59201</v>
      </c>
      <c r="N7" s="110">
        <v>399.07</v>
      </c>
      <c r="O7" s="110">
        <v>15524657.470000001</v>
      </c>
      <c r="P7" s="110">
        <v>12939918.380000001</v>
      </c>
      <c r="Q7" s="110">
        <v>12664441.91</v>
      </c>
      <c r="R7" s="110">
        <v>275476.46999999997</v>
      </c>
      <c r="S7" s="110">
        <v>2584739.09</v>
      </c>
      <c r="T7" s="110">
        <v>2257222.15</v>
      </c>
      <c r="U7" s="110">
        <v>327516.94</v>
      </c>
      <c r="V7" s="110">
        <v>7964990.25</v>
      </c>
      <c r="W7" s="110">
        <v>7011810.3600000003</v>
      </c>
      <c r="X7" s="110">
        <v>6783100.9900000002</v>
      </c>
      <c r="Y7" s="110">
        <v>228709.37</v>
      </c>
      <c r="Z7" s="110">
        <v>953179.89</v>
      </c>
      <c r="AA7" s="110">
        <v>713075.13</v>
      </c>
      <c r="AB7" s="110">
        <v>240104.76</v>
      </c>
      <c r="AC7" s="110">
        <v>4327761.47</v>
      </c>
      <c r="AD7" s="110">
        <v>3908922.58</v>
      </c>
      <c r="AE7" s="110">
        <v>3820626.21</v>
      </c>
      <c r="AF7" s="110">
        <v>88296.37</v>
      </c>
      <c r="AG7" s="110">
        <v>418838.89</v>
      </c>
      <c r="AH7" s="110">
        <v>317814.13</v>
      </c>
      <c r="AI7" s="110">
        <v>101024.76</v>
      </c>
      <c r="AJ7" s="110">
        <v>10647.28</v>
      </c>
      <c r="AK7" s="110">
        <v>8239.2800000000007</v>
      </c>
      <c r="AL7" s="110">
        <v>7594.28</v>
      </c>
      <c r="AM7" s="110">
        <v>645</v>
      </c>
      <c r="AN7" s="110">
        <v>2408</v>
      </c>
      <c r="AO7" s="110">
        <v>1763</v>
      </c>
      <c r="AP7" s="110">
        <v>645</v>
      </c>
      <c r="AQ7" s="110">
        <v>3007835</v>
      </c>
      <c r="AR7" s="110">
        <v>2564902</v>
      </c>
      <c r="AS7" s="110">
        <v>2451381</v>
      </c>
      <c r="AT7" s="110">
        <v>113521</v>
      </c>
      <c r="AU7" s="110">
        <v>442933</v>
      </c>
      <c r="AV7" s="110">
        <v>332149</v>
      </c>
      <c r="AW7" s="110">
        <v>110784</v>
      </c>
      <c r="AX7" s="110">
        <v>618746.5</v>
      </c>
      <c r="AY7" s="110">
        <v>529746.5</v>
      </c>
      <c r="AZ7" s="110">
        <v>503499.5</v>
      </c>
      <c r="BA7" s="110">
        <v>26247</v>
      </c>
      <c r="BB7" s="110">
        <v>89000</v>
      </c>
      <c r="BC7" s="110">
        <v>61349</v>
      </c>
      <c r="BD7" s="110">
        <v>27651</v>
      </c>
      <c r="BE7" s="110">
        <v>7559667.2199999997</v>
      </c>
      <c r="BF7" s="110">
        <v>5928108.0199999996</v>
      </c>
      <c r="BG7" s="110">
        <v>5881340.9199999999</v>
      </c>
      <c r="BH7" s="110">
        <v>46767.1</v>
      </c>
      <c r="BI7" s="110">
        <v>1631559.2</v>
      </c>
      <c r="BJ7" s="110">
        <v>1544147.02</v>
      </c>
      <c r="BK7" s="110">
        <v>87412.18</v>
      </c>
      <c r="BL7" s="110">
        <v>1399756.3</v>
      </c>
      <c r="BM7" s="110">
        <v>1085758.6200000001</v>
      </c>
      <c r="BN7" s="110">
        <v>1077472.97</v>
      </c>
      <c r="BO7" s="110">
        <v>8285.65</v>
      </c>
      <c r="BP7" s="110">
        <v>313997.68</v>
      </c>
      <c r="BQ7" s="110">
        <v>297799.76</v>
      </c>
      <c r="BR7" s="110">
        <v>16197.92</v>
      </c>
      <c r="BS7" s="110">
        <v>2813947.92</v>
      </c>
      <c r="BT7" s="110">
        <v>2299958.4</v>
      </c>
      <c r="BU7" s="110">
        <v>2296061.4500000002</v>
      </c>
      <c r="BV7" s="110">
        <v>3896.95</v>
      </c>
      <c r="BW7" s="110">
        <v>513989.52</v>
      </c>
      <c r="BX7" s="110">
        <v>507281.26</v>
      </c>
      <c r="BY7" s="110">
        <v>6708.26</v>
      </c>
      <c r="BZ7" s="110">
        <v>2507090</v>
      </c>
      <c r="CA7" s="110">
        <v>1852666</v>
      </c>
      <c r="CB7" s="110">
        <v>1827609</v>
      </c>
      <c r="CC7" s="110">
        <v>25057</v>
      </c>
      <c r="CD7" s="110">
        <v>654424</v>
      </c>
      <c r="CE7" s="110">
        <v>599601</v>
      </c>
      <c r="CF7" s="110">
        <v>54823</v>
      </c>
      <c r="CG7" s="110">
        <v>838873</v>
      </c>
      <c r="CH7" s="110">
        <v>689725</v>
      </c>
      <c r="CI7" s="110">
        <v>680197.5</v>
      </c>
      <c r="CJ7" s="110">
        <v>9527.5</v>
      </c>
      <c r="CK7" s="110">
        <v>149148</v>
      </c>
      <c r="CL7" s="110">
        <v>139465</v>
      </c>
      <c r="CM7" s="110">
        <v>9683</v>
      </c>
      <c r="CN7" s="110">
        <v>-60</v>
      </c>
      <c r="CO7" s="110">
        <v>3960364.98</v>
      </c>
      <c r="CP7" s="110">
        <v>1616226.9</v>
      </c>
      <c r="CQ7" s="110">
        <v>1430226.59</v>
      </c>
      <c r="CR7" s="110">
        <v>958171.78</v>
      </c>
      <c r="CS7" s="110">
        <v>0</v>
      </c>
      <c r="CT7" s="110">
        <v>0</v>
      </c>
      <c r="CU7" s="110">
        <v>0</v>
      </c>
      <c r="CV7" s="111">
        <v>15467</v>
      </c>
      <c r="CW7" s="111">
        <v>13804</v>
      </c>
      <c r="CX7" s="111">
        <v>13267</v>
      </c>
      <c r="CY7" s="111">
        <v>537</v>
      </c>
      <c r="CZ7" s="111">
        <v>1663</v>
      </c>
      <c r="DA7" s="111">
        <v>1173</v>
      </c>
      <c r="DB7" s="111">
        <v>490</v>
      </c>
      <c r="DC7" s="111">
        <v>11687</v>
      </c>
      <c r="DD7" s="111">
        <v>271</v>
      </c>
      <c r="DE7" s="111">
        <v>10604</v>
      </c>
      <c r="DF7" s="111">
        <v>10240</v>
      </c>
      <c r="DG7" s="111">
        <v>364</v>
      </c>
      <c r="DH7" s="111">
        <v>1083</v>
      </c>
      <c r="DI7" s="111">
        <v>766</v>
      </c>
      <c r="DJ7" s="111">
        <v>317</v>
      </c>
      <c r="DK7" s="111">
        <v>2591</v>
      </c>
      <c r="DL7" s="111">
        <v>2219</v>
      </c>
      <c r="DM7" s="111">
        <v>2112</v>
      </c>
      <c r="DN7" s="111">
        <v>107</v>
      </c>
      <c r="DO7" s="111">
        <v>372</v>
      </c>
      <c r="DP7" s="111">
        <v>276</v>
      </c>
      <c r="DQ7" s="111">
        <v>96</v>
      </c>
      <c r="DR7" s="111">
        <v>918</v>
      </c>
      <c r="DS7" s="111">
        <v>0</v>
      </c>
      <c r="DT7" s="111">
        <v>726</v>
      </c>
      <c r="DU7" s="111">
        <v>674</v>
      </c>
      <c r="DV7" s="111">
        <v>52</v>
      </c>
      <c r="DW7" s="111">
        <v>192</v>
      </c>
      <c r="DX7" s="111">
        <v>131</v>
      </c>
      <c r="DY7" s="111">
        <v>61</v>
      </c>
      <c r="DZ7" s="111">
        <v>0</v>
      </c>
      <c r="EA7" s="111">
        <v>0</v>
      </c>
      <c r="EB7" s="111">
        <v>0</v>
      </c>
      <c r="EC7" s="111">
        <v>0</v>
      </c>
      <c r="ED7" s="111">
        <v>0</v>
      </c>
      <c r="EE7" s="111">
        <v>0</v>
      </c>
      <c r="EF7" s="111">
        <v>0</v>
      </c>
      <c r="EG7" s="111">
        <v>306</v>
      </c>
      <c r="EH7" s="111">
        <v>235</v>
      </c>
      <c r="EI7" s="111">
        <v>231</v>
      </c>
      <c r="EJ7" s="111">
        <v>4</v>
      </c>
      <c r="EK7" s="111">
        <v>71</v>
      </c>
      <c r="EL7" s="111">
        <v>66</v>
      </c>
      <c r="EM7" s="111">
        <v>5</v>
      </c>
      <c r="EN7" s="111">
        <v>126</v>
      </c>
      <c r="EO7" s="111">
        <v>0</v>
      </c>
      <c r="EP7" s="111">
        <v>27</v>
      </c>
      <c r="EQ7" s="111">
        <v>99</v>
      </c>
      <c r="ER7" s="111">
        <v>0</v>
      </c>
      <c r="ES7" s="111">
        <v>0</v>
      </c>
      <c r="ET7" s="111">
        <v>0</v>
      </c>
      <c r="EU7" s="111">
        <v>4</v>
      </c>
      <c r="EV7" s="111">
        <v>0</v>
      </c>
      <c r="EW7" s="111">
        <v>4</v>
      </c>
      <c r="EX7" s="111">
        <v>0</v>
      </c>
      <c r="EY7" s="111">
        <v>23</v>
      </c>
      <c r="EZ7" s="111">
        <v>0</v>
      </c>
      <c r="FA7" s="111">
        <v>23</v>
      </c>
      <c r="FB7" s="111">
        <v>86</v>
      </c>
    </row>
    <row r="8" spans="1:158" ht="19.5" customHeight="1">
      <c r="A8" s="107">
        <v>5</v>
      </c>
      <c r="B8" s="107" t="s">
        <v>350</v>
      </c>
      <c r="C8" s="107" t="s">
        <v>355</v>
      </c>
      <c r="D8" s="110">
        <v>18452422</v>
      </c>
      <c r="E8" s="110">
        <v>4874729</v>
      </c>
      <c r="F8" s="110">
        <v>13577693</v>
      </c>
      <c r="G8" s="110">
        <v>36241</v>
      </c>
      <c r="H8" s="110">
        <v>1191</v>
      </c>
      <c r="I8" s="110">
        <v>5742</v>
      </c>
      <c r="J8" s="110">
        <v>0</v>
      </c>
      <c r="K8" s="110">
        <v>0</v>
      </c>
      <c r="L8" s="110">
        <v>238314.5</v>
      </c>
      <c r="M8" s="110">
        <v>2970828</v>
      </c>
      <c r="N8" s="110">
        <v>456.83</v>
      </c>
      <c r="O8" s="110">
        <v>73227689.659999996</v>
      </c>
      <c r="P8" s="110">
        <v>56427676.25</v>
      </c>
      <c r="Q8" s="110">
        <v>55729351.259999998</v>
      </c>
      <c r="R8" s="110">
        <v>698324.99</v>
      </c>
      <c r="S8" s="110">
        <v>16800013.41</v>
      </c>
      <c r="T8" s="110">
        <v>16420941.140000001</v>
      </c>
      <c r="U8" s="110">
        <v>379072.27</v>
      </c>
      <c r="V8" s="110">
        <v>16650714.75</v>
      </c>
      <c r="W8" s="110">
        <v>15304543.060000001</v>
      </c>
      <c r="X8" s="110">
        <v>15079077.810000001</v>
      </c>
      <c r="Y8" s="110">
        <v>225465.25</v>
      </c>
      <c r="Z8" s="110">
        <v>1346171.69</v>
      </c>
      <c r="AA8" s="110">
        <v>1122950.74</v>
      </c>
      <c r="AB8" s="110">
        <v>223220.95</v>
      </c>
      <c r="AC8" s="110">
        <v>11715679.75</v>
      </c>
      <c r="AD8" s="110">
        <v>10878793.060000001</v>
      </c>
      <c r="AE8" s="110">
        <v>10774701.810000001</v>
      </c>
      <c r="AF8" s="110">
        <v>104091.25</v>
      </c>
      <c r="AG8" s="110">
        <v>836886.69</v>
      </c>
      <c r="AH8" s="110">
        <v>735685.74</v>
      </c>
      <c r="AI8" s="110">
        <v>101200.95</v>
      </c>
      <c r="AJ8" s="110">
        <v>60306</v>
      </c>
      <c r="AK8" s="110">
        <v>53269</v>
      </c>
      <c r="AL8" s="110">
        <v>51779</v>
      </c>
      <c r="AM8" s="110">
        <v>1490</v>
      </c>
      <c r="AN8" s="110">
        <v>7037</v>
      </c>
      <c r="AO8" s="110">
        <v>4887</v>
      </c>
      <c r="AP8" s="110">
        <v>2150</v>
      </c>
      <c r="AQ8" s="110">
        <v>3631631</v>
      </c>
      <c r="AR8" s="110">
        <v>3265794</v>
      </c>
      <c r="AS8" s="110">
        <v>3177688</v>
      </c>
      <c r="AT8" s="110">
        <v>88106</v>
      </c>
      <c r="AU8" s="110">
        <v>365837</v>
      </c>
      <c r="AV8" s="110">
        <v>280305</v>
      </c>
      <c r="AW8" s="110">
        <v>85532</v>
      </c>
      <c r="AX8" s="110">
        <v>1243098</v>
      </c>
      <c r="AY8" s="110">
        <v>1106687</v>
      </c>
      <c r="AZ8" s="110">
        <v>1074909</v>
      </c>
      <c r="BA8" s="110">
        <v>31778</v>
      </c>
      <c r="BB8" s="110">
        <v>136411</v>
      </c>
      <c r="BC8" s="110">
        <v>102073</v>
      </c>
      <c r="BD8" s="110">
        <v>34338</v>
      </c>
      <c r="BE8" s="110">
        <v>56576974.909999996</v>
      </c>
      <c r="BF8" s="110">
        <v>41123133.189999998</v>
      </c>
      <c r="BG8" s="110">
        <v>40650273.450000003</v>
      </c>
      <c r="BH8" s="110">
        <v>472859.74</v>
      </c>
      <c r="BI8" s="110">
        <v>15453841.720000001</v>
      </c>
      <c r="BJ8" s="110">
        <v>15297990.4</v>
      </c>
      <c r="BK8" s="110">
        <v>155851.32</v>
      </c>
      <c r="BL8" s="110">
        <v>2914392.27</v>
      </c>
      <c r="BM8" s="110">
        <v>2272102.0099999998</v>
      </c>
      <c r="BN8" s="110">
        <v>2248265.65</v>
      </c>
      <c r="BO8" s="110">
        <v>23836.36</v>
      </c>
      <c r="BP8" s="110">
        <v>642290.26</v>
      </c>
      <c r="BQ8" s="110">
        <v>636215.9</v>
      </c>
      <c r="BR8" s="110">
        <v>6074.36</v>
      </c>
      <c r="BS8" s="110">
        <v>40084889.640000001</v>
      </c>
      <c r="BT8" s="110">
        <v>28689192.93</v>
      </c>
      <c r="BU8" s="110">
        <v>28353637.800000001</v>
      </c>
      <c r="BV8" s="110">
        <v>335555.13</v>
      </c>
      <c r="BW8" s="110">
        <v>11395696.710000001</v>
      </c>
      <c r="BX8" s="110">
        <v>11292576.75</v>
      </c>
      <c r="BY8" s="110">
        <v>103119.96</v>
      </c>
      <c r="BZ8" s="110">
        <v>8590941</v>
      </c>
      <c r="CA8" s="110">
        <v>6458582</v>
      </c>
      <c r="CB8" s="110">
        <v>6393427</v>
      </c>
      <c r="CC8" s="110">
        <v>65155</v>
      </c>
      <c r="CD8" s="110">
        <v>2132359</v>
      </c>
      <c r="CE8" s="110">
        <v>2106561</v>
      </c>
      <c r="CF8" s="110">
        <v>25798</v>
      </c>
      <c r="CG8" s="110">
        <v>4986752</v>
      </c>
      <c r="CH8" s="110">
        <v>3703256.25</v>
      </c>
      <c r="CI8" s="110">
        <v>3654943</v>
      </c>
      <c r="CJ8" s="110">
        <v>48313.25</v>
      </c>
      <c r="CK8" s="110">
        <v>1283495.75</v>
      </c>
      <c r="CL8" s="110">
        <v>1262636.75</v>
      </c>
      <c r="CM8" s="110">
        <v>20859</v>
      </c>
      <c r="CN8" s="110">
        <v>0</v>
      </c>
      <c r="CO8" s="110">
        <v>7696488.9800000004</v>
      </c>
      <c r="CP8" s="110">
        <v>6051406.9400000004</v>
      </c>
      <c r="CQ8" s="110">
        <v>2468449.11</v>
      </c>
      <c r="CR8" s="110">
        <v>434369.72</v>
      </c>
      <c r="CS8" s="110">
        <v>0</v>
      </c>
      <c r="CT8" s="110">
        <v>0</v>
      </c>
      <c r="CU8" s="110">
        <v>0</v>
      </c>
      <c r="CV8" s="111">
        <v>36241</v>
      </c>
      <c r="CW8" s="111">
        <v>33096</v>
      </c>
      <c r="CX8" s="111">
        <v>32455</v>
      </c>
      <c r="CY8" s="111">
        <v>641</v>
      </c>
      <c r="CZ8" s="111">
        <v>3145</v>
      </c>
      <c r="DA8" s="111">
        <v>2470</v>
      </c>
      <c r="DB8" s="111">
        <v>675</v>
      </c>
      <c r="DC8" s="111">
        <v>24540</v>
      </c>
      <c r="DD8" s="111">
        <v>507</v>
      </c>
      <c r="DE8" s="111">
        <v>22707</v>
      </c>
      <c r="DF8" s="111">
        <v>22330</v>
      </c>
      <c r="DG8" s="111">
        <v>377</v>
      </c>
      <c r="DH8" s="111">
        <v>1833</v>
      </c>
      <c r="DI8" s="111">
        <v>1441</v>
      </c>
      <c r="DJ8" s="111">
        <v>392</v>
      </c>
      <c r="DK8" s="111">
        <v>10662</v>
      </c>
      <c r="DL8" s="111">
        <v>9489</v>
      </c>
      <c r="DM8" s="111">
        <v>9257</v>
      </c>
      <c r="DN8" s="111">
        <v>232</v>
      </c>
      <c r="DO8" s="111">
        <v>1173</v>
      </c>
      <c r="DP8" s="111">
        <v>944</v>
      </c>
      <c r="DQ8" s="111">
        <v>229</v>
      </c>
      <c r="DR8" s="111">
        <v>532</v>
      </c>
      <c r="DS8" s="111">
        <v>0</v>
      </c>
      <c r="DT8" s="111">
        <v>406</v>
      </c>
      <c r="DU8" s="111">
        <v>382</v>
      </c>
      <c r="DV8" s="111">
        <v>24</v>
      </c>
      <c r="DW8" s="111">
        <v>126</v>
      </c>
      <c r="DX8" s="111">
        <v>81</v>
      </c>
      <c r="DY8" s="111">
        <v>45</v>
      </c>
      <c r="DZ8" s="111">
        <v>0</v>
      </c>
      <c r="EA8" s="111">
        <v>0</v>
      </c>
      <c r="EB8" s="111">
        <v>0</v>
      </c>
      <c r="EC8" s="111">
        <v>0</v>
      </c>
      <c r="ED8" s="111">
        <v>0</v>
      </c>
      <c r="EE8" s="111">
        <v>0</v>
      </c>
      <c r="EF8" s="111">
        <v>0</v>
      </c>
      <c r="EG8" s="111">
        <v>1191</v>
      </c>
      <c r="EH8" s="111">
        <v>893</v>
      </c>
      <c r="EI8" s="111">
        <v>886</v>
      </c>
      <c r="EJ8" s="111">
        <v>7</v>
      </c>
      <c r="EK8" s="111">
        <v>298</v>
      </c>
      <c r="EL8" s="111">
        <v>296</v>
      </c>
      <c r="EM8" s="111">
        <v>2</v>
      </c>
      <c r="EN8" s="111">
        <v>1156</v>
      </c>
      <c r="EO8" s="111">
        <v>171</v>
      </c>
      <c r="EP8" s="111">
        <v>570</v>
      </c>
      <c r="EQ8" s="111">
        <v>415</v>
      </c>
      <c r="ER8" s="111">
        <v>0</v>
      </c>
      <c r="ES8" s="111">
        <v>0</v>
      </c>
      <c r="ET8" s="111">
        <v>0</v>
      </c>
      <c r="EU8" s="111">
        <v>518</v>
      </c>
      <c r="EV8" s="111">
        <v>165</v>
      </c>
      <c r="EW8" s="111">
        <v>353</v>
      </c>
      <c r="EX8" s="111">
        <v>0</v>
      </c>
      <c r="EY8" s="111">
        <v>43</v>
      </c>
      <c r="EZ8" s="111">
        <v>2</v>
      </c>
      <c r="FA8" s="111">
        <v>41</v>
      </c>
      <c r="FB8" s="111">
        <v>290</v>
      </c>
    </row>
    <row r="9" spans="1:158" ht="19.5" customHeight="1">
      <c r="A9" s="107">
        <v>6</v>
      </c>
      <c r="B9" s="107" t="s">
        <v>350</v>
      </c>
      <c r="C9" s="107" t="s">
        <v>356</v>
      </c>
      <c r="D9" s="110">
        <v>2099214</v>
      </c>
      <c r="E9" s="110">
        <v>263441</v>
      </c>
      <c r="F9" s="110">
        <v>1835773</v>
      </c>
      <c r="G9" s="110">
        <v>1416</v>
      </c>
      <c r="H9" s="110">
        <v>386</v>
      </c>
      <c r="I9" s="110">
        <v>986</v>
      </c>
      <c r="J9" s="110">
        <v>0</v>
      </c>
      <c r="K9" s="110">
        <v>0</v>
      </c>
      <c r="L9" s="110">
        <v>101490</v>
      </c>
      <c r="M9" s="110">
        <v>5289</v>
      </c>
      <c r="N9" s="110">
        <v>519.12</v>
      </c>
      <c r="O9" s="110">
        <v>8213142.5599999996</v>
      </c>
      <c r="P9" s="110">
        <v>4135836.65</v>
      </c>
      <c r="Q9" s="110">
        <v>4125777.54</v>
      </c>
      <c r="R9" s="110">
        <v>10059.11</v>
      </c>
      <c r="S9" s="110">
        <v>4077305.91</v>
      </c>
      <c r="T9" s="110">
        <v>4030383.04</v>
      </c>
      <c r="U9" s="110">
        <v>46922.87</v>
      </c>
      <c r="V9" s="110">
        <v>1127742.83</v>
      </c>
      <c r="W9" s="110">
        <v>980816.06</v>
      </c>
      <c r="X9" s="110">
        <v>971400.45</v>
      </c>
      <c r="Y9" s="110">
        <v>9415.61</v>
      </c>
      <c r="Z9" s="110">
        <v>146926.76999999999</v>
      </c>
      <c r="AA9" s="110">
        <v>128171.57</v>
      </c>
      <c r="AB9" s="110">
        <v>18755.2</v>
      </c>
      <c r="AC9" s="110">
        <v>851849.53</v>
      </c>
      <c r="AD9" s="110">
        <v>756557.76</v>
      </c>
      <c r="AE9" s="110">
        <v>754348.15</v>
      </c>
      <c r="AF9" s="110">
        <v>2209.61</v>
      </c>
      <c r="AG9" s="110">
        <v>95291.77</v>
      </c>
      <c r="AH9" s="110">
        <v>88191.57</v>
      </c>
      <c r="AI9" s="110">
        <v>7100.2</v>
      </c>
      <c r="AJ9" s="110">
        <v>12452.3</v>
      </c>
      <c r="AK9" s="110">
        <v>12194.3</v>
      </c>
      <c r="AL9" s="110">
        <v>12194.3</v>
      </c>
      <c r="AM9" s="110">
        <v>0</v>
      </c>
      <c r="AN9" s="110">
        <v>258</v>
      </c>
      <c r="AO9" s="110">
        <v>258</v>
      </c>
      <c r="AP9" s="110">
        <v>0</v>
      </c>
      <c r="AQ9" s="110">
        <v>209898</v>
      </c>
      <c r="AR9" s="110">
        <v>168826</v>
      </c>
      <c r="AS9" s="110">
        <v>163410</v>
      </c>
      <c r="AT9" s="110">
        <v>5416</v>
      </c>
      <c r="AU9" s="110">
        <v>41072</v>
      </c>
      <c r="AV9" s="110">
        <v>31356</v>
      </c>
      <c r="AW9" s="110">
        <v>9716</v>
      </c>
      <c r="AX9" s="110">
        <v>53543</v>
      </c>
      <c r="AY9" s="110">
        <v>43238</v>
      </c>
      <c r="AZ9" s="110">
        <v>41448</v>
      </c>
      <c r="BA9" s="110">
        <v>1790</v>
      </c>
      <c r="BB9" s="110">
        <v>10305</v>
      </c>
      <c r="BC9" s="110">
        <v>8366</v>
      </c>
      <c r="BD9" s="110">
        <v>1939</v>
      </c>
      <c r="BE9" s="110">
        <v>7085399.7300000004</v>
      </c>
      <c r="BF9" s="110">
        <v>3155020.59</v>
      </c>
      <c r="BG9" s="110">
        <v>3154377.09</v>
      </c>
      <c r="BH9" s="110">
        <v>643.5</v>
      </c>
      <c r="BI9" s="110">
        <v>3930379.14</v>
      </c>
      <c r="BJ9" s="110">
        <v>3902211.47</v>
      </c>
      <c r="BK9" s="110">
        <v>28167.67</v>
      </c>
      <c r="BL9" s="110">
        <v>5022957.55</v>
      </c>
      <c r="BM9" s="110">
        <v>2246441.56</v>
      </c>
      <c r="BN9" s="110">
        <v>2246441.56</v>
      </c>
      <c r="BO9" s="110">
        <v>0</v>
      </c>
      <c r="BP9" s="110">
        <v>2776515.99</v>
      </c>
      <c r="BQ9" s="110">
        <v>2760374.64</v>
      </c>
      <c r="BR9" s="110">
        <v>16141.35</v>
      </c>
      <c r="BS9" s="110">
        <v>226669.18</v>
      </c>
      <c r="BT9" s="110">
        <v>83771.03</v>
      </c>
      <c r="BU9" s="110">
        <v>83771.03</v>
      </c>
      <c r="BV9" s="110">
        <v>0</v>
      </c>
      <c r="BW9" s="110">
        <v>142898.15</v>
      </c>
      <c r="BX9" s="110">
        <v>141183.32999999999</v>
      </c>
      <c r="BY9" s="110">
        <v>1714.82</v>
      </c>
      <c r="BZ9" s="110">
        <v>1304941</v>
      </c>
      <c r="CA9" s="110">
        <v>615656</v>
      </c>
      <c r="CB9" s="110">
        <v>615089</v>
      </c>
      <c r="CC9" s="110">
        <v>567</v>
      </c>
      <c r="CD9" s="110">
        <v>689285</v>
      </c>
      <c r="CE9" s="110">
        <v>682633</v>
      </c>
      <c r="CF9" s="110">
        <v>6652</v>
      </c>
      <c r="CG9" s="110">
        <v>530832</v>
      </c>
      <c r="CH9" s="110">
        <v>209152</v>
      </c>
      <c r="CI9" s="110">
        <v>209075.5</v>
      </c>
      <c r="CJ9" s="110">
        <v>76.5</v>
      </c>
      <c r="CK9" s="110">
        <v>321680</v>
      </c>
      <c r="CL9" s="110">
        <v>318020.5</v>
      </c>
      <c r="CM9" s="110">
        <v>3659.5</v>
      </c>
      <c r="CN9" s="110">
        <v>0</v>
      </c>
      <c r="CO9" s="110">
        <v>285085.98</v>
      </c>
      <c r="CP9" s="110">
        <v>699225.37</v>
      </c>
      <c r="CQ9" s="110">
        <v>130565.12</v>
      </c>
      <c r="CR9" s="110">
        <v>12866.36</v>
      </c>
      <c r="CS9" s="110">
        <v>0</v>
      </c>
      <c r="CT9" s="110">
        <v>0</v>
      </c>
      <c r="CU9" s="110">
        <v>0</v>
      </c>
      <c r="CV9" s="111">
        <v>1416</v>
      </c>
      <c r="CW9" s="111">
        <v>1125</v>
      </c>
      <c r="CX9" s="111">
        <v>1076</v>
      </c>
      <c r="CY9" s="111">
        <v>49</v>
      </c>
      <c r="CZ9" s="111">
        <v>291</v>
      </c>
      <c r="DA9" s="111">
        <v>238</v>
      </c>
      <c r="DB9" s="111">
        <v>53</v>
      </c>
      <c r="DC9" s="111">
        <v>851</v>
      </c>
      <c r="DD9" s="111">
        <v>0</v>
      </c>
      <c r="DE9" s="111">
        <v>654</v>
      </c>
      <c r="DF9" s="111">
        <v>628</v>
      </c>
      <c r="DG9" s="111">
        <v>26</v>
      </c>
      <c r="DH9" s="111">
        <v>197</v>
      </c>
      <c r="DI9" s="111">
        <v>160</v>
      </c>
      <c r="DJ9" s="111">
        <v>37</v>
      </c>
      <c r="DK9" s="111">
        <v>548</v>
      </c>
      <c r="DL9" s="111">
        <v>457</v>
      </c>
      <c r="DM9" s="111">
        <v>434</v>
      </c>
      <c r="DN9" s="111">
        <v>23</v>
      </c>
      <c r="DO9" s="111">
        <v>91</v>
      </c>
      <c r="DP9" s="111">
        <v>76</v>
      </c>
      <c r="DQ9" s="111">
        <v>15</v>
      </c>
      <c r="DR9" s="111">
        <v>17</v>
      </c>
      <c r="DS9" s="111">
        <v>0</v>
      </c>
      <c r="DT9" s="111">
        <v>14</v>
      </c>
      <c r="DU9" s="111">
        <v>14</v>
      </c>
      <c r="DV9" s="111">
        <v>0</v>
      </c>
      <c r="DW9" s="111">
        <v>3</v>
      </c>
      <c r="DX9" s="111">
        <v>2</v>
      </c>
      <c r="DY9" s="111">
        <v>1</v>
      </c>
      <c r="DZ9" s="111">
        <v>0</v>
      </c>
      <c r="EA9" s="111">
        <v>0</v>
      </c>
      <c r="EB9" s="111">
        <v>0</v>
      </c>
      <c r="EC9" s="111">
        <v>0</v>
      </c>
      <c r="ED9" s="111">
        <v>0</v>
      </c>
      <c r="EE9" s="111">
        <v>0</v>
      </c>
      <c r="EF9" s="111">
        <v>0</v>
      </c>
      <c r="EG9" s="111">
        <v>386</v>
      </c>
      <c r="EH9" s="111">
        <v>176</v>
      </c>
      <c r="EI9" s="111">
        <v>175</v>
      </c>
      <c r="EJ9" s="111">
        <v>1</v>
      </c>
      <c r="EK9" s="111">
        <v>210</v>
      </c>
      <c r="EL9" s="111">
        <v>209</v>
      </c>
      <c r="EM9" s="111">
        <v>1</v>
      </c>
      <c r="EN9" s="111">
        <v>268</v>
      </c>
      <c r="EO9" s="111">
        <v>0</v>
      </c>
      <c r="EP9" s="111">
        <v>0</v>
      </c>
      <c r="EQ9" s="111">
        <v>268</v>
      </c>
      <c r="ER9" s="111">
        <v>0</v>
      </c>
      <c r="ES9" s="111">
        <v>0</v>
      </c>
      <c r="ET9" s="111">
        <v>0</v>
      </c>
      <c r="EU9" s="111">
        <v>0</v>
      </c>
      <c r="EV9" s="111">
        <v>0</v>
      </c>
      <c r="EW9" s="111">
        <v>0</v>
      </c>
      <c r="EX9" s="111">
        <v>0</v>
      </c>
      <c r="EY9" s="111">
        <v>0</v>
      </c>
      <c r="EZ9" s="111">
        <v>0</v>
      </c>
      <c r="FA9" s="111">
        <v>0</v>
      </c>
      <c r="FB9" s="111">
        <v>39</v>
      </c>
    </row>
    <row r="10" spans="1:158" ht="19.5" customHeight="1">
      <c r="A10" s="107">
        <v>7</v>
      </c>
      <c r="B10" s="107" t="s">
        <v>350</v>
      </c>
      <c r="C10" s="107" t="s">
        <v>357</v>
      </c>
      <c r="D10" s="110">
        <v>7367993.5</v>
      </c>
      <c r="E10" s="110">
        <v>5188718</v>
      </c>
      <c r="F10" s="110">
        <v>2179275.5</v>
      </c>
      <c r="G10" s="110">
        <v>8314</v>
      </c>
      <c r="H10" s="110">
        <v>250</v>
      </c>
      <c r="I10" s="110">
        <v>3630905</v>
      </c>
      <c r="J10" s="110">
        <v>0</v>
      </c>
      <c r="K10" s="110">
        <v>0</v>
      </c>
      <c r="L10" s="110">
        <v>141301.5</v>
      </c>
      <c r="M10" s="110">
        <v>45729</v>
      </c>
      <c r="N10" s="110">
        <v>0</v>
      </c>
      <c r="O10" s="110">
        <v>13471347.869999999</v>
      </c>
      <c r="P10" s="110">
        <v>11874329.800000001</v>
      </c>
      <c r="Q10" s="110">
        <v>11740330.720000001</v>
      </c>
      <c r="R10" s="110">
        <v>133999.07999999999</v>
      </c>
      <c r="S10" s="110">
        <v>1597018.07</v>
      </c>
      <c r="T10" s="110">
        <v>1439276.54</v>
      </c>
      <c r="U10" s="110">
        <v>157741.53</v>
      </c>
      <c r="V10" s="110">
        <v>10113520.439999999</v>
      </c>
      <c r="W10" s="110">
        <v>9321683.5899999999</v>
      </c>
      <c r="X10" s="110">
        <v>9215928.0899999999</v>
      </c>
      <c r="Y10" s="110">
        <v>105755.5</v>
      </c>
      <c r="Z10" s="110">
        <v>791836.85</v>
      </c>
      <c r="AA10" s="110">
        <v>653816.03</v>
      </c>
      <c r="AB10" s="110">
        <v>138020.82</v>
      </c>
      <c r="AC10" s="110">
        <v>3995686.27</v>
      </c>
      <c r="AD10" s="110">
        <v>3666715.46</v>
      </c>
      <c r="AE10" s="110">
        <v>3626135.5</v>
      </c>
      <c r="AF10" s="110">
        <v>40579.96</v>
      </c>
      <c r="AG10" s="110">
        <v>328970.81</v>
      </c>
      <c r="AH10" s="110">
        <v>260195.17</v>
      </c>
      <c r="AI10" s="110">
        <v>68775.64</v>
      </c>
      <c r="AJ10" s="110">
        <v>929116.17</v>
      </c>
      <c r="AK10" s="110">
        <v>887282.13</v>
      </c>
      <c r="AL10" s="110">
        <v>881691.59</v>
      </c>
      <c r="AM10" s="110">
        <v>5590.54</v>
      </c>
      <c r="AN10" s="110">
        <v>41834.04</v>
      </c>
      <c r="AO10" s="110">
        <v>34666.86</v>
      </c>
      <c r="AP10" s="110">
        <v>7167.18</v>
      </c>
      <c r="AQ10" s="110">
        <v>1261705</v>
      </c>
      <c r="AR10" s="110">
        <v>1105671</v>
      </c>
      <c r="AS10" s="110">
        <v>1069571</v>
      </c>
      <c r="AT10" s="110">
        <v>36100</v>
      </c>
      <c r="AU10" s="110">
        <v>156034</v>
      </c>
      <c r="AV10" s="110">
        <v>119885</v>
      </c>
      <c r="AW10" s="110">
        <v>36149</v>
      </c>
      <c r="AX10" s="110">
        <v>3927013</v>
      </c>
      <c r="AY10" s="110">
        <v>3662015</v>
      </c>
      <c r="AZ10" s="110">
        <v>3638530</v>
      </c>
      <c r="BA10" s="110">
        <v>23485</v>
      </c>
      <c r="BB10" s="110">
        <v>264998</v>
      </c>
      <c r="BC10" s="110">
        <v>239069</v>
      </c>
      <c r="BD10" s="110">
        <v>25929</v>
      </c>
      <c r="BE10" s="110">
        <v>3357827.43</v>
      </c>
      <c r="BF10" s="110">
        <v>2552646.21</v>
      </c>
      <c r="BG10" s="110">
        <v>2524402.63</v>
      </c>
      <c r="BH10" s="110">
        <v>28243.58</v>
      </c>
      <c r="BI10" s="110">
        <v>805181.22</v>
      </c>
      <c r="BJ10" s="110">
        <v>785460.51</v>
      </c>
      <c r="BK10" s="110">
        <v>19720.71</v>
      </c>
      <c r="BL10" s="110">
        <v>995537.89</v>
      </c>
      <c r="BM10" s="110">
        <v>797627.04</v>
      </c>
      <c r="BN10" s="110">
        <v>793281.16</v>
      </c>
      <c r="BO10" s="110">
        <v>4345.88</v>
      </c>
      <c r="BP10" s="110">
        <v>197910.85</v>
      </c>
      <c r="BQ10" s="110">
        <v>196431.03</v>
      </c>
      <c r="BR10" s="110">
        <v>1479.82</v>
      </c>
      <c r="BS10" s="110">
        <v>183014.04</v>
      </c>
      <c r="BT10" s="110">
        <v>139315.67000000001</v>
      </c>
      <c r="BU10" s="110">
        <v>139089.47</v>
      </c>
      <c r="BV10" s="110">
        <v>226.2</v>
      </c>
      <c r="BW10" s="110">
        <v>43698.37</v>
      </c>
      <c r="BX10" s="110">
        <v>43424.98</v>
      </c>
      <c r="BY10" s="110">
        <v>273.39</v>
      </c>
      <c r="BZ10" s="110">
        <v>1631340</v>
      </c>
      <c r="CA10" s="110">
        <v>1210610</v>
      </c>
      <c r="CB10" s="110">
        <v>1189086</v>
      </c>
      <c r="CC10" s="110">
        <v>21524</v>
      </c>
      <c r="CD10" s="110">
        <v>420730</v>
      </c>
      <c r="CE10" s="110">
        <v>404968</v>
      </c>
      <c r="CF10" s="110">
        <v>15762</v>
      </c>
      <c r="CG10" s="110">
        <v>547935.5</v>
      </c>
      <c r="CH10" s="110">
        <v>405093.5</v>
      </c>
      <c r="CI10" s="110">
        <v>402946</v>
      </c>
      <c r="CJ10" s="110">
        <v>2147.5</v>
      </c>
      <c r="CK10" s="110">
        <v>142842</v>
      </c>
      <c r="CL10" s="110">
        <v>140636.5</v>
      </c>
      <c r="CM10" s="110">
        <v>2205.5</v>
      </c>
      <c r="CN10" s="110">
        <v>0</v>
      </c>
      <c r="CO10" s="110">
        <v>1474700.82</v>
      </c>
      <c r="CP10" s="110">
        <v>1616938.68</v>
      </c>
      <c r="CQ10" s="110">
        <v>6852329.9699999997</v>
      </c>
      <c r="CR10" s="110">
        <v>169550.97</v>
      </c>
      <c r="CS10" s="110">
        <v>0</v>
      </c>
      <c r="CT10" s="110">
        <v>0</v>
      </c>
      <c r="CU10" s="110">
        <v>0</v>
      </c>
      <c r="CV10" s="111">
        <v>8314</v>
      </c>
      <c r="CW10" s="111">
        <v>7420</v>
      </c>
      <c r="CX10" s="111">
        <v>7214</v>
      </c>
      <c r="CY10" s="111">
        <v>206</v>
      </c>
      <c r="CZ10" s="111">
        <v>894</v>
      </c>
      <c r="DA10" s="111">
        <v>653</v>
      </c>
      <c r="DB10" s="111">
        <v>241</v>
      </c>
      <c r="DC10" s="111">
        <v>6026</v>
      </c>
      <c r="DD10" s="111">
        <v>108</v>
      </c>
      <c r="DE10" s="111">
        <v>5416</v>
      </c>
      <c r="DF10" s="111">
        <v>5261</v>
      </c>
      <c r="DG10" s="111">
        <v>155</v>
      </c>
      <c r="DH10" s="111">
        <v>610</v>
      </c>
      <c r="DI10" s="111">
        <v>452</v>
      </c>
      <c r="DJ10" s="111">
        <v>158</v>
      </c>
      <c r="DK10" s="111">
        <v>2030</v>
      </c>
      <c r="DL10" s="111">
        <v>1795</v>
      </c>
      <c r="DM10" s="111">
        <v>1752</v>
      </c>
      <c r="DN10" s="111">
        <v>43</v>
      </c>
      <c r="DO10" s="111">
        <v>235</v>
      </c>
      <c r="DP10" s="111">
        <v>175</v>
      </c>
      <c r="DQ10" s="111">
        <v>60</v>
      </c>
      <c r="DR10" s="111">
        <v>150</v>
      </c>
      <c r="DS10" s="111">
        <v>0</v>
      </c>
      <c r="DT10" s="111">
        <v>114</v>
      </c>
      <c r="DU10" s="111">
        <v>108</v>
      </c>
      <c r="DV10" s="111">
        <v>6</v>
      </c>
      <c r="DW10" s="111">
        <v>36</v>
      </c>
      <c r="DX10" s="111">
        <v>25</v>
      </c>
      <c r="DY10" s="111">
        <v>11</v>
      </c>
      <c r="DZ10" s="111">
        <v>0</v>
      </c>
      <c r="EA10" s="111">
        <v>0</v>
      </c>
      <c r="EB10" s="111">
        <v>0</v>
      </c>
      <c r="EC10" s="111">
        <v>0</v>
      </c>
      <c r="ED10" s="111">
        <v>0</v>
      </c>
      <c r="EE10" s="111">
        <v>0</v>
      </c>
      <c r="EF10" s="111">
        <v>0</v>
      </c>
      <c r="EG10" s="111">
        <v>250</v>
      </c>
      <c r="EH10" s="111">
        <v>185</v>
      </c>
      <c r="EI10" s="111">
        <v>183</v>
      </c>
      <c r="EJ10" s="111">
        <v>2</v>
      </c>
      <c r="EK10" s="111">
        <v>65</v>
      </c>
      <c r="EL10" s="111">
        <v>63</v>
      </c>
      <c r="EM10" s="111">
        <v>2</v>
      </c>
      <c r="EN10" s="111">
        <v>71</v>
      </c>
      <c r="EO10" s="111">
        <v>18</v>
      </c>
      <c r="EP10" s="111">
        <v>0</v>
      </c>
      <c r="EQ10" s="111">
        <v>53</v>
      </c>
      <c r="ER10" s="111">
        <v>0</v>
      </c>
      <c r="ES10" s="111">
        <v>0</v>
      </c>
      <c r="ET10" s="111">
        <v>0</v>
      </c>
      <c r="EU10" s="111">
        <v>0</v>
      </c>
      <c r="EV10" s="111">
        <v>0</v>
      </c>
      <c r="EW10" s="111">
        <v>0</v>
      </c>
      <c r="EX10" s="111">
        <v>0</v>
      </c>
      <c r="EY10" s="111">
        <v>0</v>
      </c>
      <c r="EZ10" s="111">
        <v>0</v>
      </c>
      <c r="FA10" s="111">
        <v>0</v>
      </c>
      <c r="FB10" s="111">
        <v>149</v>
      </c>
    </row>
    <row r="11" spans="1:158" ht="19.5" customHeight="1">
      <c r="A11" s="107">
        <v>8</v>
      </c>
      <c r="B11" s="107" t="s">
        <v>350</v>
      </c>
      <c r="C11" s="107" t="s">
        <v>358</v>
      </c>
      <c r="D11" s="110">
        <v>6248309</v>
      </c>
      <c r="E11" s="110">
        <v>4211805</v>
      </c>
      <c r="F11" s="110">
        <v>2036504</v>
      </c>
      <c r="G11" s="110">
        <v>18604</v>
      </c>
      <c r="H11" s="110">
        <v>214</v>
      </c>
      <c r="I11" s="110">
        <v>7038</v>
      </c>
      <c r="J11" s="110">
        <v>1148</v>
      </c>
      <c r="K11" s="110">
        <v>0</v>
      </c>
      <c r="L11" s="110">
        <v>205970.5</v>
      </c>
      <c r="M11" s="110">
        <v>8960</v>
      </c>
      <c r="N11" s="110">
        <v>0</v>
      </c>
      <c r="O11" s="110">
        <v>11514933.529999999</v>
      </c>
      <c r="P11" s="110">
        <v>10237945.08</v>
      </c>
      <c r="Q11" s="110">
        <v>10059899.560000001</v>
      </c>
      <c r="R11" s="110">
        <v>178045.52</v>
      </c>
      <c r="S11" s="110">
        <v>1276988.45</v>
      </c>
      <c r="T11" s="110">
        <v>1071549.19</v>
      </c>
      <c r="U11" s="110">
        <v>205439.26</v>
      </c>
      <c r="V11" s="110">
        <v>8897351.9100000001</v>
      </c>
      <c r="W11" s="110">
        <v>8146723.2800000003</v>
      </c>
      <c r="X11" s="110">
        <v>7968677.7599999998</v>
      </c>
      <c r="Y11" s="110">
        <v>178045.52</v>
      </c>
      <c r="Z11" s="110">
        <v>750628.63</v>
      </c>
      <c r="AA11" s="110">
        <v>592793.65</v>
      </c>
      <c r="AB11" s="110">
        <v>157834.98000000001</v>
      </c>
      <c r="AC11" s="110">
        <v>4596625.71</v>
      </c>
      <c r="AD11" s="110">
        <v>4256485.28</v>
      </c>
      <c r="AE11" s="110">
        <v>4196368.5599999996</v>
      </c>
      <c r="AF11" s="110">
        <v>60116.72</v>
      </c>
      <c r="AG11" s="110">
        <v>340140.43</v>
      </c>
      <c r="AH11" s="110">
        <v>290620.65000000002</v>
      </c>
      <c r="AI11" s="110">
        <v>49519.78</v>
      </c>
      <c r="AJ11" s="110">
        <v>88921.2</v>
      </c>
      <c r="AK11" s="110">
        <v>81103</v>
      </c>
      <c r="AL11" s="110">
        <v>79615.199999999997</v>
      </c>
      <c r="AM11" s="110">
        <v>1487.8</v>
      </c>
      <c r="AN11" s="110">
        <v>7818.2</v>
      </c>
      <c r="AO11" s="110">
        <v>6592</v>
      </c>
      <c r="AP11" s="110">
        <v>1226.2</v>
      </c>
      <c r="AQ11" s="110">
        <v>3543082</v>
      </c>
      <c r="AR11" s="110">
        <v>3207566</v>
      </c>
      <c r="AS11" s="110">
        <v>3114547</v>
      </c>
      <c r="AT11" s="110">
        <v>93019</v>
      </c>
      <c r="AU11" s="110">
        <v>335516</v>
      </c>
      <c r="AV11" s="110">
        <v>245449</v>
      </c>
      <c r="AW11" s="110">
        <v>90067</v>
      </c>
      <c r="AX11" s="110">
        <v>668723</v>
      </c>
      <c r="AY11" s="110">
        <v>601569</v>
      </c>
      <c r="AZ11" s="110">
        <v>578147</v>
      </c>
      <c r="BA11" s="110">
        <v>23422</v>
      </c>
      <c r="BB11" s="110">
        <v>67154</v>
      </c>
      <c r="BC11" s="110">
        <v>50132</v>
      </c>
      <c r="BD11" s="110">
        <v>17022</v>
      </c>
      <c r="BE11" s="110">
        <v>2617581.62</v>
      </c>
      <c r="BF11" s="110">
        <v>2091221.8</v>
      </c>
      <c r="BG11" s="110">
        <v>2091221.8</v>
      </c>
      <c r="BH11" s="110">
        <v>0</v>
      </c>
      <c r="BI11" s="110">
        <v>526359.81999999995</v>
      </c>
      <c r="BJ11" s="110">
        <v>478755.54</v>
      </c>
      <c r="BK11" s="110">
        <v>47604.28</v>
      </c>
      <c r="BL11" s="110">
        <v>534509.30000000005</v>
      </c>
      <c r="BM11" s="110">
        <v>429732.53</v>
      </c>
      <c r="BN11" s="110">
        <v>429732.53</v>
      </c>
      <c r="BO11" s="110">
        <v>0</v>
      </c>
      <c r="BP11" s="110">
        <v>104776.77</v>
      </c>
      <c r="BQ11" s="110">
        <v>94013.87</v>
      </c>
      <c r="BR11" s="110">
        <v>10762.9</v>
      </c>
      <c r="BS11" s="110">
        <v>46568.32</v>
      </c>
      <c r="BT11" s="110">
        <v>38837.269999999997</v>
      </c>
      <c r="BU11" s="110">
        <v>38837.269999999997</v>
      </c>
      <c r="BV11" s="110">
        <v>0</v>
      </c>
      <c r="BW11" s="110">
        <v>7731.05</v>
      </c>
      <c r="BX11" s="110">
        <v>6800.67</v>
      </c>
      <c r="BY11" s="110">
        <v>930.38</v>
      </c>
      <c r="BZ11" s="110">
        <v>1580809</v>
      </c>
      <c r="CA11" s="110">
        <v>1260897</v>
      </c>
      <c r="CB11" s="110">
        <v>1260897</v>
      </c>
      <c r="CC11" s="110">
        <v>0</v>
      </c>
      <c r="CD11" s="110">
        <v>319912</v>
      </c>
      <c r="CE11" s="110">
        <v>291584</v>
      </c>
      <c r="CF11" s="110">
        <v>28328</v>
      </c>
      <c r="CG11" s="110">
        <v>455695</v>
      </c>
      <c r="CH11" s="110">
        <v>361755</v>
      </c>
      <c r="CI11" s="110">
        <v>361755</v>
      </c>
      <c r="CJ11" s="110">
        <v>0</v>
      </c>
      <c r="CK11" s="110">
        <v>93940</v>
      </c>
      <c r="CL11" s="110">
        <v>86357</v>
      </c>
      <c r="CM11" s="110">
        <v>7583</v>
      </c>
      <c r="CN11" s="110">
        <v>-90</v>
      </c>
      <c r="CO11" s="110">
        <v>4815032.54</v>
      </c>
      <c r="CP11" s="110">
        <v>2871145.71</v>
      </c>
      <c r="CQ11" s="110">
        <v>839638.59</v>
      </c>
      <c r="CR11" s="110">
        <v>371535.07</v>
      </c>
      <c r="CS11" s="110">
        <v>0</v>
      </c>
      <c r="CT11" s="110">
        <v>0</v>
      </c>
      <c r="CU11" s="110">
        <v>0</v>
      </c>
      <c r="CV11" s="111">
        <v>18604</v>
      </c>
      <c r="CW11" s="111">
        <v>16899</v>
      </c>
      <c r="CX11" s="111">
        <v>16433</v>
      </c>
      <c r="CY11" s="111">
        <v>466</v>
      </c>
      <c r="CZ11" s="111">
        <v>1705</v>
      </c>
      <c r="DA11" s="111">
        <v>1292</v>
      </c>
      <c r="DB11" s="111">
        <v>413</v>
      </c>
      <c r="DC11" s="111">
        <v>12632</v>
      </c>
      <c r="DD11" s="111">
        <v>208</v>
      </c>
      <c r="DE11" s="111">
        <v>11526</v>
      </c>
      <c r="DF11" s="111">
        <v>11230</v>
      </c>
      <c r="DG11" s="111">
        <v>296</v>
      </c>
      <c r="DH11" s="111">
        <v>1106</v>
      </c>
      <c r="DI11" s="111">
        <v>841</v>
      </c>
      <c r="DJ11" s="111">
        <v>265</v>
      </c>
      <c r="DK11" s="111">
        <v>5295</v>
      </c>
      <c r="DL11" s="111">
        <v>4775</v>
      </c>
      <c r="DM11" s="111">
        <v>4629</v>
      </c>
      <c r="DN11" s="111">
        <v>146</v>
      </c>
      <c r="DO11" s="111">
        <v>520</v>
      </c>
      <c r="DP11" s="111">
        <v>406</v>
      </c>
      <c r="DQ11" s="111">
        <v>114</v>
      </c>
      <c r="DR11" s="111">
        <v>462</v>
      </c>
      <c r="DS11" s="111">
        <v>7</v>
      </c>
      <c r="DT11" s="111">
        <v>395</v>
      </c>
      <c r="DU11" s="111">
        <v>374</v>
      </c>
      <c r="DV11" s="111">
        <v>21</v>
      </c>
      <c r="DW11" s="111">
        <v>67</v>
      </c>
      <c r="DX11" s="111">
        <v>45</v>
      </c>
      <c r="DY11" s="111">
        <v>22</v>
      </c>
      <c r="DZ11" s="111">
        <v>0</v>
      </c>
      <c r="EA11" s="111">
        <v>0</v>
      </c>
      <c r="EB11" s="111">
        <v>0</v>
      </c>
      <c r="EC11" s="111">
        <v>0</v>
      </c>
      <c r="ED11" s="111">
        <v>0</v>
      </c>
      <c r="EE11" s="111">
        <v>0</v>
      </c>
      <c r="EF11" s="111">
        <v>0</v>
      </c>
      <c r="EG11" s="111">
        <v>214</v>
      </c>
      <c r="EH11" s="111">
        <v>172</v>
      </c>
      <c r="EI11" s="111">
        <v>167</v>
      </c>
      <c r="EJ11" s="111">
        <v>5</v>
      </c>
      <c r="EK11" s="111">
        <v>42</v>
      </c>
      <c r="EL11" s="111">
        <v>36</v>
      </c>
      <c r="EM11" s="111">
        <v>6</v>
      </c>
      <c r="EN11" s="111">
        <v>1</v>
      </c>
      <c r="EO11" s="111">
        <v>0</v>
      </c>
      <c r="EP11" s="111">
        <v>0</v>
      </c>
      <c r="EQ11" s="111">
        <v>1</v>
      </c>
      <c r="ER11" s="111">
        <v>0</v>
      </c>
      <c r="ES11" s="111">
        <v>0</v>
      </c>
      <c r="ET11" s="111">
        <v>0</v>
      </c>
      <c r="EU11" s="111">
        <v>0</v>
      </c>
      <c r="EV11" s="111">
        <v>0</v>
      </c>
      <c r="EW11" s="111">
        <v>0</v>
      </c>
      <c r="EX11" s="111">
        <v>0</v>
      </c>
      <c r="EY11" s="111">
        <v>0</v>
      </c>
      <c r="EZ11" s="111">
        <v>0</v>
      </c>
      <c r="FA11" s="111">
        <v>0</v>
      </c>
      <c r="FB11" s="111">
        <v>197</v>
      </c>
    </row>
    <row r="12" spans="1:158" ht="19.5" customHeight="1">
      <c r="A12" s="107">
        <v>9</v>
      </c>
      <c r="B12" s="107" t="s">
        <v>350</v>
      </c>
      <c r="C12" s="107" t="s">
        <v>359</v>
      </c>
      <c r="D12" s="110">
        <v>4062487.5</v>
      </c>
      <c r="E12" s="110">
        <v>257381.5</v>
      </c>
      <c r="F12" s="110">
        <v>3805106</v>
      </c>
      <c r="G12" s="110">
        <v>2336</v>
      </c>
      <c r="H12" s="110">
        <v>67</v>
      </c>
      <c r="I12" s="110">
        <v>8342</v>
      </c>
      <c r="J12" s="110">
        <v>0</v>
      </c>
      <c r="K12" s="110">
        <v>56510.61</v>
      </c>
      <c r="L12" s="110">
        <v>754731.5</v>
      </c>
      <c r="M12" s="110">
        <v>23002</v>
      </c>
      <c r="N12" s="110">
        <v>761.79</v>
      </c>
      <c r="O12" s="110">
        <v>7445922.8099999996</v>
      </c>
      <c r="P12" s="110">
        <v>7414010.6500000004</v>
      </c>
      <c r="Q12" s="110">
        <v>7404248.0599999996</v>
      </c>
      <c r="R12" s="110">
        <v>9762.59</v>
      </c>
      <c r="S12" s="110">
        <v>31912.16</v>
      </c>
      <c r="T12" s="110">
        <v>18441.509999999998</v>
      </c>
      <c r="U12" s="110">
        <v>13470.65</v>
      </c>
      <c r="V12" s="110">
        <v>1631098.5</v>
      </c>
      <c r="W12" s="110">
        <v>1599186.34</v>
      </c>
      <c r="X12" s="110">
        <v>1589423.75</v>
      </c>
      <c r="Y12" s="110">
        <v>9762.59</v>
      </c>
      <c r="Z12" s="110">
        <v>31912.16</v>
      </c>
      <c r="AA12" s="110">
        <v>18441.509999999998</v>
      </c>
      <c r="AB12" s="110">
        <v>13470.65</v>
      </c>
      <c r="AC12" s="110">
        <v>1364326.55</v>
      </c>
      <c r="AD12" s="110">
        <v>1337916.3899999999</v>
      </c>
      <c r="AE12" s="110">
        <v>1330875.8</v>
      </c>
      <c r="AF12" s="110">
        <v>7040.59</v>
      </c>
      <c r="AG12" s="110">
        <v>26410.16</v>
      </c>
      <c r="AH12" s="110">
        <v>15133.51</v>
      </c>
      <c r="AI12" s="110">
        <v>11276.65</v>
      </c>
      <c r="AJ12" s="110">
        <v>9390.4500000000007</v>
      </c>
      <c r="AK12" s="110">
        <v>9302.4500000000007</v>
      </c>
      <c r="AL12" s="110">
        <v>9302.4500000000007</v>
      </c>
      <c r="AM12" s="110">
        <v>0</v>
      </c>
      <c r="AN12" s="110">
        <v>88</v>
      </c>
      <c r="AO12" s="110">
        <v>43</v>
      </c>
      <c r="AP12" s="110">
        <v>45</v>
      </c>
      <c r="AQ12" s="110">
        <v>186999</v>
      </c>
      <c r="AR12" s="110">
        <v>183867</v>
      </c>
      <c r="AS12" s="110">
        <v>181776</v>
      </c>
      <c r="AT12" s="110">
        <v>2091</v>
      </c>
      <c r="AU12" s="110">
        <v>3132</v>
      </c>
      <c r="AV12" s="110">
        <v>2268</v>
      </c>
      <c r="AW12" s="110">
        <v>864</v>
      </c>
      <c r="AX12" s="110">
        <v>70382.5</v>
      </c>
      <c r="AY12" s="110">
        <v>68100.5</v>
      </c>
      <c r="AZ12" s="110">
        <v>67469.5</v>
      </c>
      <c r="BA12" s="110">
        <v>631</v>
      </c>
      <c r="BB12" s="110">
        <v>2282</v>
      </c>
      <c r="BC12" s="110">
        <v>997</v>
      </c>
      <c r="BD12" s="110">
        <v>1285</v>
      </c>
      <c r="BE12" s="110">
        <v>5814824.3099999996</v>
      </c>
      <c r="BF12" s="110">
        <v>5814824.3099999996</v>
      </c>
      <c r="BG12" s="110">
        <v>5814824.3099999996</v>
      </c>
      <c r="BH12" s="110">
        <v>0</v>
      </c>
      <c r="BI12" s="110">
        <v>0</v>
      </c>
      <c r="BJ12" s="110">
        <v>0</v>
      </c>
      <c r="BK12" s="110">
        <v>0</v>
      </c>
      <c r="BL12" s="110">
        <v>1860077.94</v>
      </c>
      <c r="BM12" s="110">
        <v>1860077.94</v>
      </c>
      <c r="BN12" s="110">
        <v>1860077.94</v>
      </c>
      <c r="BO12" s="110">
        <v>0</v>
      </c>
      <c r="BP12" s="110">
        <v>0</v>
      </c>
      <c r="BQ12" s="110">
        <v>0</v>
      </c>
      <c r="BR12" s="110">
        <v>0</v>
      </c>
      <c r="BS12" s="110">
        <v>149640.37</v>
      </c>
      <c r="BT12" s="110">
        <v>149640.37</v>
      </c>
      <c r="BU12" s="110">
        <v>149640.37</v>
      </c>
      <c r="BV12" s="110">
        <v>0</v>
      </c>
      <c r="BW12" s="110">
        <v>0</v>
      </c>
      <c r="BX12" s="110">
        <v>0</v>
      </c>
      <c r="BY12" s="110">
        <v>0</v>
      </c>
      <c r="BZ12" s="110">
        <v>1717023</v>
      </c>
      <c r="CA12" s="110">
        <v>1717023</v>
      </c>
      <c r="CB12" s="110">
        <v>1717023</v>
      </c>
      <c r="CC12" s="110">
        <v>0</v>
      </c>
      <c r="CD12" s="110">
        <v>0</v>
      </c>
      <c r="CE12" s="110">
        <v>0</v>
      </c>
      <c r="CF12" s="110">
        <v>0</v>
      </c>
      <c r="CG12" s="110">
        <v>2088083</v>
      </c>
      <c r="CH12" s="110">
        <v>2088083</v>
      </c>
      <c r="CI12" s="110">
        <v>2088083</v>
      </c>
      <c r="CJ12" s="110">
        <v>0</v>
      </c>
      <c r="CK12" s="110">
        <v>0</v>
      </c>
      <c r="CL12" s="110">
        <v>0</v>
      </c>
      <c r="CM12" s="110">
        <v>0</v>
      </c>
      <c r="CN12" s="110">
        <v>0</v>
      </c>
      <c r="CO12" s="110">
        <v>1611616</v>
      </c>
      <c r="CP12" s="110">
        <v>0</v>
      </c>
      <c r="CQ12" s="110">
        <v>75</v>
      </c>
      <c r="CR12" s="110">
        <v>19407.5</v>
      </c>
      <c r="CS12" s="110">
        <v>0</v>
      </c>
      <c r="CT12" s="110">
        <v>0</v>
      </c>
      <c r="CU12" s="110">
        <v>0</v>
      </c>
      <c r="CV12" s="111">
        <v>2336</v>
      </c>
      <c r="CW12" s="111">
        <v>2289</v>
      </c>
      <c r="CX12" s="111">
        <v>2282</v>
      </c>
      <c r="CY12" s="111">
        <v>7</v>
      </c>
      <c r="CZ12" s="111">
        <v>47</v>
      </c>
      <c r="DA12" s="111">
        <v>37</v>
      </c>
      <c r="DB12" s="111">
        <v>10</v>
      </c>
      <c r="DC12" s="111">
        <v>2323</v>
      </c>
      <c r="DD12" s="111">
        <v>0</v>
      </c>
      <c r="DE12" s="111">
        <v>2285</v>
      </c>
      <c r="DF12" s="111">
        <v>2282</v>
      </c>
      <c r="DG12" s="111">
        <v>3</v>
      </c>
      <c r="DH12" s="111">
        <v>38</v>
      </c>
      <c r="DI12" s="111">
        <v>37</v>
      </c>
      <c r="DJ12" s="111">
        <v>1</v>
      </c>
      <c r="DK12" s="111">
        <v>0</v>
      </c>
      <c r="DL12" s="111">
        <v>0</v>
      </c>
      <c r="DM12" s="111">
        <v>0</v>
      </c>
      <c r="DN12" s="111">
        <v>0</v>
      </c>
      <c r="DO12" s="111">
        <v>0</v>
      </c>
      <c r="DP12" s="111">
        <v>0</v>
      </c>
      <c r="DQ12" s="111">
        <v>0</v>
      </c>
      <c r="DR12" s="111">
        <v>13</v>
      </c>
      <c r="DS12" s="111">
        <v>0</v>
      </c>
      <c r="DT12" s="111">
        <v>4</v>
      </c>
      <c r="DU12" s="111">
        <v>0</v>
      </c>
      <c r="DV12" s="111">
        <v>4</v>
      </c>
      <c r="DW12" s="111">
        <v>9</v>
      </c>
      <c r="DX12" s="111">
        <v>0</v>
      </c>
      <c r="DY12" s="111">
        <v>9</v>
      </c>
      <c r="DZ12" s="111">
        <v>0</v>
      </c>
      <c r="EA12" s="111">
        <v>0</v>
      </c>
      <c r="EB12" s="111">
        <v>0</v>
      </c>
      <c r="EC12" s="111">
        <v>0</v>
      </c>
      <c r="ED12" s="111">
        <v>0</v>
      </c>
      <c r="EE12" s="111">
        <v>0</v>
      </c>
      <c r="EF12" s="111">
        <v>0</v>
      </c>
      <c r="EG12" s="111">
        <v>67</v>
      </c>
      <c r="EH12" s="111">
        <v>67</v>
      </c>
      <c r="EI12" s="111">
        <v>67</v>
      </c>
      <c r="EJ12" s="111">
        <v>0</v>
      </c>
      <c r="EK12" s="111">
        <v>0</v>
      </c>
      <c r="EL12" s="111">
        <v>0</v>
      </c>
      <c r="EM12" s="111">
        <v>0</v>
      </c>
      <c r="EN12" s="111">
        <v>35</v>
      </c>
      <c r="EO12" s="111">
        <v>0</v>
      </c>
      <c r="EP12" s="111">
        <v>0</v>
      </c>
      <c r="EQ12" s="111">
        <v>35</v>
      </c>
      <c r="ER12" s="111">
        <v>0</v>
      </c>
      <c r="ES12" s="111">
        <v>0</v>
      </c>
      <c r="ET12" s="111">
        <v>0</v>
      </c>
      <c r="EU12" s="111">
        <v>0</v>
      </c>
      <c r="EV12" s="111">
        <v>0</v>
      </c>
      <c r="EW12" s="111">
        <v>0</v>
      </c>
      <c r="EX12" s="111">
        <v>0</v>
      </c>
      <c r="EY12" s="111">
        <v>0</v>
      </c>
      <c r="EZ12" s="111">
        <v>0</v>
      </c>
      <c r="FA12" s="111">
        <v>0</v>
      </c>
      <c r="FB12" s="111">
        <v>0</v>
      </c>
    </row>
    <row r="13" spans="1:158" ht="19.5" customHeight="1">
      <c r="A13" s="107">
        <v>10</v>
      </c>
      <c r="B13" s="107" t="s">
        <v>350</v>
      </c>
      <c r="C13" s="107" t="s">
        <v>360</v>
      </c>
      <c r="D13" s="110">
        <v>1779935.8</v>
      </c>
      <c r="E13" s="110">
        <v>604848</v>
      </c>
      <c r="F13" s="110">
        <v>1175087.8</v>
      </c>
      <c r="G13" s="110">
        <v>3411</v>
      </c>
      <c r="H13" s="110">
        <v>75</v>
      </c>
      <c r="I13" s="110">
        <v>132</v>
      </c>
      <c r="J13" s="110">
        <v>0</v>
      </c>
      <c r="K13" s="110">
        <v>0</v>
      </c>
      <c r="L13" s="110">
        <v>37921.5</v>
      </c>
      <c r="M13" s="110">
        <v>48467.8</v>
      </c>
      <c r="N13" s="110">
        <v>0</v>
      </c>
      <c r="O13" s="110">
        <v>2908503.47</v>
      </c>
      <c r="P13" s="110">
        <v>2265453.69</v>
      </c>
      <c r="Q13" s="110">
        <v>2201044.35</v>
      </c>
      <c r="R13" s="110">
        <v>64409.34</v>
      </c>
      <c r="S13" s="110">
        <v>643049.78</v>
      </c>
      <c r="T13" s="110">
        <v>614396.94999999995</v>
      </c>
      <c r="U13" s="110">
        <v>28652.83</v>
      </c>
      <c r="V13" s="110">
        <v>1412393.73</v>
      </c>
      <c r="W13" s="110">
        <v>1279667.3600000001</v>
      </c>
      <c r="X13" s="110">
        <v>1258071.68</v>
      </c>
      <c r="Y13" s="110">
        <v>21595.68</v>
      </c>
      <c r="Z13" s="110">
        <v>132726.37</v>
      </c>
      <c r="AA13" s="110">
        <v>104073.54</v>
      </c>
      <c r="AB13" s="110">
        <v>28652.83</v>
      </c>
      <c r="AC13" s="110">
        <v>805793.73</v>
      </c>
      <c r="AD13" s="110">
        <v>750893.36</v>
      </c>
      <c r="AE13" s="110">
        <v>746243.68</v>
      </c>
      <c r="AF13" s="110">
        <v>4649.68</v>
      </c>
      <c r="AG13" s="110">
        <v>54900.37</v>
      </c>
      <c r="AH13" s="110">
        <v>48444.54</v>
      </c>
      <c r="AI13" s="110">
        <v>6455.83</v>
      </c>
      <c r="AJ13" s="110">
        <v>1752</v>
      </c>
      <c r="AK13" s="110">
        <v>1583</v>
      </c>
      <c r="AL13" s="110">
        <v>1583</v>
      </c>
      <c r="AM13" s="110">
        <v>0</v>
      </c>
      <c r="AN13" s="110">
        <v>169</v>
      </c>
      <c r="AO13" s="110">
        <v>126</v>
      </c>
      <c r="AP13" s="110">
        <v>43</v>
      </c>
      <c r="AQ13" s="110">
        <v>513570</v>
      </c>
      <c r="AR13" s="110">
        <v>443982</v>
      </c>
      <c r="AS13" s="110">
        <v>428671</v>
      </c>
      <c r="AT13" s="110">
        <v>15311</v>
      </c>
      <c r="AU13" s="110">
        <v>69588</v>
      </c>
      <c r="AV13" s="110">
        <v>48854</v>
      </c>
      <c r="AW13" s="110">
        <v>20734</v>
      </c>
      <c r="AX13" s="110">
        <v>91278</v>
      </c>
      <c r="AY13" s="110">
        <v>83209</v>
      </c>
      <c r="AZ13" s="110">
        <v>81574</v>
      </c>
      <c r="BA13" s="110">
        <v>1635</v>
      </c>
      <c r="BB13" s="110">
        <v>8069</v>
      </c>
      <c r="BC13" s="110">
        <v>6649</v>
      </c>
      <c r="BD13" s="110">
        <v>1420</v>
      </c>
      <c r="BE13" s="110">
        <v>1496109.74</v>
      </c>
      <c r="BF13" s="110">
        <v>985786.33</v>
      </c>
      <c r="BG13" s="110">
        <v>942972.67</v>
      </c>
      <c r="BH13" s="110">
        <v>42813.66</v>
      </c>
      <c r="BI13" s="110">
        <v>510323.41</v>
      </c>
      <c r="BJ13" s="110">
        <v>510323.41</v>
      </c>
      <c r="BK13" s="110">
        <v>0</v>
      </c>
      <c r="BL13" s="110">
        <v>225899.78</v>
      </c>
      <c r="BM13" s="110">
        <v>156775.99</v>
      </c>
      <c r="BN13" s="110">
        <v>154261.60999999999</v>
      </c>
      <c r="BO13" s="110">
        <v>2514.38</v>
      </c>
      <c r="BP13" s="110">
        <v>69123.789999999994</v>
      </c>
      <c r="BQ13" s="110">
        <v>69123.789999999994</v>
      </c>
      <c r="BR13" s="110">
        <v>0</v>
      </c>
      <c r="BS13" s="110">
        <v>95122.16</v>
      </c>
      <c r="BT13" s="110">
        <v>55594.64</v>
      </c>
      <c r="BU13" s="110">
        <v>54839.360000000001</v>
      </c>
      <c r="BV13" s="110">
        <v>755.28</v>
      </c>
      <c r="BW13" s="110">
        <v>39527.519999999997</v>
      </c>
      <c r="BX13" s="110">
        <v>39527.519999999997</v>
      </c>
      <c r="BY13" s="110">
        <v>0</v>
      </c>
      <c r="BZ13" s="110">
        <v>565618</v>
      </c>
      <c r="CA13" s="110">
        <v>369167</v>
      </c>
      <c r="CB13" s="110">
        <v>357918</v>
      </c>
      <c r="CC13" s="110">
        <v>11249</v>
      </c>
      <c r="CD13" s="110">
        <v>196451</v>
      </c>
      <c r="CE13" s="110">
        <v>196451</v>
      </c>
      <c r="CF13" s="110">
        <v>0</v>
      </c>
      <c r="CG13" s="110">
        <v>609469.80000000005</v>
      </c>
      <c r="CH13" s="110">
        <v>404248.7</v>
      </c>
      <c r="CI13" s="110">
        <v>375953.7</v>
      </c>
      <c r="CJ13" s="110">
        <v>28295</v>
      </c>
      <c r="CK13" s="110">
        <v>205221.1</v>
      </c>
      <c r="CL13" s="110">
        <v>205221.1</v>
      </c>
      <c r="CM13" s="110">
        <v>0</v>
      </c>
      <c r="CN13" s="110">
        <v>0</v>
      </c>
      <c r="CO13" s="110">
        <v>1222825.6599999999</v>
      </c>
      <c r="CP13" s="110">
        <v>162239.60999999999</v>
      </c>
      <c r="CQ13" s="110">
        <v>2660.54</v>
      </c>
      <c r="CR13" s="110">
        <v>24667.919999999998</v>
      </c>
      <c r="CS13" s="110">
        <v>0</v>
      </c>
      <c r="CT13" s="110">
        <v>0</v>
      </c>
      <c r="CU13" s="110">
        <v>0</v>
      </c>
      <c r="CV13" s="111">
        <v>3411</v>
      </c>
      <c r="CW13" s="111">
        <v>3123</v>
      </c>
      <c r="CX13" s="111">
        <v>3059</v>
      </c>
      <c r="CY13" s="111">
        <v>64</v>
      </c>
      <c r="CZ13" s="111">
        <v>288</v>
      </c>
      <c r="DA13" s="111">
        <v>236</v>
      </c>
      <c r="DB13" s="111">
        <v>52</v>
      </c>
      <c r="DC13" s="111">
        <v>3086</v>
      </c>
      <c r="DD13" s="111">
        <v>61</v>
      </c>
      <c r="DE13" s="111">
        <v>2832</v>
      </c>
      <c r="DF13" s="111">
        <v>2783</v>
      </c>
      <c r="DG13" s="111">
        <v>49</v>
      </c>
      <c r="DH13" s="111">
        <v>254</v>
      </c>
      <c r="DI13" s="111">
        <v>212</v>
      </c>
      <c r="DJ13" s="111">
        <v>42</v>
      </c>
      <c r="DK13" s="111">
        <v>238</v>
      </c>
      <c r="DL13" s="111">
        <v>211</v>
      </c>
      <c r="DM13" s="111">
        <v>202</v>
      </c>
      <c r="DN13" s="111">
        <v>9</v>
      </c>
      <c r="DO13" s="111">
        <v>27</v>
      </c>
      <c r="DP13" s="111">
        <v>19</v>
      </c>
      <c r="DQ13" s="111">
        <v>8</v>
      </c>
      <c r="DR13" s="111">
        <v>26</v>
      </c>
      <c r="DS13" s="111">
        <v>0</v>
      </c>
      <c r="DT13" s="111">
        <v>22</v>
      </c>
      <c r="DU13" s="111">
        <v>22</v>
      </c>
      <c r="DV13" s="111">
        <v>0</v>
      </c>
      <c r="DW13" s="111">
        <v>4</v>
      </c>
      <c r="DX13" s="111">
        <v>4</v>
      </c>
      <c r="DY13" s="111">
        <v>0</v>
      </c>
      <c r="DZ13" s="111">
        <v>0</v>
      </c>
      <c r="EA13" s="111">
        <v>0</v>
      </c>
      <c r="EB13" s="111">
        <v>0</v>
      </c>
      <c r="EC13" s="111">
        <v>0</v>
      </c>
      <c r="ED13" s="111">
        <v>0</v>
      </c>
      <c r="EE13" s="111">
        <v>0</v>
      </c>
      <c r="EF13" s="111">
        <v>0</v>
      </c>
      <c r="EG13" s="111">
        <v>75</v>
      </c>
      <c r="EH13" s="111">
        <v>50</v>
      </c>
      <c r="EI13" s="111">
        <v>47</v>
      </c>
      <c r="EJ13" s="111">
        <v>3</v>
      </c>
      <c r="EK13" s="111">
        <v>25</v>
      </c>
      <c r="EL13" s="111">
        <v>25</v>
      </c>
      <c r="EM13" s="111">
        <v>0</v>
      </c>
      <c r="EN13" s="111">
        <v>6</v>
      </c>
      <c r="EO13" s="111">
        <v>0</v>
      </c>
      <c r="EP13" s="111">
        <v>0</v>
      </c>
      <c r="EQ13" s="111">
        <v>6</v>
      </c>
      <c r="ER13" s="111">
        <v>0</v>
      </c>
      <c r="ES13" s="111">
        <v>0</v>
      </c>
      <c r="ET13" s="111">
        <v>0</v>
      </c>
      <c r="EU13" s="111">
        <v>0</v>
      </c>
      <c r="EV13" s="111">
        <v>0</v>
      </c>
      <c r="EW13" s="111">
        <v>0</v>
      </c>
      <c r="EX13" s="111">
        <v>0</v>
      </c>
      <c r="EY13" s="111">
        <v>0</v>
      </c>
      <c r="EZ13" s="111">
        <v>0</v>
      </c>
      <c r="FA13" s="111">
        <v>0</v>
      </c>
      <c r="FB13" s="111">
        <v>0</v>
      </c>
    </row>
    <row r="14" spans="1:158" ht="19.5" customHeight="1">
      <c r="A14" s="107">
        <v>11</v>
      </c>
      <c r="B14" s="107" t="s">
        <v>361</v>
      </c>
      <c r="C14" s="107" t="s">
        <v>362</v>
      </c>
      <c r="D14" s="110">
        <v>14792686.6</v>
      </c>
      <c r="E14" s="110">
        <v>2553220.5</v>
      </c>
      <c r="F14" s="110">
        <v>12239466.1</v>
      </c>
      <c r="G14" s="110">
        <v>11197</v>
      </c>
      <c r="H14" s="110">
        <v>1151</v>
      </c>
      <c r="I14" s="110">
        <v>175110.5</v>
      </c>
      <c r="J14" s="110">
        <v>123470</v>
      </c>
      <c r="K14" s="110">
        <v>0</v>
      </c>
      <c r="L14" s="110">
        <v>916504.75</v>
      </c>
      <c r="M14" s="110">
        <v>3773027.85</v>
      </c>
      <c r="N14" s="110">
        <v>3003</v>
      </c>
      <c r="O14" s="110">
        <v>31673730.969999999</v>
      </c>
      <c r="P14" s="110">
        <v>21547093.780000001</v>
      </c>
      <c r="Q14" s="110">
        <v>21055002.059999999</v>
      </c>
      <c r="R14" s="110">
        <v>492091.72</v>
      </c>
      <c r="S14" s="110">
        <v>10126637.189999999</v>
      </c>
      <c r="T14" s="110">
        <v>9717516.8100000005</v>
      </c>
      <c r="U14" s="110">
        <v>409120.38</v>
      </c>
      <c r="V14" s="110">
        <v>4275525.25</v>
      </c>
      <c r="W14" s="110">
        <v>3580090.47</v>
      </c>
      <c r="X14" s="110">
        <v>3427570.61</v>
      </c>
      <c r="Y14" s="110">
        <v>152519.85999999999</v>
      </c>
      <c r="Z14" s="110">
        <v>695434.78</v>
      </c>
      <c r="AA14" s="110">
        <v>549725.23</v>
      </c>
      <c r="AB14" s="110">
        <v>145709.54999999999</v>
      </c>
      <c r="AC14" s="110">
        <v>1186994.29</v>
      </c>
      <c r="AD14" s="110">
        <v>973392.89</v>
      </c>
      <c r="AE14" s="110">
        <v>943987.05</v>
      </c>
      <c r="AF14" s="110">
        <v>29405.84</v>
      </c>
      <c r="AG14" s="110">
        <v>213601.4</v>
      </c>
      <c r="AH14" s="110">
        <v>189484.86</v>
      </c>
      <c r="AI14" s="110">
        <v>24116.54</v>
      </c>
      <c r="AJ14" s="110">
        <v>535310.46</v>
      </c>
      <c r="AK14" s="110">
        <v>490578.08</v>
      </c>
      <c r="AL14" s="110">
        <v>477013.06</v>
      </c>
      <c r="AM14" s="110">
        <v>13565.02</v>
      </c>
      <c r="AN14" s="110">
        <v>44732.38</v>
      </c>
      <c r="AO14" s="110">
        <v>35721.370000000003</v>
      </c>
      <c r="AP14" s="110">
        <v>9011.01</v>
      </c>
      <c r="AQ14" s="110">
        <v>1822088</v>
      </c>
      <c r="AR14" s="110">
        <v>1501330</v>
      </c>
      <c r="AS14" s="110">
        <v>1431913</v>
      </c>
      <c r="AT14" s="110">
        <v>69417</v>
      </c>
      <c r="AU14" s="110">
        <v>320758</v>
      </c>
      <c r="AV14" s="110">
        <v>240327</v>
      </c>
      <c r="AW14" s="110">
        <v>80431</v>
      </c>
      <c r="AX14" s="110">
        <v>731132.5</v>
      </c>
      <c r="AY14" s="110">
        <v>614789.5</v>
      </c>
      <c r="AZ14" s="110">
        <v>574657.5</v>
      </c>
      <c r="BA14" s="110">
        <v>40132</v>
      </c>
      <c r="BB14" s="110">
        <v>116343</v>
      </c>
      <c r="BC14" s="110">
        <v>84192</v>
      </c>
      <c r="BD14" s="110">
        <v>32151</v>
      </c>
      <c r="BE14" s="110">
        <v>27398205.719999999</v>
      </c>
      <c r="BF14" s="110">
        <v>17967003.309999999</v>
      </c>
      <c r="BG14" s="110">
        <v>17627431.449999999</v>
      </c>
      <c r="BH14" s="110">
        <v>339571.86</v>
      </c>
      <c r="BI14" s="110">
        <v>9431202.4100000001</v>
      </c>
      <c r="BJ14" s="110">
        <v>9167791.5800000001</v>
      </c>
      <c r="BK14" s="110">
        <v>263410.83</v>
      </c>
      <c r="BL14" s="110">
        <v>4990311.1100000003</v>
      </c>
      <c r="BM14" s="110">
        <v>3191183.12</v>
      </c>
      <c r="BN14" s="110">
        <v>3144610.79</v>
      </c>
      <c r="BO14" s="110">
        <v>46572.33</v>
      </c>
      <c r="BP14" s="110">
        <v>1799127.99</v>
      </c>
      <c r="BQ14" s="110">
        <v>1744128.63</v>
      </c>
      <c r="BR14" s="110">
        <v>54999.360000000001</v>
      </c>
      <c r="BS14" s="110">
        <v>10168428.51</v>
      </c>
      <c r="BT14" s="110">
        <v>6773311.9400000004</v>
      </c>
      <c r="BU14" s="110">
        <v>6667769.1600000001</v>
      </c>
      <c r="BV14" s="110">
        <v>105542.78</v>
      </c>
      <c r="BW14" s="110">
        <v>3395116.57</v>
      </c>
      <c r="BX14" s="110">
        <v>3318879.85</v>
      </c>
      <c r="BY14" s="110">
        <v>76236.72</v>
      </c>
      <c r="BZ14" s="110">
        <v>4572319</v>
      </c>
      <c r="CA14" s="110">
        <v>2773131</v>
      </c>
      <c r="CB14" s="110">
        <v>2718023</v>
      </c>
      <c r="CC14" s="110">
        <v>55108</v>
      </c>
      <c r="CD14" s="110">
        <v>1799188</v>
      </c>
      <c r="CE14" s="110">
        <v>1740299</v>
      </c>
      <c r="CF14" s="110">
        <v>58889</v>
      </c>
      <c r="CG14" s="110">
        <v>7667147.0999999996</v>
      </c>
      <c r="CH14" s="110">
        <v>5229377.25</v>
      </c>
      <c r="CI14" s="110">
        <v>5097028.5</v>
      </c>
      <c r="CJ14" s="110">
        <v>132348.75</v>
      </c>
      <c r="CK14" s="110">
        <v>2437769.85</v>
      </c>
      <c r="CL14" s="110">
        <v>2364484.1</v>
      </c>
      <c r="CM14" s="110">
        <v>73285.75</v>
      </c>
      <c r="CN14" s="110">
        <v>1140711.58</v>
      </c>
      <c r="CO14" s="110">
        <v>1346056.61</v>
      </c>
      <c r="CP14" s="110">
        <v>1075406.1299999999</v>
      </c>
      <c r="CQ14" s="110">
        <v>576037.93000000005</v>
      </c>
      <c r="CR14" s="110">
        <v>137273</v>
      </c>
      <c r="CS14" s="110">
        <v>0</v>
      </c>
      <c r="CT14" s="110">
        <v>129945.5</v>
      </c>
      <c r="CU14" s="110">
        <v>0</v>
      </c>
      <c r="CV14" s="111">
        <v>11197</v>
      </c>
      <c r="CW14" s="111">
        <v>9428</v>
      </c>
      <c r="CX14" s="111">
        <v>8983</v>
      </c>
      <c r="CY14" s="111">
        <v>445</v>
      </c>
      <c r="CZ14" s="111">
        <v>1769</v>
      </c>
      <c r="DA14" s="111">
        <v>1305</v>
      </c>
      <c r="DB14" s="111">
        <v>464</v>
      </c>
      <c r="DC14" s="111">
        <v>5569</v>
      </c>
      <c r="DD14" s="111">
        <v>21</v>
      </c>
      <c r="DE14" s="111">
        <v>4809</v>
      </c>
      <c r="DF14" s="111">
        <v>4576</v>
      </c>
      <c r="DG14" s="111">
        <v>233</v>
      </c>
      <c r="DH14" s="111">
        <v>760</v>
      </c>
      <c r="DI14" s="111">
        <v>532</v>
      </c>
      <c r="DJ14" s="111">
        <v>228</v>
      </c>
      <c r="DK14" s="111">
        <v>2937</v>
      </c>
      <c r="DL14" s="111">
        <v>2406</v>
      </c>
      <c r="DM14" s="111">
        <v>2302</v>
      </c>
      <c r="DN14" s="111">
        <v>104</v>
      </c>
      <c r="DO14" s="111">
        <v>531</v>
      </c>
      <c r="DP14" s="111">
        <v>409</v>
      </c>
      <c r="DQ14" s="111">
        <v>122</v>
      </c>
      <c r="DR14" s="111">
        <v>194</v>
      </c>
      <c r="DS14" s="111">
        <v>0</v>
      </c>
      <c r="DT14" s="111">
        <v>126</v>
      </c>
      <c r="DU14" s="111">
        <v>113</v>
      </c>
      <c r="DV14" s="111">
        <v>13</v>
      </c>
      <c r="DW14" s="111">
        <v>68</v>
      </c>
      <c r="DX14" s="111">
        <v>48</v>
      </c>
      <c r="DY14" s="111">
        <v>20</v>
      </c>
      <c r="DZ14" s="111">
        <v>2476</v>
      </c>
      <c r="EA14" s="111">
        <v>2068</v>
      </c>
      <c r="EB14" s="111">
        <v>1974</v>
      </c>
      <c r="EC14" s="111">
        <v>94</v>
      </c>
      <c r="ED14" s="111">
        <v>408</v>
      </c>
      <c r="EE14" s="111">
        <v>316</v>
      </c>
      <c r="EF14" s="111">
        <v>92</v>
      </c>
      <c r="EG14" s="111">
        <v>1151</v>
      </c>
      <c r="EH14" s="111">
        <v>813</v>
      </c>
      <c r="EI14" s="111">
        <v>803</v>
      </c>
      <c r="EJ14" s="111">
        <v>10</v>
      </c>
      <c r="EK14" s="111">
        <v>338</v>
      </c>
      <c r="EL14" s="111">
        <v>328</v>
      </c>
      <c r="EM14" s="111">
        <v>10</v>
      </c>
      <c r="EN14" s="111">
        <v>1010</v>
      </c>
      <c r="EO14" s="111">
        <v>762</v>
      </c>
      <c r="EP14" s="111">
        <v>0</v>
      </c>
      <c r="EQ14" s="111">
        <v>248</v>
      </c>
      <c r="ER14" s="111">
        <v>376</v>
      </c>
      <c r="ES14" s="111">
        <v>0</v>
      </c>
      <c r="ET14" s="111">
        <v>3</v>
      </c>
      <c r="EU14" s="111">
        <v>266</v>
      </c>
      <c r="EV14" s="111">
        <v>202</v>
      </c>
      <c r="EW14" s="111">
        <v>0</v>
      </c>
      <c r="EX14" s="111">
        <v>64</v>
      </c>
      <c r="EY14" s="111">
        <v>194</v>
      </c>
      <c r="EZ14" s="111">
        <v>194</v>
      </c>
      <c r="FA14" s="111">
        <v>0</v>
      </c>
      <c r="FB14" s="111">
        <v>379</v>
      </c>
    </row>
    <row r="15" spans="1:158" ht="19.5" customHeight="1">
      <c r="A15" s="107">
        <v>12</v>
      </c>
      <c r="B15" s="107" t="s">
        <v>361</v>
      </c>
      <c r="C15" s="107" t="s">
        <v>363</v>
      </c>
      <c r="D15" s="110">
        <v>10008305</v>
      </c>
      <c r="E15" s="110">
        <v>689654</v>
      </c>
      <c r="F15" s="110">
        <v>9318651</v>
      </c>
      <c r="G15" s="110">
        <v>3295</v>
      </c>
      <c r="H15" s="110">
        <v>632</v>
      </c>
      <c r="I15" s="110">
        <v>537</v>
      </c>
      <c r="J15" s="110">
        <v>0</v>
      </c>
      <c r="K15" s="110">
        <v>0</v>
      </c>
      <c r="L15" s="110">
        <v>635143.25</v>
      </c>
      <c r="M15" s="110">
        <v>2756203.95</v>
      </c>
      <c r="N15" s="110">
        <v>0</v>
      </c>
      <c r="O15" s="110">
        <v>36684250.420000002</v>
      </c>
      <c r="P15" s="110">
        <v>20216002.829999998</v>
      </c>
      <c r="Q15" s="110">
        <v>19690012.940000001</v>
      </c>
      <c r="R15" s="110">
        <v>525989.89</v>
      </c>
      <c r="S15" s="110">
        <v>16468247.59</v>
      </c>
      <c r="T15" s="110">
        <v>15867836.66</v>
      </c>
      <c r="U15" s="110">
        <v>600410.93000000005</v>
      </c>
      <c r="V15" s="110">
        <v>1045625.51</v>
      </c>
      <c r="W15" s="110">
        <v>808909.05</v>
      </c>
      <c r="X15" s="110">
        <v>757974.51</v>
      </c>
      <c r="Y15" s="110">
        <v>50934.54</v>
      </c>
      <c r="Z15" s="110">
        <v>236716.46</v>
      </c>
      <c r="AA15" s="110">
        <v>149251.51999999999</v>
      </c>
      <c r="AB15" s="110">
        <v>87464.94</v>
      </c>
      <c r="AC15" s="110">
        <v>345565.51</v>
      </c>
      <c r="AD15" s="110">
        <v>285819.05</v>
      </c>
      <c r="AE15" s="110">
        <v>276771.51</v>
      </c>
      <c r="AF15" s="110">
        <v>9047.5400000000009</v>
      </c>
      <c r="AG15" s="110">
        <v>59746.46</v>
      </c>
      <c r="AH15" s="110">
        <v>43986.52</v>
      </c>
      <c r="AI15" s="110">
        <v>15759.94</v>
      </c>
      <c r="AJ15" s="110">
        <v>10406</v>
      </c>
      <c r="AK15" s="110">
        <v>8471</v>
      </c>
      <c r="AL15" s="110">
        <v>8084</v>
      </c>
      <c r="AM15" s="110">
        <v>387</v>
      </c>
      <c r="AN15" s="110">
        <v>1935</v>
      </c>
      <c r="AO15" s="110">
        <v>1204</v>
      </c>
      <c r="AP15" s="110">
        <v>731</v>
      </c>
      <c r="AQ15" s="110">
        <v>556861</v>
      </c>
      <c r="AR15" s="110">
        <v>430826</v>
      </c>
      <c r="AS15" s="110">
        <v>397012</v>
      </c>
      <c r="AT15" s="110">
        <v>33814</v>
      </c>
      <c r="AU15" s="110">
        <v>126035</v>
      </c>
      <c r="AV15" s="110">
        <v>76335</v>
      </c>
      <c r="AW15" s="110">
        <v>49700</v>
      </c>
      <c r="AX15" s="110">
        <v>132793</v>
      </c>
      <c r="AY15" s="110">
        <v>83793</v>
      </c>
      <c r="AZ15" s="110">
        <v>76107</v>
      </c>
      <c r="BA15" s="110">
        <v>7686</v>
      </c>
      <c r="BB15" s="110">
        <v>49000</v>
      </c>
      <c r="BC15" s="110">
        <v>27726</v>
      </c>
      <c r="BD15" s="110">
        <v>21274</v>
      </c>
      <c r="BE15" s="110">
        <v>35638624.909999996</v>
      </c>
      <c r="BF15" s="110">
        <v>19407093.780000001</v>
      </c>
      <c r="BG15" s="110">
        <v>18932038.43</v>
      </c>
      <c r="BH15" s="110">
        <v>475055.35</v>
      </c>
      <c r="BI15" s="110">
        <v>16231531.130000001</v>
      </c>
      <c r="BJ15" s="110">
        <v>15718585.140000001</v>
      </c>
      <c r="BK15" s="110">
        <v>512945.99</v>
      </c>
      <c r="BL15" s="110">
        <v>3639828.9</v>
      </c>
      <c r="BM15" s="110">
        <v>1943397.36</v>
      </c>
      <c r="BN15" s="110">
        <v>1874619.26</v>
      </c>
      <c r="BO15" s="110">
        <v>68778.100000000006</v>
      </c>
      <c r="BP15" s="110">
        <v>1696431.54</v>
      </c>
      <c r="BQ15" s="110">
        <v>1638529.97</v>
      </c>
      <c r="BR15" s="110">
        <v>57901.57</v>
      </c>
      <c r="BS15" s="110">
        <v>22680145.010000002</v>
      </c>
      <c r="BT15" s="110">
        <v>12822802.119999999</v>
      </c>
      <c r="BU15" s="110">
        <v>12635459.119999999</v>
      </c>
      <c r="BV15" s="110">
        <v>187343</v>
      </c>
      <c r="BW15" s="110">
        <v>9857342.8900000006</v>
      </c>
      <c r="BX15" s="110">
        <v>9635127.9700000007</v>
      </c>
      <c r="BY15" s="110">
        <v>222214.92</v>
      </c>
      <c r="BZ15" s="110">
        <v>3615948</v>
      </c>
      <c r="CA15" s="110">
        <v>1865240</v>
      </c>
      <c r="CB15" s="110">
        <v>1800781</v>
      </c>
      <c r="CC15" s="110">
        <v>64459</v>
      </c>
      <c r="CD15" s="110">
        <v>1750708</v>
      </c>
      <c r="CE15" s="110">
        <v>1690209</v>
      </c>
      <c r="CF15" s="110">
        <v>60499</v>
      </c>
      <c r="CG15" s="110">
        <v>5702703</v>
      </c>
      <c r="CH15" s="110">
        <v>2775654.3</v>
      </c>
      <c r="CI15" s="110">
        <v>2621179.0499999998</v>
      </c>
      <c r="CJ15" s="110">
        <v>154475.25</v>
      </c>
      <c r="CK15" s="110">
        <v>2927048.7</v>
      </c>
      <c r="CL15" s="110">
        <v>2754718.2</v>
      </c>
      <c r="CM15" s="110">
        <v>172330.5</v>
      </c>
      <c r="CN15" s="110">
        <v>-50</v>
      </c>
      <c r="CO15" s="110">
        <v>537335.11</v>
      </c>
      <c r="CP15" s="110">
        <v>406826.83</v>
      </c>
      <c r="CQ15" s="110">
        <v>69212.97</v>
      </c>
      <c r="CR15" s="110">
        <v>32250.6</v>
      </c>
      <c r="CS15" s="110">
        <v>0</v>
      </c>
      <c r="CT15" s="110">
        <v>519104.78</v>
      </c>
      <c r="CU15" s="110">
        <v>0</v>
      </c>
      <c r="CV15" s="111">
        <v>3295</v>
      </c>
      <c r="CW15" s="111">
        <v>2423</v>
      </c>
      <c r="CX15" s="111">
        <v>2224</v>
      </c>
      <c r="CY15" s="111">
        <v>199</v>
      </c>
      <c r="CZ15" s="111">
        <v>872</v>
      </c>
      <c r="DA15" s="111">
        <v>524</v>
      </c>
      <c r="DB15" s="111">
        <v>348</v>
      </c>
      <c r="DC15" s="111">
        <v>1807</v>
      </c>
      <c r="DD15" s="111">
        <v>24</v>
      </c>
      <c r="DE15" s="111">
        <v>1485</v>
      </c>
      <c r="DF15" s="111">
        <v>1363</v>
      </c>
      <c r="DG15" s="111">
        <v>122</v>
      </c>
      <c r="DH15" s="111">
        <v>322</v>
      </c>
      <c r="DI15" s="111">
        <v>203</v>
      </c>
      <c r="DJ15" s="111">
        <v>119</v>
      </c>
      <c r="DK15" s="111">
        <v>1388</v>
      </c>
      <c r="DL15" s="111">
        <v>902</v>
      </c>
      <c r="DM15" s="111">
        <v>829</v>
      </c>
      <c r="DN15" s="111">
        <v>73</v>
      </c>
      <c r="DO15" s="111">
        <v>486</v>
      </c>
      <c r="DP15" s="111">
        <v>287</v>
      </c>
      <c r="DQ15" s="111">
        <v>199</v>
      </c>
      <c r="DR15" s="111">
        <v>76</v>
      </c>
      <c r="DS15" s="111">
        <v>0</v>
      </c>
      <c r="DT15" s="111">
        <v>14</v>
      </c>
      <c r="DU15" s="111">
        <v>11</v>
      </c>
      <c r="DV15" s="111">
        <v>3</v>
      </c>
      <c r="DW15" s="111">
        <v>62</v>
      </c>
      <c r="DX15" s="111">
        <v>34</v>
      </c>
      <c r="DY15" s="111">
        <v>28</v>
      </c>
      <c r="DZ15" s="111">
        <v>0</v>
      </c>
      <c r="EA15" s="111">
        <v>0</v>
      </c>
      <c r="EB15" s="111">
        <v>0</v>
      </c>
      <c r="EC15" s="111">
        <v>0</v>
      </c>
      <c r="ED15" s="111">
        <v>0</v>
      </c>
      <c r="EE15" s="111">
        <v>0</v>
      </c>
      <c r="EF15" s="111">
        <v>0</v>
      </c>
      <c r="EG15" s="111">
        <v>632</v>
      </c>
      <c r="EH15" s="111">
        <v>346</v>
      </c>
      <c r="EI15" s="111">
        <v>329</v>
      </c>
      <c r="EJ15" s="111">
        <v>17</v>
      </c>
      <c r="EK15" s="111">
        <v>286</v>
      </c>
      <c r="EL15" s="111">
        <v>270</v>
      </c>
      <c r="EM15" s="111">
        <v>16</v>
      </c>
      <c r="EN15" s="111">
        <v>548</v>
      </c>
      <c r="EO15" s="111">
        <v>247</v>
      </c>
      <c r="EP15" s="111">
        <v>157</v>
      </c>
      <c r="EQ15" s="111">
        <v>144</v>
      </c>
      <c r="ER15" s="111">
        <v>112</v>
      </c>
      <c r="ES15" s="111">
        <v>0</v>
      </c>
      <c r="ET15" s="111">
        <v>0</v>
      </c>
      <c r="EU15" s="111">
        <v>118</v>
      </c>
      <c r="EV15" s="111">
        <v>82</v>
      </c>
      <c r="EW15" s="111">
        <v>11</v>
      </c>
      <c r="EX15" s="111">
        <v>25</v>
      </c>
      <c r="EY15" s="111">
        <v>273</v>
      </c>
      <c r="EZ15" s="111">
        <v>127</v>
      </c>
      <c r="FA15" s="111">
        <v>146</v>
      </c>
      <c r="FB15" s="111">
        <v>254</v>
      </c>
    </row>
    <row r="16" spans="1:158" ht="19.5" customHeight="1">
      <c r="A16" s="107">
        <v>13</v>
      </c>
      <c r="B16" s="107" t="s">
        <v>361</v>
      </c>
      <c r="C16" s="107" t="s">
        <v>364</v>
      </c>
      <c r="D16" s="110">
        <v>15595775.66</v>
      </c>
      <c r="E16" s="110">
        <v>3312784</v>
      </c>
      <c r="F16" s="110">
        <v>12282991.66</v>
      </c>
      <c r="G16" s="110">
        <v>18259</v>
      </c>
      <c r="H16" s="110">
        <v>963</v>
      </c>
      <c r="I16" s="110">
        <v>79934</v>
      </c>
      <c r="J16" s="110">
        <v>52208</v>
      </c>
      <c r="K16" s="110">
        <v>0</v>
      </c>
      <c r="L16" s="110">
        <v>1191123.8600000001</v>
      </c>
      <c r="M16" s="110">
        <v>5874237.2999999998</v>
      </c>
      <c r="N16" s="110">
        <v>0</v>
      </c>
      <c r="O16" s="110">
        <v>49707747.630000003</v>
      </c>
      <c r="P16" s="110">
        <v>36232678.439999998</v>
      </c>
      <c r="Q16" s="110">
        <v>28663550.609999999</v>
      </c>
      <c r="R16" s="110">
        <v>7569127.8300000001</v>
      </c>
      <c r="S16" s="110">
        <v>13475069.189999999</v>
      </c>
      <c r="T16" s="110">
        <v>10720068.300000001</v>
      </c>
      <c r="U16" s="110">
        <v>2755000.89</v>
      </c>
      <c r="V16" s="110">
        <v>6987414.9900000002</v>
      </c>
      <c r="W16" s="110">
        <v>6056659.7400000002</v>
      </c>
      <c r="X16" s="110">
        <v>4883213.76</v>
      </c>
      <c r="Y16" s="110">
        <v>1173445.98</v>
      </c>
      <c r="Z16" s="110">
        <v>930755.25</v>
      </c>
      <c r="AA16" s="110">
        <v>438961.79</v>
      </c>
      <c r="AB16" s="110">
        <v>491793.46</v>
      </c>
      <c r="AC16" s="110">
        <v>2354545.5099999998</v>
      </c>
      <c r="AD16" s="110">
        <v>2084785.79</v>
      </c>
      <c r="AE16" s="110">
        <v>1829393.65</v>
      </c>
      <c r="AF16" s="110">
        <v>255392.14</v>
      </c>
      <c r="AG16" s="110">
        <v>269759.71999999997</v>
      </c>
      <c r="AH16" s="110">
        <v>144576.07</v>
      </c>
      <c r="AI16" s="110">
        <v>125183.65</v>
      </c>
      <c r="AJ16" s="110">
        <v>1320085.48</v>
      </c>
      <c r="AK16" s="110">
        <v>1164806.95</v>
      </c>
      <c r="AL16" s="110">
        <v>803839.61</v>
      </c>
      <c r="AM16" s="110">
        <v>360967.34</v>
      </c>
      <c r="AN16" s="110">
        <v>155278.53</v>
      </c>
      <c r="AO16" s="110">
        <v>51019.72</v>
      </c>
      <c r="AP16" s="110">
        <v>104258.81</v>
      </c>
      <c r="AQ16" s="110">
        <v>2492002</v>
      </c>
      <c r="AR16" s="110">
        <v>2154244</v>
      </c>
      <c r="AS16" s="110">
        <v>1713303</v>
      </c>
      <c r="AT16" s="110">
        <v>440941</v>
      </c>
      <c r="AU16" s="110">
        <v>337758</v>
      </c>
      <c r="AV16" s="110">
        <v>159911</v>
      </c>
      <c r="AW16" s="110">
        <v>177847</v>
      </c>
      <c r="AX16" s="110">
        <v>820782</v>
      </c>
      <c r="AY16" s="110">
        <v>652823</v>
      </c>
      <c r="AZ16" s="110">
        <v>536677.5</v>
      </c>
      <c r="BA16" s="110">
        <v>116145.5</v>
      </c>
      <c r="BB16" s="110">
        <v>167959</v>
      </c>
      <c r="BC16" s="110">
        <v>83455</v>
      </c>
      <c r="BD16" s="110">
        <v>84504</v>
      </c>
      <c r="BE16" s="110">
        <v>42720332.640000001</v>
      </c>
      <c r="BF16" s="110">
        <v>30176018.699999999</v>
      </c>
      <c r="BG16" s="110">
        <v>23780336.850000001</v>
      </c>
      <c r="BH16" s="110">
        <v>6395681.8499999996</v>
      </c>
      <c r="BI16" s="110">
        <v>12544313.939999999</v>
      </c>
      <c r="BJ16" s="110">
        <v>10281106.51</v>
      </c>
      <c r="BK16" s="110">
        <v>2263207.4300000002</v>
      </c>
      <c r="BL16" s="110">
        <v>3626179.29</v>
      </c>
      <c r="BM16" s="110">
        <v>2528271.08</v>
      </c>
      <c r="BN16" s="110">
        <v>2006885.74</v>
      </c>
      <c r="BO16" s="110">
        <v>521385.34</v>
      </c>
      <c r="BP16" s="110">
        <v>1097908.21</v>
      </c>
      <c r="BQ16" s="110">
        <v>902828.56</v>
      </c>
      <c r="BR16" s="110">
        <v>195079.65</v>
      </c>
      <c r="BS16" s="110">
        <v>26811161.690000001</v>
      </c>
      <c r="BT16" s="110">
        <v>18886544.68</v>
      </c>
      <c r="BU16" s="110">
        <v>14683566.67</v>
      </c>
      <c r="BV16" s="110">
        <v>4202978.01</v>
      </c>
      <c r="BW16" s="110">
        <v>7924617.0099999998</v>
      </c>
      <c r="BX16" s="110">
        <v>6411673.4800000004</v>
      </c>
      <c r="BY16" s="110">
        <v>1512943.53</v>
      </c>
      <c r="BZ16" s="110">
        <v>2579038</v>
      </c>
      <c r="CA16" s="110">
        <v>1844734</v>
      </c>
      <c r="CB16" s="110">
        <v>1504276</v>
      </c>
      <c r="CC16" s="110">
        <v>340458</v>
      </c>
      <c r="CD16" s="110">
        <v>734304</v>
      </c>
      <c r="CE16" s="110">
        <v>619195</v>
      </c>
      <c r="CF16" s="110">
        <v>115109</v>
      </c>
      <c r="CG16" s="110">
        <v>9703953.6600000001</v>
      </c>
      <c r="CH16" s="110">
        <v>6916468.9400000004</v>
      </c>
      <c r="CI16" s="110">
        <v>5585608.4400000004</v>
      </c>
      <c r="CJ16" s="110">
        <v>1330860.5</v>
      </c>
      <c r="CK16" s="110">
        <v>2787484.72</v>
      </c>
      <c r="CL16" s="110">
        <v>2347409.4700000002</v>
      </c>
      <c r="CM16" s="110">
        <v>440075.25</v>
      </c>
      <c r="CN16" s="110">
        <v>2314634.5099999998</v>
      </c>
      <c r="CO16" s="110">
        <v>2241288.0099999998</v>
      </c>
      <c r="CP16" s="110">
        <v>1599513.97</v>
      </c>
      <c r="CQ16" s="110">
        <v>667123.86</v>
      </c>
      <c r="CR16" s="110">
        <v>164784.64000000001</v>
      </c>
      <c r="CS16" s="110">
        <v>0</v>
      </c>
      <c r="CT16" s="110">
        <v>78908.800000000003</v>
      </c>
      <c r="CU16" s="110">
        <v>0</v>
      </c>
      <c r="CV16" s="111">
        <v>18259</v>
      </c>
      <c r="CW16" s="111">
        <v>15450</v>
      </c>
      <c r="CX16" s="111">
        <v>13022</v>
      </c>
      <c r="CY16" s="111">
        <v>2428</v>
      </c>
      <c r="CZ16" s="111">
        <v>2809</v>
      </c>
      <c r="DA16" s="111">
        <v>1393</v>
      </c>
      <c r="DB16" s="111">
        <v>1416</v>
      </c>
      <c r="DC16" s="111">
        <v>8483</v>
      </c>
      <c r="DD16" s="111">
        <v>29</v>
      </c>
      <c r="DE16" s="111">
        <v>7457</v>
      </c>
      <c r="DF16" s="111">
        <v>6672</v>
      </c>
      <c r="DG16" s="111">
        <v>785</v>
      </c>
      <c r="DH16" s="111">
        <v>1026</v>
      </c>
      <c r="DI16" s="111">
        <v>515</v>
      </c>
      <c r="DJ16" s="111">
        <v>511</v>
      </c>
      <c r="DK16" s="111">
        <v>6054</v>
      </c>
      <c r="DL16" s="111">
        <v>4982</v>
      </c>
      <c r="DM16" s="111">
        <v>4375</v>
      </c>
      <c r="DN16" s="111">
        <v>607</v>
      </c>
      <c r="DO16" s="111">
        <v>1072</v>
      </c>
      <c r="DP16" s="111">
        <v>622</v>
      </c>
      <c r="DQ16" s="111">
        <v>450</v>
      </c>
      <c r="DR16" s="111">
        <v>342</v>
      </c>
      <c r="DS16" s="111">
        <v>0</v>
      </c>
      <c r="DT16" s="111">
        <v>175</v>
      </c>
      <c r="DU16" s="111">
        <v>147</v>
      </c>
      <c r="DV16" s="111">
        <v>28</v>
      </c>
      <c r="DW16" s="111">
        <v>167</v>
      </c>
      <c r="DX16" s="111">
        <v>83</v>
      </c>
      <c r="DY16" s="111">
        <v>84</v>
      </c>
      <c r="DZ16" s="111">
        <v>3351</v>
      </c>
      <c r="EA16" s="111">
        <v>2808</v>
      </c>
      <c r="EB16" s="111">
        <v>1800</v>
      </c>
      <c r="EC16" s="111">
        <v>1008</v>
      </c>
      <c r="ED16" s="111">
        <v>543</v>
      </c>
      <c r="EE16" s="111">
        <v>172</v>
      </c>
      <c r="EF16" s="111">
        <v>371</v>
      </c>
      <c r="EG16" s="111">
        <v>963</v>
      </c>
      <c r="EH16" s="111">
        <v>703</v>
      </c>
      <c r="EI16" s="111">
        <v>565</v>
      </c>
      <c r="EJ16" s="111">
        <v>138</v>
      </c>
      <c r="EK16" s="111">
        <v>260</v>
      </c>
      <c r="EL16" s="111">
        <v>212</v>
      </c>
      <c r="EM16" s="111">
        <v>48</v>
      </c>
      <c r="EN16" s="111">
        <v>912</v>
      </c>
      <c r="EO16" s="111">
        <v>877</v>
      </c>
      <c r="EP16" s="111">
        <v>0</v>
      </c>
      <c r="EQ16" s="111">
        <v>35</v>
      </c>
      <c r="ER16" s="111">
        <v>325</v>
      </c>
      <c r="ES16" s="111">
        <v>0</v>
      </c>
      <c r="ET16" s="111">
        <v>0</v>
      </c>
      <c r="EU16" s="111">
        <v>310</v>
      </c>
      <c r="EV16" s="111">
        <v>310</v>
      </c>
      <c r="EW16" s="111">
        <v>0</v>
      </c>
      <c r="EX16" s="111">
        <v>0</v>
      </c>
      <c r="EY16" s="111">
        <v>262</v>
      </c>
      <c r="EZ16" s="111">
        <v>262</v>
      </c>
      <c r="FA16" s="111">
        <v>0</v>
      </c>
      <c r="FB16" s="111">
        <v>447</v>
      </c>
    </row>
    <row r="17" spans="1:158" ht="19.5" customHeight="1">
      <c r="A17" s="107">
        <v>14</v>
      </c>
      <c r="B17" s="107" t="s">
        <v>361</v>
      </c>
      <c r="C17" s="107" t="s">
        <v>365</v>
      </c>
      <c r="D17" s="110">
        <v>11891418.59</v>
      </c>
      <c r="E17" s="110">
        <v>1870288</v>
      </c>
      <c r="F17" s="110">
        <v>10021130.59</v>
      </c>
      <c r="G17" s="110">
        <v>10010</v>
      </c>
      <c r="H17" s="110">
        <v>747</v>
      </c>
      <c r="I17" s="110">
        <v>110855</v>
      </c>
      <c r="J17" s="110">
        <v>4228</v>
      </c>
      <c r="K17" s="110">
        <v>0</v>
      </c>
      <c r="L17" s="110">
        <v>1414593.69</v>
      </c>
      <c r="M17" s="110">
        <v>4154342.4</v>
      </c>
      <c r="N17" s="110">
        <v>0</v>
      </c>
      <c r="O17" s="110">
        <v>25595777.98</v>
      </c>
      <c r="P17" s="110">
        <v>16637102.52</v>
      </c>
      <c r="Q17" s="110">
        <v>16227914.51</v>
      </c>
      <c r="R17" s="110">
        <v>409188.01</v>
      </c>
      <c r="S17" s="110">
        <v>8958675.4600000009</v>
      </c>
      <c r="T17" s="110">
        <v>8598593.1600000001</v>
      </c>
      <c r="U17" s="110">
        <v>360082.3</v>
      </c>
      <c r="V17" s="110">
        <v>7742777.2800000003</v>
      </c>
      <c r="W17" s="110">
        <v>6213905.7199999997</v>
      </c>
      <c r="X17" s="110">
        <v>6092632.4699999997</v>
      </c>
      <c r="Y17" s="110">
        <v>121273.25</v>
      </c>
      <c r="Z17" s="110">
        <v>1528871.56</v>
      </c>
      <c r="AA17" s="110">
        <v>1285878.75</v>
      </c>
      <c r="AB17" s="110">
        <v>242992.81</v>
      </c>
      <c r="AC17" s="110">
        <v>5614944.1299999999</v>
      </c>
      <c r="AD17" s="110">
        <v>4525816.8099999996</v>
      </c>
      <c r="AE17" s="110">
        <v>4478302.88</v>
      </c>
      <c r="AF17" s="110">
        <v>47513.93</v>
      </c>
      <c r="AG17" s="110">
        <v>1089127.32</v>
      </c>
      <c r="AH17" s="110">
        <v>952285.12</v>
      </c>
      <c r="AI17" s="110">
        <v>136842.20000000001</v>
      </c>
      <c r="AJ17" s="110">
        <v>257545.15</v>
      </c>
      <c r="AK17" s="110">
        <v>218265.91</v>
      </c>
      <c r="AL17" s="110">
        <v>207873.59</v>
      </c>
      <c r="AM17" s="110">
        <v>10392.32</v>
      </c>
      <c r="AN17" s="110">
        <v>39279.24</v>
      </c>
      <c r="AO17" s="110">
        <v>32231.63</v>
      </c>
      <c r="AP17" s="110">
        <v>7047.61</v>
      </c>
      <c r="AQ17" s="110">
        <v>1326424</v>
      </c>
      <c r="AR17" s="110">
        <v>1038022</v>
      </c>
      <c r="AS17" s="110">
        <v>999277</v>
      </c>
      <c r="AT17" s="110">
        <v>38745</v>
      </c>
      <c r="AU17" s="110">
        <v>288402</v>
      </c>
      <c r="AV17" s="110">
        <v>218637</v>
      </c>
      <c r="AW17" s="110">
        <v>69765</v>
      </c>
      <c r="AX17" s="110">
        <v>543864</v>
      </c>
      <c r="AY17" s="110">
        <v>431801</v>
      </c>
      <c r="AZ17" s="110">
        <v>407179</v>
      </c>
      <c r="BA17" s="110">
        <v>24622</v>
      </c>
      <c r="BB17" s="110">
        <v>112063</v>
      </c>
      <c r="BC17" s="110">
        <v>82725</v>
      </c>
      <c r="BD17" s="110">
        <v>29338</v>
      </c>
      <c r="BE17" s="110">
        <v>17853000.699999999</v>
      </c>
      <c r="BF17" s="110">
        <v>10423196.800000001</v>
      </c>
      <c r="BG17" s="110">
        <v>10135282.039999999</v>
      </c>
      <c r="BH17" s="110">
        <v>287914.76</v>
      </c>
      <c r="BI17" s="110">
        <v>7429803.9000000004</v>
      </c>
      <c r="BJ17" s="110">
        <v>7312714.4100000001</v>
      </c>
      <c r="BK17" s="110">
        <v>117089.49</v>
      </c>
      <c r="BL17" s="110">
        <v>2349369.1800000002</v>
      </c>
      <c r="BM17" s="110">
        <v>1359290.55</v>
      </c>
      <c r="BN17" s="110">
        <v>1340131.3400000001</v>
      </c>
      <c r="BO17" s="110">
        <v>19159.21</v>
      </c>
      <c r="BP17" s="110">
        <v>990078.63</v>
      </c>
      <c r="BQ17" s="110">
        <v>976488.49</v>
      </c>
      <c r="BR17" s="110">
        <v>13590.14</v>
      </c>
      <c r="BS17" s="110">
        <v>5482500.9299999997</v>
      </c>
      <c r="BT17" s="110">
        <v>3475973.56</v>
      </c>
      <c r="BU17" s="110">
        <v>3360601.26</v>
      </c>
      <c r="BV17" s="110">
        <v>115372.3</v>
      </c>
      <c r="BW17" s="110">
        <v>2006527.37</v>
      </c>
      <c r="BX17" s="110">
        <v>1966856.52</v>
      </c>
      <c r="BY17" s="110">
        <v>39670.85</v>
      </c>
      <c r="BZ17" s="110">
        <v>3080789</v>
      </c>
      <c r="CA17" s="110">
        <v>1791527</v>
      </c>
      <c r="CB17" s="110">
        <v>1762590</v>
      </c>
      <c r="CC17" s="110">
        <v>28937</v>
      </c>
      <c r="CD17" s="110">
        <v>1289262</v>
      </c>
      <c r="CE17" s="110">
        <v>1258248</v>
      </c>
      <c r="CF17" s="110">
        <v>31014</v>
      </c>
      <c r="CG17" s="110">
        <v>6940341.5899999999</v>
      </c>
      <c r="CH17" s="110">
        <v>3796405.69</v>
      </c>
      <c r="CI17" s="110">
        <v>3671959.44</v>
      </c>
      <c r="CJ17" s="110">
        <v>124446.25</v>
      </c>
      <c r="CK17" s="110">
        <v>3143935.9</v>
      </c>
      <c r="CL17" s="110">
        <v>3111121.4</v>
      </c>
      <c r="CM17" s="110">
        <v>32814.5</v>
      </c>
      <c r="CN17" s="110">
        <v>203824.37</v>
      </c>
      <c r="CO17" s="110">
        <v>2243432.59</v>
      </c>
      <c r="CP17" s="110">
        <v>4369263.97</v>
      </c>
      <c r="CQ17" s="110">
        <v>66497.490000000005</v>
      </c>
      <c r="CR17" s="110">
        <v>856494.86</v>
      </c>
      <c r="CS17" s="110">
        <v>3264</v>
      </c>
      <c r="CT17" s="110">
        <v>293378.78999999998</v>
      </c>
      <c r="CU17" s="110">
        <v>0</v>
      </c>
      <c r="CV17" s="111">
        <v>10010</v>
      </c>
      <c r="CW17" s="111">
        <v>8438</v>
      </c>
      <c r="CX17" s="111">
        <v>8068</v>
      </c>
      <c r="CY17" s="111">
        <v>370</v>
      </c>
      <c r="CZ17" s="111">
        <v>1572</v>
      </c>
      <c r="DA17" s="111">
        <v>1120</v>
      </c>
      <c r="DB17" s="111">
        <v>452</v>
      </c>
      <c r="DC17" s="111">
        <v>4906</v>
      </c>
      <c r="DD17" s="111">
        <v>28</v>
      </c>
      <c r="DE17" s="111">
        <v>4269</v>
      </c>
      <c r="DF17" s="111">
        <v>4113</v>
      </c>
      <c r="DG17" s="111">
        <v>156</v>
      </c>
      <c r="DH17" s="111">
        <v>637</v>
      </c>
      <c r="DI17" s="111">
        <v>442</v>
      </c>
      <c r="DJ17" s="111">
        <v>195</v>
      </c>
      <c r="DK17" s="111">
        <v>4129</v>
      </c>
      <c r="DL17" s="111">
        <v>3443</v>
      </c>
      <c r="DM17" s="111">
        <v>3300</v>
      </c>
      <c r="DN17" s="111">
        <v>143</v>
      </c>
      <c r="DO17" s="111">
        <v>686</v>
      </c>
      <c r="DP17" s="111">
        <v>510</v>
      </c>
      <c r="DQ17" s="111">
        <v>176</v>
      </c>
      <c r="DR17" s="111">
        <v>376</v>
      </c>
      <c r="DS17" s="111">
        <v>0</v>
      </c>
      <c r="DT17" s="111">
        <v>211</v>
      </c>
      <c r="DU17" s="111">
        <v>194</v>
      </c>
      <c r="DV17" s="111">
        <v>17</v>
      </c>
      <c r="DW17" s="111">
        <v>165</v>
      </c>
      <c r="DX17" s="111">
        <v>124</v>
      </c>
      <c r="DY17" s="111">
        <v>41</v>
      </c>
      <c r="DZ17" s="111">
        <v>571</v>
      </c>
      <c r="EA17" s="111">
        <v>487</v>
      </c>
      <c r="EB17" s="111">
        <v>433</v>
      </c>
      <c r="EC17" s="111">
        <v>54</v>
      </c>
      <c r="ED17" s="111">
        <v>84</v>
      </c>
      <c r="EE17" s="111">
        <v>44</v>
      </c>
      <c r="EF17" s="111">
        <v>40</v>
      </c>
      <c r="EG17" s="111">
        <v>747</v>
      </c>
      <c r="EH17" s="111">
        <v>488</v>
      </c>
      <c r="EI17" s="111">
        <v>476</v>
      </c>
      <c r="EJ17" s="111">
        <v>12</v>
      </c>
      <c r="EK17" s="111">
        <v>259</v>
      </c>
      <c r="EL17" s="111">
        <v>251</v>
      </c>
      <c r="EM17" s="111">
        <v>8</v>
      </c>
      <c r="EN17" s="111">
        <v>707</v>
      </c>
      <c r="EO17" s="111">
        <v>512</v>
      </c>
      <c r="EP17" s="111">
        <v>0</v>
      </c>
      <c r="EQ17" s="111">
        <v>195</v>
      </c>
      <c r="ER17" s="111">
        <v>148</v>
      </c>
      <c r="ES17" s="111">
        <v>0</v>
      </c>
      <c r="ET17" s="111">
        <v>0</v>
      </c>
      <c r="EU17" s="111">
        <v>280</v>
      </c>
      <c r="EV17" s="111">
        <v>280</v>
      </c>
      <c r="EW17" s="111">
        <v>0</v>
      </c>
      <c r="EX17" s="111">
        <v>0</v>
      </c>
      <c r="EY17" s="111">
        <v>166</v>
      </c>
      <c r="EZ17" s="111">
        <v>166</v>
      </c>
      <c r="FA17" s="111">
        <v>0</v>
      </c>
      <c r="FB17" s="111">
        <v>278</v>
      </c>
    </row>
    <row r="18" spans="1:158" ht="19.5" customHeight="1">
      <c r="A18" s="107">
        <v>15</v>
      </c>
      <c r="B18" s="107" t="s">
        <v>361</v>
      </c>
      <c r="C18" s="107" t="s">
        <v>366</v>
      </c>
      <c r="D18" s="110">
        <v>9765242.8800000008</v>
      </c>
      <c r="E18" s="110">
        <v>861904</v>
      </c>
      <c r="F18" s="110">
        <v>8903338.8800000008</v>
      </c>
      <c r="G18" s="110">
        <v>3314</v>
      </c>
      <c r="H18" s="110">
        <v>359</v>
      </c>
      <c r="I18" s="110">
        <v>2870</v>
      </c>
      <c r="J18" s="110">
        <v>574</v>
      </c>
      <c r="K18" s="110">
        <v>0</v>
      </c>
      <c r="L18" s="110">
        <v>868873.38</v>
      </c>
      <c r="M18" s="110">
        <v>3170914.5</v>
      </c>
      <c r="N18" s="110">
        <v>60</v>
      </c>
      <c r="O18" s="110">
        <v>25066339.039999999</v>
      </c>
      <c r="P18" s="110">
        <v>10415832.390000001</v>
      </c>
      <c r="Q18" s="110">
        <v>10159741.869999999</v>
      </c>
      <c r="R18" s="110">
        <v>256090.52</v>
      </c>
      <c r="S18" s="110">
        <v>14650506.65</v>
      </c>
      <c r="T18" s="110">
        <v>14402062.140000001</v>
      </c>
      <c r="U18" s="110">
        <v>248444.51</v>
      </c>
      <c r="V18" s="110">
        <v>1203345.58</v>
      </c>
      <c r="W18" s="110">
        <v>798544.42</v>
      </c>
      <c r="X18" s="110">
        <v>724664.96</v>
      </c>
      <c r="Y18" s="110">
        <v>73879.460000000006</v>
      </c>
      <c r="Z18" s="110">
        <v>404801.16</v>
      </c>
      <c r="AA18" s="110">
        <v>243296.66</v>
      </c>
      <c r="AB18" s="110">
        <v>161504.5</v>
      </c>
      <c r="AC18" s="110">
        <v>335458.02</v>
      </c>
      <c r="AD18" s="110">
        <v>254086.42</v>
      </c>
      <c r="AE18" s="110">
        <v>235890.96</v>
      </c>
      <c r="AF18" s="110">
        <v>18195.46</v>
      </c>
      <c r="AG18" s="110">
        <v>81371.600000000006</v>
      </c>
      <c r="AH18" s="110">
        <v>59953.74</v>
      </c>
      <c r="AI18" s="110">
        <v>21417.86</v>
      </c>
      <c r="AJ18" s="110">
        <v>5983.56</v>
      </c>
      <c r="AK18" s="110">
        <v>3629</v>
      </c>
      <c r="AL18" s="110">
        <v>3328</v>
      </c>
      <c r="AM18" s="110">
        <v>301</v>
      </c>
      <c r="AN18" s="110">
        <v>2354.56</v>
      </c>
      <c r="AO18" s="110">
        <v>1410.92</v>
      </c>
      <c r="AP18" s="110">
        <v>943.64</v>
      </c>
      <c r="AQ18" s="110">
        <v>710459</v>
      </c>
      <c r="AR18" s="110">
        <v>449190</v>
      </c>
      <c r="AS18" s="110">
        <v>402748</v>
      </c>
      <c r="AT18" s="110">
        <v>46442</v>
      </c>
      <c r="AU18" s="110">
        <v>261269</v>
      </c>
      <c r="AV18" s="110">
        <v>146523</v>
      </c>
      <c r="AW18" s="110">
        <v>114746</v>
      </c>
      <c r="AX18" s="110">
        <v>151445</v>
      </c>
      <c r="AY18" s="110">
        <v>91639</v>
      </c>
      <c r="AZ18" s="110">
        <v>82698</v>
      </c>
      <c r="BA18" s="110">
        <v>8941</v>
      </c>
      <c r="BB18" s="110">
        <v>59806</v>
      </c>
      <c r="BC18" s="110">
        <v>35409</v>
      </c>
      <c r="BD18" s="110">
        <v>24397</v>
      </c>
      <c r="BE18" s="110">
        <v>23862993.460000001</v>
      </c>
      <c r="BF18" s="110">
        <v>9617287.9700000007</v>
      </c>
      <c r="BG18" s="110">
        <v>9435076.9100000001</v>
      </c>
      <c r="BH18" s="110">
        <v>182211.06</v>
      </c>
      <c r="BI18" s="110">
        <v>14245705.49</v>
      </c>
      <c r="BJ18" s="110">
        <v>14158765.48</v>
      </c>
      <c r="BK18" s="110">
        <v>86940.01</v>
      </c>
      <c r="BL18" s="110">
        <v>3504156.72</v>
      </c>
      <c r="BM18" s="110">
        <v>1269847.3700000001</v>
      </c>
      <c r="BN18" s="110">
        <v>1243280.8500000001</v>
      </c>
      <c r="BO18" s="110">
        <v>26566.52</v>
      </c>
      <c r="BP18" s="110">
        <v>2234309.35</v>
      </c>
      <c r="BQ18" s="110">
        <v>2218547.9900000002</v>
      </c>
      <c r="BR18" s="110">
        <v>15761.36</v>
      </c>
      <c r="BS18" s="110">
        <v>11455497.859999999</v>
      </c>
      <c r="BT18" s="110">
        <v>5023213.8499999996</v>
      </c>
      <c r="BU18" s="110">
        <v>4935215.91</v>
      </c>
      <c r="BV18" s="110">
        <v>87997.94</v>
      </c>
      <c r="BW18" s="110">
        <v>6432284.0099999998</v>
      </c>
      <c r="BX18" s="110">
        <v>6399419.46</v>
      </c>
      <c r="BY18" s="110">
        <v>32864.550000000003</v>
      </c>
      <c r="BZ18" s="110">
        <v>3002372.5</v>
      </c>
      <c r="CA18" s="110">
        <v>1099366</v>
      </c>
      <c r="CB18" s="110">
        <v>1072516</v>
      </c>
      <c r="CC18" s="110">
        <v>26850</v>
      </c>
      <c r="CD18" s="110">
        <v>1903006.5</v>
      </c>
      <c r="CE18" s="110">
        <v>1886881.5</v>
      </c>
      <c r="CF18" s="110">
        <v>16125</v>
      </c>
      <c r="CG18" s="110">
        <v>5900966.3799999999</v>
      </c>
      <c r="CH18" s="110">
        <v>2224860.75</v>
      </c>
      <c r="CI18" s="110">
        <v>2184064.15</v>
      </c>
      <c r="CJ18" s="110">
        <v>40796.6</v>
      </c>
      <c r="CK18" s="110">
        <v>3676105.63</v>
      </c>
      <c r="CL18" s="110">
        <v>3653916.53</v>
      </c>
      <c r="CM18" s="110">
        <v>22189.1</v>
      </c>
      <c r="CN18" s="110">
        <v>0</v>
      </c>
      <c r="CO18" s="110">
        <v>252116.35</v>
      </c>
      <c r="CP18" s="110">
        <v>892163.35</v>
      </c>
      <c r="CQ18" s="110">
        <v>29149.84</v>
      </c>
      <c r="CR18" s="110">
        <v>23583.040000000001</v>
      </c>
      <c r="CS18" s="110">
        <v>6333</v>
      </c>
      <c r="CT18" s="110">
        <v>0</v>
      </c>
      <c r="CU18" s="110">
        <v>0</v>
      </c>
      <c r="CV18" s="111">
        <v>3314</v>
      </c>
      <c r="CW18" s="111">
        <v>2156</v>
      </c>
      <c r="CX18" s="111">
        <v>1952</v>
      </c>
      <c r="CY18" s="111">
        <v>204</v>
      </c>
      <c r="CZ18" s="111">
        <v>1158</v>
      </c>
      <c r="DA18" s="111">
        <v>669</v>
      </c>
      <c r="DB18" s="111">
        <v>489</v>
      </c>
      <c r="DC18" s="111">
        <v>861</v>
      </c>
      <c r="DD18" s="111">
        <v>0</v>
      </c>
      <c r="DE18" s="111">
        <v>621</v>
      </c>
      <c r="DF18" s="111">
        <v>568</v>
      </c>
      <c r="DG18" s="111">
        <v>53</v>
      </c>
      <c r="DH18" s="111">
        <v>240</v>
      </c>
      <c r="DI18" s="111">
        <v>136</v>
      </c>
      <c r="DJ18" s="111">
        <v>104</v>
      </c>
      <c r="DK18" s="111">
        <v>2388</v>
      </c>
      <c r="DL18" s="111">
        <v>1522</v>
      </c>
      <c r="DM18" s="111">
        <v>1373</v>
      </c>
      <c r="DN18" s="111">
        <v>149</v>
      </c>
      <c r="DO18" s="111">
        <v>866</v>
      </c>
      <c r="DP18" s="111">
        <v>508</v>
      </c>
      <c r="DQ18" s="111">
        <v>358</v>
      </c>
      <c r="DR18" s="111">
        <v>56</v>
      </c>
      <c r="DS18" s="111">
        <v>9</v>
      </c>
      <c r="DT18" s="111">
        <v>13</v>
      </c>
      <c r="DU18" s="111">
        <v>11</v>
      </c>
      <c r="DV18" s="111">
        <v>2</v>
      </c>
      <c r="DW18" s="111">
        <v>43</v>
      </c>
      <c r="DX18" s="111">
        <v>25</v>
      </c>
      <c r="DY18" s="111">
        <v>18</v>
      </c>
      <c r="DZ18" s="111">
        <v>0</v>
      </c>
      <c r="EA18" s="111">
        <v>0</v>
      </c>
      <c r="EB18" s="111">
        <v>0</v>
      </c>
      <c r="EC18" s="111">
        <v>0</v>
      </c>
      <c r="ED18" s="111">
        <v>0</v>
      </c>
      <c r="EE18" s="111">
        <v>0</v>
      </c>
      <c r="EF18" s="111">
        <v>0</v>
      </c>
      <c r="EG18" s="111">
        <v>359</v>
      </c>
      <c r="EH18" s="111">
        <v>149</v>
      </c>
      <c r="EI18" s="111">
        <v>143</v>
      </c>
      <c r="EJ18" s="111">
        <v>6</v>
      </c>
      <c r="EK18" s="111">
        <v>210</v>
      </c>
      <c r="EL18" s="111">
        <v>206</v>
      </c>
      <c r="EM18" s="111">
        <v>4</v>
      </c>
      <c r="EN18" s="111">
        <v>291</v>
      </c>
      <c r="EO18" s="111">
        <v>245</v>
      </c>
      <c r="EP18" s="111">
        <v>11</v>
      </c>
      <c r="EQ18" s="111">
        <v>35</v>
      </c>
      <c r="ER18" s="111">
        <v>187</v>
      </c>
      <c r="ES18" s="111">
        <v>0</v>
      </c>
      <c r="ET18" s="111">
        <v>0</v>
      </c>
      <c r="EU18" s="111">
        <v>9</v>
      </c>
      <c r="EV18" s="111">
        <v>9</v>
      </c>
      <c r="EW18" s="111">
        <v>0</v>
      </c>
      <c r="EX18" s="111">
        <v>0</v>
      </c>
      <c r="EY18" s="111">
        <v>240</v>
      </c>
      <c r="EZ18" s="111">
        <v>233</v>
      </c>
      <c r="FA18" s="111">
        <v>7</v>
      </c>
      <c r="FB18" s="111">
        <v>206</v>
      </c>
    </row>
    <row r="19" spans="1:158" ht="19.5" customHeight="1">
      <c r="A19" s="107">
        <v>16</v>
      </c>
      <c r="B19" s="107" t="s">
        <v>361</v>
      </c>
      <c r="C19" s="107" t="s">
        <v>367</v>
      </c>
      <c r="D19" s="110">
        <v>2556242.12</v>
      </c>
      <c r="E19" s="110">
        <v>1896768.87</v>
      </c>
      <c r="F19" s="110">
        <v>659473.25</v>
      </c>
      <c r="G19" s="110">
        <v>1014</v>
      </c>
      <c r="H19" s="110">
        <v>35</v>
      </c>
      <c r="I19" s="110">
        <v>125823</v>
      </c>
      <c r="J19" s="110">
        <v>1693650.87</v>
      </c>
      <c r="K19" s="110">
        <v>0</v>
      </c>
      <c r="L19" s="110">
        <v>26600</v>
      </c>
      <c r="M19" s="110">
        <v>326061.25</v>
      </c>
      <c r="N19" s="110">
        <v>0</v>
      </c>
      <c r="O19" s="110">
        <v>2915242.56</v>
      </c>
      <c r="P19" s="110">
        <v>1449359.32</v>
      </c>
      <c r="Q19" s="110">
        <v>21252.77</v>
      </c>
      <c r="R19" s="110">
        <v>1428106.55</v>
      </c>
      <c r="S19" s="110">
        <v>1465883.24</v>
      </c>
      <c r="T19" s="110">
        <v>32648.93</v>
      </c>
      <c r="U19" s="110">
        <v>1433234.31</v>
      </c>
      <c r="V19" s="110">
        <v>2108732.38</v>
      </c>
      <c r="W19" s="110">
        <v>1269962.57</v>
      </c>
      <c r="X19" s="110">
        <v>13823.5</v>
      </c>
      <c r="Y19" s="110">
        <v>1256139.07</v>
      </c>
      <c r="Z19" s="110">
        <v>838769.81</v>
      </c>
      <c r="AA19" s="110">
        <v>2276.4</v>
      </c>
      <c r="AB19" s="110">
        <v>836493.41</v>
      </c>
      <c r="AC19" s="110">
        <v>176516.71</v>
      </c>
      <c r="AD19" s="110">
        <v>120886.38</v>
      </c>
      <c r="AE19" s="110">
        <v>0</v>
      </c>
      <c r="AF19" s="110">
        <v>120886.38</v>
      </c>
      <c r="AG19" s="110">
        <v>55630.33</v>
      </c>
      <c r="AH19" s="110">
        <v>0</v>
      </c>
      <c r="AI19" s="110">
        <v>55630.33</v>
      </c>
      <c r="AJ19" s="110">
        <v>35446.800000000003</v>
      </c>
      <c r="AK19" s="110">
        <v>22890.400000000001</v>
      </c>
      <c r="AL19" s="110">
        <v>571.20000000000005</v>
      </c>
      <c r="AM19" s="110">
        <v>22319.200000000001</v>
      </c>
      <c r="AN19" s="110">
        <v>12556.4</v>
      </c>
      <c r="AO19" s="110">
        <v>73.400000000000006</v>
      </c>
      <c r="AP19" s="110">
        <v>12483</v>
      </c>
      <c r="AQ19" s="110">
        <v>13322</v>
      </c>
      <c r="AR19" s="110">
        <v>5848</v>
      </c>
      <c r="AS19" s="110">
        <v>380</v>
      </c>
      <c r="AT19" s="110">
        <v>5468</v>
      </c>
      <c r="AU19" s="110">
        <v>7474</v>
      </c>
      <c r="AV19" s="110">
        <v>190</v>
      </c>
      <c r="AW19" s="110">
        <v>7284</v>
      </c>
      <c r="AX19" s="110">
        <v>1883446.87</v>
      </c>
      <c r="AY19" s="110">
        <v>1120337.79</v>
      </c>
      <c r="AZ19" s="110">
        <v>12872.3</v>
      </c>
      <c r="BA19" s="110">
        <v>1107465.49</v>
      </c>
      <c r="BB19" s="110">
        <v>763109.08</v>
      </c>
      <c r="BC19" s="110">
        <v>2013</v>
      </c>
      <c r="BD19" s="110">
        <v>761096.08</v>
      </c>
      <c r="BE19" s="110">
        <v>806510.18</v>
      </c>
      <c r="BF19" s="110">
        <v>179396.75</v>
      </c>
      <c r="BG19" s="110">
        <v>7429.27</v>
      </c>
      <c r="BH19" s="110">
        <v>171967.48</v>
      </c>
      <c r="BI19" s="110">
        <v>627113.43000000005</v>
      </c>
      <c r="BJ19" s="110">
        <v>30372.53</v>
      </c>
      <c r="BK19" s="110">
        <v>596740.9</v>
      </c>
      <c r="BL19" s="110">
        <v>32644.15</v>
      </c>
      <c r="BM19" s="110">
        <v>6977.59</v>
      </c>
      <c r="BN19" s="110">
        <v>192.77</v>
      </c>
      <c r="BO19" s="110">
        <v>6784.82</v>
      </c>
      <c r="BP19" s="110">
        <v>25666.560000000001</v>
      </c>
      <c r="BQ19" s="110">
        <v>1902.96</v>
      </c>
      <c r="BR19" s="110">
        <v>23763.599999999999</v>
      </c>
      <c r="BS19" s="110">
        <v>114392.78</v>
      </c>
      <c r="BT19" s="110">
        <v>45040.41</v>
      </c>
      <c r="BU19" s="110">
        <v>0</v>
      </c>
      <c r="BV19" s="110">
        <v>45040.41</v>
      </c>
      <c r="BW19" s="110">
        <v>69352.37</v>
      </c>
      <c r="BX19" s="110">
        <v>6429.32</v>
      </c>
      <c r="BY19" s="110">
        <v>62923.05</v>
      </c>
      <c r="BZ19" s="110">
        <v>36956</v>
      </c>
      <c r="CA19" s="110">
        <v>12955</v>
      </c>
      <c r="CB19" s="110">
        <v>1638</v>
      </c>
      <c r="CC19" s="110">
        <v>11317</v>
      </c>
      <c r="CD19" s="110">
        <v>24001</v>
      </c>
      <c r="CE19" s="110">
        <v>851</v>
      </c>
      <c r="CF19" s="110">
        <v>23150</v>
      </c>
      <c r="CG19" s="110">
        <v>622517.25</v>
      </c>
      <c r="CH19" s="110">
        <v>114423.75</v>
      </c>
      <c r="CI19" s="110">
        <v>5598.5</v>
      </c>
      <c r="CJ19" s="110">
        <v>108825.25</v>
      </c>
      <c r="CK19" s="110">
        <v>508093.5</v>
      </c>
      <c r="CL19" s="110">
        <v>21189.25</v>
      </c>
      <c r="CM19" s="110">
        <v>486904.25</v>
      </c>
      <c r="CN19" s="110">
        <v>410671.89</v>
      </c>
      <c r="CO19" s="110">
        <v>697540.85</v>
      </c>
      <c r="CP19" s="110">
        <v>478597.88</v>
      </c>
      <c r="CQ19" s="110">
        <v>212133.39</v>
      </c>
      <c r="CR19" s="110">
        <v>309788.37</v>
      </c>
      <c r="CS19" s="110">
        <v>0</v>
      </c>
      <c r="CT19" s="110">
        <v>634575.24</v>
      </c>
      <c r="CU19" s="110">
        <v>0</v>
      </c>
      <c r="CV19" s="111">
        <v>1014</v>
      </c>
      <c r="CW19" s="111">
        <v>600</v>
      </c>
      <c r="CX19" s="111">
        <v>8</v>
      </c>
      <c r="CY19" s="111">
        <v>592</v>
      </c>
      <c r="CZ19" s="111">
        <v>414</v>
      </c>
      <c r="DA19" s="111">
        <v>1</v>
      </c>
      <c r="DB19" s="111">
        <v>413</v>
      </c>
      <c r="DC19" s="111">
        <v>475</v>
      </c>
      <c r="DD19" s="111">
        <v>0</v>
      </c>
      <c r="DE19" s="111">
        <v>315</v>
      </c>
      <c r="DF19" s="111">
        <v>7</v>
      </c>
      <c r="DG19" s="111">
        <v>308</v>
      </c>
      <c r="DH19" s="111">
        <v>160</v>
      </c>
      <c r="DI19" s="111">
        <v>1</v>
      </c>
      <c r="DJ19" s="111">
        <v>159</v>
      </c>
      <c r="DK19" s="111">
        <v>272</v>
      </c>
      <c r="DL19" s="111">
        <v>133</v>
      </c>
      <c r="DM19" s="111">
        <v>1</v>
      </c>
      <c r="DN19" s="111">
        <v>132</v>
      </c>
      <c r="DO19" s="111">
        <v>139</v>
      </c>
      <c r="DP19" s="111">
        <v>0</v>
      </c>
      <c r="DQ19" s="111">
        <v>139</v>
      </c>
      <c r="DR19" s="111">
        <v>128</v>
      </c>
      <c r="DS19" s="111">
        <v>0</v>
      </c>
      <c r="DT19" s="111">
        <v>40</v>
      </c>
      <c r="DU19" s="111">
        <v>0</v>
      </c>
      <c r="DV19" s="111">
        <v>40</v>
      </c>
      <c r="DW19" s="111">
        <v>88</v>
      </c>
      <c r="DX19" s="111">
        <v>0</v>
      </c>
      <c r="DY19" s="111">
        <v>88</v>
      </c>
      <c r="DZ19" s="111">
        <v>139</v>
      </c>
      <c r="EA19" s="111">
        <v>112</v>
      </c>
      <c r="EB19" s="111">
        <v>0</v>
      </c>
      <c r="EC19" s="111">
        <v>112</v>
      </c>
      <c r="ED19" s="111">
        <v>27</v>
      </c>
      <c r="EE19" s="111">
        <v>0</v>
      </c>
      <c r="EF19" s="111">
        <v>27</v>
      </c>
      <c r="EG19" s="111">
        <v>35</v>
      </c>
      <c r="EH19" s="111">
        <v>7</v>
      </c>
      <c r="EI19" s="111">
        <v>1</v>
      </c>
      <c r="EJ19" s="111">
        <v>6</v>
      </c>
      <c r="EK19" s="111">
        <v>28</v>
      </c>
      <c r="EL19" s="111">
        <v>1</v>
      </c>
      <c r="EM19" s="111">
        <v>27</v>
      </c>
      <c r="EN19" s="111">
        <v>35</v>
      </c>
      <c r="EO19" s="111">
        <v>30</v>
      </c>
      <c r="EP19" s="111">
        <v>0</v>
      </c>
      <c r="EQ19" s="111">
        <v>5</v>
      </c>
      <c r="ER19" s="111">
        <v>0</v>
      </c>
      <c r="ES19" s="111">
        <v>0</v>
      </c>
      <c r="ET19" s="111">
        <v>0</v>
      </c>
      <c r="EU19" s="111">
        <v>29</v>
      </c>
      <c r="EV19" s="111">
        <v>29</v>
      </c>
      <c r="EW19" s="111">
        <v>0</v>
      </c>
      <c r="EX19" s="111">
        <v>0</v>
      </c>
      <c r="EY19" s="111">
        <v>0</v>
      </c>
      <c r="EZ19" s="111">
        <v>0</v>
      </c>
      <c r="FA19" s="111">
        <v>0</v>
      </c>
      <c r="FB19" s="111">
        <v>2</v>
      </c>
    </row>
    <row r="20" spans="1:158" ht="19.5" customHeight="1">
      <c r="A20" s="107">
        <v>17</v>
      </c>
      <c r="B20" s="107" t="s">
        <v>361</v>
      </c>
      <c r="C20" s="107" t="s">
        <v>368</v>
      </c>
      <c r="D20" s="110">
        <v>5861644.25</v>
      </c>
      <c r="E20" s="110">
        <v>1252673.5</v>
      </c>
      <c r="F20" s="110">
        <v>4608970.75</v>
      </c>
      <c r="G20" s="110">
        <v>4816</v>
      </c>
      <c r="H20" s="110">
        <v>463</v>
      </c>
      <c r="I20" s="110">
        <v>81203</v>
      </c>
      <c r="J20" s="110">
        <v>0</v>
      </c>
      <c r="K20" s="110">
        <v>898.1</v>
      </c>
      <c r="L20" s="110">
        <v>378608.25</v>
      </c>
      <c r="M20" s="110">
        <v>1207141.5</v>
      </c>
      <c r="N20" s="110">
        <v>4358.88</v>
      </c>
      <c r="O20" s="110">
        <v>12274274.279999999</v>
      </c>
      <c r="P20" s="110">
        <v>7681530.75</v>
      </c>
      <c r="Q20" s="110">
        <v>7596699.5999999996</v>
      </c>
      <c r="R20" s="110">
        <v>84831.15</v>
      </c>
      <c r="S20" s="110">
        <v>4592743.53</v>
      </c>
      <c r="T20" s="110">
        <v>4458203.1100000003</v>
      </c>
      <c r="U20" s="110">
        <v>134540.42000000001</v>
      </c>
      <c r="V20" s="110">
        <v>2969673.51</v>
      </c>
      <c r="W20" s="110">
        <v>2421167.54</v>
      </c>
      <c r="X20" s="110">
        <v>2377119.27</v>
      </c>
      <c r="Y20" s="110">
        <v>44048.27</v>
      </c>
      <c r="Z20" s="110">
        <v>548505.97</v>
      </c>
      <c r="AA20" s="110">
        <v>476852.92</v>
      </c>
      <c r="AB20" s="110">
        <v>71653.05</v>
      </c>
      <c r="AC20" s="110">
        <v>1540522.59</v>
      </c>
      <c r="AD20" s="110">
        <v>1258959.9099999999</v>
      </c>
      <c r="AE20" s="110">
        <v>1244482.1599999999</v>
      </c>
      <c r="AF20" s="110">
        <v>14477.75</v>
      </c>
      <c r="AG20" s="110">
        <v>281562.68</v>
      </c>
      <c r="AH20" s="110">
        <v>256738.45</v>
      </c>
      <c r="AI20" s="110">
        <v>24824.23</v>
      </c>
      <c r="AJ20" s="110">
        <v>176477.42</v>
      </c>
      <c r="AK20" s="110">
        <v>135493.13</v>
      </c>
      <c r="AL20" s="110">
        <v>131923.60999999999</v>
      </c>
      <c r="AM20" s="110">
        <v>3569.52</v>
      </c>
      <c r="AN20" s="110">
        <v>40984.29</v>
      </c>
      <c r="AO20" s="110">
        <v>38209.47</v>
      </c>
      <c r="AP20" s="110">
        <v>2774.82</v>
      </c>
      <c r="AQ20" s="110">
        <v>989510</v>
      </c>
      <c r="AR20" s="110">
        <v>813020</v>
      </c>
      <c r="AS20" s="110">
        <v>796820</v>
      </c>
      <c r="AT20" s="110">
        <v>16200</v>
      </c>
      <c r="AU20" s="110">
        <v>176490</v>
      </c>
      <c r="AV20" s="110">
        <v>144014</v>
      </c>
      <c r="AW20" s="110">
        <v>32476</v>
      </c>
      <c r="AX20" s="110">
        <v>263163.5</v>
      </c>
      <c r="AY20" s="110">
        <v>213694.5</v>
      </c>
      <c r="AZ20" s="110">
        <v>203893.5</v>
      </c>
      <c r="BA20" s="110">
        <v>9801</v>
      </c>
      <c r="BB20" s="110">
        <v>49469</v>
      </c>
      <c r="BC20" s="110">
        <v>37891</v>
      </c>
      <c r="BD20" s="110">
        <v>11578</v>
      </c>
      <c r="BE20" s="110">
        <v>9304600.7699999996</v>
      </c>
      <c r="BF20" s="110">
        <v>5260363.21</v>
      </c>
      <c r="BG20" s="110">
        <v>5219580.33</v>
      </c>
      <c r="BH20" s="110">
        <v>40782.879999999997</v>
      </c>
      <c r="BI20" s="110">
        <v>4044237.56</v>
      </c>
      <c r="BJ20" s="110">
        <v>3981350.19</v>
      </c>
      <c r="BK20" s="110">
        <v>62887.37</v>
      </c>
      <c r="BL20" s="110">
        <v>1629267.94</v>
      </c>
      <c r="BM20" s="110">
        <v>856407.15</v>
      </c>
      <c r="BN20" s="110">
        <v>852594.42</v>
      </c>
      <c r="BO20" s="110">
        <v>3812.73</v>
      </c>
      <c r="BP20" s="110">
        <v>772860.79</v>
      </c>
      <c r="BQ20" s="110">
        <v>764102.06</v>
      </c>
      <c r="BR20" s="110">
        <v>8758.73</v>
      </c>
      <c r="BS20" s="110">
        <v>3066362.08</v>
      </c>
      <c r="BT20" s="110">
        <v>1867784.56</v>
      </c>
      <c r="BU20" s="110">
        <v>1856563.16</v>
      </c>
      <c r="BV20" s="110">
        <v>11221.4</v>
      </c>
      <c r="BW20" s="110">
        <v>1198577.52</v>
      </c>
      <c r="BX20" s="110">
        <v>1184065.3799999999</v>
      </c>
      <c r="BY20" s="110">
        <v>14512.14</v>
      </c>
      <c r="BZ20" s="110">
        <v>2068015</v>
      </c>
      <c r="CA20" s="110">
        <v>1054994</v>
      </c>
      <c r="CB20" s="110">
        <v>1051076</v>
      </c>
      <c r="CC20" s="110">
        <v>3918</v>
      </c>
      <c r="CD20" s="110">
        <v>1013021</v>
      </c>
      <c r="CE20" s="110">
        <v>995221</v>
      </c>
      <c r="CF20" s="110">
        <v>17800</v>
      </c>
      <c r="CG20" s="110">
        <v>2540955.75</v>
      </c>
      <c r="CH20" s="110">
        <v>1481177.5</v>
      </c>
      <c r="CI20" s="110">
        <v>1459346.75</v>
      </c>
      <c r="CJ20" s="110">
        <v>21830.75</v>
      </c>
      <c r="CK20" s="110">
        <v>1059778.25</v>
      </c>
      <c r="CL20" s="110">
        <v>1037961.75</v>
      </c>
      <c r="CM20" s="110">
        <v>21816.5</v>
      </c>
      <c r="CN20" s="110">
        <v>110532.23</v>
      </c>
      <c r="CO20" s="110">
        <v>1114673.77</v>
      </c>
      <c r="CP20" s="110">
        <v>1340964.3400000001</v>
      </c>
      <c r="CQ20" s="110">
        <v>243647.35</v>
      </c>
      <c r="CR20" s="110">
        <v>159830.82</v>
      </c>
      <c r="CS20" s="110">
        <v>0</v>
      </c>
      <c r="CT20" s="110">
        <v>75189.36</v>
      </c>
      <c r="CU20" s="110">
        <v>0</v>
      </c>
      <c r="CV20" s="111">
        <v>4816</v>
      </c>
      <c r="CW20" s="111">
        <v>3956</v>
      </c>
      <c r="CX20" s="111">
        <v>3821</v>
      </c>
      <c r="CY20" s="111">
        <v>135</v>
      </c>
      <c r="CZ20" s="111">
        <v>860</v>
      </c>
      <c r="DA20" s="111">
        <v>637</v>
      </c>
      <c r="DB20" s="111">
        <v>223</v>
      </c>
      <c r="DC20" s="111">
        <v>2915</v>
      </c>
      <c r="DD20" s="111">
        <v>4</v>
      </c>
      <c r="DE20" s="111">
        <v>2372</v>
      </c>
      <c r="DF20" s="111">
        <v>2283</v>
      </c>
      <c r="DG20" s="111">
        <v>89</v>
      </c>
      <c r="DH20" s="111">
        <v>543</v>
      </c>
      <c r="DI20" s="111">
        <v>406</v>
      </c>
      <c r="DJ20" s="111">
        <v>137</v>
      </c>
      <c r="DK20" s="111">
        <v>1519</v>
      </c>
      <c r="DL20" s="111">
        <v>1267</v>
      </c>
      <c r="DM20" s="111">
        <v>1235</v>
      </c>
      <c r="DN20" s="111">
        <v>32</v>
      </c>
      <c r="DO20" s="111">
        <v>252</v>
      </c>
      <c r="DP20" s="111">
        <v>183</v>
      </c>
      <c r="DQ20" s="111">
        <v>69</v>
      </c>
      <c r="DR20" s="111">
        <v>104</v>
      </c>
      <c r="DS20" s="111">
        <v>0</v>
      </c>
      <c r="DT20" s="111">
        <v>80</v>
      </c>
      <c r="DU20" s="111">
        <v>70</v>
      </c>
      <c r="DV20" s="111">
        <v>10</v>
      </c>
      <c r="DW20" s="111">
        <v>24</v>
      </c>
      <c r="DX20" s="111">
        <v>16</v>
      </c>
      <c r="DY20" s="111">
        <v>8</v>
      </c>
      <c r="DZ20" s="111">
        <v>274</v>
      </c>
      <c r="EA20" s="111">
        <v>233</v>
      </c>
      <c r="EB20" s="111">
        <v>229</v>
      </c>
      <c r="EC20" s="111">
        <v>4</v>
      </c>
      <c r="ED20" s="111">
        <v>41</v>
      </c>
      <c r="EE20" s="111">
        <v>32</v>
      </c>
      <c r="EF20" s="111">
        <v>9</v>
      </c>
      <c r="EG20" s="111">
        <v>463</v>
      </c>
      <c r="EH20" s="111">
        <v>278</v>
      </c>
      <c r="EI20" s="111">
        <v>274</v>
      </c>
      <c r="EJ20" s="111">
        <v>4</v>
      </c>
      <c r="EK20" s="111">
        <v>185</v>
      </c>
      <c r="EL20" s="111">
        <v>182</v>
      </c>
      <c r="EM20" s="111">
        <v>3</v>
      </c>
      <c r="EN20" s="111">
        <v>442</v>
      </c>
      <c r="EO20" s="111">
        <v>228</v>
      </c>
      <c r="EP20" s="111">
        <v>0</v>
      </c>
      <c r="EQ20" s="111">
        <v>214</v>
      </c>
      <c r="ER20" s="111">
        <v>76</v>
      </c>
      <c r="ES20" s="111">
        <v>0</v>
      </c>
      <c r="ET20" s="111">
        <v>20</v>
      </c>
      <c r="EU20" s="111">
        <v>46</v>
      </c>
      <c r="EV20" s="111">
        <v>29</v>
      </c>
      <c r="EW20" s="111">
        <v>0</v>
      </c>
      <c r="EX20" s="111">
        <v>17</v>
      </c>
      <c r="EY20" s="111">
        <v>73</v>
      </c>
      <c r="EZ20" s="111">
        <v>73</v>
      </c>
      <c r="FA20" s="111">
        <v>0</v>
      </c>
      <c r="FB20" s="111">
        <v>59</v>
      </c>
    </row>
    <row r="21" spans="1:158" ht="19.5" customHeight="1">
      <c r="A21" s="107">
        <v>18</v>
      </c>
      <c r="B21" s="107" t="s">
        <v>361</v>
      </c>
      <c r="C21" s="107" t="s">
        <v>369</v>
      </c>
      <c r="D21" s="110">
        <v>10055737.199999999</v>
      </c>
      <c r="E21" s="110">
        <v>2006146</v>
      </c>
      <c r="F21" s="110">
        <v>8049591.2000000002</v>
      </c>
      <c r="G21" s="110">
        <v>7316</v>
      </c>
      <c r="H21" s="110">
        <v>593</v>
      </c>
      <c r="I21" s="110">
        <v>358</v>
      </c>
      <c r="J21" s="110">
        <v>57</v>
      </c>
      <c r="K21" s="110">
        <v>0</v>
      </c>
      <c r="L21" s="110">
        <v>308596</v>
      </c>
      <c r="M21" s="110">
        <v>3711284.7</v>
      </c>
      <c r="N21" s="110">
        <v>477.15</v>
      </c>
      <c r="O21" s="110">
        <v>28883953.190000001</v>
      </c>
      <c r="P21" s="110">
        <v>18670173.710000001</v>
      </c>
      <c r="Q21" s="110">
        <v>18107644.789999999</v>
      </c>
      <c r="R21" s="110">
        <v>562528.92000000004</v>
      </c>
      <c r="S21" s="110">
        <v>10213779.48</v>
      </c>
      <c r="T21" s="110">
        <v>9406083.4900000002</v>
      </c>
      <c r="U21" s="110">
        <v>807695.99</v>
      </c>
      <c r="V21" s="110">
        <v>2294330.17</v>
      </c>
      <c r="W21" s="110">
        <v>1478703</v>
      </c>
      <c r="X21" s="110">
        <v>1356179.52</v>
      </c>
      <c r="Y21" s="110">
        <v>122523.48</v>
      </c>
      <c r="Z21" s="110">
        <v>815627.17</v>
      </c>
      <c r="AA21" s="110">
        <v>335786.29</v>
      </c>
      <c r="AB21" s="110">
        <v>479840.88</v>
      </c>
      <c r="AC21" s="110">
        <v>265575.17</v>
      </c>
      <c r="AD21" s="110">
        <v>232947</v>
      </c>
      <c r="AE21" s="110">
        <v>222804.52</v>
      </c>
      <c r="AF21" s="110">
        <v>10142.48</v>
      </c>
      <c r="AG21" s="110">
        <v>32628.17</v>
      </c>
      <c r="AH21" s="110">
        <v>23776.29</v>
      </c>
      <c r="AI21" s="110">
        <v>8851.8799999999992</v>
      </c>
      <c r="AJ21" s="110">
        <v>22609</v>
      </c>
      <c r="AK21" s="110">
        <v>20228</v>
      </c>
      <c r="AL21" s="110">
        <v>19668</v>
      </c>
      <c r="AM21" s="110">
        <v>560</v>
      </c>
      <c r="AN21" s="110">
        <v>2381</v>
      </c>
      <c r="AO21" s="110">
        <v>841</v>
      </c>
      <c r="AP21" s="110">
        <v>1540</v>
      </c>
      <c r="AQ21" s="110">
        <v>1513416</v>
      </c>
      <c r="AR21" s="110">
        <v>979919</v>
      </c>
      <c r="AS21" s="110">
        <v>896594</v>
      </c>
      <c r="AT21" s="110">
        <v>83325</v>
      </c>
      <c r="AU21" s="110">
        <v>533497</v>
      </c>
      <c r="AV21" s="110">
        <v>217133</v>
      </c>
      <c r="AW21" s="110">
        <v>316364</v>
      </c>
      <c r="AX21" s="110">
        <v>492730</v>
      </c>
      <c r="AY21" s="110">
        <v>245609</v>
      </c>
      <c r="AZ21" s="110">
        <v>217113</v>
      </c>
      <c r="BA21" s="110">
        <v>28496</v>
      </c>
      <c r="BB21" s="110">
        <v>247121</v>
      </c>
      <c r="BC21" s="110">
        <v>94036</v>
      </c>
      <c r="BD21" s="110">
        <v>153085</v>
      </c>
      <c r="BE21" s="110">
        <v>26589623.02</v>
      </c>
      <c r="BF21" s="110">
        <v>17191470.710000001</v>
      </c>
      <c r="BG21" s="110">
        <v>16751465.27</v>
      </c>
      <c r="BH21" s="110">
        <v>440005.44</v>
      </c>
      <c r="BI21" s="110">
        <v>9398152.3100000005</v>
      </c>
      <c r="BJ21" s="110">
        <v>9070297.1999999993</v>
      </c>
      <c r="BK21" s="110">
        <v>327855.11</v>
      </c>
      <c r="BL21" s="110">
        <v>1613620.88</v>
      </c>
      <c r="BM21" s="110">
        <v>1028341.78</v>
      </c>
      <c r="BN21" s="110">
        <v>1015141.74</v>
      </c>
      <c r="BO21" s="110">
        <v>13200.04</v>
      </c>
      <c r="BP21" s="110">
        <v>585279.1</v>
      </c>
      <c r="BQ21" s="110">
        <v>564821.46</v>
      </c>
      <c r="BR21" s="110">
        <v>20457.64</v>
      </c>
      <c r="BS21" s="110">
        <v>16926410.940000001</v>
      </c>
      <c r="BT21" s="110">
        <v>10682186.73</v>
      </c>
      <c r="BU21" s="110">
        <v>10355150.33</v>
      </c>
      <c r="BV21" s="110">
        <v>327036.40000000002</v>
      </c>
      <c r="BW21" s="110">
        <v>6244224.21</v>
      </c>
      <c r="BX21" s="110">
        <v>6043604.9900000002</v>
      </c>
      <c r="BY21" s="110">
        <v>200619.22</v>
      </c>
      <c r="BZ21" s="110">
        <v>2672794</v>
      </c>
      <c r="CA21" s="110">
        <v>1818818</v>
      </c>
      <c r="CB21" s="110">
        <v>1788657</v>
      </c>
      <c r="CC21" s="110">
        <v>30161</v>
      </c>
      <c r="CD21" s="110">
        <v>853976</v>
      </c>
      <c r="CE21" s="110">
        <v>829289</v>
      </c>
      <c r="CF21" s="110">
        <v>24687</v>
      </c>
      <c r="CG21" s="110">
        <v>5376797.2000000002</v>
      </c>
      <c r="CH21" s="110">
        <v>3662124.2</v>
      </c>
      <c r="CI21" s="110">
        <v>3592516.2</v>
      </c>
      <c r="CJ21" s="110">
        <v>69608</v>
      </c>
      <c r="CK21" s="110">
        <v>1714673</v>
      </c>
      <c r="CL21" s="110">
        <v>1632581.75</v>
      </c>
      <c r="CM21" s="110">
        <v>82091.25</v>
      </c>
      <c r="CN21" s="110">
        <v>1276</v>
      </c>
      <c r="CO21" s="110">
        <v>61852.51</v>
      </c>
      <c r="CP21" s="110">
        <v>1284445.8700000001</v>
      </c>
      <c r="CQ21" s="110">
        <v>521553.05</v>
      </c>
      <c r="CR21" s="110">
        <v>425177.74</v>
      </c>
      <c r="CS21" s="110">
        <v>0</v>
      </c>
      <c r="CT21" s="110">
        <v>144961.65</v>
      </c>
      <c r="CU21" s="110">
        <v>0</v>
      </c>
      <c r="CV21" s="111">
        <v>7316</v>
      </c>
      <c r="CW21" s="111">
        <v>5150</v>
      </c>
      <c r="CX21" s="111">
        <v>4739</v>
      </c>
      <c r="CY21" s="111">
        <v>411</v>
      </c>
      <c r="CZ21" s="111">
        <v>2166</v>
      </c>
      <c r="DA21" s="111">
        <v>964</v>
      </c>
      <c r="DB21" s="111">
        <v>1202</v>
      </c>
      <c r="DC21" s="111">
        <v>2111</v>
      </c>
      <c r="DD21" s="111">
        <v>1</v>
      </c>
      <c r="DE21" s="111">
        <v>1602</v>
      </c>
      <c r="DF21" s="111">
        <v>1508</v>
      </c>
      <c r="DG21" s="111">
        <v>94</v>
      </c>
      <c r="DH21" s="111">
        <v>509</v>
      </c>
      <c r="DI21" s="111">
        <v>238</v>
      </c>
      <c r="DJ21" s="111">
        <v>271</v>
      </c>
      <c r="DK21" s="111">
        <v>4590</v>
      </c>
      <c r="DL21" s="111">
        <v>3401</v>
      </c>
      <c r="DM21" s="111">
        <v>3118</v>
      </c>
      <c r="DN21" s="111">
        <v>283</v>
      </c>
      <c r="DO21" s="111">
        <v>1189</v>
      </c>
      <c r="DP21" s="111">
        <v>557</v>
      </c>
      <c r="DQ21" s="111">
        <v>632</v>
      </c>
      <c r="DR21" s="111">
        <v>610</v>
      </c>
      <c r="DS21" s="111">
        <v>0</v>
      </c>
      <c r="DT21" s="111">
        <v>143</v>
      </c>
      <c r="DU21" s="111">
        <v>109</v>
      </c>
      <c r="DV21" s="111">
        <v>34</v>
      </c>
      <c r="DW21" s="111">
        <v>467</v>
      </c>
      <c r="DX21" s="111">
        <v>168</v>
      </c>
      <c r="DY21" s="111">
        <v>299</v>
      </c>
      <c r="DZ21" s="111">
        <v>4</v>
      </c>
      <c r="EA21" s="111">
        <v>3</v>
      </c>
      <c r="EB21" s="111">
        <v>3</v>
      </c>
      <c r="EC21" s="111">
        <v>0</v>
      </c>
      <c r="ED21" s="111">
        <v>1</v>
      </c>
      <c r="EE21" s="111">
        <v>1</v>
      </c>
      <c r="EF21" s="111">
        <v>0</v>
      </c>
      <c r="EG21" s="111">
        <v>593</v>
      </c>
      <c r="EH21" s="111">
        <v>426</v>
      </c>
      <c r="EI21" s="111">
        <v>416</v>
      </c>
      <c r="EJ21" s="111">
        <v>10</v>
      </c>
      <c r="EK21" s="111">
        <v>167</v>
      </c>
      <c r="EL21" s="111">
        <v>158</v>
      </c>
      <c r="EM21" s="111">
        <v>9</v>
      </c>
      <c r="EN21" s="111">
        <v>546</v>
      </c>
      <c r="EO21" s="111">
        <v>531</v>
      </c>
      <c r="EP21" s="111">
        <v>0</v>
      </c>
      <c r="EQ21" s="111">
        <v>15</v>
      </c>
      <c r="ER21" s="111">
        <v>159</v>
      </c>
      <c r="ES21" s="111">
        <v>0</v>
      </c>
      <c r="ET21" s="111">
        <v>0</v>
      </c>
      <c r="EU21" s="111">
        <v>2</v>
      </c>
      <c r="EV21" s="111">
        <v>2</v>
      </c>
      <c r="EW21" s="111">
        <v>0</v>
      </c>
      <c r="EX21" s="111">
        <v>0</v>
      </c>
      <c r="EY21" s="111">
        <v>511</v>
      </c>
      <c r="EZ21" s="111">
        <v>511</v>
      </c>
      <c r="FA21" s="111">
        <v>0</v>
      </c>
      <c r="FB21" s="111">
        <v>461</v>
      </c>
    </row>
    <row r="22" spans="1:158" ht="19.5" customHeight="1">
      <c r="A22" s="107">
        <v>19</v>
      </c>
      <c r="B22" s="107" t="s">
        <v>361</v>
      </c>
      <c r="C22" s="107" t="s">
        <v>370</v>
      </c>
      <c r="D22" s="110">
        <v>304277.25</v>
      </c>
      <c r="E22" s="110">
        <v>6838</v>
      </c>
      <c r="F22" s="110">
        <v>297439.25</v>
      </c>
      <c r="G22" s="110">
        <v>22</v>
      </c>
      <c r="H22" s="110">
        <v>18</v>
      </c>
      <c r="I22" s="110">
        <v>36</v>
      </c>
      <c r="J22" s="110">
        <v>0</v>
      </c>
      <c r="K22" s="110">
        <v>0</v>
      </c>
      <c r="L22" s="110">
        <v>21001</v>
      </c>
      <c r="M22" s="110">
        <v>62931.25</v>
      </c>
      <c r="N22" s="110">
        <v>0</v>
      </c>
      <c r="O22" s="110">
        <v>646187.68999999994</v>
      </c>
      <c r="P22" s="110">
        <v>479663.44</v>
      </c>
      <c r="Q22" s="110">
        <v>479663.44</v>
      </c>
      <c r="R22" s="110">
        <v>0</v>
      </c>
      <c r="S22" s="110">
        <v>166524.25</v>
      </c>
      <c r="T22" s="110">
        <v>166474.25</v>
      </c>
      <c r="U22" s="110">
        <v>50</v>
      </c>
      <c r="V22" s="110">
        <v>39214.44</v>
      </c>
      <c r="W22" s="110">
        <v>24668.59</v>
      </c>
      <c r="X22" s="110">
        <v>24668.59</v>
      </c>
      <c r="Y22" s="110">
        <v>0</v>
      </c>
      <c r="Z22" s="110">
        <v>14545.85</v>
      </c>
      <c r="AA22" s="110">
        <v>14495.85</v>
      </c>
      <c r="AB22" s="110">
        <v>50</v>
      </c>
      <c r="AC22" s="110">
        <v>32333.439999999999</v>
      </c>
      <c r="AD22" s="110">
        <v>19411.59</v>
      </c>
      <c r="AE22" s="110">
        <v>19411.59</v>
      </c>
      <c r="AF22" s="110">
        <v>0</v>
      </c>
      <c r="AG22" s="110">
        <v>12921.85</v>
      </c>
      <c r="AH22" s="110">
        <v>12921.85</v>
      </c>
      <c r="AI22" s="110">
        <v>0</v>
      </c>
      <c r="AJ22" s="110">
        <v>43</v>
      </c>
      <c r="AK22" s="110">
        <v>43</v>
      </c>
      <c r="AL22" s="110">
        <v>43</v>
      </c>
      <c r="AM22" s="110">
        <v>0</v>
      </c>
      <c r="AN22" s="110">
        <v>0</v>
      </c>
      <c r="AO22" s="110">
        <v>0</v>
      </c>
      <c r="AP22" s="110">
        <v>0</v>
      </c>
      <c r="AQ22" s="110">
        <v>5827</v>
      </c>
      <c r="AR22" s="110">
        <v>4532</v>
      </c>
      <c r="AS22" s="110">
        <v>4532</v>
      </c>
      <c r="AT22" s="110">
        <v>0</v>
      </c>
      <c r="AU22" s="110">
        <v>1295</v>
      </c>
      <c r="AV22" s="110">
        <v>1295</v>
      </c>
      <c r="AW22" s="110">
        <v>0</v>
      </c>
      <c r="AX22" s="110">
        <v>1011</v>
      </c>
      <c r="AY22" s="110">
        <v>682</v>
      </c>
      <c r="AZ22" s="110">
        <v>682</v>
      </c>
      <c r="BA22" s="110">
        <v>0</v>
      </c>
      <c r="BB22" s="110">
        <v>329</v>
      </c>
      <c r="BC22" s="110">
        <v>279</v>
      </c>
      <c r="BD22" s="110">
        <v>50</v>
      </c>
      <c r="BE22" s="110">
        <v>606973.25</v>
      </c>
      <c r="BF22" s="110">
        <v>454994.85</v>
      </c>
      <c r="BG22" s="110">
        <v>454994.85</v>
      </c>
      <c r="BH22" s="110">
        <v>0</v>
      </c>
      <c r="BI22" s="110">
        <v>151978.4</v>
      </c>
      <c r="BJ22" s="110">
        <v>151978.4</v>
      </c>
      <c r="BK22" s="110">
        <v>0</v>
      </c>
      <c r="BL22" s="110">
        <v>143522.18</v>
      </c>
      <c r="BM22" s="110">
        <v>83738.87</v>
      </c>
      <c r="BN22" s="110">
        <v>83738.87</v>
      </c>
      <c r="BO22" s="110">
        <v>0</v>
      </c>
      <c r="BP22" s="110">
        <v>59783.31</v>
      </c>
      <c r="BQ22" s="110">
        <v>59783.31</v>
      </c>
      <c r="BR22" s="110">
        <v>0</v>
      </c>
      <c r="BS22" s="110">
        <v>166011.82</v>
      </c>
      <c r="BT22" s="110">
        <v>139892.23000000001</v>
      </c>
      <c r="BU22" s="110">
        <v>139892.23000000001</v>
      </c>
      <c r="BV22" s="110">
        <v>0</v>
      </c>
      <c r="BW22" s="110">
        <v>26119.59</v>
      </c>
      <c r="BX22" s="110">
        <v>26119.59</v>
      </c>
      <c r="BY22" s="110">
        <v>0</v>
      </c>
      <c r="BZ22" s="110">
        <v>113942</v>
      </c>
      <c r="CA22" s="110">
        <v>80244</v>
      </c>
      <c r="CB22" s="110">
        <v>80244</v>
      </c>
      <c r="CC22" s="110">
        <v>0</v>
      </c>
      <c r="CD22" s="110">
        <v>33698</v>
      </c>
      <c r="CE22" s="110">
        <v>33698</v>
      </c>
      <c r="CF22" s="110">
        <v>0</v>
      </c>
      <c r="CG22" s="110">
        <v>183497.25</v>
      </c>
      <c r="CH22" s="110">
        <v>151119.75</v>
      </c>
      <c r="CI22" s="110">
        <v>151119.75</v>
      </c>
      <c r="CJ22" s="110">
        <v>0</v>
      </c>
      <c r="CK22" s="110">
        <v>32377.5</v>
      </c>
      <c r="CL22" s="110">
        <v>32377.5</v>
      </c>
      <c r="CM22" s="110">
        <v>0</v>
      </c>
      <c r="CN22" s="110">
        <v>0</v>
      </c>
      <c r="CO22" s="110">
        <v>1084</v>
      </c>
      <c r="CP22" s="110">
        <v>38130.44</v>
      </c>
      <c r="CQ22" s="110">
        <v>0</v>
      </c>
      <c r="CR22" s="110">
        <v>0</v>
      </c>
      <c r="CS22" s="110">
        <v>0</v>
      </c>
      <c r="CT22" s="110">
        <v>0</v>
      </c>
      <c r="CU22" s="110">
        <v>0</v>
      </c>
      <c r="CV22" s="111">
        <v>22</v>
      </c>
      <c r="CW22" s="111">
        <v>15</v>
      </c>
      <c r="CX22" s="111">
        <v>15</v>
      </c>
      <c r="CY22" s="111">
        <v>0</v>
      </c>
      <c r="CZ22" s="111">
        <v>7</v>
      </c>
      <c r="DA22" s="111">
        <v>6</v>
      </c>
      <c r="DB22" s="111">
        <v>1</v>
      </c>
      <c r="DC22" s="111">
        <v>1</v>
      </c>
      <c r="DD22" s="111">
        <v>0</v>
      </c>
      <c r="DE22" s="111">
        <v>0</v>
      </c>
      <c r="DF22" s="111">
        <v>0</v>
      </c>
      <c r="DG22" s="111">
        <v>0</v>
      </c>
      <c r="DH22" s="111">
        <v>1</v>
      </c>
      <c r="DI22" s="111">
        <v>1</v>
      </c>
      <c r="DJ22" s="111">
        <v>0</v>
      </c>
      <c r="DK22" s="111">
        <v>21</v>
      </c>
      <c r="DL22" s="111">
        <v>15</v>
      </c>
      <c r="DM22" s="111">
        <v>15</v>
      </c>
      <c r="DN22" s="111">
        <v>0</v>
      </c>
      <c r="DO22" s="111">
        <v>6</v>
      </c>
      <c r="DP22" s="111">
        <v>5</v>
      </c>
      <c r="DQ22" s="111">
        <v>1</v>
      </c>
      <c r="DR22" s="111">
        <v>0</v>
      </c>
      <c r="DS22" s="111">
        <v>0</v>
      </c>
      <c r="DT22" s="111">
        <v>0</v>
      </c>
      <c r="DU22" s="111">
        <v>0</v>
      </c>
      <c r="DV22" s="111">
        <v>0</v>
      </c>
      <c r="DW22" s="111">
        <v>0</v>
      </c>
      <c r="DX22" s="111">
        <v>0</v>
      </c>
      <c r="DY22" s="111">
        <v>0</v>
      </c>
      <c r="DZ22" s="111">
        <v>0</v>
      </c>
      <c r="EA22" s="111">
        <v>0</v>
      </c>
      <c r="EB22" s="111">
        <v>0</v>
      </c>
      <c r="EC22" s="111">
        <v>0</v>
      </c>
      <c r="ED22" s="111">
        <v>0</v>
      </c>
      <c r="EE22" s="111">
        <v>0</v>
      </c>
      <c r="EF22" s="111">
        <v>0</v>
      </c>
      <c r="EG22" s="111">
        <v>18</v>
      </c>
      <c r="EH22" s="111">
        <v>10</v>
      </c>
      <c r="EI22" s="111">
        <v>10</v>
      </c>
      <c r="EJ22" s="111">
        <v>0</v>
      </c>
      <c r="EK22" s="111">
        <v>8</v>
      </c>
      <c r="EL22" s="111">
        <v>8</v>
      </c>
      <c r="EM22" s="111">
        <v>0</v>
      </c>
      <c r="EN22" s="111">
        <v>17</v>
      </c>
      <c r="EO22" s="111">
        <v>14</v>
      </c>
      <c r="EP22" s="111">
        <v>0</v>
      </c>
      <c r="EQ22" s="111">
        <v>3</v>
      </c>
      <c r="ER22" s="111">
        <v>5</v>
      </c>
      <c r="ES22" s="111">
        <v>0</v>
      </c>
      <c r="ET22" s="111">
        <v>0</v>
      </c>
      <c r="EU22" s="111">
        <v>4</v>
      </c>
      <c r="EV22" s="111">
        <v>4</v>
      </c>
      <c r="EW22" s="111">
        <v>0</v>
      </c>
      <c r="EX22" s="111">
        <v>0</v>
      </c>
      <c r="EY22" s="111">
        <v>4</v>
      </c>
      <c r="EZ22" s="111">
        <v>4</v>
      </c>
      <c r="FA22" s="111">
        <v>0</v>
      </c>
      <c r="FB22" s="111">
        <v>0</v>
      </c>
    </row>
    <row r="23" spans="1:158" ht="19.5" customHeight="1">
      <c r="A23" s="107">
        <v>20</v>
      </c>
      <c r="B23" s="107" t="s">
        <v>361</v>
      </c>
      <c r="C23" s="107" t="s">
        <v>371</v>
      </c>
      <c r="D23" s="110">
        <v>4036037.75</v>
      </c>
      <c r="E23" s="110">
        <v>1782469</v>
      </c>
      <c r="F23" s="110">
        <v>2253568.75</v>
      </c>
      <c r="G23" s="110">
        <v>4648</v>
      </c>
      <c r="H23" s="110">
        <v>214</v>
      </c>
      <c r="I23" s="110">
        <v>16378</v>
      </c>
      <c r="J23" s="110">
        <v>5925</v>
      </c>
      <c r="K23" s="110">
        <v>0</v>
      </c>
      <c r="L23" s="110">
        <v>114772.75</v>
      </c>
      <c r="M23" s="110">
        <v>770036</v>
      </c>
      <c r="N23" s="110">
        <v>785.03</v>
      </c>
      <c r="O23" s="110">
        <v>7485633.0499999998</v>
      </c>
      <c r="P23" s="110">
        <v>5096570.79</v>
      </c>
      <c r="Q23" s="110">
        <v>4917266.58</v>
      </c>
      <c r="R23" s="110">
        <v>179304.21</v>
      </c>
      <c r="S23" s="110">
        <v>2389062.2599999998</v>
      </c>
      <c r="T23" s="110">
        <v>2198624.4300000002</v>
      </c>
      <c r="U23" s="110">
        <v>190437.83</v>
      </c>
      <c r="V23" s="110">
        <v>3912334.82</v>
      </c>
      <c r="W23" s="110">
        <v>2999960.3</v>
      </c>
      <c r="X23" s="110">
        <v>2930356.63</v>
      </c>
      <c r="Y23" s="110">
        <v>69603.67</v>
      </c>
      <c r="Z23" s="110">
        <v>912374.52</v>
      </c>
      <c r="AA23" s="110">
        <v>806307.44</v>
      </c>
      <c r="AB23" s="110">
        <v>106067.08</v>
      </c>
      <c r="AC23" s="110">
        <v>2069819.8</v>
      </c>
      <c r="AD23" s="110">
        <v>1544023.65</v>
      </c>
      <c r="AE23" s="110">
        <v>1529145.04</v>
      </c>
      <c r="AF23" s="110">
        <v>14878.61</v>
      </c>
      <c r="AG23" s="110">
        <v>525796.15</v>
      </c>
      <c r="AH23" s="110">
        <v>515137.07</v>
      </c>
      <c r="AI23" s="110">
        <v>10659.08</v>
      </c>
      <c r="AJ23" s="110">
        <v>60046.02</v>
      </c>
      <c r="AK23" s="110">
        <v>42276.65</v>
      </c>
      <c r="AL23" s="110">
        <v>40701.589999999997</v>
      </c>
      <c r="AM23" s="110">
        <v>1575.06</v>
      </c>
      <c r="AN23" s="110">
        <v>17769.37</v>
      </c>
      <c r="AO23" s="110">
        <v>15793.37</v>
      </c>
      <c r="AP23" s="110">
        <v>1976</v>
      </c>
      <c r="AQ23" s="110">
        <v>1502129</v>
      </c>
      <c r="AR23" s="110">
        <v>1205377</v>
      </c>
      <c r="AS23" s="110">
        <v>1162917</v>
      </c>
      <c r="AT23" s="110">
        <v>42460</v>
      </c>
      <c r="AU23" s="110">
        <v>296752</v>
      </c>
      <c r="AV23" s="110">
        <v>221711</v>
      </c>
      <c r="AW23" s="110">
        <v>75041</v>
      </c>
      <c r="AX23" s="110">
        <v>280340</v>
      </c>
      <c r="AY23" s="110">
        <v>208283</v>
      </c>
      <c r="AZ23" s="110">
        <v>197593</v>
      </c>
      <c r="BA23" s="110">
        <v>10690</v>
      </c>
      <c r="BB23" s="110">
        <v>72057</v>
      </c>
      <c r="BC23" s="110">
        <v>53666</v>
      </c>
      <c r="BD23" s="110">
        <v>18391</v>
      </c>
      <c r="BE23" s="110">
        <v>3573298.23</v>
      </c>
      <c r="BF23" s="110">
        <v>2096610.49</v>
      </c>
      <c r="BG23" s="110">
        <v>1986909.95</v>
      </c>
      <c r="BH23" s="110">
        <v>109700.54</v>
      </c>
      <c r="BI23" s="110">
        <v>1476687.74</v>
      </c>
      <c r="BJ23" s="110">
        <v>1392316.99</v>
      </c>
      <c r="BK23" s="110">
        <v>84370.75</v>
      </c>
      <c r="BL23" s="110">
        <v>588599.56999999995</v>
      </c>
      <c r="BM23" s="110">
        <v>326355.8</v>
      </c>
      <c r="BN23" s="110">
        <v>316580.15999999997</v>
      </c>
      <c r="BO23" s="110">
        <v>9775.64</v>
      </c>
      <c r="BP23" s="110">
        <v>262243.77</v>
      </c>
      <c r="BQ23" s="110">
        <v>258597.61</v>
      </c>
      <c r="BR23" s="110">
        <v>3646.16</v>
      </c>
      <c r="BS23" s="110">
        <v>731129.91</v>
      </c>
      <c r="BT23" s="110">
        <v>409565.19</v>
      </c>
      <c r="BU23" s="110">
        <v>392838.54</v>
      </c>
      <c r="BV23" s="110">
        <v>16726.650000000001</v>
      </c>
      <c r="BW23" s="110">
        <v>321564.71999999997</v>
      </c>
      <c r="BX23" s="110">
        <v>280778.38</v>
      </c>
      <c r="BY23" s="110">
        <v>40786.339999999997</v>
      </c>
      <c r="BZ23" s="110">
        <v>1076354</v>
      </c>
      <c r="CA23" s="110">
        <v>647190</v>
      </c>
      <c r="CB23" s="110">
        <v>617404</v>
      </c>
      <c r="CC23" s="110">
        <v>29786</v>
      </c>
      <c r="CD23" s="110">
        <v>429164</v>
      </c>
      <c r="CE23" s="110">
        <v>417810</v>
      </c>
      <c r="CF23" s="110">
        <v>11354</v>
      </c>
      <c r="CG23" s="110">
        <v>1177214.75</v>
      </c>
      <c r="CH23" s="110">
        <v>713499.5</v>
      </c>
      <c r="CI23" s="110">
        <v>660087.25</v>
      </c>
      <c r="CJ23" s="110">
        <v>53412.25</v>
      </c>
      <c r="CK23" s="110">
        <v>463715.25</v>
      </c>
      <c r="CL23" s="110">
        <v>435131</v>
      </c>
      <c r="CM23" s="110">
        <v>28584.25</v>
      </c>
      <c r="CN23" s="110">
        <v>0</v>
      </c>
      <c r="CO23" s="110">
        <v>1846021.01</v>
      </c>
      <c r="CP23" s="110">
        <v>1629289.57</v>
      </c>
      <c r="CQ23" s="110">
        <v>0</v>
      </c>
      <c r="CR23" s="110">
        <v>394449.86</v>
      </c>
      <c r="CS23" s="110">
        <v>42574.38</v>
      </c>
      <c r="CT23" s="110">
        <v>44892.69</v>
      </c>
      <c r="CU23" s="110">
        <v>0</v>
      </c>
      <c r="CV23" s="111">
        <v>4648</v>
      </c>
      <c r="CW23" s="111">
        <v>3768</v>
      </c>
      <c r="CX23" s="111">
        <v>3613</v>
      </c>
      <c r="CY23" s="111">
        <v>155</v>
      </c>
      <c r="CZ23" s="111">
        <v>880</v>
      </c>
      <c r="DA23" s="111">
        <v>639</v>
      </c>
      <c r="DB23" s="111">
        <v>241</v>
      </c>
      <c r="DC23" s="111">
        <v>2027</v>
      </c>
      <c r="DD23" s="111">
        <v>16</v>
      </c>
      <c r="DE23" s="111">
        <v>1696</v>
      </c>
      <c r="DF23" s="111">
        <v>1643</v>
      </c>
      <c r="DG23" s="111">
        <v>53</v>
      </c>
      <c r="DH23" s="111">
        <v>331</v>
      </c>
      <c r="DI23" s="111">
        <v>256</v>
      </c>
      <c r="DJ23" s="111">
        <v>75</v>
      </c>
      <c r="DK23" s="111">
        <v>2258</v>
      </c>
      <c r="DL23" s="111">
        <v>1813</v>
      </c>
      <c r="DM23" s="111">
        <v>1725</v>
      </c>
      <c r="DN23" s="111">
        <v>88</v>
      </c>
      <c r="DO23" s="111">
        <v>445</v>
      </c>
      <c r="DP23" s="111">
        <v>308</v>
      </c>
      <c r="DQ23" s="111">
        <v>137</v>
      </c>
      <c r="DR23" s="111">
        <v>347</v>
      </c>
      <c r="DS23" s="111">
        <v>0</v>
      </c>
      <c r="DT23" s="111">
        <v>243</v>
      </c>
      <c r="DU23" s="111">
        <v>229</v>
      </c>
      <c r="DV23" s="111">
        <v>14</v>
      </c>
      <c r="DW23" s="111">
        <v>104</v>
      </c>
      <c r="DX23" s="111">
        <v>75</v>
      </c>
      <c r="DY23" s="111">
        <v>29</v>
      </c>
      <c r="DZ23" s="111">
        <v>0</v>
      </c>
      <c r="EA23" s="111">
        <v>0</v>
      </c>
      <c r="EB23" s="111">
        <v>0</v>
      </c>
      <c r="EC23" s="111">
        <v>0</v>
      </c>
      <c r="ED23" s="111">
        <v>0</v>
      </c>
      <c r="EE23" s="111">
        <v>0</v>
      </c>
      <c r="EF23" s="111">
        <v>0</v>
      </c>
      <c r="EG23" s="111">
        <v>214</v>
      </c>
      <c r="EH23" s="111">
        <v>135</v>
      </c>
      <c r="EI23" s="111">
        <v>129</v>
      </c>
      <c r="EJ23" s="111">
        <v>6</v>
      </c>
      <c r="EK23" s="111">
        <v>79</v>
      </c>
      <c r="EL23" s="111">
        <v>76</v>
      </c>
      <c r="EM23" s="111">
        <v>3</v>
      </c>
      <c r="EN23" s="111">
        <v>196</v>
      </c>
      <c r="EO23" s="111">
        <v>177</v>
      </c>
      <c r="EP23" s="111">
        <v>0</v>
      </c>
      <c r="EQ23" s="111">
        <v>19</v>
      </c>
      <c r="ER23" s="111">
        <v>0</v>
      </c>
      <c r="ES23" s="111">
        <v>0</v>
      </c>
      <c r="ET23" s="111">
        <v>0</v>
      </c>
      <c r="EU23" s="111">
        <v>137</v>
      </c>
      <c r="EV23" s="111">
        <v>137</v>
      </c>
      <c r="EW23" s="111">
        <v>0</v>
      </c>
      <c r="EX23" s="111">
        <v>0</v>
      </c>
      <c r="EY23" s="111">
        <v>3</v>
      </c>
      <c r="EZ23" s="111">
        <v>3</v>
      </c>
      <c r="FA23" s="111">
        <v>0</v>
      </c>
      <c r="FB23" s="111">
        <v>58</v>
      </c>
    </row>
    <row r="24" spans="1:158" ht="19.5" customHeight="1">
      <c r="A24" s="107">
        <v>21</v>
      </c>
      <c r="B24" s="107" t="s">
        <v>361</v>
      </c>
      <c r="C24" s="107" t="s">
        <v>372</v>
      </c>
      <c r="D24" s="110">
        <v>2092228</v>
      </c>
      <c r="E24" s="110">
        <v>313232</v>
      </c>
      <c r="F24" s="110">
        <v>1778996</v>
      </c>
      <c r="G24" s="110">
        <v>1543</v>
      </c>
      <c r="H24" s="110">
        <v>291</v>
      </c>
      <c r="I24" s="110">
        <v>444</v>
      </c>
      <c r="J24" s="110">
        <v>667</v>
      </c>
      <c r="K24" s="110">
        <v>0</v>
      </c>
      <c r="L24" s="110">
        <v>324264</v>
      </c>
      <c r="M24" s="110">
        <v>188167.5</v>
      </c>
      <c r="N24" s="110">
        <v>0</v>
      </c>
      <c r="O24" s="110">
        <v>13484943.130000001</v>
      </c>
      <c r="P24" s="110">
        <v>9560044.0199999996</v>
      </c>
      <c r="Q24" s="110">
        <v>9469512.8300000001</v>
      </c>
      <c r="R24" s="110">
        <v>90531.19</v>
      </c>
      <c r="S24" s="110">
        <v>3924899.11</v>
      </c>
      <c r="T24" s="110">
        <v>3872014.86</v>
      </c>
      <c r="U24" s="110">
        <v>52884.25</v>
      </c>
      <c r="V24" s="110">
        <v>606389.42000000004</v>
      </c>
      <c r="W24" s="110">
        <v>517247.15</v>
      </c>
      <c r="X24" s="110">
        <v>498442.01</v>
      </c>
      <c r="Y24" s="110">
        <v>18805.14</v>
      </c>
      <c r="Z24" s="110">
        <v>89142.27</v>
      </c>
      <c r="AA24" s="110">
        <v>61124.94</v>
      </c>
      <c r="AB24" s="110">
        <v>28017.33</v>
      </c>
      <c r="AC24" s="110">
        <v>291996.42</v>
      </c>
      <c r="AD24" s="110">
        <v>258134.15</v>
      </c>
      <c r="AE24" s="110">
        <v>251859.01</v>
      </c>
      <c r="AF24" s="110">
        <v>6275.14</v>
      </c>
      <c r="AG24" s="110">
        <v>33862.269999999997</v>
      </c>
      <c r="AH24" s="110">
        <v>24741.94</v>
      </c>
      <c r="AI24" s="110">
        <v>9120.33</v>
      </c>
      <c r="AJ24" s="110">
        <v>1161</v>
      </c>
      <c r="AK24" s="110">
        <v>1032</v>
      </c>
      <c r="AL24" s="110">
        <v>989</v>
      </c>
      <c r="AM24" s="110">
        <v>43</v>
      </c>
      <c r="AN24" s="110">
        <v>129</v>
      </c>
      <c r="AO24" s="110">
        <v>86</v>
      </c>
      <c r="AP24" s="110">
        <v>43</v>
      </c>
      <c r="AQ24" s="110">
        <v>249871</v>
      </c>
      <c r="AR24" s="110">
        <v>206372</v>
      </c>
      <c r="AS24" s="110">
        <v>196621</v>
      </c>
      <c r="AT24" s="110">
        <v>9751</v>
      </c>
      <c r="AU24" s="110">
        <v>43499</v>
      </c>
      <c r="AV24" s="110">
        <v>27995</v>
      </c>
      <c r="AW24" s="110">
        <v>15504</v>
      </c>
      <c r="AX24" s="110">
        <v>63361</v>
      </c>
      <c r="AY24" s="110">
        <v>51709</v>
      </c>
      <c r="AZ24" s="110">
        <v>48973</v>
      </c>
      <c r="BA24" s="110">
        <v>2736</v>
      </c>
      <c r="BB24" s="110">
        <v>11652</v>
      </c>
      <c r="BC24" s="110">
        <v>8302</v>
      </c>
      <c r="BD24" s="110">
        <v>3350</v>
      </c>
      <c r="BE24" s="110">
        <v>12878553.710000001</v>
      </c>
      <c r="BF24" s="110">
        <v>9042796.8699999992</v>
      </c>
      <c r="BG24" s="110">
        <v>8971070.8200000003</v>
      </c>
      <c r="BH24" s="110">
        <v>71726.05</v>
      </c>
      <c r="BI24" s="110">
        <v>3835756.84</v>
      </c>
      <c r="BJ24" s="110">
        <v>3810889.92</v>
      </c>
      <c r="BK24" s="110">
        <v>24866.92</v>
      </c>
      <c r="BL24" s="110">
        <v>775820.68</v>
      </c>
      <c r="BM24" s="110">
        <v>517878.42</v>
      </c>
      <c r="BN24" s="110">
        <v>512927.6</v>
      </c>
      <c r="BO24" s="110">
        <v>4950.82</v>
      </c>
      <c r="BP24" s="110">
        <v>257942.26</v>
      </c>
      <c r="BQ24" s="110">
        <v>256792.66</v>
      </c>
      <c r="BR24" s="110">
        <v>1149.5999999999999</v>
      </c>
      <c r="BS24" s="110">
        <v>10323737.029999999</v>
      </c>
      <c r="BT24" s="110">
        <v>7370226.7000000002</v>
      </c>
      <c r="BU24" s="110">
        <v>7324122.4699999997</v>
      </c>
      <c r="BV24" s="110">
        <v>46104.23</v>
      </c>
      <c r="BW24" s="110">
        <v>2953510.33</v>
      </c>
      <c r="BX24" s="110">
        <v>2932484.51</v>
      </c>
      <c r="BY24" s="110">
        <v>21025.82</v>
      </c>
      <c r="BZ24" s="110">
        <v>1098755</v>
      </c>
      <c r="CA24" s="110">
        <v>716270</v>
      </c>
      <c r="CB24" s="110">
        <v>699444</v>
      </c>
      <c r="CC24" s="110">
        <v>16826</v>
      </c>
      <c r="CD24" s="110">
        <v>382485</v>
      </c>
      <c r="CE24" s="110">
        <v>379890</v>
      </c>
      <c r="CF24" s="110">
        <v>2595</v>
      </c>
      <c r="CG24" s="110">
        <v>680241</v>
      </c>
      <c r="CH24" s="110">
        <v>438421.75</v>
      </c>
      <c r="CI24" s="110">
        <v>434576.75</v>
      </c>
      <c r="CJ24" s="110">
        <v>3845</v>
      </c>
      <c r="CK24" s="110">
        <v>241819.25</v>
      </c>
      <c r="CL24" s="110">
        <v>241722.75</v>
      </c>
      <c r="CM24" s="110">
        <v>96.5</v>
      </c>
      <c r="CN24" s="110">
        <v>0</v>
      </c>
      <c r="CO24" s="110">
        <v>1859.64</v>
      </c>
      <c r="CP24" s="110">
        <v>392473.59999999998</v>
      </c>
      <c r="CQ24" s="110">
        <v>212056.18</v>
      </c>
      <c r="CR24" s="110">
        <v>0</v>
      </c>
      <c r="CS24" s="110">
        <v>0</v>
      </c>
      <c r="CT24" s="110">
        <v>23395</v>
      </c>
      <c r="CU24" s="110">
        <v>0</v>
      </c>
      <c r="CV24" s="111">
        <v>1543</v>
      </c>
      <c r="CW24" s="111">
        <v>1271</v>
      </c>
      <c r="CX24" s="111">
        <v>1206</v>
      </c>
      <c r="CY24" s="111">
        <v>65</v>
      </c>
      <c r="CZ24" s="111">
        <v>272</v>
      </c>
      <c r="DA24" s="111">
        <v>191</v>
      </c>
      <c r="DB24" s="111">
        <v>81</v>
      </c>
      <c r="DC24" s="111">
        <v>565</v>
      </c>
      <c r="DD24" s="111">
        <v>7</v>
      </c>
      <c r="DE24" s="111">
        <v>487</v>
      </c>
      <c r="DF24" s="111">
        <v>469</v>
      </c>
      <c r="DG24" s="111">
        <v>18</v>
      </c>
      <c r="DH24" s="111">
        <v>78</v>
      </c>
      <c r="DI24" s="111">
        <v>50</v>
      </c>
      <c r="DJ24" s="111">
        <v>28</v>
      </c>
      <c r="DK24" s="111">
        <v>971</v>
      </c>
      <c r="DL24" s="111">
        <v>777</v>
      </c>
      <c r="DM24" s="111">
        <v>732</v>
      </c>
      <c r="DN24" s="111">
        <v>45</v>
      </c>
      <c r="DO24" s="111">
        <v>194</v>
      </c>
      <c r="DP24" s="111">
        <v>141</v>
      </c>
      <c r="DQ24" s="111">
        <v>53</v>
      </c>
      <c r="DR24" s="111">
        <v>0</v>
      </c>
      <c r="DS24" s="111">
        <v>0</v>
      </c>
      <c r="DT24" s="111">
        <v>0</v>
      </c>
      <c r="DU24" s="111">
        <v>0</v>
      </c>
      <c r="DV24" s="111">
        <v>0</v>
      </c>
      <c r="DW24" s="111">
        <v>0</v>
      </c>
      <c r="DX24" s="111">
        <v>0</v>
      </c>
      <c r="DY24" s="111">
        <v>0</v>
      </c>
      <c r="DZ24" s="111">
        <v>0</v>
      </c>
      <c r="EA24" s="111">
        <v>0</v>
      </c>
      <c r="EB24" s="111">
        <v>0</v>
      </c>
      <c r="EC24" s="111">
        <v>0</v>
      </c>
      <c r="ED24" s="111">
        <v>0</v>
      </c>
      <c r="EE24" s="111">
        <v>0</v>
      </c>
      <c r="EF24" s="111">
        <v>0</v>
      </c>
      <c r="EG24" s="111">
        <v>291</v>
      </c>
      <c r="EH24" s="111">
        <v>189</v>
      </c>
      <c r="EI24" s="111">
        <v>183</v>
      </c>
      <c r="EJ24" s="111">
        <v>6</v>
      </c>
      <c r="EK24" s="111">
        <v>102</v>
      </c>
      <c r="EL24" s="111">
        <v>101</v>
      </c>
      <c r="EM24" s="111">
        <v>1</v>
      </c>
      <c r="EN24" s="111">
        <v>333</v>
      </c>
      <c r="EO24" s="111">
        <v>93</v>
      </c>
      <c r="EP24" s="111">
        <v>182</v>
      </c>
      <c r="EQ24" s="111">
        <v>58</v>
      </c>
      <c r="ER24" s="111">
        <v>0</v>
      </c>
      <c r="ES24" s="111">
        <v>0</v>
      </c>
      <c r="ET24" s="111">
        <v>0</v>
      </c>
      <c r="EU24" s="111">
        <v>107</v>
      </c>
      <c r="EV24" s="111">
        <v>0</v>
      </c>
      <c r="EW24" s="111">
        <v>106</v>
      </c>
      <c r="EX24" s="111">
        <v>1</v>
      </c>
      <c r="EY24" s="111">
        <v>31</v>
      </c>
      <c r="EZ24" s="111">
        <v>0</v>
      </c>
      <c r="FA24" s="111">
        <v>31</v>
      </c>
      <c r="FB24" s="111">
        <v>84</v>
      </c>
    </row>
    <row r="25" spans="1:158" ht="19.5" customHeight="1">
      <c r="A25" s="107">
        <v>22</v>
      </c>
      <c r="B25" s="107" t="s">
        <v>361</v>
      </c>
      <c r="C25" s="107" t="s">
        <v>373</v>
      </c>
      <c r="D25" s="110">
        <v>12314479.5</v>
      </c>
      <c r="E25" s="110">
        <v>5440619.5</v>
      </c>
      <c r="F25" s="110">
        <v>6873860</v>
      </c>
      <c r="G25" s="110">
        <v>14107</v>
      </c>
      <c r="H25" s="110">
        <v>940</v>
      </c>
      <c r="I25" s="110">
        <v>92683</v>
      </c>
      <c r="J25" s="110">
        <v>15717</v>
      </c>
      <c r="K25" s="110">
        <v>37573.1</v>
      </c>
      <c r="L25" s="110">
        <v>571149.25</v>
      </c>
      <c r="M25" s="110">
        <v>1476369.5</v>
      </c>
      <c r="N25" s="110">
        <v>3642.16</v>
      </c>
      <c r="O25" s="110">
        <v>17277124.640000001</v>
      </c>
      <c r="P25" s="110">
        <v>12986469.84</v>
      </c>
      <c r="Q25" s="110">
        <v>10040546.640000001</v>
      </c>
      <c r="R25" s="110">
        <v>2945923.2</v>
      </c>
      <c r="S25" s="110">
        <v>4290654.8</v>
      </c>
      <c r="T25" s="110">
        <v>2744378.46</v>
      </c>
      <c r="U25" s="110">
        <v>1546276.34</v>
      </c>
      <c r="V25" s="110">
        <v>6810625.0499999998</v>
      </c>
      <c r="W25" s="110">
        <v>5423706.2199999997</v>
      </c>
      <c r="X25" s="110">
        <v>3869847.61</v>
      </c>
      <c r="Y25" s="110">
        <v>1553858.61</v>
      </c>
      <c r="Z25" s="110">
        <v>1386918.83</v>
      </c>
      <c r="AA25" s="110">
        <v>606607.62</v>
      </c>
      <c r="AB25" s="110">
        <v>780311.21</v>
      </c>
      <c r="AC25" s="110">
        <v>1358416.74</v>
      </c>
      <c r="AD25" s="110">
        <v>1121598.01</v>
      </c>
      <c r="AE25" s="110">
        <v>1047184.19</v>
      </c>
      <c r="AF25" s="110">
        <v>74413.820000000007</v>
      </c>
      <c r="AG25" s="110">
        <v>236818.73</v>
      </c>
      <c r="AH25" s="110">
        <v>149773.66</v>
      </c>
      <c r="AI25" s="110">
        <v>87045.07</v>
      </c>
      <c r="AJ25" s="110">
        <v>11588.81</v>
      </c>
      <c r="AK25" s="110">
        <v>8698.2099999999991</v>
      </c>
      <c r="AL25" s="110">
        <v>6623.92</v>
      </c>
      <c r="AM25" s="110">
        <v>2074.29</v>
      </c>
      <c r="AN25" s="110">
        <v>2890.6</v>
      </c>
      <c r="AO25" s="110">
        <v>1568.96</v>
      </c>
      <c r="AP25" s="110">
        <v>1321.64</v>
      </c>
      <c r="AQ25" s="110">
        <v>4658506</v>
      </c>
      <c r="AR25" s="110">
        <v>3674397.5</v>
      </c>
      <c r="AS25" s="110">
        <v>2396379</v>
      </c>
      <c r="AT25" s="110">
        <v>1278018.5</v>
      </c>
      <c r="AU25" s="110">
        <v>984108.5</v>
      </c>
      <c r="AV25" s="110">
        <v>393283</v>
      </c>
      <c r="AW25" s="110">
        <v>590825.5</v>
      </c>
      <c r="AX25" s="110">
        <v>782113.5</v>
      </c>
      <c r="AY25" s="110">
        <v>619012.5</v>
      </c>
      <c r="AZ25" s="110">
        <v>419660.5</v>
      </c>
      <c r="BA25" s="110">
        <v>199352</v>
      </c>
      <c r="BB25" s="110">
        <v>163101</v>
      </c>
      <c r="BC25" s="110">
        <v>61982</v>
      </c>
      <c r="BD25" s="110">
        <v>101119</v>
      </c>
      <c r="BE25" s="110">
        <v>10466499.59</v>
      </c>
      <c r="BF25" s="110">
        <v>7562763.6200000001</v>
      </c>
      <c r="BG25" s="110">
        <v>6170699.0300000003</v>
      </c>
      <c r="BH25" s="110">
        <v>1392064.59</v>
      </c>
      <c r="BI25" s="110">
        <v>2903735.97</v>
      </c>
      <c r="BJ25" s="110">
        <v>2137770.84</v>
      </c>
      <c r="BK25" s="110">
        <v>765965.13</v>
      </c>
      <c r="BL25" s="110">
        <v>1703948.2</v>
      </c>
      <c r="BM25" s="110">
        <v>1179692.97</v>
      </c>
      <c r="BN25" s="110">
        <v>1011117.42</v>
      </c>
      <c r="BO25" s="110">
        <v>168575.55</v>
      </c>
      <c r="BP25" s="110">
        <v>524255.23</v>
      </c>
      <c r="BQ25" s="110">
        <v>449428.42</v>
      </c>
      <c r="BR25" s="110">
        <v>74826.81</v>
      </c>
      <c r="BS25" s="110">
        <v>1888691.39</v>
      </c>
      <c r="BT25" s="110">
        <v>1413458.95</v>
      </c>
      <c r="BU25" s="110">
        <v>1235968.1100000001</v>
      </c>
      <c r="BV25" s="110">
        <v>177490.84</v>
      </c>
      <c r="BW25" s="110">
        <v>475232.44</v>
      </c>
      <c r="BX25" s="110">
        <v>380812.92</v>
      </c>
      <c r="BY25" s="110">
        <v>94419.520000000004</v>
      </c>
      <c r="BZ25" s="110">
        <v>2526723.75</v>
      </c>
      <c r="CA25" s="110">
        <v>1812921.25</v>
      </c>
      <c r="CB25" s="110">
        <v>1597312.75</v>
      </c>
      <c r="CC25" s="110">
        <v>215608.5</v>
      </c>
      <c r="CD25" s="110">
        <v>713802.5</v>
      </c>
      <c r="CE25" s="110">
        <v>572029</v>
      </c>
      <c r="CF25" s="110">
        <v>141773.5</v>
      </c>
      <c r="CG25" s="110">
        <v>4347136.25</v>
      </c>
      <c r="CH25" s="110">
        <v>3156690.45</v>
      </c>
      <c r="CI25" s="110">
        <v>2326300.75</v>
      </c>
      <c r="CJ25" s="110">
        <v>830389.7</v>
      </c>
      <c r="CK25" s="110">
        <v>1190445.8</v>
      </c>
      <c r="CL25" s="110">
        <v>735500.5</v>
      </c>
      <c r="CM25" s="110">
        <v>454945.3</v>
      </c>
      <c r="CN25" s="110">
        <v>168726.2</v>
      </c>
      <c r="CO25" s="110">
        <v>2334987.46</v>
      </c>
      <c r="CP25" s="110">
        <v>2452262.23</v>
      </c>
      <c r="CQ25" s="110">
        <v>955618.07</v>
      </c>
      <c r="CR25" s="110">
        <v>867282.09</v>
      </c>
      <c r="CS25" s="110">
        <v>31720</v>
      </c>
      <c r="CT25" s="110">
        <v>0</v>
      </c>
      <c r="CU25" s="110">
        <v>0</v>
      </c>
      <c r="CV25" s="111">
        <v>14107</v>
      </c>
      <c r="CW25" s="111">
        <v>11589</v>
      </c>
      <c r="CX25" s="111">
        <v>9036</v>
      </c>
      <c r="CY25" s="111">
        <v>2553</v>
      </c>
      <c r="CZ25" s="111">
        <v>2518</v>
      </c>
      <c r="DA25" s="111">
        <v>1073</v>
      </c>
      <c r="DB25" s="111">
        <v>1445</v>
      </c>
      <c r="DC25" s="111">
        <v>8229</v>
      </c>
      <c r="DD25" s="111">
        <v>70</v>
      </c>
      <c r="DE25" s="111">
        <v>7033</v>
      </c>
      <c r="DF25" s="111">
        <v>5761</v>
      </c>
      <c r="DG25" s="111">
        <v>1272</v>
      </c>
      <c r="DH25" s="111">
        <v>1196</v>
      </c>
      <c r="DI25" s="111">
        <v>454</v>
      </c>
      <c r="DJ25" s="111">
        <v>742</v>
      </c>
      <c r="DK25" s="111">
        <v>4490</v>
      </c>
      <c r="DL25" s="111">
        <v>3481</v>
      </c>
      <c r="DM25" s="111">
        <v>2691</v>
      </c>
      <c r="DN25" s="111">
        <v>790</v>
      </c>
      <c r="DO25" s="111">
        <v>1009</v>
      </c>
      <c r="DP25" s="111">
        <v>532</v>
      </c>
      <c r="DQ25" s="111">
        <v>477</v>
      </c>
      <c r="DR25" s="111">
        <v>910</v>
      </c>
      <c r="DS25" s="111">
        <v>0</v>
      </c>
      <c r="DT25" s="111">
        <v>679</v>
      </c>
      <c r="DU25" s="111">
        <v>304</v>
      </c>
      <c r="DV25" s="111">
        <v>375</v>
      </c>
      <c r="DW25" s="111">
        <v>231</v>
      </c>
      <c r="DX25" s="111">
        <v>64</v>
      </c>
      <c r="DY25" s="111">
        <v>167</v>
      </c>
      <c r="DZ25" s="111">
        <v>408</v>
      </c>
      <c r="EA25" s="111">
        <v>328</v>
      </c>
      <c r="EB25" s="111">
        <v>213</v>
      </c>
      <c r="EC25" s="111">
        <v>115</v>
      </c>
      <c r="ED25" s="111">
        <v>80</v>
      </c>
      <c r="EE25" s="111">
        <v>23</v>
      </c>
      <c r="EF25" s="111">
        <v>57</v>
      </c>
      <c r="EG25" s="111">
        <v>940</v>
      </c>
      <c r="EH25" s="111">
        <v>698</v>
      </c>
      <c r="EI25" s="111">
        <v>622</v>
      </c>
      <c r="EJ25" s="111">
        <v>76</v>
      </c>
      <c r="EK25" s="111">
        <v>242</v>
      </c>
      <c r="EL25" s="111">
        <v>198</v>
      </c>
      <c r="EM25" s="111">
        <v>44</v>
      </c>
      <c r="EN25" s="111">
        <v>828</v>
      </c>
      <c r="EO25" s="111">
        <v>475</v>
      </c>
      <c r="EP25" s="111">
        <v>0</v>
      </c>
      <c r="EQ25" s="111">
        <v>353</v>
      </c>
      <c r="ER25" s="111">
        <v>89</v>
      </c>
      <c r="ES25" s="111">
        <v>0</v>
      </c>
      <c r="ET25" s="111">
        <v>0</v>
      </c>
      <c r="EU25" s="111">
        <v>292</v>
      </c>
      <c r="EV25" s="111">
        <v>292</v>
      </c>
      <c r="EW25" s="111">
        <v>0</v>
      </c>
      <c r="EX25" s="111">
        <v>0</v>
      </c>
      <c r="EY25" s="111">
        <v>44</v>
      </c>
      <c r="EZ25" s="111">
        <v>44</v>
      </c>
      <c r="FA25" s="111">
        <v>0</v>
      </c>
      <c r="FB25" s="111">
        <v>221</v>
      </c>
    </row>
    <row r="26" spans="1:158" ht="19.5" customHeight="1">
      <c r="A26" s="107">
        <v>23</v>
      </c>
      <c r="B26" s="107" t="s">
        <v>374</v>
      </c>
      <c r="C26" s="107" t="s">
        <v>375</v>
      </c>
      <c r="D26" s="110">
        <v>1942310</v>
      </c>
      <c r="E26" s="110">
        <v>1942257</v>
      </c>
      <c r="F26" s="110">
        <v>53</v>
      </c>
      <c r="G26" s="110">
        <v>10880</v>
      </c>
      <c r="H26" s="110">
        <v>0</v>
      </c>
      <c r="I26" s="110">
        <v>35884</v>
      </c>
      <c r="J26" s="110">
        <v>0</v>
      </c>
      <c r="K26" s="110">
        <v>0</v>
      </c>
      <c r="L26" s="110">
        <v>8</v>
      </c>
      <c r="M26" s="110">
        <v>0</v>
      </c>
      <c r="N26" s="110">
        <v>0</v>
      </c>
      <c r="O26" s="110">
        <v>4463205.74</v>
      </c>
      <c r="P26" s="110">
        <v>4236784.18</v>
      </c>
      <c r="Q26" s="110">
        <v>4004129.56</v>
      </c>
      <c r="R26" s="110">
        <v>232654.62</v>
      </c>
      <c r="S26" s="110">
        <v>226421.56</v>
      </c>
      <c r="T26" s="110">
        <v>90106.71</v>
      </c>
      <c r="U26" s="110">
        <v>136314.85</v>
      </c>
      <c r="V26" s="110">
        <v>4463152.74</v>
      </c>
      <c r="W26" s="110">
        <v>4236784.18</v>
      </c>
      <c r="X26" s="110">
        <v>4004129.56</v>
      </c>
      <c r="Y26" s="110">
        <v>232654.62</v>
      </c>
      <c r="Z26" s="110">
        <v>226368.56</v>
      </c>
      <c r="AA26" s="110">
        <v>90053.71</v>
      </c>
      <c r="AB26" s="110">
        <v>136314.85</v>
      </c>
      <c r="AC26" s="110">
        <v>2448520.75</v>
      </c>
      <c r="AD26" s="110">
        <v>2334318.2999999998</v>
      </c>
      <c r="AE26" s="110">
        <v>2219937.87</v>
      </c>
      <c r="AF26" s="110">
        <v>114380.43</v>
      </c>
      <c r="AG26" s="110">
        <v>114202.45</v>
      </c>
      <c r="AH26" s="110">
        <v>46229.64</v>
      </c>
      <c r="AI26" s="110">
        <v>67972.81</v>
      </c>
      <c r="AJ26" s="110">
        <v>72374.990000000005</v>
      </c>
      <c r="AK26" s="110">
        <v>67655.88</v>
      </c>
      <c r="AL26" s="110">
        <v>62968.69</v>
      </c>
      <c r="AM26" s="110">
        <v>4687.1899999999996</v>
      </c>
      <c r="AN26" s="110">
        <v>4719.1099999999997</v>
      </c>
      <c r="AO26" s="110">
        <v>2238.0700000000002</v>
      </c>
      <c r="AP26" s="110">
        <v>2481.04</v>
      </c>
      <c r="AQ26" s="110">
        <v>1616844</v>
      </c>
      <c r="AR26" s="110">
        <v>1531769</v>
      </c>
      <c r="AS26" s="110">
        <v>1441500</v>
      </c>
      <c r="AT26" s="110">
        <v>90269</v>
      </c>
      <c r="AU26" s="110">
        <v>85075</v>
      </c>
      <c r="AV26" s="110">
        <v>32359</v>
      </c>
      <c r="AW26" s="110">
        <v>52716</v>
      </c>
      <c r="AX26" s="110">
        <v>325413</v>
      </c>
      <c r="AY26" s="110">
        <v>303041</v>
      </c>
      <c r="AZ26" s="110">
        <v>279723</v>
      </c>
      <c r="BA26" s="110">
        <v>23318</v>
      </c>
      <c r="BB26" s="110">
        <v>22372</v>
      </c>
      <c r="BC26" s="110">
        <v>9227</v>
      </c>
      <c r="BD26" s="110">
        <v>13145</v>
      </c>
      <c r="BE26" s="110">
        <v>53</v>
      </c>
      <c r="BF26" s="110">
        <v>0</v>
      </c>
      <c r="BG26" s="110">
        <v>0</v>
      </c>
      <c r="BH26" s="110">
        <v>0</v>
      </c>
      <c r="BI26" s="110">
        <v>53</v>
      </c>
      <c r="BJ26" s="110">
        <v>53</v>
      </c>
      <c r="BK26" s="110">
        <v>0</v>
      </c>
      <c r="BL26" s="110">
        <v>0</v>
      </c>
      <c r="BM26" s="110">
        <v>0</v>
      </c>
      <c r="BN26" s="110">
        <v>0</v>
      </c>
      <c r="BO26" s="110">
        <v>0</v>
      </c>
      <c r="BP26" s="110">
        <v>0</v>
      </c>
      <c r="BQ26" s="110">
        <v>0</v>
      </c>
      <c r="BR26" s="110">
        <v>0</v>
      </c>
      <c r="BS26" s="110">
        <v>0</v>
      </c>
      <c r="BT26" s="110">
        <v>0</v>
      </c>
      <c r="BU26" s="110">
        <v>0</v>
      </c>
      <c r="BV26" s="110">
        <v>0</v>
      </c>
      <c r="BW26" s="110">
        <v>0</v>
      </c>
      <c r="BX26" s="110">
        <v>0</v>
      </c>
      <c r="BY26" s="110">
        <v>0</v>
      </c>
      <c r="BZ26" s="110">
        <v>0</v>
      </c>
      <c r="CA26" s="110">
        <v>0</v>
      </c>
      <c r="CB26" s="110">
        <v>0</v>
      </c>
      <c r="CC26" s="110">
        <v>0</v>
      </c>
      <c r="CD26" s="110">
        <v>0</v>
      </c>
      <c r="CE26" s="110">
        <v>0</v>
      </c>
      <c r="CF26" s="110">
        <v>0</v>
      </c>
      <c r="CG26" s="110">
        <v>53</v>
      </c>
      <c r="CH26" s="110">
        <v>0</v>
      </c>
      <c r="CI26" s="110">
        <v>0</v>
      </c>
      <c r="CJ26" s="110">
        <v>0</v>
      </c>
      <c r="CK26" s="110">
        <v>53</v>
      </c>
      <c r="CL26" s="110">
        <v>53</v>
      </c>
      <c r="CM26" s="110">
        <v>0</v>
      </c>
      <c r="CN26" s="110">
        <v>320822.05</v>
      </c>
      <c r="CO26" s="110">
        <v>4096095.99</v>
      </c>
      <c r="CP26" s="110">
        <v>27278.35</v>
      </c>
      <c r="CQ26" s="110">
        <v>3055.78</v>
      </c>
      <c r="CR26" s="110">
        <v>15719.57</v>
      </c>
      <c r="CS26" s="110">
        <v>0</v>
      </c>
      <c r="CT26" s="110">
        <v>0</v>
      </c>
      <c r="CU26" s="110">
        <v>0</v>
      </c>
      <c r="CV26" s="111">
        <v>10880</v>
      </c>
      <c r="CW26" s="111">
        <v>10205</v>
      </c>
      <c r="CX26" s="111">
        <v>9479</v>
      </c>
      <c r="CY26" s="111">
        <v>726</v>
      </c>
      <c r="CZ26" s="111">
        <v>675</v>
      </c>
      <c r="DA26" s="111">
        <v>289</v>
      </c>
      <c r="DB26" s="111">
        <v>386</v>
      </c>
      <c r="DC26" s="111">
        <v>9963</v>
      </c>
      <c r="DD26" s="111">
        <v>0</v>
      </c>
      <c r="DE26" s="111">
        <v>9373</v>
      </c>
      <c r="DF26" s="111">
        <v>8758</v>
      </c>
      <c r="DG26" s="111">
        <v>615</v>
      </c>
      <c r="DH26" s="111">
        <v>590</v>
      </c>
      <c r="DI26" s="111">
        <v>250</v>
      </c>
      <c r="DJ26" s="111">
        <v>340</v>
      </c>
      <c r="DK26" s="111">
        <v>105</v>
      </c>
      <c r="DL26" s="111">
        <v>90</v>
      </c>
      <c r="DM26" s="111">
        <v>74</v>
      </c>
      <c r="DN26" s="111">
        <v>16</v>
      </c>
      <c r="DO26" s="111">
        <v>15</v>
      </c>
      <c r="DP26" s="111">
        <v>4</v>
      </c>
      <c r="DQ26" s="111">
        <v>11</v>
      </c>
      <c r="DR26" s="111">
        <v>20</v>
      </c>
      <c r="DS26" s="111">
        <v>0</v>
      </c>
      <c r="DT26" s="111">
        <v>14</v>
      </c>
      <c r="DU26" s="111">
        <v>7</v>
      </c>
      <c r="DV26" s="111">
        <v>7</v>
      </c>
      <c r="DW26" s="111">
        <v>6</v>
      </c>
      <c r="DX26" s="111">
        <v>1</v>
      </c>
      <c r="DY26" s="111">
        <v>5</v>
      </c>
      <c r="DZ26" s="111">
        <v>792</v>
      </c>
      <c r="EA26" s="111">
        <v>728</v>
      </c>
      <c r="EB26" s="111">
        <v>640</v>
      </c>
      <c r="EC26" s="111">
        <v>88</v>
      </c>
      <c r="ED26" s="111">
        <v>64</v>
      </c>
      <c r="EE26" s="111">
        <v>34</v>
      </c>
      <c r="EF26" s="111">
        <v>30</v>
      </c>
      <c r="EG26" s="111">
        <v>0</v>
      </c>
      <c r="EH26" s="111">
        <v>0</v>
      </c>
      <c r="EI26" s="111">
        <v>0</v>
      </c>
      <c r="EJ26" s="111">
        <v>0</v>
      </c>
      <c r="EK26" s="111">
        <v>0</v>
      </c>
      <c r="EL26" s="111">
        <v>0</v>
      </c>
      <c r="EM26" s="111">
        <v>0</v>
      </c>
      <c r="EN26" s="111">
        <v>0</v>
      </c>
      <c r="EO26" s="111">
        <v>0</v>
      </c>
      <c r="EP26" s="111">
        <v>0</v>
      </c>
      <c r="EQ26" s="111">
        <v>0</v>
      </c>
      <c r="ER26" s="111">
        <v>0</v>
      </c>
      <c r="ES26" s="111">
        <v>0</v>
      </c>
      <c r="ET26" s="111">
        <v>0</v>
      </c>
      <c r="EU26" s="111">
        <v>0</v>
      </c>
      <c r="EV26" s="111">
        <v>0</v>
      </c>
      <c r="EW26" s="111">
        <v>0</v>
      </c>
      <c r="EX26" s="111">
        <v>0</v>
      </c>
      <c r="EY26" s="111">
        <v>0</v>
      </c>
      <c r="EZ26" s="111">
        <v>0</v>
      </c>
      <c r="FA26" s="111">
        <v>0</v>
      </c>
      <c r="FB26" s="111">
        <v>0</v>
      </c>
    </row>
    <row r="27" spans="1:158" ht="19.5" customHeight="1">
      <c r="A27" s="107">
        <v>24</v>
      </c>
      <c r="B27" s="107" t="s">
        <v>374</v>
      </c>
      <c r="C27" s="107" t="s">
        <v>376</v>
      </c>
      <c r="D27" s="110">
        <v>2436519.5</v>
      </c>
      <c r="E27" s="110">
        <v>1237492</v>
      </c>
      <c r="F27" s="110">
        <v>1199027.5</v>
      </c>
      <c r="G27" s="110">
        <v>4908</v>
      </c>
      <c r="H27" s="110">
        <v>124</v>
      </c>
      <c r="I27" s="110">
        <v>11143</v>
      </c>
      <c r="J27" s="110">
        <v>88</v>
      </c>
      <c r="K27" s="110">
        <v>0</v>
      </c>
      <c r="L27" s="110">
        <v>56287.5</v>
      </c>
      <c r="M27" s="110">
        <v>91034</v>
      </c>
      <c r="N27" s="110">
        <v>0</v>
      </c>
      <c r="O27" s="110">
        <v>3882298.33</v>
      </c>
      <c r="P27" s="110">
        <v>2424139.9300000002</v>
      </c>
      <c r="Q27" s="110">
        <v>2181530.7799999998</v>
      </c>
      <c r="R27" s="110">
        <v>242609.15</v>
      </c>
      <c r="S27" s="110">
        <v>1458158.4</v>
      </c>
      <c r="T27" s="110">
        <v>1007300.98</v>
      </c>
      <c r="U27" s="110">
        <v>450857.42</v>
      </c>
      <c r="V27" s="110">
        <v>1985127.58</v>
      </c>
      <c r="W27" s="110">
        <v>1802452.5</v>
      </c>
      <c r="X27" s="110">
        <v>1637127.17</v>
      </c>
      <c r="Y27" s="110">
        <v>165325.32999999999</v>
      </c>
      <c r="Z27" s="110">
        <v>182675.08</v>
      </c>
      <c r="AA27" s="110">
        <v>67262.92</v>
      </c>
      <c r="AB27" s="110">
        <v>115412.16</v>
      </c>
      <c r="AC27" s="110">
        <v>726582.89</v>
      </c>
      <c r="AD27" s="110">
        <v>668123.37</v>
      </c>
      <c r="AE27" s="110">
        <v>613715.38</v>
      </c>
      <c r="AF27" s="110">
        <v>54407.99</v>
      </c>
      <c r="AG27" s="110">
        <v>58459.519999999997</v>
      </c>
      <c r="AH27" s="110">
        <v>23700.92</v>
      </c>
      <c r="AI27" s="110">
        <v>34758.6</v>
      </c>
      <c r="AJ27" s="110">
        <v>21052.69</v>
      </c>
      <c r="AK27" s="110">
        <v>19260.13</v>
      </c>
      <c r="AL27" s="110">
        <v>17744.79</v>
      </c>
      <c r="AM27" s="110">
        <v>1515.34</v>
      </c>
      <c r="AN27" s="110">
        <v>1792.56</v>
      </c>
      <c r="AO27" s="110">
        <v>961</v>
      </c>
      <c r="AP27" s="110">
        <v>831.56</v>
      </c>
      <c r="AQ27" s="110">
        <v>979810</v>
      </c>
      <c r="AR27" s="110">
        <v>894224</v>
      </c>
      <c r="AS27" s="110">
        <v>818176</v>
      </c>
      <c r="AT27" s="110">
        <v>76048</v>
      </c>
      <c r="AU27" s="110">
        <v>85586</v>
      </c>
      <c r="AV27" s="110">
        <v>29664</v>
      </c>
      <c r="AW27" s="110">
        <v>55922</v>
      </c>
      <c r="AX27" s="110">
        <v>257682</v>
      </c>
      <c r="AY27" s="110">
        <v>220845</v>
      </c>
      <c r="AZ27" s="110">
        <v>187491</v>
      </c>
      <c r="BA27" s="110">
        <v>33354</v>
      </c>
      <c r="BB27" s="110">
        <v>36837</v>
      </c>
      <c r="BC27" s="110">
        <v>12937</v>
      </c>
      <c r="BD27" s="110">
        <v>23900</v>
      </c>
      <c r="BE27" s="110">
        <v>1897170.75</v>
      </c>
      <c r="BF27" s="110">
        <v>621687.43000000005</v>
      </c>
      <c r="BG27" s="110">
        <v>544403.61</v>
      </c>
      <c r="BH27" s="110">
        <v>77283.820000000007</v>
      </c>
      <c r="BI27" s="110">
        <v>1275483.32</v>
      </c>
      <c r="BJ27" s="110">
        <v>940038.06</v>
      </c>
      <c r="BK27" s="110">
        <v>335445.26</v>
      </c>
      <c r="BL27" s="110">
        <v>548669.44999999995</v>
      </c>
      <c r="BM27" s="110">
        <v>149233.64000000001</v>
      </c>
      <c r="BN27" s="110">
        <v>146871.64000000001</v>
      </c>
      <c r="BO27" s="110">
        <v>2362</v>
      </c>
      <c r="BP27" s="110">
        <v>399435.81</v>
      </c>
      <c r="BQ27" s="110">
        <v>377650.63</v>
      </c>
      <c r="BR27" s="110">
        <v>21785.18</v>
      </c>
      <c r="BS27" s="110">
        <v>149473.79999999999</v>
      </c>
      <c r="BT27" s="110">
        <v>45432.29</v>
      </c>
      <c r="BU27" s="110">
        <v>43670.47</v>
      </c>
      <c r="BV27" s="110">
        <v>1761.82</v>
      </c>
      <c r="BW27" s="110">
        <v>104041.51</v>
      </c>
      <c r="BX27" s="110">
        <v>89255.43</v>
      </c>
      <c r="BY27" s="110">
        <v>14786.08</v>
      </c>
      <c r="BZ27" s="110">
        <v>541199</v>
      </c>
      <c r="CA27" s="110">
        <v>242550</v>
      </c>
      <c r="CB27" s="110">
        <v>210583</v>
      </c>
      <c r="CC27" s="110">
        <v>31967</v>
      </c>
      <c r="CD27" s="110">
        <v>298649</v>
      </c>
      <c r="CE27" s="110">
        <v>278992</v>
      </c>
      <c r="CF27" s="110">
        <v>19657</v>
      </c>
      <c r="CG27" s="110">
        <v>657828.5</v>
      </c>
      <c r="CH27" s="110">
        <v>184471.5</v>
      </c>
      <c r="CI27" s="110">
        <v>143278.5</v>
      </c>
      <c r="CJ27" s="110">
        <v>41193</v>
      </c>
      <c r="CK27" s="110">
        <v>473357</v>
      </c>
      <c r="CL27" s="110">
        <v>194140</v>
      </c>
      <c r="CM27" s="110">
        <v>279217</v>
      </c>
      <c r="CN27" s="110">
        <v>579671.16</v>
      </c>
      <c r="CO27" s="110">
        <v>394239.85</v>
      </c>
      <c r="CP27" s="110">
        <v>99793.39</v>
      </c>
      <c r="CQ27" s="110">
        <v>534395.67000000004</v>
      </c>
      <c r="CR27" s="110">
        <v>377002.51</v>
      </c>
      <c r="CS27" s="110">
        <v>0</v>
      </c>
      <c r="CT27" s="110">
        <v>388292.13</v>
      </c>
      <c r="CU27" s="110">
        <v>0</v>
      </c>
      <c r="CV27" s="111">
        <v>4908</v>
      </c>
      <c r="CW27" s="111">
        <v>4369</v>
      </c>
      <c r="CX27" s="111">
        <v>3830</v>
      </c>
      <c r="CY27" s="111">
        <v>539</v>
      </c>
      <c r="CZ27" s="111">
        <v>539</v>
      </c>
      <c r="DA27" s="111">
        <v>196</v>
      </c>
      <c r="DB27" s="111">
        <v>343</v>
      </c>
      <c r="DC27" s="111">
        <v>2518</v>
      </c>
      <c r="DD27" s="111">
        <v>107</v>
      </c>
      <c r="DE27" s="111">
        <v>2262</v>
      </c>
      <c r="DF27" s="111">
        <v>1996</v>
      </c>
      <c r="DG27" s="111">
        <v>266</v>
      </c>
      <c r="DH27" s="111">
        <v>256</v>
      </c>
      <c r="DI27" s="111">
        <v>93</v>
      </c>
      <c r="DJ27" s="111">
        <v>163</v>
      </c>
      <c r="DK27" s="111">
        <v>303</v>
      </c>
      <c r="DL27" s="111">
        <v>238</v>
      </c>
      <c r="DM27" s="111">
        <v>204</v>
      </c>
      <c r="DN27" s="111">
        <v>34</v>
      </c>
      <c r="DO27" s="111">
        <v>65</v>
      </c>
      <c r="DP27" s="111">
        <v>28</v>
      </c>
      <c r="DQ27" s="111">
        <v>37</v>
      </c>
      <c r="DR27" s="111">
        <v>707</v>
      </c>
      <c r="DS27" s="111">
        <v>0</v>
      </c>
      <c r="DT27" s="111">
        <v>607</v>
      </c>
      <c r="DU27" s="111">
        <v>515</v>
      </c>
      <c r="DV27" s="111">
        <v>92</v>
      </c>
      <c r="DW27" s="111">
        <v>100</v>
      </c>
      <c r="DX27" s="111">
        <v>33</v>
      </c>
      <c r="DY27" s="111">
        <v>67</v>
      </c>
      <c r="DZ27" s="111">
        <v>1273</v>
      </c>
      <c r="EA27" s="111">
        <v>1177</v>
      </c>
      <c r="EB27" s="111">
        <v>1057</v>
      </c>
      <c r="EC27" s="111">
        <v>120</v>
      </c>
      <c r="ED27" s="111">
        <v>96</v>
      </c>
      <c r="EE27" s="111">
        <v>42</v>
      </c>
      <c r="EF27" s="111">
        <v>54</v>
      </c>
      <c r="EG27" s="111">
        <v>124</v>
      </c>
      <c r="EH27" s="111">
        <v>64</v>
      </c>
      <c r="EI27" s="111">
        <v>54</v>
      </c>
      <c r="EJ27" s="111">
        <v>10</v>
      </c>
      <c r="EK27" s="111">
        <v>60</v>
      </c>
      <c r="EL27" s="111">
        <v>56</v>
      </c>
      <c r="EM27" s="111">
        <v>4</v>
      </c>
      <c r="EN27" s="111">
        <v>66</v>
      </c>
      <c r="EO27" s="111">
        <v>1</v>
      </c>
      <c r="EP27" s="111">
        <v>0</v>
      </c>
      <c r="EQ27" s="111">
        <v>65</v>
      </c>
      <c r="ER27" s="111">
        <v>0</v>
      </c>
      <c r="ES27" s="111">
        <v>0</v>
      </c>
      <c r="ET27" s="111">
        <v>0</v>
      </c>
      <c r="EU27" s="111">
        <v>0</v>
      </c>
      <c r="EV27" s="111">
        <v>0</v>
      </c>
      <c r="EW27" s="111">
        <v>0</v>
      </c>
      <c r="EX27" s="111">
        <v>0</v>
      </c>
      <c r="EY27" s="111">
        <v>1</v>
      </c>
      <c r="EZ27" s="111">
        <v>1</v>
      </c>
      <c r="FA27" s="111">
        <v>0</v>
      </c>
      <c r="FB27" s="111">
        <v>35</v>
      </c>
    </row>
    <row r="28" spans="1:158" ht="19.5" customHeight="1">
      <c r="A28" s="107">
        <v>25</v>
      </c>
      <c r="B28" s="107" t="s">
        <v>374</v>
      </c>
      <c r="C28" s="107" t="s">
        <v>377</v>
      </c>
      <c r="D28" s="110">
        <v>5475567.5</v>
      </c>
      <c r="E28" s="110">
        <v>2863275.5</v>
      </c>
      <c r="F28" s="110">
        <v>2612292</v>
      </c>
      <c r="G28" s="110">
        <v>8051</v>
      </c>
      <c r="H28" s="110">
        <v>282</v>
      </c>
      <c r="I28" s="110">
        <v>24150.5</v>
      </c>
      <c r="J28" s="110">
        <v>0</v>
      </c>
      <c r="K28" s="110">
        <v>0</v>
      </c>
      <c r="L28" s="110">
        <v>108958</v>
      </c>
      <c r="M28" s="110">
        <v>1472</v>
      </c>
      <c r="N28" s="110">
        <v>0</v>
      </c>
      <c r="O28" s="110">
        <v>7821727.2599999998</v>
      </c>
      <c r="P28" s="110">
        <v>6738821.6299999999</v>
      </c>
      <c r="Q28" s="110">
        <v>5913511.75</v>
      </c>
      <c r="R28" s="110">
        <v>825309.88</v>
      </c>
      <c r="S28" s="110">
        <v>1082905.6299999999</v>
      </c>
      <c r="T28" s="110">
        <v>698758.57</v>
      </c>
      <c r="U28" s="110">
        <v>384147.06</v>
      </c>
      <c r="V28" s="110">
        <v>4718483.28</v>
      </c>
      <c r="W28" s="110">
        <v>4169832.19</v>
      </c>
      <c r="X28" s="110">
        <v>3733833</v>
      </c>
      <c r="Y28" s="110">
        <v>435999.19</v>
      </c>
      <c r="Z28" s="110">
        <v>548651.09</v>
      </c>
      <c r="AA28" s="110">
        <v>216037.6</v>
      </c>
      <c r="AB28" s="110">
        <v>332613.49</v>
      </c>
      <c r="AC28" s="110">
        <v>1771363.38</v>
      </c>
      <c r="AD28" s="110">
        <v>1589741.25</v>
      </c>
      <c r="AE28" s="110">
        <v>1451784.02</v>
      </c>
      <c r="AF28" s="110">
        <v>137957.23000000001</v>
      </c>
      <c r="AG28" s="110">
        <v>181622.13</v>
      </c>
      <c r="AH28" s="110">
        <v>74945.36</v>
      </c>
      <c r="AI28" s="110">
        <v>106676.77</v>
      </c>
      <c r="AJ28" s="110">
        <v>83844.399999999994</v>
      </c>
      <c r="AK28" s="110">
        <v>74438.44</v>
      </c>
      <c r="AL28" s="110">
        <v>68307.48</v>
      </c>
      <c r="AM28" s="110">
        <v>6130.96</v>
      </c>
      <c r="AN28" s="110">
        <v>9405.9599999999991</v>
      </c>
      <c r="AO28" s="110">
        <v>4372.24</v>
      </c>
      <c r="AP28" s="110">
        <v>5033.72</v>
      </c>
      <c r="AQ28" s="110">
        <v>1831613</v>
      </c>
      <c r="AR28" s="110">
        <v>1631041</v>
      </c>
      <c r="AS28" s="110">
        <v>1484107</v>
      </c>
      <c r="AT28" s="110">
        <v>146934</v>
      </c>
      <c r="AU28" s="110">
        <v>200572</v>
      </c>
      <c r="AV28" s="110">
        <v>80017</v>
      </c>
      <c r="AW28" s="110">
        <v>120555</v>
      </c>
      <c r="AX28" s="110">
        <v>1031662.5</v>
      </c>
      <c r="AY28" s="110">
        <v>874611.5</v>
      </c>
      <c r="AZ28" s="110">
        <v>729634.5</v>
      </c>
      <c r="BA28" s="110">
        <v>144977</v>
      </c>
      <c r="BB28" s="110">
        <v>157051</v>
      </c>
      <c r="BC28" s="110">
        <v>56703</v>
      </c>
      <c r="BD28" s="110">
        <v>100348</v>
      </c>
      <c r="BE28" s="110">
        <v>3103243.98</v>
      </c>
      <c r="BF28" s="110">
        <v>2568989.44</v>
      </c>
      <c r="BG28" s="110">
        <v>2179678.75</v>
      </c>
      <c r="BH28" s="110">
        <v>389310.69</v>
      </c>
      <c r="BI28" s="110">
        <v>534254.54</v>
      </c>
      <c r="BJ28" s="110">
        <v>482720.97</v>
      </c>
      <c r="BK28" s="110">
        <v>51533.57</v>
      </c>
      <c r="BL28" s="110">
        <v>381541.53</v>
      </c>
      <c r="BM28" s="110">
        <v>301971.03999999998</v>
      </c>
      <c r="BN28" s="110">
        <v>276928.61</v>
      </c>
      <c r="BO28" s="110">
        <v>25042.43</v>
      </c>
      <c r="BP28" s="110">
        <v>79570.490000000005</v>
      </c>
      <c r="BQ28" s="110">
        <v>74803.06</v>
      </c>
      <c r="BR28" s="110">
        <v>4767.43</v>
      </c>
      <c r="BS28" s="110">
        <v>109410.45</v>
      </c>
      <c r="BT28" s="110">
        <v>86498.9</v>
      </c>
      <c r="BU28" s="110">
        <v>75580.639999999999</v>
      </c>
      <c r="BV28" s="110">
        <v>10918.26</v>
      </c>
      <c r="BW28" s="110">
        <v>22911.55</v>
      </c>
      <c r="BX28" s="110">
        <v>21281.41</v>
      </c>
      <c r="BY28" s="110">
        <v>1630.14</v>
      </c>
      <c r="BZ28" s="110">
        <v>1703760</v>
      </c>
      <c r="CA28" s="110">
        <v>1401017</v>
      </c>
      <c r="CB28" s="110">
        <v>1272639</v>
      </c>
      <c r="CC28" s="110">
        <v>128378</v>
      </c>
      <c r="CD28" s="110">
        <v>302743</v>
      </c>
      <c r="CE28" s="110">
        <v>283120</v>
      </c>
      <c r="CF28" s="110">
        <v>19623</v>
      </c>
      <c r="CG28" s="110">
        <v>908532</v>
      </c>
      <c r="CH28" s="110">
        <v>779502.5</v>
      </c>
      <c r="CI28" s="110">
        <v>554530.5</v>
      </c>
      <c r="CJ28" s="110">
        <v>224972</v>
      </c>
      <c r="CK28" s="110">
        <v>129029.5</v>
      </c>
      <c r="CL28" s="110">
        <v>103516.5</v>
      </c>
      <c r="CM28" s="110">
        <v>25513</v>
      </c>
      <c r="CN28" s="110">
        <v>769847.3</v>
      </c>
      <c r="CO28" s="110">
        <v>666922.16</v>
      </c>
      <c r="CP28" s="110">
        <v>509785.66</v>
      </c>
      <c r="CQ28" s="110">
        <v>711213.19</v>
      </c>
      <c r="CR28" s="110">
        <v>2060754.97</v>
      </c>
      <c r="CS28" s="110">
        <v>0</v>
      </c>
      <c r="CT28" s="110">
        <v>316558.90999999997</v>
      </c>
      <c r="CU28" s="110">
        <v>0</v>
      </c>
      <c r="CV28" s="111">
        <v>8051</v>
      </c>
      <c r="CW28" s="111">
        <v>7234</v>
      </c>
      <c r="CX28" s="111">
        <v>6469</v>
      </c>
      <c r="CY28" s="111">
        <v>765</v>
      </c>
      <c r="CZ28" s="111">
        <v>817</v>
      </c>
      <c r="DA28" s="111">
        <v>339</v>
      </c>
      <c r="DB28" s="111">
        <v>478</v>
      </c>
      <c r="DC28" s="111">
        <v>2747</v>
      </c>
      <c r="DD28" s="111">
        <v>44</v>
      </c>
      <c r="DE28" s="111">
        <v>2562</v>
      </c>
      <c r="DF28" s="111">
        <v>2350</v>
      </c>
      <c r="DG28" s="111">
        <v>212</v>
      </c>
      <c r="DH28" s="111">
        <v>185</v>
      </c>
      <c r="DI28" s="111">
        <v>84</v>
      </c>
      <c r="DJ28" s="111">
        <v>101</v>
      </c>
      <c r="DK28" s="111">
        <v>1090</v>
      </c>
      <c r="DL28" s="111">
        <v>970</v>
      </c>
      <c r="DM28" s="111">
        <v>889</v>
      </c>
      <c r="DN28" s="111">
        <v>81</v>
      </c>
      <c r="DO28" s="111">
        <v>120</v>
      </c>
      <c r="DP28" s="111">
        <v>47</v>
      </c>
      <c r="DQ28" s="111">
        <v>73</v>
      </c>
      <c r="DR28" s="111">
        <v>2303</v>
      </c>
      <c r="DS28" s="111">
        <v>2</v>
      </c>
      <c r="DT28" s="111">
        <v>1952</v>
      </c>
      <c r="DU28" s="111">
        <v>1672</v>
      </c>
      <c r="DV28" s="111">
        <v>280</v>
      </c>
      <c r="DW28" s="111">
        <v>351</v>
      </c>
      <c r="DX28" s="111">
        <v>131</v>
      </c>
      <c r="DY28" s="111">
        <v>220</v>
      </c>
      <c r="DZ28" s="111">
        <v>1865</v>
      </c>
      <c r="EA28" s="111">
        <v>1707</v>
      </c>
      <c r="EB28" s="111">
        <v>1518</v>
      </c>
      <c r="EC28" s="111">
        <v>189</v>
      </c>
      <c r="ED28" s="111">
        <v>158</v>
      </c>
      <c r="EE28" s="111">
        <v>77</v>
      </c>
      <c r="EF28" s="111">
        <v>81</v>
      </c>
      <c r="EG28" s="111">
        <v>282</v>
      </c>
      <c r="EH28" s="111">
        <v>229</v>
      </c>
      <c r="EI28" s="111">
        <v>200</v>
      </c>
      <c r="EJ28" s="111">
        <v>29</v>
      </c>
      <c r="EK28" s="111">
        <v>53</v>
      </c>
      <c r="EL28" s="111">
        <v>49</v>
      </c>
      <c r="EM28" s="111">
        <v>4</v>
      </c>
      <c r="EN28" s="111">
        <v>12</v>
      </c>
      <c r="EO28" s="111">
        <v>0</v>
      </c>
      <c r="EP28" s="111">
        <v>0</v>
      </c>
      <c r="EQ28" s="111">
        <v>12</v>
      </c>
      <c r="ER28" s="111">
        <v>0</v>
      </c>
      <c r="ES28" s="111">
        <v>0</v>
      </c>
      <c r="ET28" s="111">
        <v>0</v>
      </c>
      <c r="EU28" s="111">
        <v>0</v>
      </c>
      <c r="EV28" s="111">
        <v>0</v>
      </c>
      <c r="EW28" s="111">
        <v>0</v>
      </c>
      <c r="EX28" s="111">
        <v>0</v>
      </c>
      <c r="EY28" s="111">
        <v>0</v>
      </c>
      <c r="EZ28" s="111">
        <v>0</v>
      </c>
      <c r="FA28" s="111">
        <v>0</v>
      </c>
      <c r="FB28" s="111">
        <v>217</v>
      </c>
    </row>
    <row r="29" spans="1:158" ht="19.5" customHeight="1">
      <c r="A29" s="107">
        <v>26</v>
      </c>
      <c r="B29" s="107" t="s">
        <v>374</v>
      </c>
      <c r="C29" s="107" t="s">
        <v>378</v>
      </c>
      <c r="D29" s="110">
        <v>2086805.75</v>
      </c>
      <c r="E29" s="110">
        <v>1381903</v>
      </c>
      <c r="F29" s="110">
        <v>704902.75</v>
      </c>
      <c r="G29" s="110">
        <v>6656</v>
      </c>
      <c r="H29" s="110">
        <v>95</v>
      </c>
      <c r="I29" s="110">
        <v>21500</v>
      </c>
      <c r="J29" s="110">
        <v>0</v>
      </c>
      <c r="K29" s="110">
        <v>0</v>
      </c>
      <c r="L29" s="110">
        <v>9663</v>
      </c>
      <c r="M29" s="110">
        <v>13148.25</v>
      </c>
      <c r="N29" s="110">
        <v>1369.14</v>
      </c>
      <c r="O29" s="110">
        <v>3621478.99</v>
      </c>
      <c r="P29" s="110">
        <v>2679630.0499999998</v>
      </c>
      <c r="Q29" s="110">
        <v>2447250.5</v>
      </c>
      <c r="R29" s="110">
        <v>232379.55</v>
      </c>
      <c r="S29" s="110">
        <v>941848.94</v>
      </c>
      <c r="T29" s="110">
        <v>704967.63</v>
      </c>
      <c r="U29" s="110">
        <v>236881.31</v>
      </c>
      <c r="V29" s="110">
        <v>2607790.12</v>
      </c>
      <c r="W29" s="110">
        <v>2311653.11</v>
      </c>
      <c r="X29" s="110">
        <v>2125417.98</v>
      </c>
      <c r="Y29" s="110">
        <v>186235.13</v>
      </c>
      <c r="Z29" s="110">
        <v>296137.01</v>
      </c>
      <c r="AA29" s="110">
        <v>118808.19</v>
      </c>
      <c r="AB29" s="110">
        <v>177328.82</v>
      </c>
      <c r="AC29" s="110">
        <v>1184931.05</v>
      </c>
      <c r="AD29" s="110">
        <v>1076351.8400000001</v>
      </c>
      <c r="AE29" s="110">
        <v>1001007.21</v>
      </c>
      <c r="AF29" s="110">
        <v>75344.63</v>
      </c>
      <c r="AG29" s="110">
        <v>108579.21</v>
      </c>
      <c r="AH29" s="110">
        <v>39737.910000000003</v>
      </c>
      <c r="AI29" s="110">
        <v>68841.3</v>
      </c>
      <c r="AJ29" s="110">
        <v>40956.07</v>
      </c>
      <c r="AK29" s="110">
        <v>38582.269999999997</v>
      </c>
      <c r="AL29" s="110">
        <v>35209.769999999997</v>
      </c>
      <c r="AM29" s="110">
        <v>3372.5</v>
      </c>
      <c r="AN29" s="110">
        <v>2373.8000000000002</v>
      </c>
      <c r="AO29" s="110">
        <v>1025.28</v>
      </c>
      <c r="AP29" s="110">
        <v>1348.52</v>
      </c>
      <c r="AQ29" s="110">
        <v>974934</v>
      </c>
      <c r="AR29" s="110">
        <v>862734</v>
      </c>
      <c r="AS29" s="110">
        <v>795691</v>
      </c>
      <c r="AT29" s="110">
        <v>67043</v>
      </c>
      <c r="AU29" s="110">
        <v>112200</v>
      </c>
      <c r="AV29" s="110">
        <v>48581</v>
      </c>
      <c r="AW29" s="110">
        <v>63619</v>
      </c>
      <c r="AX29" s="110">
        <v>406969</v>
      </c>
      <c r="AY29" s="110">
        <v>333985</v>
      </c>
      <c r="AZ29" s="110">
        <v>293510</v>
      </c>
      <c r="BA29" s="110">
        <v>40475</v>
      </c>
      <c r="BB29" s="110">
        <v>72984</v>
      </c>
      <c r="BC29" s="110">
        <v>29464</v>
      </c>
      <c r="BD29" s="110">
        <v>43520</v>
      </c>
      <c r="BE29" s="110">
        <v>1013688.87</v>
      </c>
      <c r="BF29" s="110">
        <v>367976.94</v>
      </c>
      <c r="BG29" s="110">
        <v>321832.52</v>
      </c>
      <c r="BH29" s="110">
        <v>46144.42</v>
      </c>
      <c r="BI29" s="110">
        <v>645711.93000000005</v>
      </c>
      <c r="BJ29" s="110">
        <v>586159.43999999994</v>
      </c>
      <c r="BK29" s="110">
        <v>59552.49</v>
      </c>
      <c r="BL29" s="110">
        <v>277936.90000000002</v>
      </c>
      <c r="BM29" s="110">
        <v>89949.94</v>
      </c>
      <c r="BN29" s="110">
        <v>87919.72</v>
      </c>
      <c r="BO29" s="110">
        <v>2030.22</v>
      </c>
      <c r="BP29" s="110">
        <v>187986.96</v>
      </c>
      <c r="BQ29" s="110">
        <v>183985.59</v>
      </c>
      <c r="BR29" s="110">
        <v>4001.37</v>
      </c>
      <c r="BS29" s="110">
        <v>30849.22</v>
      </c>
      <c r="BT29" s="110">
        <v>8211</v>
      </c>
      <c r="BU29" s="110">
        <v>7363.8</v>
      </c>
      <c r="BV29" s="110">
        <v>847.2</v>
      </c>
      <c r="BW29" s="110">
        <v>22638.22</v>
      </c>
      <c r="BX29" s="110">
        <v>21689.599999999999</v>
      </c>
      <c r="BY29" s="110">
        <v>948.62</v>
      </c>
      <c r="BZ29" s="110">
        <v>510369</v>
      </c>
      <c r="CA29" s="110">
        <v>191936</v>
      </c>
      <c r="CB29" s="110">
        <v>171951</v>
      </c>
      <c r="CC29" s="110">
        <v>19985</v>
      </c>
      <c r="CD29" s="110">
        <v>318433</v>
      </c>
      <c r="CE29" s="110">
        <v>281704</v>
      </c>
      <c r="CF29" s="110">
        <v>36729</v>
      </c>
      <c r="CG29" s="110">
        <v>194533.75</v>
      </c>
      <c r="CH29" s="110">
        <v>77880</v>
      </c>
      <c r="CI29" s="110">
        <v>54598</v>
      </c>
      <c r="CJ29" s="110">
        <v>23282</v>
      </c>
      <c r="CK29" s="110">
        <v>116653.75</v>
      </c>
      <c r="CL29" s="110">
        <v>98780.25</v>
      </c>
      <c r="CM29" s="110">
        <v>17873.5</v>
      </c>
      <c r="CN29" s="110">
        <v>411695.18</v>
      </c>
      <c r="CO29" s="110">
        <v>867419.64</v>
      </c>
      <c r="CP29" s="110">
        <v>711301.42</v>
      </c>
      <c r="CQ29" s="110">
        <v>52207.89</v>
      </c>
      <c r="CR29" s="110">
        <v>565165.99</v>
      </c>
      <c r="CS29" s="110">
        <v>0</v>
      </c>
      <c r="CT29" s="110">
        <v>23161.14</v>
      </c>
      <c r="CU29" s="110">
        <v>0</v>
      </c>
      <c r="CV29" s="111">
        <v>6656</v>
      </c>
      <c r="CW29" s="111">
        <v>5915</v>
      </c>
      <c r="CX29" s="111">
        <v>5359</v>
      </c>
      <c r="CY29" s="111">
        <v>556</v>
      </c>
      <c r="CZ29" s="111">
        <v>741</v>
      </c>
      <c r="DA29" s="111">
        <v>291</v>
      </c>
      <c r="DB29" s="111">
        <v>450</v>
      </c>
      <c r="DC29" s="111">
        <v>2861</v>
      </c>
      <c r="DD29" s="111">
        <v>29</v>
      </c>
      <c r="DE29" s="111">
        <v>2633</v>
      </c>
      <c r="DF29" s="111">
        <v>2420</v>
      </c>
      <c r="DG29" s="111">
        <v>213</v>
      </c>
      <c r="DH29" s="111">
        <v>228</v>
      </c>
      <c r="DI29" s="111">
        <v>84</v>
      </c>
      <c r="DJ29" s="111">
        <v>144</v>
      </c>
      <c r="DK29" s="111">
        <v>1516</v>
      </c>
      <c r="DL29" s="111">
        <v>1240</v>
      </c>
      <c r="DM29" s="111">
        <v>1142</v>
      </c>
      <c r="DN29" s="111">
        <v>98</v>
      </c>
      <c r="DO29" s="111">
        <v>276</v>
      </c>
      <c r="DP29" s="111">
        <v>104</v>
      </c>
      <c r="DQ29" s="111">
        <v>172</v>
      </c>
      <c r="DR29" s="111">
        <v>863</v>
      </c>
      <c r="DS29" s="111">
        <v>0</v>
      </c>
      <c r="DT29" s="111">
        <v>722</v>
      </c>
      <c r="DU29" s="111">
        <v>645</v>
      </c>
      <c r="DV29" s="111">
        <v>77</v>
      </c>
      <c r="DW29" s="111">
        <v>141</v>
      </c>
      <c r="DX29" s="111">
        <v>57</v>
      </c>
      <c r="DY29" s="111">
        <v>84</v>
      </c>
      <c r="DZ29" s="111">
        <v>1387</v>
      </c>
      <c r="EA29" s="111">
        <v>1309</v>
      </c>
      <c r="EB29" s="111">
        <v>1141</v>
      </c>
      <c r="EC29" s="111">
        <v>168</v>
      </c>
      <c r="ED29" s="111">
        <v>78</v>
      </c>
      <c r="EE29" s="111">
        <v>46</v>
      </c>
      <c r="EF29" s="111">
        <v>32</v>
      </c>
      <c r="EG29" s="111">
        <v>95</v>
      </c>
      <c r="EH29" s="111">
        <v>37</v>
      </c>
      <c r="EI29" s="111">
        <v>33</v>
      </c>
      <c r="EJ29" s="111">
        <v>4</v>
      </c>
      <c r="EK29" s="111">
        <v>58</v>
      </c>
      <c r="EL29" s="111">
        <v>51</v>
      </c>
      <c r="EM29" s="111">
        <v>7</v>
      </c>
      <c r="EN29" s="111">
        <v>7</v>
      </c>
      <c r="EO29" s="111">
        <v>0</v>
      </c>
      <c r="EP29" s="111">
        <v>0</v>
      </c>
      <c r="EQ29" s="111">
        <v>7</v>
      </c>
      <c r="ER29" s="111">
        <v>0</v>
      </c>
      <c r="ES29" s="111">
        <v>0</v>
      </c>
      <c r="ET29" s="111">
        <v>0</v>
      </c>
      <c r="EU29" s="111">
        <v>0</v>
      </c>
      <c r="EV29" s="111">
        <v>0</v>
      </c>
      <c r="EW29" s="111">
        <v>0</v>
      </c>
      <c r="EX29" s="111">
        <v>0</v>
      </c>
      <c r="EY29" s="111">
        <v>0</v>
      </c>
      <c r="EZ29" s="111">
        <v>0</v>
      </c>
      <c r="FA29" s="111">
        <v>0</v>
      </c>
      <c r="FB29" s="111">
        <v>34</v>
      </c>
    </row>
    <row r="30" spans="1:158" ht="19.5" customHeight="1">
      <c r="A30" s="107">
        <v>27</v>
      </c>
      <c r="B30" s="107" t="s">
        <v>374</v>
      </c>
      <c r="C30" s="107" t="s">
        <v>379</v>
      </c>
      <c r="D30" s="110">
        <v>4110657</v>
      </c>
      <c r="E30" s="110">
        <v>1267188.5</v>
      </c>
      <c r="F30" s="110">
        <v>2843468.5</v>
      </c>
      <c r="G30" s="110">
        <v>4050</v>
      </c>
      <c r="H30" s="110">
        <v>264</v>
      </c>
      <c r="I30" s="110">
        <v>19532.5</v>
      </c>
      <c r="J30" s="110">
        <v>0</v>
      </c>
      <c r="K30" s="110">
        <v>5273.44</v>
      </c>
      <c r="L30" s="110">
        <v>460425.5</v>
      </c>
      <c r="M30" s="110">
        <v>10018</v>
      </c>
      <c r="N30" s="110">
        <v>3109.78</v>
      </c>
      <c r="O30" s="110">
        <v>7307801.21</v>
      </c>
      <c r="P30" s="110">
        <v>2315058.59</v>
      </c>
      <c r="Q30" s="110">
        <v>1984517.26</v>
      </c>
      <c r="R30" s="110">
        <v>330541.33</v>
      </c>
      <c r="S30" s="110">
        <v>4992742.62</v>
      </c>
      <c r="T30" s="110">
        <v>4423680.87</v>
      </c>
      <c r="U30" s="110">
        <v>569061.75</v>
      </c>
      <c r="V30" s="110">
        <v>2334594.0499999998</v>
      </c>
      <c r="W30" s="110">
        <v>1414114.86</v>
      </c>
      <c r="X30" s="110">
        <v>1279011.05</v>
      </c>
      <c r="Y30" s="110">
        <v>135103.81</v>
      </c>
      <c r="Z30" s="110">
        <v>920479.19</v>
      </c>
      <c r="AA30" s="110">
        <v>637771.72</v>
      </c>
      <c r="AB30" s="110">
        <v>282707.46999999997</v>
      </c>
      <c r="AC30" s="110">
        <v>1011023.32</v>
      </c>
      <c r="AD30" s="110">
        <v>653708.80000000005</v>
      </c>
      <c r="AE30" s="110">
        <v>616961.5</v>
      </c>
      <c r="AF30" s="110">
        <v>36747.300000000003</v>
      </c>
      <c r="AG30" s="110">
        <v>357314.52</v>
      </c>
      <c r="AH30" s="110">
        <v>303310.69</v>
      </c>
      <c r="AI30" s="110">
        <v>54003.83</v>
      </c>
      <c r="AJ30" s="110">
        <v>56382.23</v>
      </c>
      <c r="AK30" s="110">
        <v>28845.56</v>
      </c>
      <c r="AL30" s="110">
        <v>27107.05</v>
      </c>
      <c r="AM30" s="110">
        <v>1738.51</v>
      </c>
      <c r="AN30" s="110">
        <v>27536.67</v>
      </c>
      <c r="AO30" s="110">
        <v>25262.03</v>
      </c>
      <c r="AP30" s="110">
        <v>2274.64</v>
      </c>
      <c r="AQ30" s="110">
        <v>1012625</v>
      </c>
      <c r="AR30" s="110">
        <v>566698</v>
      </c>
      <c r="AS30" s="110">
        <v>485142</v>
      </c>
      <c r="AT30" s="110">
        <v>81556</v>
      </c>
      <c r="AU30" s="110">
        <v>445927</v>
      </c>
      <c r="AV30" s="110">
        <v>257916</v>
      </c>
      <c r="AW30" s="110">
        <v>188011</v>
      </c>
      <c r="AX30" s="110">
        <v>254563.5</v>
      </c>
      <c r="AY30" s="110">
        <v>164862.5</v>
      </c>
      <c r="AZ30" s="110">
        <v>149800.5</v>
      </c>
      <c r="BA30" s="110">
        <v>15062</v>
      </c>
      <c r="BB30" s="110">
        <v>89701</v>
      </c>
      <c r="BC30" s="110">
        <v>51283</v>
      </c>
      <c r="BD30" s="110">
        <v>38418</v>
      </c>
      <c r="BE30" s="110">
        <v>4973207.16</v>
      </c>
      <c r="BF30" s="110">
        <v>900943.73</v>
      </c>
      <c r="BG30" s="110">
        <v>705506.21</v>
      </c>
      <c r="BH30" s="110">
        <v>195437.52</v>
      </c>
      <c r="BI30" s="110">
        <v>4072263.43</v>
      </c>
      <c r="BJ30" s="110">
        <v>3785909.15</v>
      </c>
      <c r="BK30" s="110">
        <v>286354.28000000003</v>
      </c>
      <c r="BL30" s="110">
        <v>1955247.49</v>
      </c>
      <c r="BM30" s="110">
        <v>276076.03999999998</v>
      </c>
      <c r="BN30" s="110">
        <v>254595.32</v>
      </c>
      <c r="BO30" s="110">
        <v>21480.720000000001</v>
      </c>
      <c r="BP30" s="110">
        <v>1679171.45</v>
      </c>
      <c r="BQ30" s="110">
        <v>1485646.5</v>
      </c>
      <c r="BR30" s="110">
        <v>193524.95</v>
      </c>
      <c r="BS30" s="110">
        <v>174491.17</v>
      </c>
      <c r="BT30" s="110">
        <v>24598.69</v>
      </c>
      <c r="BU30" s="110">
        <v>18928.39</v>
      </c>
      <c r="BV30" s="110">
        <v>5670.3</v>
      </c>
      <c r="BW30" s="110">
        <v>149892.48000000001</v>
      </c>
      <c r="BX30" s="110">
        <v>143118.65</v>
      </c>
      <c r="BY30" s="110">
        <v>6773.83</v>
      </c>
      <c r="BZ30" s="110">
        <v>1418110</v>
      </c>
      <c r="CA30" s="110">
        <v>303473</v>
      </c>
      <c r="CB30" s="110">
        <v>262042</v>
      </c>
      <c r="CC30" s="110">
        <v>41431</v>
      </c>
      <c r="CD30" s="110">
        <v>1114637</v>
      </c>
      <c r="CE30" s="110">
        <v>1068589</v>
      </c>
      <c r="CF30" s="110">
        <v>46048</v>
      </c>
      <c r="CG30" s="110">
        <v>1425358.5</v>
      </c>
      <c r="CH30" s="110">
        <v>296796</v>
      </c>
      <c r="CI30" s="110">
        <v>169940.5</v>
      </c>
      <c r="CJ30" s="110">
        <v>126855.5</v>
      </c>
      <c r="CK30" s="110">
        <v>1128562.5</v>
      </c>
      <c r="CL30" s="110">
        <v>1088555</v>
      </c>
      <c r="CM30" s="110">
        <v>40007.5</v>
      </c>
      <c r="CN30" s="110">
        <v>206558.51</v>
      </c>
      <c r="CO30" s="110">
        <v>605236.14</v>
      </c>
      <c r="CP30" s="110">
        <v>602364.62</v>
      </c>
      <c r="CQ30" s="110">
        <v>339716.65</v>
      </c>
      <c r="CR30" s="110">
        <v>578493.93000000005</v>
      </c>
      <c r="CS30" s="110">
        <v>2224.1999999999998</v>
      </c>
      <c r="CT30" s="110">
        <v>203756.97</v>
      </c>
      <c r="CU30" s="110">
        <v>0</v>
      </c>
      <c r="CV30" s="111">
        <v>4050</v>
      </c>
      <c r="CW30" s="111">
        <v>3065</v>
      </c>
      <c r="CX30" s="111">
        <v>2800</v>
      </c>
      <c r="CY30" s="111">
        <v>265</v>
      </c>
      <c r="CZ30" s="111">
        <v>985</v>
      </c>
      <c r="DA30" s="111">
        <v>623</v>
      </c>
      <c r="DB30" s="111">
        <v>362</v>
      </c>
      <c r="DC30" s="111">
        <v>1881</v>
      </c>
      <c r="DD30" s="111">
        <v>14</v>
      </c>
      <c r="DE30" s="111">
        <v>1457</v>
      </c>
      <c r="DF30" s="111">
        <v>1339</v>
      </c>
      <c r="DG30" s="111">
        <v>118</v>
      </c>
      <c r="DH30" s="111">
        <v>424</v>
      </c>
      <c r="DI30" s="111">
        <v>284</v>
      </c>
      <c r="DJ30" s="111">
        <v>140</v>
      </c>
      <c r="DK30" s="111">
        <v>860</v>
      </c>
      <c r="DL30" s="111">
        <v>550</v>
      </c>
      <c r="DM30" s="111">
        <v>500</v>
      </c>
      <c r="DN30" s="111">
        <v>50</v>
      </c>
      <c r="DO30" s="111">
        <v>310</v>
      </c>
      <c r="DP30" s="111">
        <v>222</v>
      </c>
      <c r="DQ30" s="111">
        <v>88</v>
      </c>
      <c r="DR30" s="111">
        <v>585</v>
      </c>
      <c r="DS30" s="111">
        <v>12</v>
      </c>
      <c r="DT30" s="111">
        <v>417</v>
      </c>
      <c r="DU30" s="111">
        <v>389</v>
      </c>
      <c r="DV30" s="111">
        <v>28</v>
      </c>
      <c r="DW30" s="111">
        <v>168</v>
      </c>
      <c r="DX30" s="111">
        <v>83</v>
      </c>
      <c r="DY30" s="111">
        <v>85</v>
      </c>
      <c r="DZ30" s="111">
        <v>698</v>
      </c>
      <c r="EA30" s="111">
        <v>637</v>
      </c>
      <c r="EB30" s="111">
        <v>569</v>
      </c>
      <c r="EC30" s="111">
        <v>68</v>
      </c>
      <c r="ED30" s="111">
        <v>61</v>
      </c>
      <c r="EE30" s="111">
        <v>34</v>
      </c>
      <c r="EF30" s="111">
        <v>27</v>
      </c>
      <c r="EG30" s="111">
        <v>264</v>
      </c>
      <c r="EH30" s="111">
        <v>60</v>
      </c>
      <c r="EI30" s="111">
        <v>50</v>
      </c>
      <c r="EJ30" s="111">
        <v>10</v>
      </c>
      <c r="EK30" s="111">
        <v>204</v>
      </c>
      <c r="EL30" s="111">
        <v>193</v>
      </c>
      <c r="EM30" s="111">
        <v>11</v>
      </c>
      <c r="EN30" s="111">
        <v>218</v>
      </c>
      <c r="EO30" s="111">
        <v>0</v>
      </c>
      <c r="EP30" s="111">
        <v>0</v>
      </c>
      <c r="EQ30" s="111">
        <v>218</v>
      </c>
      <c r="ER30" s="111">
        <v>0</v>
      </c>
      <c r="ES30" s="111">
        <v>0</v>
      </c>
      <c r="ET30" s="111">
        <v>0</v>
      </c>
      <c r="EU30" s="111">
        <v>0</v>
      </c>
      <c r="EV30" s="111">
        <v>0</v>
      </c>
      <c r="EW30" s="111">
        <v>0</v>
      </c>
      <c r="EX30" s="111">
        <v>0</v>
      </c>
      <c r="EY30" s="111">
        <v>0</v>
      </c>
      <c r="EZ30" s="111">
        <v>0</v>
      </c>
      <c r="FA30" s="111">
        <v>0</v>
      </c>
      <c r="FB30" s="111">
        <v>52</v>
      </c>
    </row>
    <row r="31" spans="1:158" ht="19.5" customHeight="1">
      <c r="A31" s="107">
        <v>28</v>
      </c>
      <c r="B31" s="107" t="s">
        <v>374</v>
      </c>
      <c r="C31" s="107" t="s">
        <v>380</v>
      </c>
      <c r="D31" s="110">
        <v>4956954.5</v>
      </c>
      <c r="E31" s="110">
        <v>4147694</v>
      </c>
      <c r="F31" s="110">
        <v>809260.5</v>
      </c>
      <c r="G31" s="110">
        <v>6934</v>
      </c>
      <c r="H31" s="110">
        <v>147</v>
      </c>
      <c r="I31" s="110">
        <v>8320</v>
      </c>
      <c r="J31" s="110">
        <v>0</v>
      </c>
      <c r="K31" s="110">
        <v>2473.92</v>
      </c>
      <c r="L31" s="110">
        <v>12702</v>
      </c>
      <c r="M31" s="110">
        <v>5056</v>
      </c>
      <c r="N31" s="110">
        <v>0</v>
      </c>
      <c r="O31" s="110">
        <v>9094637.3900000006</v>
      </c>
      <c r="P31" s="110">
        <v>6092461.2400000002</v>
      </c>
      <c r="Q31" s="110">
        <v>5586718.5999999996</v>
      </c>
      <c r="R31" s="110">
        <v>505742.64</v>
      </c>
      <c r="S31" s="110">
        <v>3002176.15</v>
      </c>
      <c r="T31" s="110">
        <v>922825.87</v>
      </c>
      <c r="U31" s="110">
        <v>2079350.28</v>
      </c>
      <c r="V31" s="110">
        <v>7334691.5099999998</v>
      </c>
      <c r="W31" s="110">
        <v>5667384.1200000001</v>
      </c>
      <c r="X31" s="110">
        <v>5304324.71</v>
      </c>
      <c r="Y31" s="110">
        <v>363059.41</v>
      </c>
      <c r="Z31" s="110">
        <v>1667307.39</v>
      </c>
      <c r="AA31" s="110">
        <v>492366.67</v>
      </c>
      <c r="AB31" s="110">
        <v>1174940.72</v>
      </c>
      <c r="AC31" s="110">
        <v>3182866.36</v>
      </c>
      <c r="AD31" s="110">
        <v>2995595.71</v>
      </c>
      <c r="AE31" s="110">
        <v>2935084.24</v>
      </c>
      <c r="AF31" s="110">
        <v>60511.47</v>
      </c>
      <c r="AG31" s="110">
        <v>187270.65</v>
      </c>
      <c r="AH31" s="110">
        <v>78874.11</v>
      </c>
      <c r="AI31" s="110">
        <v>108396.54</v>
      </c>
      <c r="AJ31" s="110">
        <v>4131.1499999999996</v>
      </c>
      <c r="AK31" s="110">
        <v>3762.41</v>
      </c>
      <c r="AL31" s="110">
        <v>3566.47</v>
      </c>
      <c r="AM31" s="110">
        <v>195.94</v>
      </c>
      <c r="AN31" s="110">
        <v>368.74</v>
      </c>
      <c r="AO31" s="110">
        <v>186.56</v>
      </c>
      <c r="AP31" s="110">
        <v>182.18</v>
      </c>
      <c r="AQ31" s="110">
        <v>3093536</v>
      </c>
      <c r="AR31" s="110">
        <v>2006743</v>
      </c>
      <c r="AS31" s="110">
        <v>1779494</v>
      </c>
      <c r="AT31" s="110">
        <v>227249</v>
      </c>
      <c r="AU31" s="110">
        <v>1086793</v>
      </c>
      <c r="AV31" s="110">
        <v>294825</v>
      </c>
      <c r="AW31" s="110">
        <v>791968</v>
      </c>
      <c r="AX31" s="110">
        <v>1054158</v>
      </c>
      <c r="AY31" s="110">
        <v>661283</v>
      </c>
      <c r="AZ31" s="110">
        <v>586180</v>
      </c>
      <c r="BA31" s="110">
        <v>75103</v>
      </c>
      <c r="BB31" s="110">
        <v>392875</v>
      </c>
      <c r="BC31" s="110">
        <v>118481</v>
      </c>
      <c r="BD31" s="110">
        <v>274394</v>
      </c>
      <c r="BE31" s="110">
        <v>1759945.88</v>
      </c>
      <c r="BF31" s="110">
        <v>425077.12</v>
      </c>
      <c r="BG31" s="110">
        <v>282393.89</v>
      </c>
      <c r="BH31" s="110">
        <v>142683.23000000001</v>
      </c>
      <c r="BI31" s="110">
        <v>1334868.76</v>
      </c>
      <c r="BJ31" s="110">
        <v>430459.2</v>
      </c>
      <c r="BK31" s="110">
        <v>904409.56</v>
      </c>
      <c r="BL31" s="110">
        <v>940462.65</v>
      </c>
      <c r="BM31" s="110">
        <v>101473.41</v>
      </c>
      <c r="BN31" s="110">
        <v>99620.19</v>
      </c>
      <c r="BO31" s="110">
        <v>1853.22</v>
      </c>
      <c r="BP31" s="110">
        <v>838989.24</v>
      </c>
      <c r="BQ31" s="110">
        <v>60620.12</v>
      </c>
      <c r="BR31" s="110">
        <v>778369.12</v>
      </c>
      <c r="BS31" s="110">
        <v>10222.73</v>
      </c>
      <c r="BT31" s="110">
        <v>3622.21</v>
      </c>
      <c r="BU31" s="110">
        <v>2048.6999999999998</v>
      </c>
      <c r="BV31" s="110">
        <v>1573.51</v>
      </c>
      <c r="BW31" s="110">
        <v>6600.52</v>
      </c>
      <c r="BX31" s="110">
        <v>5373.58</v>
      </c>
      <c r="BY31" s="110">
        <v>1226.94</v>
      </c>
      <c r="BZ31" s="110">
        <v>631811</v>
      </c>
      <c r="CA31" s="110">
        <v>247340</v>
      </c>
      <c r="CB31" s="110">
        <v>146719</v>
      </c>
      <c r="CC31" s="110">
        <v>100621</v>
      </c>
      <c r="CD31" s="110">
        <v>384471</v>
      </c>
      <c r="CE31" s="110">
        <v>305120</v>
      </c>
      <c r="CF31" s="110">
        <v>79351</v>
      </c>
      <c r="CG31" s="110">
        <v>177449.5</v>
      </c>
      <c r="CH31" s="110">
        <v>72641.5</v>
      </c>
      <c r="CI31" s="110">
        <v>34006</v>
      </c>
      <c r="CJ31" s="110">
        <v>38635.5</v>
      </c>
      <c r="CK31" s="110">
        <v>104808</v>
      </c>
      <c r="CL31" s="110">
        <v>59345.5</v>
      </c>
      <c r="CM31" s="110">
        <v>45462.5</v>
      </c>
      <c r="CN31" s="110">
        <v>359177.49</v>
      </c>
      <c r="CO31" s="110">
        <v>1649222.51</v>
      </c>
      <c r="CP31" s="110">
        <v>2230846.58</v>
      </c>
      <c r="CQ31" s="110">
        <v>66715.48</v>
      </c>
      <c r="CR31" s="110">
        <v>3028704.45</v>
      </c>
      <c r="CS31" s="110">
        <v>0</v>
      </c>
      <c r="CT31" s="110">
        <v>884644.84</v>
      </c>
      <c r="CU31" s="110">
        <v>0</v>
      </c>
      <c r="CV31" s="111">
        <v>6934</v>
      </c>
      <c r="CW31" s="111">
        <v>5010</v>
      </c>
      <c r="CX31" s="111">
        <v>4449</v>
      </c>
      <c r="CY31" s="111">
        <v>561</v>
      </c>
      <c r="CZ31" s="111">
        <v>1924</v>
      </c>
      <c r="DA31" s="111">
        <v>550</v>
      </c>
      <c r="DB31" s="111">
        <v>1374</v>
      </c>
      <c r="DC31" s="111">
        <v>1265</v>
      </c>
      <c r="DD31" s="111">
        <v>54</v>
      </c>
      <c r="DE31" s="111">
        <v>1116</v>
      </c>
      <c r="DF31" s="111">
        <v>971</v>
      </c>
      <c r="DG31" s="111">
        <v>145</v>
      </c>
      <c r="DH31" s="111">
        <v>149</v>
      </c>
      <c r="DI31" s="111">
        <v>43</v>
      </c>
      <c r="DJ31" s="111">
        <v>106</v>
      </c>
      <c r="DK31" s="111">
        <v>2336</v>
      </c>
      <c r="DL31" s="111">
        <v>1556</v>
      </c>
      <c r="DM31" s="111">
        <v>1364</v>
      </c>
      <c r="DN31" s="111">
        <v>192</v>
      </c>
      <c r="DO31" s="111">
        <v>780</v>
      </c>
      <c r="DP31" s="111">
        <v>196</v>
      </c>
      <c r="DQ31" s="111">
        <v>584</v>
      </c>
      <c r="DR31" s="111">
        <v>2807</v>
      </c>
      <c r="DS31" s="111">
        <v>0</v>
      </c>
      <c r="DT31" s="111">
        <v>1866</v>
      </c>
      <c r="DU31" s="111">
        <v>1688</v>
      </c>
      <c r="DV31" s="111">
        <v>178</v>
      </c>
      <c r="DW31" s="111">
        <v>941</v>
      </c>
      <c r="DX31" s="111">
        <v>292</v>
      </c>
      <c r="DY31" s="111">
        <v>649</v>
      </c>
      <c r="DZ31" s="111">
        <v>472</v>
      </c>
      <c r="EA31" s="111">
        <v>432</v>
      </c>
      <c r="EB31" s="111">
        <v>392</v>
      </c>
      <c r="EC31" s="111">
        <v>40</v>
      </c>
      <c r="ED31" s="111">
        <v>40</v>
      </c>
      <c r="EE31" s="111">
        <v>19</v>
      </c>
      <c r="EF31" s="111">
        <v>21</v>
      </c>
      <c r="EG31" s="111">
        <v>147</v>
      </c>
      <c r="EH31" s="111">
        <v>58</v>
      </c>
      <c r="EI31" s="111">
        <v>33</v>
      </c>
      <c r="EJ31" s="111">
        <v>25</v>
      </c>
      <c r="EK31" s="111">
        <v>89</v>
      </c>
      <c r="EL31" s="111">
        <v>60</v>
      </c>
      <c r="EM31" s="111">
        <v>29</v>
      </c>
      <c r="EN31" s="111">
        <v>4</v>
      </c>
      <c r="EO31" s="111">
        <v>0</v>
      </c>
      <c r="EP31" s="111">
        <v>0</v>
      </c>
      <c r="EQ31" s="111">
        <v>4</v>
      </c>
      <c r="ER31" s="111">
        <v>0</v>
      </c>
      <c r="ES31" s="111">
        <v>0</v>
      </c>
      <c r="ET31" s="111">
        <v>0</v>
      </c>
      <c r="EU31" s="111">
        <v>0</v>
      </c>
      <c r="EV31" s="111">
        <v>0</v>
      </c>
      <c r="EW31" s="111">
        <v>0</v>
      </c>
      <c r="EX31" s="111">
        <v>0</v>
      </c>
      <c r="EY31" s="111">
        <v>0</v>
      </c>
      <c r="EZ31" s="111">
        <v>0</v>
      </c>
      <c r="FA31" s="111">
        <v>0</v>
      </c>
      <c r="FB31" s="111">
        <v>28</v>
      </c>
    </row>
    <row r="32" spans="1:158" ht="19.5" customHeight="1">
      <c r="A32" s="107">
        <v>29</v>
      </c>
      <c r="B32" s="107" t="s">
        <v>374</v>
      </c>
      <c r="C32" s="107" t="s">
        <v>381</v>
      </c>
      <c r="D32" s="110">
        <v>7409908.0599999996</v>
      </c>
      <c r="E32" s="110">
        <v>1290921</v>
      </c>
      <c r="F32" s="110">
        <v>6118987.0599999996</v>
      </c>
      <c r="G32" s="110">
        <v>4426</v>
      </c>
      <c r="H32" s="110">
        <v>277</v>
      </c>
      <c r="I32" s="110">
        <v>12618</v>
      </c>
      <c r="J32" s="110">
        <v>0</v>
      </c>
      <c r="K32" s="110">
        <v>0</v>
      </c>
      <c r="L32" s="110">
        <v>1019241.25</v>
      </c>
      <c r="M32" s="110">
        <v>155159.95000000001</v>
      </c>
      <c r="N32" s="110">
        <v>0</v>
      </c>
      <c r="O32" s="110">
        <v>9210658.9800000004</v>
      </c>
      <c r="P32" s="110">
        <v>6559178.0800000001</v>
      </c>
      <c r="Q32" s="110">
        <v>4146845.72</v>
      </c>
      <c r="R32" s="110">
        <v>2412332.36</v>
      </c>
      <c r="S32" s="110">
        <v>2651480.9</v>
      </c>
      <c r="T32" s="110">
        <v>2036935.6799999999</v>
      </c>
      <c r="U32" s="110">
        <v>614545.22</v>
      </c>
      <c r="V32" s="110">
        <v>1963261.39</v>
      </c>
      <c r="W32" s="110">
        <v>1807550.69</v>
      </c>
      <c r="X32" s="110">
        <v>1568694.25</v>
      </c>
      <c r="Y32" s="110">
        <v>238856.44</v>
      </c>
      <c r="Z32" s="110">
        <v>155710.70000000001</v>
      </c>
      <c r="AA32" s="110">
        <v>58925.91</v>
      </c>
      <c r="AB32" s="110">
        <v>96784.79</v>
      </c>
      <c r="AC32" s="110">
        <v>645872.74</v>
      </c>
      <c r="AD32" s="110">
        <v>611790.25</v>
      </c>
      <c r="AE32" s="110">
        <v>555258.39</v>
      </c>
      <c r="AF32" s="110">
        <v>56531.86</v>
      </c>
      <c r="AG32" s="110">
        <v>34082.49</v>
      </c>
      <c r="AH32" s="110">
        <v>12455.65</v>
      </c>
      <c r="AI32" s="110">
        <v>21626.84</v>
      </c>
      <c r="AJ32" s="110">
        <v>26467.65</v>
      </c>
      <c r="AK32" s="110">
        <v>24570.44</v>
      </c>
      <c r="AL32" s="110">
        <v>22393.86</v>
      </c>
      <c r="AM32" s="110">
        <v>2176.58</v>
      </c>
      <c r="AN32" s="110">
        <v>1897.21</v>
      </c>
      <c r="AO32" s="110">
        <v>805.26</v>
      </c>
      <c r="AP32" s="110">
        <v>1091.95</v>
      </c>
      <c r="AQ32" s="110">
        <v>926078</v>
      </c>
      <c r="AR32" s="110">
        <v>851015</v>
      </c>
      <c r="AS32" s="110">
        <v>744866</v>
      </c>
      <c r="AT32" s="110">
        <v>106149</v>
      </c>
      <c r="AU32" s="110">
        <v>75063</v>
      </c>
      <c r="AV32" s="110">
        <v>28425</v>
      </c>
      <c r="AW32" s="110">
        <v>46638</v>
      </c>
      <c r="AX32" s="110">
        <v>364843</v>
      </c>
      <c r="AY32" s="110">
        <v>320175</v>
      </c>
      <c r="AZ32" s="110">
        <v>246176</v>
      </c>
      <c r="BA32" s="110">
        <v>73999</v>
      </c>
      <c r="BB32" s="110">
        <v>44668</v>
      </c>
      <c r="BC32" s="110">
        <v>17240</v>
      </c>
      <c r="BD32" s="110">
        <v>27428</v>
      </c>
      <c r="BE32" s="110">
        <v>7247397.5899999999</v>
      </c>
      <c r="BF32" s="110">
        <v>4751627.3899999997</v>
      </c>
      <c r="BG32" s="110">
        <v>2578151.4700000002</v>
      </c>
      <c r="BH32" s="110">
        <v>2173475.92</v>
      </c>
      <c r="BI32" s="110">
        <v>2495770.2000000002</v>
      </c>
      <c r="BJ32" s="110">
        <v>1978009.77</v>
      </c>
      <c r="BK32" s="110">
        <v>517760.43</v>
      </c>
      <c r="BL32" s="110">
        <v>683930.59</v>
      </c>
      <c r="BM32" s="110">
        <v>400390.8</v>
      </c>
      <c r="BN32" s="110">
        <v>265851.40999999997</v>
      </c>
      <c r="BO32" s="110">
        <v>134539.39000000001</v>
      </c>
      <c r="BP32" s="110">
        <v>283539.78999999998</v>
      </c>
      <c r="BQ32" s="110">
        <v>222388.52</v>
      </c>
      <c r="BR32" s="110">
        <v>61151.27</v>
      </c>
      <c r="BS32" s="110">
        <v>444479.94</v>
      </c>
      <c r="BT32" s="110">
        <v>240964.38</v>
      </c>
      <c r="BU32" s="110">
        <v>160906.10999999999</v>
      </c>
      <c r="BV32" s="110">
        <v>80058.27</v>
      </c>
      <c r="BW32" s="110">
        <v>203515.56</v>
      </c>
      <c r="BX32" s="110">
        <v>173358.65</v>
      </c>
      <c r="BY32" s="110">
        <v>30156.91</v>
      </c>
      <c r="BZ32" s="110">
        <v>2458778.5</v>
      </c>
      <c r="CA32" s="110">
        <v>1667816</v>
      </c>
      <c r="CB32" s="110">
        <v>819980</v>
      </c>
      <c r="CC32" s="110">
        <v>847836</v>
      </c>
      <c r="CD32" s="110">
        <v>790962.5</v>
      </c>
      <c r="CE32" s="110">
        <v>609536</v>
      </c>
      <c r="CF32" s="110">
        <v>181426.5</v>
      </c>
      <c r="CG32" s="110">
        <v>3660208.56</v>
      </c>
      <c r="CH32" s="110">
        <v>2442456.21</v>
      </c>
      <c r="CI32" s="110">
        <v>1331413.95</v>
      </c>
      <c r="CJ32" s="110">
        <v>1111042.26</v>
      </c>
      <c r="CK32" s="110">
        <v>1217752.3500000001</v>
      </c>
      <c r="CL32" s="110">
        <v>972726.6</v>
      </c>
      <c r="CM32" s="110">
        <v>245025.75</v>
      </c>
      <c r="CN32" s="110">
        <v>480147.28</v>
      </c>
      <c r="CO32" s="110">
        <v>10610.76</v>
      </c>
      <c r="CP32" s="110">
        <v>885559.88</v>
      </c>
      <c r="CQ32" s="110">
        <v>1125</v>
      </c>
      <c r="CR32" s="110">
        <v>554179.98</v>
      </c>
      <c r="CS32" s="110">
        <v>31638.49</v>
      </c>
      <c r="CT32" s="110">
        <v>587373.52</v>
      </c>
      <c r="CU32" s="110">
        <v>0</v>
      </c>
      <c r="CV32" s="111">
        <v>4426</v>
      </c>
      <c r="CW32" s="111">
        <v>4028</v>
      </c>
      <c r="CX32" s="111">
        <v>3288</v>
      </c>
      <c r="CY32" s="111">
        <v>740</v>
      </c>
      <c r="CZ32" s="111">
        <v>398</v>
      </c>
      <c r="DA32" s="111">
        <v>146</v>
      </c>
      <c r="DB32" s="111">
        <v>252</v>
      </c>
      <c r="DC32" s="111">
        <v>61</v>
      </c>
      <c r="DD32" s="111">
        <v>391</v>
      </c>
      <c r="DE32" s="111">
        <v>47</v>
      </c>
      <c r="DF32" s="111">
        <v>12</v>
      </c>
      <c r="DG32" s="111">
        <v>35</v>
      </c>
      <c r="DH32" s="111">
        <v>14</v>
      </c>
      <c r="DI32" s="111">
        <v>0</v>
      </c>
      <c r="DJ32" s="111">
        <v>14</v>
      </c>
      <c r="DK32" s="111">
        <v>1953</v>
      </c>
      <c r="DL32" s="111">
        <v>1808</v>
      </c>
      <c r="DM32" s="111">
        <v>1560</v>
      </c>
      <c r="DN32" s="111">
        <v>248</v>
      </c>
      <c r="DO32" s="111">
        <v>145</v>
      </c>
      <c r="DP32" s="111">
        <v>60</v>
      </c>
      <c r="DQ32" s="111">
        <v>85</v>
      </c>
      <c r="DR32" s="111">
        <v>947</v>
      </c>
      <c r="DS32" s="111">
        <v>2</v>
      </c>
      <c r="DT32" s="111">
        <v>836</v>
      </c>
      <c r="DU32" s="111">
        <v>657</v>
      </c>
      <c r="DV32" s="111">
        <v>179</v>
      </c>
      <c r="DW32" s="111">
        <v>111</v>
      </c>
      <c r="DX32" s="111">
        <v>38</v>
      </c>
      <c r="DY32" s="111">
        <v>73</v>
      </c>
      <c r="DZ32" s="111">
        <v>1072</v>
      </c>
      <c r="EA32" s="111">
        <v>992</v>
      </c>
      <c r="EB32" s="111">
        <v>880</v>
      </c>
      <c r="EC32" s="111">
        <v>112</v>
      </c>
      <c r="ED32" s="111">
        <v>80</v>
      </c>
      <c r="EE32" s="111">
        <v>48</v>
      </c>
      <c r="EF32" s="111">
        <v>32</v>
      </c>
      <c r="EG32" s="111">
        <v>277</v>
      </c>
      <c r="EH32" s="111">
        <v>191</v>
      </c>
      <c r="EI32" s="111">
        <v>74</v>
      </c>
      <c r="EJ32" s="111">
        <v>117</v>
      </c>
      <c r="EK32" s="111">
        <v>86</v>
      </c>
      <c r="EL32" s="111">
        <v>60</v>
      </c>
      <c r="EM32" s="111">
        <v>26</v>
      </c>
      <c r="EN32" s="111">
        <v>152</v>
      </c>
      <c r="EO32" s="111">
        <v>0</v>
      </c>
      <c r="EP32" s="111">
        <v>0</v>
      </c>
      <c r="EQ32" s="111">
        <v>152</v>
      </c>
      <c r="ER32" s="111">
        <v>0</v>
      </c>
      <c r="ES32" s="111">
        <v>0</v>
      </c>
      <c r="ET32" s="111">
        <v>0</v>
      </c>
      <c r="EU32" s="111">
        <v>0</v>
      </c>
      <c r="EV32" s="111">
        <v>0</v>
      </c>
      <c r="EW32" s="111">
        <v>0</v>
      </c>
      <c r="EX32" s="111">
        <v>0</v>
      </c>
      <c r="EY32" s="111">
        <v>0</v>
      </c>
      <c r="EZ32" s="111">
        <v>0</v>
      </c>
      <c r="FA32" s="111">
        <v>0</v>
      </c>
      <c r="FB32" s="111">
        <v>140</v>
      </c>
    </row>
    <row r="33" spans="1:158" ht="19.5" customHeight="1">
      <c r="A33" s="107">
        <v>30</v>
      </c>
      <c r="B33" s="107" t="s">
        <v>382</v>
      </c>
      <c r="C33" s="107" t="s">
        <v>383</v>
      </c>
      <c r="D33" s="110">
        <v>3276102.15</v>
      </c>
      <c r="E33" s="110">
        <v>1036303</v>
      </c>
      <c r="F33" s="110">
        <v>2239799.15</v>
      </c>
      <c r="G33" s="110">
        <v>3271</v>
      </c>
      <c r="H33" s="110">
        <v>170</v>
      </c>
      <c r="I33" s="110">
        <v>8392</v>
      </c>
      <c r="J33" s="110">
        <v>0</v>
      </c>
      <c r="K33" s="110">
        <v>0</v>
      </c>
      <c r="L33" s="110">
        <v>174424.75</v>
      </c>
      <c r="M33" s="110">
        <v>427511.25</v>
      </c>
      <c r="N33" s="110">
        <v>0</v>
      </c>
      <c r="O33" s="110">
        <v>4942166.07</v>
      </c>
      <c r="P33" s="110">
        <v>2337745.73</v>
      </c>
      <c r="Q33" s="110">
        <v>2092327.49</v>
      </c>
      <c r="R33" s="110">
        <v>245418.23999999999</v>
      </c>
      <c r="S33" s="110">
        <v>2604420.34</v>
      </c>
      <c r="T33" s="110">
        <v>2226060.23</v>
      </c>
      <c r="U33" s="110">
        <v>378360.11</v>
      </c>
      <c r="V33" s="110">
        <v>1398776.46</v>
      </c>
      <c r="W33" s="110">
        <v>1136381.6299999999</v>
      </c>
      <c r="X33" s="110">
        <v>979834.53</v>
      </c>
      <c r="Y33" s="110">
        <v>156547.1</v>
      </c>
      <c r="Z33" s="110">
        <v>262394.83</v>
      </c>
      <c r="AA33" s="110">
        <v>65219.73</v>
      </c>
      <c r="AB33" s="110">
        <v>197175.1</v>
      </c>
      <c r="AC33" s="110">
        <v>343323.3</v>
      </c>
      <c r="AD33" s="110">
        <v>324834.88</v>
      </c>
      <c r="AE33" s="110">
        <v>302930.34999999998</v>
      </c>
      <c r="AF33" s="110">
        <v>21904.53</v>
      </c>
      <c r="AG33" s="110">
        <v>18488.419999999998</v>
      </c>
      <c r="AH33" s="110">
        <v>5704.89</v>
      </c>
      <c r="AI33" s="110">
        <v>12783.53</v>
      </c>
      <c r="AJ33" s="110">
        <v>19150.16</v>
      </c>
      <c r="AK33" s="110">
        <v>17494.5</v>
      </c>
      <c r="AL33" s="110">
        <v>16056.18</v>
      </c>
      <c r="AM33" s="110">
        <v>1438.32</v>
      </c>
      <c r="AN33" s="110">
        <v>1655.66</v>
      </c>
      <c r="AO33" s="110">
        <v>599.84</v>
      </c>
      <c r="AP33" s="110">
        <v>1055.82</v>
      </c>
      <c r="AQ33" s="110">
        <v>737850</v>
      </c>
      <c r="AR33" s="110">
        <v>595799.25</v>
      </c>
      <c r="AS33" s="110">
        <v>518513</v>
      </c>
      <c r="AT33" s="110">
        <v>77286.25</v>
      </c>
      <c r="AU33" s="110">
        <v>142050.75</v>
      </c>
      <c r="AV33" s="110">
        <v>42822</v>
      </c>
      <c r="AW33" s="110">
        <v>99228.75</v>
      </c>
      <c r="AX33" s="110">
        <v>298453</v>
      </c>
      <c r="AY33" s="110">
        <v>198253</v>
      </c>
      <c r="AZ33" s="110">
        <v>142335</v>
      </c>
      <c r="BA33" s="110">
        <v>55918</v>
      </c>
      <c r="BB33" s="110">
        <v>100200</v>
      </c>
      <c r="BC33" s="110">
        <v>16093</v>
      </c>
      <c r="BD33" s="110">
        <v>84107</v>
      </c>
      <c r="BE33" s="110">
        <v>3543389.61</v>
      </c>
      <c r="BF33" s="110">
        <v>1201364.1000000001</v>
      </c>
      <c r="BG33" s="110">
        <v>1112492.96</v>
      </c>
      <c r="BH33" s="110">
        <v>88871.14</v>
      </c>
      <c r="BI33" s="110">
        <v>2342025.5099999998</v>
      </c>
      <c r="BJ33" s="110">
        <v>2160840.5</v>
      </c>
      <c r="BK33" s="110">
        <v>181185.01</v>
      </c>
      <c r="BL33" s="110">
        <v>406422.14</v>
      </c>
      <c r="BM33" s="110">
        <v>156564.56</v>
      </c>
      <c r="BN33" s="110">
        <v>148211.32</v>
      </c>
      <c r="BO33" s="110">
        <v>8353.24</v>
      </c>
      <c r="BP33" s="110">
        <v>249857.58</v>
      </c>
      <c r="BQ33" s="110">
        <v>220573.2</v>
      </c>
      <c r="BR33" s="110">
        <v>29284.38</v>
      </c>
      <c r="BS33" s="110">
        <v>897168.32</v>
      </c>
      <c r="BT33" s="110">
        <v>207125.14</v>
      </c>
      <c r="BU33" s="110">
        <v>195595.34</v>
      </c>
      <c r="BV33" s="110">
        <v>11529.8</v>
      </c>
      <c r="BW33" s="110">
        <v>690043.18</v>
      </c>
      <c r="BX33" s="110">
        <v>641354.55000000005</v>
      </c>
      <c r="BY33" s="110">
        <v>48688.63</v>
      </c>
      <c r="BZ33" s="110">
        <v>1092956</v>
      </c>
      <c r="CA33" s="110">
        <v>462837.5</v>
      </c>
      <c r="CB33" s="110">
        <v>430974.5</v>
      </c>
      <c r="CC33" s="110">
        <v>31863</v>
      </c>
      <c r="CD33" s="110">
        <v>630118.5</v>
      </c>
      <c r="CE33" s="110">
        <v>576622.5</v>
      </c>
      <c r="CF33" s="110">
        <v>53496</v>
      </c>
      <c r="CG33" s="110">
        <v>1146843.1499999999</v>
      </c>
      <c r="CH33" s="110">
        <v>374836.9</v>
      </c>
      <c r="CI33" s="110">
        <v>337711.8</v>
      </c>
      <c r="CJ33" s="110">
        <v>37125.1</v>
      </c>
      <c r="CK33" s="110">
        <v>772006.25</v>
      </c>
      <c r="CL33" s="110">
        <v>722290.25</v>
      </c>
      <c r="CM33" s="110">
        <v>49716</v>
      </c>
      <c r="CN33" s="110">
        <v>224253.9</v>
      </c>
      <c r="CO33" s="110">
        <v>26101.68</v>
      </c>
      <c r="CP33" s="110">
        <v>796260.16</v>
      </c>
      <c r="CQ33" s="110">
        <v>24634.79</v>
      </c>
      <c r="CR33" s="110">
        <v>327525.93</v>
      </c>
      <c r="CS33" s="110">
        <v>0</v>
      </c>
      <c r="CT33" s="110">
        <v>40344.94</v>
      </c>
      <c r="CU33" s="110">
        <v>0</v>
      </c>
      <c r="CV33" s="111">
        <v>3271</v>
      </c>
      <c r="CW33" s="111">
        <v>2701</v>
      </c>
      <c r="CX33" s="111">
        <v>2366</v>
      </c>
      <c r="CY33" s="111">
        <v>335</v>
      </c>
      <c r="CZ33" s="111">
        <v>570</v>
      </c>
      <c r="DA33" s="111">
        <v>190</v>
      </c>
      <c r="DB33" s="111">
        <v>380</v>
      </c>
      <c r="DC33" s="111">
        <v>169</v>
      </c>
      <c r="DD33" s="111">
        <v>10</v>
      </c>
      <c r="DE33" s="111">
        <v>142</v>
      </c>
      <c r="DF33" s="111">
        <v>132</v>
      </c>
      <c r="DG33" s="111">
        <v>10</v>
      </c>
      <c r="DH33" s="111">
        <v>27</v>
      </c>
      <c r="DI33" s="111">
        <v>14</v>
      </c>
      <c r="DJ33" s="111">
        <v>13</v>
      </c>
      <c r="DK33" s="111">
        <v>2069</v>
      </c>
      <c r="DL33" s="111">
        <v>1754</v>
      </c>
      <c r="DM33" s="111">
        <v>1596</v>
      </c>
      <c r="DN33" s="111">
        <v>158</v>
      </c>
      <c r="DO33" s="111">
        <v>315</v>
      </c>
      <c r="DP33" s="111">
        <v>127</v>
      </c>
      <c r="DQ33" s="111">
        <v>188</v>
      </c>
      <c r="DR33" s="111">
        <v>429</v>
      </c>
      <c r="DS33" s="111">
        <v>1</v>
      </c>
      <c r="DT33" s="111">
        <v>269</v>
      </c>
      <c r="DU33" s="111">
        <v>173</v>
      </c>
      <c r="DV33" s="111">
        <v>96</v>
      </c>
      <c r="DW33" s="111">
        <v>160</v>
      </c>
      <c r="DX33" s="111">
        <v>22</v>
      </c>
      <c r="DY33" s="111">
        <v>138</v>
      </c>
      <c r="DZ33" s="111">
        <v>593</v>
      </c>
      <c r="EA33" s="111">
        <v>530</v>
      </c>
      <c r="EB33" s="111">
        <v>461</v>
      </c>
      <c r="EC33" s="111">
        <v>69</v>
      </c>
      <c r="ED33" s="111">
        <v>63</v>
      </c>
      <c r="EE33" s="111">
        <v>27</v>
      </c>
      <c r="EF33" s="111">
        <v>36</v>
      </c>
      <c r="EG33" s="111">
        <v>170</v>
      </c>
      <c r="EH33" s="111">
        <v>101</v>
      </c>
      <c r="EI33" s="111">
        <v>94</v>
      </c>
      <c r="EJ33" s="111">
        <v>7</v>
      </c>
      <c r="EK33" s="111">
        <v>69</v>
      </c>
      <c r="EL33" s="111">
        <v>60</v>
      </c>
      <c r="EM33" s="111">
        <v>9</v>
      </c>
      <c r="EN33" s="111">
        <v>53</v>
      </c>
      <c r="EO33" s="111">
        <v>26</v>
      </c>
      <c r="EP33" s="111">
        <v>13</v>
      </c>
      <c r="EQ33" s="111">
        <v>14</v>
      </c>
      <c r="ER33" s="111">
        <v>0</v>
      </c>
      <c r="ES33" s="111">
        <v>0</v>
      </c>
      <c r="ET33" s="111">
        <v>0</v>
      </c>
      <c r="EU33" s="111">
        <v>10</v>
      </c>
      <c r="EV33" s="111">
        <v>1</v>
      </c>
      <c r="EW33" s="111">
        <v>9</v>
      </c>
      <c r="EX33" s="111">
        <v>0</v>
      </c>
      <c r="EY33" s="111">
        <v>24</v>
      </c>
      <c r="EZ33" s="111">
        <v>23</v>
      </c>
      <c r="FA33" s="111">
        <v>1</v>
      </c>
      <c r="FB33" s="111">
        <v>28</v>
      </c>
    </row>
    <row r="34" spans="1:158" ht="19.5" customHeight="1">
      <c r="A34" s="107">
        <v>31</v>
      </c>
      <c r="B34" s="107" t="s">
        <v>374</v>
      </c>
      <c r="C34" s="107" t="s">
        <v>384</v>
      </c>
      <c r="D34" s="110">
        <v>3266875.5</v>
      </c>
      <c r="E34" s="110">
        <v>1515042</v>
      </c>
      <c r="F34" s="110">
        <v>1751833.5</v>
      </c>
      <c r="G34" s="110">
        <v>3748</v>
      </c>
      <c r="H34" s="110">
        <v>375</v>
      </c>
      <c r="I34" s="110">
        <v>5726</v>
      </c>
      <c r="J34" s="110">
        <v>0</v>
      </c>
      <c r="K34" s="110">
        <v>0</v>
      </c>
      <c r="L34" s="110">
        <v>28259.5</v>
      </c>
      <c r="M34" s="110">
        <v>8940</v>
      </c>
      <c r="N34" s="110">
        <v>0</v>
      </c>
      <c r="O34" s="110">
        <v>6805279.4299999997</v>
      </c>
      <c r="P34" s="110">
        <v>2495399.37</v>
      </c>
      <c r="Q34" s="110">
        <v>2248445.75</v>
      </c>
      <c r="R34" s="110">
        <v>246953.62</v>
      </c>
      <c r="S34" s="110">
        <v>4309880.0599999996</v>
      </c>
      <c r="T34" s="110">
        <v>3439240.26</v>
      </c>
      <c r="U34" s="110">
        <v>870639.8</v>
      </c>
      <c r="V34" s="110">
        <v>2268294.9</v>
      </c>
      <c r="W34" s="110">
        <v>1442006.75</v>
      </c>
      <c r="X34" s="110">
        <v>1287357.07</v>
      </c>
      <c r="Y34" s="110">
        <v>154649.68</v>
      </c>
      <c r="Z34" s="110">
        <v>826288.15</v>
      </c>
      <c r="AA34" s="110">
        <v>341942.85</v>
      </c>
      <c r="AB34" s="110">
        <v>484345.3</v>
      </c>
      <c r="AC34" s="110">
        <v>740566.84</v>
      </c>
      <c r="AD34" s="110">
        <v>497221.35</v>
      </c>
      <c r="AE34" s="110">
        <v>447293.06</v>
      </c>
      <c r="AF34" s="110">
        <v>49928.29</v>
      </c>
      <c r="AG34" s="110">
        <v>243345.49</v>
      </c>
      <c r="AH34" s="110">
        <v>109859.91</v>
      </c>
      <c r="AI34" s="110">
        <v>133485.57999999999</v>
      </c>
      <c r="AJ34" s="110">
        <v>12686.06</v>
      </c>
      <c r="AK34" s="110">
        <v>11649.4</v>
      </c>
      <c r="AL34" s="110">
        <v>10545.01</v>
      </c>
      <c r="AM34" s="110">
        <v>1104.3900000000001</v>
      </c>
      <c r="AN34" s="110">
        <v>1036.6600000000001</v>
      </c>
      <c r="AO34" s="110">
        <v>480.94</v>
      </c>
      <c r="AP34" s="110">
        <v>555.72</v>
      </c>
      <c r="AQ34" s="110">
        <v>995024</v>
      </c>
      <c r="AR34" s="110">
        <v>635794</v>
      </c>
      <c r="AS34" s="110">
        <v>576486</v>
      </c>
      <c r="AT34" s="110">
        <v>59308</v>
      </c>
      <c r="AU34" s="110">
        <v>359230</v>
      </c>
      <c r="AV34" s="110">
        <v>152308</v>
      </c>
      <c r="AW34" s="110">
        <v>206922</v>
      </c>
      <c r="AX34" s="110">
        <v>520018</v>
      </c>
      <c r="AY34" s="110">
        <v>297342</v>
      </c>
      <c r="AZ34" s="110">
        <v>253033</v>
      </c>
      <c r="BA34" s="110">
        <v>44309</v>
      </c>
      <c r="BB34" s="110">
        <v>222676</v>
      </c>
      <c r="BC34" s="110">
        <v>79294</v>
      </c>
      <c r="BD34" s="110">
        <v>143382</v>
      </c>
      <c r="BE34" s="110">
        <v>4536984.53</v>
      </c>
      <c r="BF34" s="110">
        <v>1053392.6200000001</v>
      </c>
      <c r="BG34" s="110">
        <v>961088.68</v>
      </c>
      <c r="BH34" s="110">
        <v>92303.94</v>
      </c>
      <c r="BI34" s="110">
        <v>3483591.91</v>
      </c>
      <c r="BJ34" s="110">
        <v>3097297.41</v>
      </c>
      <c r="BK34" s="110">
        <v>386294.5</v>
      </c>
      <c r="BL34" s="110">
        <v>2734398.7</v>
      </c>
      <c r="BM34" s="110">
        <v>546395.19999999995</v>
      </c>
      <c r="BN34" s="110">
        <v>520872.48</v>
      </c>
      <c r="BO34" s="110">
        <v>25522.720000000001</v>
      </c>
      <c r="BP34" s="110">
        <v>2188003.5</v>
      </c>
      <c r="BQ34" s="110">
        <v>2067877.29</v>
      </c>
      <c r="BR34" s="110">
        <v>120126.21</v>
      </c>
      <c r="BS34" s="110">
        <v>50752.33</v>
      </c>
      <c r="BT34" s="110">
        <v>13544.92</v>
      </c>
      <c r="BU34" s="110">
        <v>12956.2</v>
      </c>
      <c r="BV34" s="110">
        <v>588.72</v>
      </c>
      <c r="BW34" s="110">
        <v>37207.410000000003</v>
      </c>
      <c r="BX34" s="110">
        <v>31792.62</v>
      </c>
      <c r="BY34" s="110">
        <v>5414.79</v>
      </c>
      <c r="BZ34" s="110">
        <v>1183974</v>
      </c>
      <c r="CA34" s="110">
        <v>292573</v>
      </c>
      <c r="CB34" s="110">
        <v>272693</v>
      </c>
      <c r="CC34" s="110">
        <v>19880</v>
      </c>
      <c r="CD34" s="110">
        <v>891401</v>
      </c>
      <c r="CE34" s="110">
        <v>755419</v>
      </c>
      <c r="CF34" s="110">
        <v>135982</v>
      </c>
      <c r="CG34" s="110">
        <v>567859.5</v>
      </c>
      <c r="CH34" s="110">
        <v>200879.5</v>
      </c>
      <c r="CI34" s="110">
        <v>154567</v>
      </c>
      <c r="CJ34" s="110">
        <v>46312.5</v>
      </c>
      <c r="CK34" s="110">
        <v>366980</v>
      </c>
      <c r="CL34" s="110">
        <v>242208.5</v>
      </c>
      <c r="CM34" s="110">
        <v>124771.5</v>
      </c>
      <c r="CN34" s="110">
        <v>262933.28999999998</v>
      </c>
      <c r="CO34" s="110">
        <v>117509.3</v>
      </c>
      <c r="CP34" s="110">
        <v>449949.45</v>
      </c>
      <c r="CQ34" s="110">
        <v>194529.87</v>
      </c>
      <c r="CR34" s="110">
        <v>1243412.99</v>
      </c>
      <c r="CS34" s="110">
        <v>0</v>
      </c>
      <c r="CT34" s="110">
        <v>287174.08</v>
      </c>
      <c r="CU34" s="110">
        <v>0</v>
      </c>
      <c r="CV34" s="111">
        <v>3748</v>
      </c>
      <c r="CW34" s="111">
        <v>2607</v>
      </c>
      <c r="CX34" s="111">
        <v>2311</v>
      </c>
      <c r="CY34" s="111">
        <v>296</v>
      </c>
      <c r="CZ34" s="111">
        <v>1141</v>
      </c>
      <c r="DA34" s="111">
        <v>361</v>
      </c>
      <c r="DB34" s="111">
        <v>780</v>
      </c>
      <c r="DC34" s="111">
        <v>820</v>
      </c>
      <c r="DD34" s="111">
        <v>245</v>
      </c>
      <c r="DE34" s="111">
        <v>676</v>
      </c>
      <c r="DF34" s="111">
        <v>603</v>
      </c>
      <c r="DG34" s="111">
        <v>73</v>
      </c>
      <c r="DH34" s="111">
        <v>144</v>
      </c>
      <c r="DI34" s="111">
        <v>68</v>
      </c>
      <c r="DJ34" s="111">
        <v>76</v>
      </c>
      <c r="DK34" s="111">
        <v>772</v>
      </c>
      <c r="DL34" s="111">
        <v>510</v>
      </c>
      <c r="DM34" s="111">
        <v>463</v>
      </c>
      <c r="DN34" s="111">
        <v>47</v>
      </c>
      <c r="DO34" s="111">
        <v>262</v>
      </c>
      <c r="DP34" s="111">
        <v>102</v>
      </c>
      <c r="DQ34" s="111">
        <v>160</v>
      </c>
      <c r="DR34" s="111">
        <v>1168</v>
      </c>
      <c r="DS34" s="111">
        <v>68</v>
      </c>
      <c r="DT34" s="111">
        <v>695</v>
      </c>
      <c r="DU34" s="111">
        <v>602</v>
      </c>
      <c r="DV34" s="111">
        <v>93</v>
      </c>
      <c r="DW34" s="111">
        <v>473</v>
      </c>
      <c r="DX34" s="111">
        <v>166</v>
      </c>
      <c r="DY34" s="111">
        <v>307</v>
      </c>
      <c r="DZ34" s="111">
        <v>675</v>
      </c>
      <c r="EA34" s="111">
        <v>619</v>
      </c>
      <c r="EB34" s="111">
        <v>555</v>
      </c>
      <c r="EC34" s="111">
        <v>64</v>
      </c>
      <c r="ED34" s="111">
        <v>56</v>
      </c>
      <c r="EE34" s="111">
        <v>25</v>
      </c>
      <c r="EF34" s="111">
        <v>31</v>
      </c>
      <c r="EG34" s="111">
        <v>375</v>
      </c>
      <c r="EH34" s="111">
        <v>130</v>
      </c>
      <c r="EI34" s="111">
        <v>113</v>
      </c>
      <c r="EJ34" s="111">
        <v>17</v>
      </c>
      <c r="EK34" s="111">
        <v>245</v>
      </c>
      <c r="EL34" s="111">
        <v>200</v>
      </c>
      <c r="EM34" s="111">
        <v>45</v>
      </c>
      <c r="EN34" s="111">
        <v>185</v>
      </c>
      <c r="EO34" s="111">
        <v>0</v>
      </c>
      <c r="EP34" s="111">
        <v>0</v>
      </c>
      <c r="EQ34" s="111">
        <v>185</v>
      </c>
      <c r="ER34" s="111">
        <v>0</v>
      </c>
      <c r="ES34" s="111">
        <v>0</v>
      </c>
      <c r="ET34" s="111">
        <v>0</v>
      </c>
      <c r="EU34" s="111">
        <v>0</v>
      </c>
      <c r="EV34" s="111">
        <v>0</v>
      </c>
      <c r="EW34" s="111">
        <v>0</v>
      </c>
      <c r="EX34" s="111">
        <v>0</v>
      </c>
      <c r="EY34" s="111">
        <v>0</v>
      </c>
      <c r="EZ34" s="111">
        <v>0</v>
      </c>
      <c r="FA34" s="111">
        <v>0</v>
      </c>
      <c r="FB34" s="111">
        <v>347</v>
      </c>
    </row>
    <row r="35" spans="1:158" ht="19.5" customHeight="1">
      <c r="A35" s="107">
        <v>32</v>
      </c>
      <c r="B35" s="107" t="s">
        <v>374</v>
      </c>
      <c r="C35" s="107" t="s">
        <v>385</v>
      </c>
      <c r="D35" s="110">
        <v>3695586</v>
      </c>
      <c r="E35" s="110">
        <v>1716843</v>
      </c>
      <c r="F35" s="110">
        <v>1978743</v>
      </c>
      <c r="G35" s="110">
        <v>7512</v>
      </c>
      <c r="H35" s="110">
        <v>186</v>
      </c>
      <c r="I35" s="110">
        <v>26077</v>
      </c>
      <c r="J35" s="110">
        <v>0</v>
      </c>
      <c r="K35" s="110">
        <v>0</v>
      </c>
      <c r="L35" s="110">
        <v>43781</v>
      </c>
      <c r="M35" s="110">
        <v>4860</v>
      </c>
      <c r="N35" s="110">
        <v>0</v>
      </c>
      <c r="O35" s="110">
        <v>5751107.29</v>
      </c>
      <c r="P35" s="110">
        <v>4983686.8</v>
      </c>
      <c r="Q35" s="110">
        <v>3825104.29</v>
      </c>
      <c r="R35" s="110">
        <v>1158582.51</v>
      </c>
      <c r="S35" s="110">
        <v>767420.49</v>
      </c>
      <c r="T35" s="110">
        <v>426312.09</v>
      </c>
      <c r="U35" s="110">
        <v>341108.4</v>
      </c>
      <c r="V35" s="110">
        <v>3422236.68</v>
      </c>
      <c r="W35" s="110">
        <v>3227907.39</v>
      </c>
      <c r="X35" s="110">
        <v>2935724.48</v>
      </c>
      <c r="Y35" s="110">
        <v>292182.90999999997</v>
      </c>
      <c r="Z35" s="110">
        <v>194329.29</v>
      </c>
      <c r="AA35" s="110">
        <v>81253.820000000007</v>
      </c>
      <c r="AB35" s="110">
        <v>113075.47</v>
      </c>
      <c r="AC35" s="110">
        <v>1646300.27</v>
      </c>
      <c r="AD35" s="110">
        <v>1561418.22</v>
      </c>
      <c r="AE35" s="110">
        <v>1428035.34</v>
      </c>
      <c r="AF35" s="110">
        <v>133382.88</v>
      </c>
      <c r="AG35" s="110">
        <v>84882.05</v>
      </c>
      <c r="AH35" s="110">
        <v>30287.200000000001</v>
      </c>
      <c r="AI35" s="110">
        <v>54594.85</v>
      </c>
      <c r="AJ35" s="110">
        <v>59093.41</v>
      </c>
      <c r="AK35" s="110">
        <v>53801.17</v>
      </c>
      <c r="AL35" s="110">
        <v>49410.14</v>
      </c>
      <c r="AM35" s="110">
        <v>4391.03</v>
      </c>
      <c r="AN35" s="110">
        <v>5292.24</v>
      </c>
      <c r="AO35" s="110">
        <v>3534.62</v>
      </c>
      <c r="AP35" s="110">
        <v>1757.62</v>
      </c>
      <c r="AQ35" s="110">
        <v>1280981</v>
      </c>
      <c r="AR35" s="110">
        <v>1207158</v>
      </c>
      <c r="AS35" s="110">
        <v>1107627</v>
      </c>
      <c r="AT35" s="110">
        <v>99531</v>
      </c>
      <c r="AU35" s="110">
        <v>73823</v>
      </c>
      <c r="AV35" s="110">
        <v>36155</v>
      </c>
      <c r="AW35" s="110">
        <v>37668</v>
      </c>
      <c r="AX35" s="110">
        <v>435862</v>
      </c>
      <c r="AY35" s="110">
        <v>405530</v>
      </c>
      <c r="AZ35" s="110">
        <v>350652</v>
      </c>
      <c r="BA35" s="110">
        <v>54878</v>
      </c>
      <c r="BB35" s="110">
        <v>30332</v>
      </c>
      <c r="BC35" s="110">
        <v>11277</v>
      </c>
      <c r="BD35" s="110">
        <v>19055</v>
      </c>
      <c r="BE35" s="110">
        <v>2328870.61</v>
      </c>
      <c r="BF35" s="110">
        <v>1755779.41</v>
      </c>
      <c r="BG35" s="110">
        <v>889379.81</v>
      </c>
      <c r="BH35" s="110">
        <v>866399.6</v>
      </c>
      <c r="BI35" s="110">
        <v>573091.19999999995</v>
      </c>
      <c r="BJ35" s="110">
        <v>345058.27</v>
      </c>
      <c r="BK35" s="110">
        <v>228032.93</v>
      </c>
      <c r="BL35" s="110">
        <v>288272.21999999997</v>
      </c>
      <c r="BM35" s="110">
        <v>200160.27</v>
      </c>
      <c r="BN35" s="110">
        <v>147116.47</v>
      </c>
      <c r="BO35" s="110">
        <v>53043.8</v>
      </c>
      <c r="BP35" s="110">
        <v>88111.95</v>
      </c>
      <c r="BQ35" s="110">
        <v>69750.070000000007</v>
      </c>
      <c r="BR35" s="110">
        <v>18361.88</v>
      </c>
      <c r="BS35" s="110">
        <v>61855.39</v>
      </c>
      <c r="BT35" s="110">
        <v>44568.639999999999</v>
      </c>
      <c r="BU35" s="110">
        <v>25781.84</v>
      </c>
      <c r="BV35" s="110">
        <v>18786.8</v>
      </c>
      <c r="BW35" s="110">
        <v>17286.75</v>
      </c>
      <c r="BX35" s="110">
        <v>10852.7</v>
      </c>
      <c r="BY35" s="110">
        <v>6434.05</v>
      </c>
      <c r="BZ35" s="110">
        <v>953286</v>
      </c>
      <c r="CA35" s="110">
        <v>680110</v>
      </c>
      <c r="CB35" s="110">
        <v>509063</v>
      </c>
      <c r="CC35" s="110">
        <v>171047</v>
      </c>
      <c r="CD35" s="110">
        <v>273176</v>
      </c>
      <c r="CE35" s="110">
        <v>207327</v>
      </c>
      <c r="CF35" s="110">
        <v>65849</v>
      </c>
      <c r="CG35" s="110">
        <v>1025457</v>
      </c>
      <c r="CH35" s="110">
        <v>830940.5</v>
      </c>
      <c r="CI35" s="110">
        <v>207418.5</v>
      </c>
      <c r="CJ35" s="110">
        <v>623522</v>
      </c>
      <c r="CK35" s="110">
        <v>194516.5</v>
      </c>
      <c r="CL35" s="110">
        <v>57128.5</v>
      </c>
      <c r="CM35" s="110">
        <v>137388</v>
      </c>
      <c r="CN35" s="110">
        <v>828470.11</v>
      </c>
      <c r="CO35" s="110">
        <v>1052167.08</v>
      </c>
      <c r="CP35" s="110">
        <v>694929.09</v>
      </c>
      <c r="CQ35" s="110">
        <v>5281.7</v>
      </c>
      <c r="CR35" s="110">
        <v>841388.7</v>
      </c>
      <c r="CS35" s="110">
        <v>0</v>
      </c>
      <c r="CT35" s="110">
        <v>1049418.99</v>
      </c>
      <c r="CU35" s="110">
        <v>0</v>
      </c>
      <c r="CV35" s="111">
        <v>7512</v>
      </c>
      <c r="CW35" s="111">
        <v>6998</v>
      </c>
      <c r="CX35" s="111">
        <v>6276</v>
      </c>
      <c r="CY35" s="111">
        <v>722</v>
      </c>
      <c r="CZ35" s="111">
        <v>514</v>
      </c>
      <c r="DA35" s="111">
        <v>213</v>
      </c>
      <c r="DB35" s="111">
        <v>301</v>
      </c>
      <c r="DC35" s="111">
        <v>2905</v>
      </c>
      <c r="DD35" s="111">
        <v>0</v>
      </c>
      <c r="DE35" s="111">
        <v>2691</v>
      </c>
      <c r="DF35" s="111">
        <v>2424</v>
      </c>
      <c r="DG35" s="111">
        <v>267</v>
      </c>
      <c r="DH35" s="111">
        <v>214</v>
      </c>
      <c r="DI35" s="111">
        <v>87</v>
      </c>
      <c r="DJ35" s="111">
        <v>127</v>
      </c>
      <c r="DK35" s="111">
        <v>1417</v>
      </c>
      <c r="DL35" s="111">
        <v>1312</v>
      </c>
      <c r="DM35" s="111">
        <v>1195</v>
      </c>
      <c r="DN35" s="111">
        <v>117</v>
      </c>
      <c r="DO35" s="111">
        <v>105</v>
      </c>
      <c r="DP35" s="111">
        <v>39</v>
      </c>
      <c r="DQ35" s="111">
        <v>66</v>
      </c>
      <c r="DR35" s="111">
        <v>1121</v>
      </c>
      <c r="DS35" s="111">
        <v>0</v>
      </c>
      <c r="DT35" s="111">
        <v>1058</v>
      </c>
      <c r="DU35" s="111">
        <v>942</v>
      </c>
      <c r="DV35" s="111">
        <v>116</v>
      </c>
      <c r="DW35" s="111">
        <v>63</v>
      </c>
      <c r="DX35" s="111">
        <v>23</v>
      </c>
      <c r="DY35" s="111">
        <v>40</v>
      </c>
      <c r="DZ35" s="111">
        <v>2069</v>
      </c>
      <c r="EA35" s="111">
        <v>1937</v>
      </c>
      <c r="EB35" s="111">
        <v>1715</v>
      </c>
      <c r="EC35" s="111">
        <v>222</v>
      </c>
      <c r="ED35" s="111">
        <v>132</v>
      </c>
      <c r="EE35" s="111">
        <v>64</v>
      </c>
      <c r="EF35" s="111">
        <v>68</v>
      </c>
      <c r="EG35" s="111">
        <v>186</v>
      </c>
      <c r="EH35" s="111">
        <v>145</v>
      </c>
      <c r="EI35" s="111">
        <v>93</v>
      </c>
      <c r="EJ35" s="111">
        <v>52</v>
      </c>
      <c r="EK35" s="111">
        <v>41</v>
      </c>
      <c r="EL35" s="111">
        <v>23</v>
      </c>
      <c r="EM35" s="111">
        <v>18</v>
      </c>
      <c r="EN35" s="111">
        <v>10</v>
      </c>
      <c r="EO35" s="111">
        <v>0</v>
      </c>
      <c r="EP35" s="111">
        <v>0</v>
      </c>
      <c r="EQ35" s="111">
        <v>10</v>
      </c>
      <c r="ER35" s="111">
        <v>0</v>
      </c>
      <c r="ES35" s="111">
        <v>0</v>
      </c>
      <c r="ET35" s="111">
        <v>0</v>
      </c>
      <c r="EU35" s="111">
        <v>0</v>
      </c>
      <c r="EV35" s="111">
        <v>0</v>
      </c>
      <c r="EW35" s="111">
        <v>0</v>
      </c>
      <c r="EX35" s="111">
        <v>0</v>
      </c>
      <c r="EY35" s="111">
        <v>0</v>
      </c>
      <c r="EZ35" s="111">
        <v>0</v>
      </c>
      <c r="FA35" s="111">
        <v>0</v>
      </c>
      <c r="FB35" s="111">
        <v>62</v>
      </c>
    </row>
    <row r="36" spans="1:158" ht="19.5" customHeight="1">
      <c r="A36" s="107">
        <v>33</v>
      </c>
      <c r="B36" s="107" t="s">
        <v>374</v>
      </c>
      <c r="C36" s="107" t="s">
        <v>386</v>
      </c>
      <c r="D36" s="110">
        <v>6743502.3799999999</v>
      </c>
      <c r="E36" s="110">
        <v>1599963</v>
      </c>
      <c r="F36" s="110">
        <v>5143539.38</v>
      </c>
      <c r="G36" s="110">
        <v>4409</v>
      </c>
      <c r="H36" s="110">
        <v>73</v>
      </c>
      <c r="I36" s="110">
        <v>44435</v>
      </c>
      <c r="J36" s="110">
        <v>0</v>
      </c>
      <c r="K36" s="110">
        <v>0</v>
      </c>
      <c r="L36" s="110">
        <v>530017.44999999995</v>
      </c>
      <c r="M36" s="110">
        <v>1158190.8500000001</v>
      </c>
      <c r="N36" s="110">
        <v>0</v>
      </c>
      <c r="O36" s="110">
        <v>9832852.7400000002</v>
      </c>
      <c r="P36" s="110">
        <v>4734012.7699999996</v>
      </c>
      <c r="Q36" s="110">
        <v>4047067.45</v>
      </c>
      <c r="R36" s="110">
        <v>686945.32</v>
      </c>
      <c r="S36" s="110">
        <v>5098839.97</v>
      </c>
      <c r="T36" s="110">
        <v>4627370.67</v>
      </c>
      <c r="U36" s="110">
        <v>471469.3</v>
      </c>
      <c r="V36" s="110">
        <v>2441318.41</v>
      </c>
      <c r="W36" s="110">
        <v>2291515.13</v>
      </c>
      <c r="X36" s="110">
        <v>2065560.7</v>
      </c>
      <c r="Y36" s="110">
        <v>225954.43</v>
      </c>
      <c r="Z36" s="110">
        <v>149803.28</v>
      </c>
      <c r="AA36" s="110">
        <v>80155.97</v>
      </c>
      <c r="AB36" s="110">
        <v>69647.31</v>
      </c>
      <c r="AC36" s="110">
        <v>803116</v>
      </c>
      <c r="AD36" s="110">
        <v>760447.13</v>
      </c>
      <c r="AE36" s="110">
        <v>697218.74</v>
      </c>
      <c r="AF36" s="110">
        <v>63228.39</v>
      </c>
      <c r="AG36" s="110">
        <v>42668.87</v>
      </c>
      <c r="AH36" s="110">
        <v>20055.29</v>
      </c>
      <c r="AI36" s="110">
        <v>22613.58</v>
      </c>
      <c r="AJ36" s="110">
        <v>38239.410000000003</v>
      </c>
      <c r="AK36" s="110">
        <v>34227</v>
      </c>
      <c r="AL36" s="110">
        <v>30522.46</v>
      </c>
      <c r="AM36" s="110">
        <v>3704.54</v>
      </c>
      <c r="AN36" s="110">
        <v>4012.41</v>
      </c>
      <c r="AO36" s="110">
        <v>2440.6799999999998</v>
      </c>
      <c r="AP36" s="110">
        <v>1571.73</v>
      </c>
      <c r="AQ36" s="110">
        <v>1344573</v>
      </c>
      <c r="AR36" s="110">
        <v>1265757</v>
      </c>
      <c r="AS36" s="110">
        <v>1158729</v>
      </c>
      <c r="AT36" s="110">
        <v>107028</v>
      </c>
      <c r="AU36" s="110">
        <v>78816</v>
      </c>
      <c r="AV36" s="110">
        <v>46702</v>
      </c>
      <c r="AW36" s="110">
        <v>32114</v>
      </c>
      <c r="AX36" s="110">
        <v>255390</v>
      </c>
      <c r="AY36" s="110">
        <v>231084</v>
      </c>
      <c r="AZ36" s="110">
        <v>179090.5</v>
      </c>
      <c r="BA36" s="110">
        <v>51993.5</v>
      </c>
      <c r="BB36" s="110">
        <v>24306</v>
      </c>
      <c r="BC36" s="110">
        <v>10958</v>
      </c>
      <c r="BD36" s="110">
        <v>13348</v>
      </c>
      <c r="BE36" s="110">
        <v>7391534.3300000001</v>
      </c>
      <c r="BF36" s="110">
        <v>2442497.64</v>
      </c>
      <c r="BG36" s="110">
        <v>1981506.75</v>
      </c>
      <c r="BH36" s="110">
        <v>460990.89</v>
      </c>
      <c r="BI36" s="110">
        <v>4949036.6900000004</v>
      </c>
      <c r="BJ36" s="110">
        <v>4547214.7</v>
      </c>
      <c r="BK36" s="110">
        <v>401821.99</v>
      </c>
      <c r="BL36" s="110">
        <v>892978.94</v>
      </c>
      <c r="BM36" s="110">
        <v>417088.43</v>
      </c>
      <c r="BN36" s="110">
        <v>362665.49</v>
      </c>
      <c r="BO36" s="110">
        <v>54422.94</v>
      </c>
      <c r="BP36" s="110">
        <v>475890.51</v>
      </c>
      <c r="BQ36" s="110">
        <v>425539</v>
      </c>
      <c r="BR36" s="110">
        <v>50351.51</v>
      </c>
      <c r="BS36" s="110">
        <v>1355016.01</v>
      </c>
      <c r="BT36" s="110">
        <v>287183.53999999998</v>
      </c>
      <c r="BU36" s="110">
        <v>220617.09</v>
      </c>
      <c r="BV36" s="110">
        <v>66566.45</v>
      </c>
      <c r="BW36" s="110">
        <v>1067832.47</v>
      </c>
      <c r="BX36" s="110">
        <v>1000186.24</v>
      </c>
      <c r="BY36" s="110">
        <v>67646.23</v>
      </c>
      <c r="BZ36" s="110">
        <v>2450209</v>
      </c>
      <c r="CA36" s="110">
        <v>989828.5</v>
      </c>
      <c r="CB36" s="110">
        <v>816893.5</v>
      </c>
      <c r="CC36" s="110">
        <v>172935</v>
      </c>
      <c r="CD36" s="110">
        <v>1460380.5</v>
      </c>
      <c r="CE36" s="110">
        <v>1316021.5</v>
      </c>
      <c r="CF36" s="110">
        <v>144359</v>
      </c>
      <c r="CG36" s="110">
        <v>2693330.38</v>
      </c>
      <c r="CH36" s="110">
        <v>748397.17</v>
      </c>
      <c r="CI36" s="110">
        <v>581330.67000000004</v>
      </c>
      <c r="CJ36" s="110">
        <v>167066.5</v>
      </c>
      <c r="CK36" s="110">
        <v>1944933.21</v>
      </c>
      <c r="CL36" s="110">
        <v>1805467.96</v>
      </c>
      <c r="CM36" s="110">
        <v>139465.25</v>
      </c>
      <c r="CN36" s="110">
        <v>740060.48</v>
      </c>
      <c r="CO36" s="110">
        <v>1011761.68</v>
      </c>
      <c r="CP36" s="110">
        <v>294403.90000000002</v>
      </c>
      <c r="CQ36" s="110">
        <v>6416</v>
      </c>
      <c r="CR36" s="110">
        <v>388676.35</v>
      </c>
      <c r="CS36" s="110">
        <v>0</v>
      </c>
      <c r="CT36" s="110">
        <v>77771.87</v>
      </c>
      <c r="CU36" s="110">
        <v>0</v>
      </c>
      <c r="CV36" s="111">
        <v>4409</v>
      </c>
      <c r="CW36" s="111">
        <v>4008</v>
      </c>
      <c r="CX36" s="111">
        <v>3457</v>
      </c>
      <c r="CY36" s="111">
        <v>551</v>
      </c>
      <c r="CZ36" s="111">
        <v>401</v>
      </c>
      <c r="DA36" s="111">
        <v>181</v>
      </c>
      <c r="DB36" s="111">
        <v>220</v>
      </c>
      <c r="DC36" s="111">
        <v>1988</v>
      </c>
      <c r="DD36" s="111">
        <v>0</v>
      </c>
      <c r="DE36" s="111">
        <v>1844</v>
      </c>
      <c r="DF36" s="111">
        <v>1640</v>
      </c>
      <c r="DG36" s="111">
        <v>204</v>
      </c>
      <c r="DH36" s="111">
        <v>144</v>
      </c>
      <c r="DI36" s="111">
        <v>60</v>
      </c>
      <c r="DJ36" s="111">
        <v>84</v>
      </c>
      <c r="DK36" s="111">
        <v>461</v>
      </c>
      <c r="DL36" s="111">
        <v>424</v>
      </c>
      <c r="DM36" s="111">
        <v>380</v>
      </c>
      <c r="DN36" s="111">
        <v>44</v>
      </c>
      <c r="DO36" s="111">
        <v>37</v>
      </c>
      <c r="DP36" s="111">
        <v>18</v>
      </c>
      <c r="DQ36" s="111">
        <v>19</v>
      </c>
      <c r="DR36" s="111">
        <v>383</v>
      </c>
      <c r="DS36" s="111">
        <v>0</v>
      </c>
      <c r="DT36" s="111">
        <v>361</v>
      </c>
      <c r="DU36" s="111">
        <v>290</v>
      </c>
      <c r="DV36" s="111">
        <v>71</v>
      </c>
      <c r="DW36" s="111">
        <v>22</v>
      </c>
      <c r="DX36" s="111">
        <v>7</v>
      </c>
      <c r="DY36" s="111">
        <v>15</v>
      </c>
      <c r="DZ36" s="111">
        <v>1577</v>
      </c>
      <c r="EA36" s="111">
        <v>1379</v>
      </c>
      <c r="EB36" s="111">
        <v>1147</v>
      </c>
      <c r="EC36" s="111">
        <v>232</v>
      </c>
      <c r="ED36" s="111">
        <v>198</v>
      </c>
      <c r="EE36" s="111">
        <v>96</v>
      </c>
      <c r="EF36" s="111">
        <v>102</v>
      </c>
      <c r="EG36" s="111">
        <v>73</v>
      </c>
      <c r="EH36" s="111">
        <v>56</v>
      </c>
      <c r="EI36" s="111">
        <v>46</v>
      </c>
      <c r="EJ36" s="111">
        <v>10</v>
      </c>
      <c r="EK36" s="111">
        <v>17</v>
      </c>
      <c r="EL36" s="111">
        <v>15</v>
      </c>
      <c r="EM36" s="111">
        <v>2</v>
      </c>
      <c r="EN36" s="111">
        <v>12</v>
      </c>
      <c r="EO36" s="111">
        <v>0</v>
      </c>
      <c r="EP36" s="111">
        <v>0</v>
      </c>
      <c r="EQ36" s="111">
        <v>12</v>
      </c>
      <c r="ER36" s="111">
        <v>0</v>
      </c>
      <c r="ES36" s="111">
        <v>0</v>
      </c>
      <c r="ET36" s="111">
        <v>0</v>
      </c>
      <c r="EU36" s="111">
        <v>0</v>
      </c>
      <c r="EV36" s="111">
        <v>0</v>
      </c>
      <c r="EW36" s="111">
        <v>0</v>
      </c>
      <c r="EX36" s="111">
        <v>0</v>
      </c>
      <c r="EY36" s="111">
        <v>0</v>
      </c>
      <c r="EZ36" s="111">
        <v>0</v>
      </c>
      <c r="FA36" s="111">
        <v>0</v>
      </c>
      <c r="FB36" s="111">
        <v>0</v>
      </c>
    </row>
    <row r="37" spans="1:158" ht="19.5" customHeight="1">
      <c r="A37" s="107">
        <v>34</v>
      </c>
      <c r="B37" s="107" t="s">
        <v>382</v>
      </c>
      <c r="C37" s="107" t="s">
        <v>387</v>
      </c>
      <c r="D37" s="110">
        <v>2532650.7000000002</v>
      </c>
      <c r="E37" s="110">
        <v>486909</v>
      </c>
      <c r="F37" s="110">
        <v>2045741.7</v>
      </c>
      <c r="G37" s="110">
        <v>3271</v>
      </c>
      <c r="H37" s="110">
        <v>266</v>
      </c>
      <c r="I37" s="110">
        <v>31514</v>
      </c>
      <c r="J37" s="110">
        <v>8966</v>
      </c>
      <c r="K37" s="110">
        <v>0</v>
      </c>
      <c r="L37" s="110">
        <v>139143.5</v>
      </c>
      <c r="M37" s="110">
        <v>695610.7</v>
      </c>
      <c r="N37" s="110">
        <v>0</v>
      </c>
      <c r="O37" s="110">
        <v>3905291.97</v>
      </c>
      <c r="P37" s="110">
        <v>1748537.16</v>
      </c>
      <c r="Q37" s="110">
        <v>1405030.67</v>
      </c>
      <c r="R37" s="110">
        <v>343506.49</v>
      </c>
      <c r="S37" s="110">
        <v>2156754.81</v>
      </c>
      <c r="T37" s="110">
        <v>1727013.84</v>
      </c>
      <c r="U37" s="110">
        <v>429740.97</v>
      </c>
      <c r="V37" s="110">
        <v>629434.68999999994</v>
      </c>
      <c r="W37" s="110">
        <v>456161.13</v>
      </c>
      <c r="X37" s="110">
        <v>378691.93</v>
      </c>
      <c r="Y37" s="110">
        <v>77469.2</v>
      </c>
      <c r="Z37" s="110">
        <v>173273.56</v>
      </c>
      <c r="AA37" s="110">
        <v>59818.89</v>
      </c>
      <c r="AB37" s="110">
        <v>113454.67</v>
      </c>
      <c r="AC37" s="110">
        <v>73729.27</v>
      </c>
      <c r="AD37" s="110">
        <v>63795.98</v>
      </c>
      <c r="AE37" s="110">
        <v>57389.15</v>
      </c>
      <c r="AF37" s="110">
        <v>6406.83</v>
      </c>
      <c r="AG37" s="110">
        <v>9933.2900000000009</v>
      </c>
      <c r="AH37" s="110">
        <v>3729.53</v>
      </c>
      <c r="AI37" s="110">
        <v>6203.76</v>
      </c>
      <c r="AJ37" s="110">
        <v>68796.42</v>
      </c>
      <c r="AK37" s="110">
        <v>58928.15</v>
      </c>
      <c r="AL37" s="110">
        <v>49824.78</v>
      </c>
      <c r="AM37" s="110">
        <v>9103.3700000000008</v>
      </c>
      <c r="AN37" s="110">
        <v>9868.27</v>
      </c>
      <c r="AO37" s="110">
        <v>646.36</v>
      </c>
      <c r="AP37" s="110">
        <v>9221.91</v>
      </c>
      <c r="AQ37" s="110">
        <v>270043</v>
      </c>
      <c r="AR37" s="110">
        <v>188463</v>
      </c>
      <c r="AS37" s="110">
        <v>152982</v>
      </c>
      <c r="AT37" s="110">
        <v>35481</v>
      </c>
      <c r="AU37" s="110">
        <v>81580</v>
      </c>
      <c r="AV37" s="110">
        <v>27396</v>
      </c>
      <c r="AW37" s="110">
        <v>54184</v>
      </c>
      <c r="AX37" s="110">
        <v>216866</v>
      </c>
      <c r="AY37" s="110">
        <v>144974</v>
      </c>
      <c r="AZ37" s="110">
        <v>118496</v>
      </c>
      <c r="BA37" s="110">
        <v>26478</v>
      </c>
      <c r="BB37" s="110">
        <v>71892</v>
      </c>
      <c r="BC37" s="110">
        <v>28047</v>
      </c>
      <c r="BD37" s="110">
        <v>43845</v>
      </c>
      <c r="BE37" s="110">
        <v>3275857.28</v>
      </c>
      <c r="BF37" s="110">
        <v>1292376.03</v>
      </c>
      <c r="BG37" s="110">
        <v>1026338.74</v>
      </c>
      <c r="BH37" s="110">
        <v>266037.28999999998</v>
      </c>
      <c r="BI37" s="110">
        <v>1983481.25</v>
      </c>
      <c r="BJ37" s="110">
        <v>1667194.95</v>
      </c>
      <c r="BK37" s="110">
        <v>316286.3</v>
      </c>
      <c r="BL37" s="110">
        <v>464113.03</v>
      </c>
      <c r="BM37" s="110">
        <v>114242.7</v>
      </c>
      <c r="BN37" s="110">
        <v>100519.92</v>
      </c>
      <c r="BO37" s="110">
        <v>13722.78</v>
      </c>
      <c r="BP37" s="110">
        <v>349870.33</v>
      </c>
      <c r="BQ37" s="110">
        <v>333108.13</v>
      </c>
      <c r="BR37" s="110">
        <v>16762.2</v>
      </c>
      <c r="BS37" s="110">
        <v>766002.55</v>
      </c>
      <c r="BT37" s="110">
        <v>315812.08</v>
      </c>
      <c r="BU37" s="110">
        <v>282768.82</v>
      </c>
      <c r="BV37" s="110">
        <v>33043.26</v>
      </c>
      <c r="BW37" s="110">
        <v>450190.47</v>
      </c>
      <c r="BX37" s="110">
        <v>402230.57</v>
      </c>
      <c r="BY37" s="110">
        <v>47959.9</v>
      </c>
      <c r="BZ37" s="110">
        <v>519409</v>
      </c>
      <c r="CA37" s="110">
        <v>201625</v>
      </c>
      <c r="CB37" s="110">
        <v>170325</v>
      </c>
      <c r="CC37" s="110">
        <v>31300</v>
      </c>
      <c r="CD37" s="110">
        <v>317784</v>
      </c>
      <c r="CE37" s="110">
        <v>284755</v>
      </c>
      <c r="CF37" s="110">
        <v>33029</v>
      </c>
      <c r="CG37" s="110">
        <v>1526332.7</v>
      </c>
      <c r="CH37" s="110">
        <v>660696.25</v>
      </c>
      <c r="CI37" s="110">
        <v>472725</v>
      </c>
      <c r="CJ37" s="110">
        <v>187971.25</v>
      </c>
      <c r="CK37" s="110">
        <v>865636.45</v>
      </c>
      <c r="CL37" s="110">
        <v>647101.25</v>
      </c>
      <c r="CM37" s="110">
        <v>218535.2</v>
      </c>
      <c r="CN37" s="110">
        <v>264272.71999999997</v>
      </c>
      <c r="CO37" s="110">
        <v>148660.24</v>
      </c>
      <c r="CP37" s="110">
        <v>70887.759999999995</v>
      </c>
      <c r="CQ37" s="110">
        <v>22974.6</v>
      </c>
      <c r="CR37" s="110">
        <v>122669.37</v>
      </c>
      <c r="CS37" s="110">
        <v>0</v>
      </c>
      <c r="CT37" s="110">
        <v>441714.78</v>
      </c>
      <c r="CU37" s="110">
        <v>0</v>
      </c>
      <c r="CV37" s="111">
        <v>3271</v>
      </c>
      <c r="CW37" s="111">
        <v>2591</v>
      </c>
      <c r="CX37" s="111">
        <v>2170</v>
      </c>
      <c r="CY37" s="111">
        <v>421</v>
      </c>
      <c r="CZ37" s="111">
        <v>680</v>
      </c>
      <c r="DA37" s="111">
        <v>264</v>
      </c>
      <c r="DB37" s="111">
        <v>416</v>
      </c>
      <c r="DC37" s="111">
        <v>1076</v>
      </c>
      <c r="DD37" s="111">
        <v>9</v>
      </c>
      <c r="DE37" s="111">
        <v>900</v>
      </c>
      <c r="DF37" s="111">
        <v>763</v>
      </c>
      <c r="DG37" s="111">
        <v>137</v>
      </c>
      <c r="DH37" s="111">
        <v>176</v>
      </c>
      <c r="DI37" s="111">
        <v>72</v>
      </c>
      <c r="DJ37" s="111">
        <v>104</v>
      </c>
      <c r="DK37" s="111">
        <v>509</v>
      </c>
      <c r="DL37" s="111">
        <v>289</v>
      </c>
      <c r="DM37" s="111">
        <v>242</v>
      </c>
      <c r="DN37" s="111">
        <v>47</v>
      </c>
      <c r="DO37" s="111">
        <v>220</v>
      </c>
      <c r="DP37" s="111">
        <v>74</v>
      </c>
      <c r="DQ37" s="111">
        <v>146</v>
      </c>
      <c r="DR37" s="111">
        <v>245</v>
      </c>
      <c r="DS37" s="111">
        <v>0</v>
      </c>
      <c r="DT37" s="111">
        <v>106</v>
      </c>
      <c r="DU37" s="111">
        <v>75</v>
      </c>
      <c r="DV37" s="111">
        <v>31</v>
      </c>
      <c r="DW37" s="111">
        <v>139</v>
      </c>
      <c r="DX37" s="111">
        <v>54</v>
      </c>
      <c r="DY37" s="111">
        <v>85</v>
      </c>
      <c r="DZ37" s="111">
        <v>1432</v>
      </c>
      <c r="EA37" s="111">
        <v>1289</v>
      </c>
      <c r="EB37" s="111">
        <v>1085</v>
      </c>
      <c r="EC37" s="111">
        <v>204</v>
      </c>
      <c r="ED37" s="111">
        <v>143</v>
      </c>
      <c r="EE37" s="111">
        <v>64</v>
      </c>
      <c r="EF37" s="111">
        <v>79</v>
      </c>
      <c r="EG37" s="111">
        <v>266</v>
      </c>
      <c r="EH37" s="111">
        <v>133</v>
      </c>
      <c r="EI37" s="111">
        <v>114</v>
      </c>
      <c r="EJ37" s="111">
        <v>19</v>
      </c>
      <c r="EK37" s="111">
        <v>133</v>
      </c>
      <c r="EL37" s="111">
        <v>99</v>
      </c>
      <c r="EM37" s="111">
        <v>34</v>
      </c>
      <c r="EN37" s="111">
        <v>218</v>
      </c>
      <c r="EO37" s="111">
        <v>202</v>
      </c>
      <c r="EP37" s="111">
        <v>0</v>
      </c>
      <c r="EQ37" s="111">
        <v>16</v>
      </c>
      <c r="ER37" s="111">
        <v>110</v>
      </c>
      <c r="ES37" s="111">
        <v>0</v>
      </c>
      <c r="ET37" s="111">
        <v>0</v>
      </c>
      <c r="EU37" s="111">
        <v>52</v>
      </c>
      <c r="EV37" s="111">
        <v>52</v>
      </c>
      <c r="EW37" s="111">
        <v>0</v>
      </c>
      <c r="EX37" s="111">
        <v>0</v>
      </c>
      <c r="EY37" s="111">
        <v>25</v>
      </c>
      <c r="EZ37" s="111">
        <v>25</v>
      </c>
      <c r="FA37" s="111">
        <v>0</v>
      </c>
      <c r="FB37" s="111">
        <v>9</v>
      </c>
    </row>
    <row r="38" spans="1:158" ht="19.5" customHeight="1">
      <c r="A38" s="107">
        <v>35</v>
      </c>
      <c r="B38" s="107" t="s">
        <v>382</v>
      </c>
      <c r="C38" s="107" t="s">
        <v>388</v>
      </c>
      <c r="D38" s="110">
        <v>1607137.25</v>
      </c>
      <c r="E38" s="110">
        <v>146715</v>
      </c>
      <c r="F38" s="110">
        <v>1460422.25</v>
      </c>
      <c r="G38" s="110">
        <v>1765</v>
      </c>
      <c r="H38" s="110">
        <v>148</v>
      </c>
      <c r="I38" s="110">
        <v>2584</v>
      </c>
      <c r="J38" s="110">
        <v>690</v>
      </c>
      <c r="K38" s="110">
        <v>0</v>
      </c>
      <c r="L38" s="110">
        <v>70205.5</v>
      </c>
      <c r="M38" s="110">
        <v>651415.25</v>
      </c>
      <c r="N38" s="110">
        <v>0</v>
      </c>
      <c r="O38" s="110">
        <v>2265761.7599999998</v>
      </c>
      <c r="P38" s="110">
        <v>827651.81</v>
      </c>
      <c r="Q38" s="110">
        <v>634233.43000000005</v>
      </c>
      <c r="R38" s="110">
        <v>193418.38</v>
      </c>
      <c r="S38" s="110">
        <v>1438109.95</v>
      </c>
      <c r="T38" s="110">
        <v>1012844.91</v>
      </c>
      <c r="U38" s="110">
        <v>425265.04</v>
      </c>
      <c r="V38" s="110">
        <v>172573.7</v>
      </c>
      <c r="W38" s="110">
        <v>117459.18</v>
      </c>
      <c r="X38" s="110">
        <v>102387.38</v>
      </c>
      <c r="Y38" s="110">
        <v>15071.8</v>
      </c>
      <c r="Z38" s="110">
        <v>55114.52</v>
      </c>
      <c r="AA38" s="110">
        <v>17428.55</v>
      </c>
      <c r="AB38" s="110">
        <v>37685.97</v>
      </c>
      <c r="AC38" s="110">
        <v>16275.21</v>
      </c>
      <c r="AD38" s="110">
        <v>10086.69</v>
      </c>
      <c r="AE38" s="110">
        <v>9297.89</v>
      </c>
      <c r="AF38" s="110">
        <v>788.8</v>
      </c>
      <c r="AG38" s="110">
        <v>6188.52</v>
      </c>
      <c r="AH38" s="110">
        <v>1681.51</v>
      </c>
      <c r="AI38" s="110">
        <v>4507.01</v>
      </c>
      <c r="AJ38" s="110">
        <v>9583.49</v>
      </c>
      <c r="AK38" s="110">
        <v>8210.49</v>
      </c>
      <c r="AL38" s="110">
        <v>8210.49</v>
      </c>
      <c r="AM38" s="110">
        <v>0</v>
      </c>
      <c r="AN38" s="110">
        <v>1373</v>
      </c>
      <c r="AO38" s="110">
        <v>284.04000000000002</v>
      </c>
      <c r="AP38" s="110">
        <v>1088.96</v>
      </c>
      <c r="AQ38" s="110">
        <v>71674</v>
      </c>
      <c r="AR38" s="110">
        <v>47214</v>
      </c>
      <c r="AS38" s="110">
        <v>41809</v>
      </c>
      <c r="AT38" s="110">
        <v>5405</v>
      </c>
      <c r="AU38" s="110">
        <v>24460</v>
      </c>
      <c r="AV38" s="110">
        <v>8244</v>
      </c>
      <c r="AW38" s="110">
        <v>16216</v>
      </c>
      <c r="AX38" s="110">
        <v>75041</v>
      </c>
      <c r="AY38" s="110">
        <v>51948</v>
      </c>
      <c r="AZ38" s="110">
        <v>43070</v>
      </c>
      <c r="BA38" s="110">
        <v>8878</v>
      </c>
      <c r="BB38" s="110">
        <v>23093</v>
      </c>
      <c r="BC38" s="110">
        <v>7219</v>
      </c>
      <c r="BD38" s="110">
        <v>15874</v>
      </c>
      <c r="BE38" s="110">
        <v>2093188.06</v>
      </c>
      <c r="BF38" s="110">
        <v>710192.63</v>
      </c>
      <c r="BG38" s="110">
        <v>531846.05000000005</v>
      </c>
      <c r="BH38" s="110">
        <v>178346.58</v>
      </c>
      <c r="BI38" s="110">
        <v>1382995.43</v>
      </c>
      <c r="BJ38" s="110">
        <v>995416.36</v>
      </c>
      <c r="BK38" s="110">
        <v>387579.07</v>
      </c>
      <c r="BL38" s="110">
        <v>168781.02</v>
      </c>
      <c r="BM38" s="110">
        <v>65212.68</v>
      </c>
      <c r="BN38" s="110">
        <v>53614.080000000002</v>
      </c>
      <c r="BO38" s="110">
        <v>11598.6</v>
      </c>
      <c r="BP38" s="110">
        <v>103568.34</v>
      </c>
      <c r="BQ38" s="110">
        <v>82028.69</v>
      </c>
      <c r="BR38" s="110">
        <v>21539.65</v>
      </c>
      <c r="BS38" s="110">
        <v>463984.79</v>
      </c>
      <c r="BT38" s="110">
        <v>176128.45</v>
      </c>
      <c r="BU38" s="110">
        <v>147219.47</v>
      </c>
      <c r="BV38" s="110">
        <v>28908.98</v>
      </c>
      <c r="BW38" s="110">
        <v>287856.34000000003</v>
      </c>
      <c r="BX38" s="110">
        <v>230883.42</v>
      </c>
      <c r="BY38" s="110">
        <v>56972.92</v>
      </c>
      <c r="BZ38" s="110">
        <v>266475</v>
      </c>
      <c r="CA38" s="110">
        <v>88739</v>
      </c>
      <c r="CB38" s="110">
        <v>77491</v>
      </c>
      <c r="CC38" s="110">
        <v>11248</v>
      </c>
      <c r="CD38" s="110">
        <v>177736</v>
      </c>
      <c r="CE38" s="110">
        <v>152977</v>
      </c>
      <c r="CF38" s="110">
        <v>24759</v>
      </c>
      <c r="CG38" s="110">
        <v>1193947.25</v>
      </c>
      <c r="CH38" s="110">
        <v>380112.5</v>
      </c>
      <c r="CI38" s="110">
        <v>253521.5</v>
      </c>
      <c r="CJ38" s="110">
        <v>126591</v>
      </c>
      <c r="CK38" s="110">
        <v>813834.75</v>
      </c>
      <c r="CL38" s="110">
        <v>529527.25</v>
      </c>
      <c r="CM38" s="110">
        <v>284307.5</v>
      </c>
      <c r="CN38" s="110">
        <v>5367.21</v>
      </c>
      <c r="CO38" s="110">
        <v>82374.31</v>
      </c>
      <c r="CP38" s="110">
        <v>54063.51</v>
      </c>
      <c r="CQ38" s="110">
        <v>7017.97</v>
      </c>
      <c r="CR38" s="110">
        <v>23775.7</v>
      </c>
      <c r="CS38" s="110">
        <v>0</v>
      </c>
      <c r="CT38" s="110">
        <v>471326.27</v>
      </c>
      <c r="CU38" s="110">
        <v>0</v>
      </c>
      <c r="CV38" s="111">
        <v>1765</v>
      </c>
      <c r="CW38" s="111">
        <v>1333</v>
      </c>
      <c r="CX38" s="111">
        <v>1170</v>
      </c>
      <c r="CY38" s="111">
        <v>163</v>
      </c>
      <c r="CZ38" s="111">
        <v>432</v>
      </c>
      <c r="DA38" s="111">
        <v>143</v>
      </c>
      <c r="DB38" s="111">
        <v>289</v>
      </c>
      <c r="DC38" s="111">
        <v>1038</v>
      </c>
      <c r="DD38" s="111">
        <v>12</v>
      </c>
      <c r="DE38" s="111">
        <v>837</v>
      </c>
      <c r="DF38" s="111">
        <v>752</v>
      </c>
      <c r="DG38" s="111">
        <v>85</v>
      </c>
      <c r="DH38" s="111">
        <v>201</v>
      </c>
      <c r="DI38" s="111">
        <v>59</v>
      </c>
      <c r="DJ38" s="111">
        <v>142</v>
      </c>
      <c r="DK38" s="111">
        <v>632</v>
      </c>
      <c r="DL38" s="111">
        <v>435</v>
      </c>
      <c r="DM38" s="111">
        <v>369</v>
      </c>
      <c r="DN38" s="111">
        <v>66</v>
      </c>
      <c r="DO38" s="111">
        <v>197</v>
      </c>
      <c r="DP38" s="111">
        <v>74</v>
      </c>
      <c r="DQ38" s="111">
        <v>123</v>
      </c>
      <c r="DR38" s="111">
        <v>57</v>
      </c>
      <c r="DS38" s="111">
        <v>0</v>
      </c>
      <c r="DT38" s="111">
        <v>37</v>
      </c>
      <c r="DU38" s="111">
        <v>29</v>
      </c>
      <c r="DV38" s="111">
        <v>8</v>
      </c>
      <c r="DW38" s="111">
        <v>20</v>
      </c>
      <c r="DX38" s="111">
        <v>4</v>
      </c>
      <c r="DY38" s="111">
        <v>16</v>
      </c>
      <c r="DZ38" s="111">
        <v>26</v>
      </c>
      <c r="EA38" s="111">
        <v>14</v>
      </c>
      <c r="EB38" s="111">
        <v>14</v>
      </c>
      <c r="EC38" s="111">
        <v>0</v>
      </c>
      <c r="ED38" s="111">
        <v>12</v>
      </c>
      <c r="EE38" s="111">
        <v>6</v>
      </c>
      <c r="EF38" s="111">
        <v>6</v>
      </c>
      <c r="EG38" s="111">
        <v>148</v>
      </c>
      <c r="EH38" s="111">
        <v>64</v>
      </c>
      <c r="EI38" s="111">
        <v>52</v>
      </c>
      <c r="EJ38" s="111">
        <v>12</v>
      </c>
      <c r="EK38" s="111">
        <v>84</v>
      </c>
      <c r="EL38" s="111">
        <v>68</v>
      </c>
      <c r="EM38" s="111">
        <v>16</v>
      </c>
      <c r="EN38" s="111">
        <v>142</v>
      </c>
      <c r="EO38" s="111">
        <v>121</v>
      </c>
      <c r="EP38" s="111">
        <v>0</v>
      </c>
      <c r="EQ38" s="111">
        <v>21</v>
      </c>
      <c r="ER38" s="111">
        <v>56</v>
      </c>
      <c r="ES38" s="111">
        <v>0</v>
      </c>
      <c r="ET38" s="111">
        <v>0</v>
      </c>
      <c r="EU38" s="111">
        <v>43</v>
      </c>
      <c r="EV38" s="111">
        <v>43</v>
      </c>
      <c r="EW38" s="111">
        <v>0</v>
      </c>
      <c r="EX38" s="111">
        <v>0</v>
      </c>
      <c r="EY38" s="111">
        <v>20</v>
      </c>
      <c r="EZ38" s="111">
        <v>20</v>
      </c>
      <c r="FA38" s="111">
        <v>0</v>
      </c>
      <c r="FB38" s="111">
        <v>8</v>
      </c>
    </row>
    <row r="39" spans="1:158" ht="19.5" customHeight="1">
      <c r="A39" s="107">
        <v>36</v>
      </c>
      <c r="B39" s="107" t="s">
        <v>382</v>
      </c>
      <c r="C39" s="107" t="s">
        <v>389</v>
      </c>
      <c r="D39" s="110">
        <v>4212754.97</v>
      </c>
      <c r="E39" s="110">
        <v>1310860</v>
      </c>
      <c r="F39" s="110">
        <v>2901894.97</v>
      </c>
      <c r="G39" s="110">
        <v>7620</v>
      </c>
      <c r="H39" s="110">
        <v>242</v>
      </c>
      <c r="I39" s="110">
        <v>31370</v>
      </c>
      <c r="J39" s="110">
        <v>94814</v>
      </c>
      <c r="K39" s="110">
        <v>0</v>
      </c>
      <c r="L39" s="110">
        <v>203526.37</v>
      </c>
      <c r="M39" s="110">
        <v>1730767.1</v>
      </c>
      <c r="N39" s="110">
        <v>0</v>
      </c>
      <c r="O39" s="110">
        <v>10396776.630000001</v>
      </c>
      <c r="P39" s="110">
        <v>5738791.0899999999</v>
      </c>
      <c r="Q39" s="110">
        <v>5009393.3099999996</v>
      </c>
      <c r="R39" s="110">
        <v>729397.78</v>
      </c>
      <c r="S39" s="110">
        <v>4657985.54</v>
      </c>
      <c r="T39" s="110">
        <v>4092619.99</v>
      </c>
      <c r="U39" s="110">
        <v>565365.55000000005</v>
      </c>
      <c r="V39" s="110">
        <v>2382969.61</v>
      </c>
      <c r="W39" s="110">
        <v>2032196.44</v>
      </c>
      <c r="X39" s="110">
        <v>1792782.31</v>
      </c>
      <c r="Y39" s="110">
        <v>239414.13</v>
      </c>
      <c r="Z39" s="110">
        <v>350773.17</v>
      </c>
      <c r="AA39" s="110">
        <v>124736.77</v>
      </c>
      <c r="AB39" s="110">
        <v>226036.4</v>
      </c>
      <c r="AC39" s="110">
        <v>78753.14</v>
      </c>
      <c r="AD39" s="110">
        <v>71605.66</v>
      </c>
      <c r="AE39" s="110">
        <v>60752.92</v>
      </c>
      <c r="AF39" s="110">
        <v>10852.74</v>
      </c>
      <c r="AG39" s="110">
        <v>7147.48</v>
      </c>
      <c r="AH39" s="110">
        <v>1649.48</v>
      </c>
      <c r="AI39" s="110">
        <v>5498</v>
      </c>
      <c r="AJ39" s="110">
        <v>993356.47</v>
      </c>
      <c r="AK39" s="110">
        <v>916940.78</v>
      </c>
      <c r="AL39" s="110">
        <v>841577.39</v>
      </c>
      <c r="AM39" s="110">
        <v>75363.39</v>
      </c>
      <c r="AN39" s="110">
        <v>76415.69</v>
      </c>
      <c r="AO39" s="110">
        <v>36013.29</v>
      </c>
      <c r="AP39" s="110">
        <v>40402.400000000001</v>
      </c>
      <c r="AQ39" s="110">
        <v>749679</v>
      </c>
      <c r="AR39" s="110">
        <v>624518</v>
      </c>
      <c r="AS39" s="110">
        <v>543536</v>
      </c>
      <c r="AT39" s="110">
        <v>80982</v>
      </c>
      <c r="AU39" s="110">
        <v>125161</v>
      </c>
      <c r="AV39" s="110">
        <v>39250</v>
      </c>
      <c r="AW39" s="110">
        <v>85911</v>
      </c>
      <c r="AX39" s="110">
        <v>561181</v>
      </c>
      <c r="AY39" s="110">
        <v>419132</v>
      </c>
      <c r="AZ39" s="110">
        <v>346916</v>
      </c>
      <c r="BA39" s="110">
        <v>72216</v>
      </c>
      <c r="BB39" s="110">
        <v>142049</v>
      </c>
      <c r="BC39" s="110">
        <v>47824</v>
      </c>
      <c r="BD39" s="110">
        <v>94225</v>
      </c>
      <c r="BE39" s="110">
        <v>8013807.0199999996</v>
      </c>
      <c r="BF39" s="110">
        <v>3706594.65</v>
      </c>
      <c r="BG39" s="110">
        <v>3216611</v>
      </c>
      <c r="BH39" s="110">
        <v>489983.65</v>
      </c>
      <c r="BI39" s="110">
        <v>4307212.37</v>
      </c>
      <c r="BJ39" s="110">
        <v>3967883.22</v>
      </c>
      <c r="BK39" s="110">
        <v>339329.15</v>
      </c>
      <c r="BL39" s="110">
        <v>784981.95</v>
      </c>
      <c r="BM39" s="110">
        <v>255542.39999999999</v>
      </c>
      <c r="BN39" s="110">
        <v>218550.33</v>
      </c>
      <c r="BO39" s="110">
        <v>36992.07</v>
      </c>
      <c r="BP39" s="110">
        <v>529439.55000000005</v>
      </c>
      <c r="BQ39" s="110">
        <v>511074.62</v>
      </c>
      <c r="BR39" s="110">
        <v>18364.93</v>
      </c>
      <c r="BS39" s="110">
        <v>4326930.0999999996</v>
      </c>
      <c r="BT39" s="110">
        <v>2164601.5299999998</v>
      </c>
      <c r="BU39" s="110">
        <v>1942102.2</v>
      </c>
      <c r="BV39" s="110">
        <v>222499.33</v>
      </c>
      <c r="BW39" s="110">
        <v>2162328.5699999998</v>
      </c>
      <c r="BX39" s="110">
        <v>1980111.35</v>
      </c>
      <c r="BY39" s="110">
        <v>182217.22</v>
      </c>
      <c r="BZ39" s="110">
        <v>536916</v>
      </c>
      <c r="CA39" s="110">
        <v>201781</v>
      </c>
      <c r="CB39" s="110">
        <v>167249</v>
      </c>
      <c r="CC39" s="110">
        <v>34532</v>
      </c>
      <c r="CD39" s="110">
        <v>335135</v>
      </c>
      <c r="CE39" s="110">
        <v>317693</v>
      </c>
      <c r="CF39" s="110">
        <v>17442</v>
      </c>
      <c r="CG39" s="110">
        <v>2364978.9700000002</v>
      </c>
      <c r="CH39" s="110">
        <v>1084669.72</v>
      </c>
      <c r="CI39" s="110">
        <v>888709.47</v>
      </c>
      <c r="CJ39" s="110">
        <v>195960.25</v>
      </c>
      <c r="CK39" s="110">
        <v>1280309.25</v>
      </c>
      <c r="CL39" s="110">
        <v>1159004.25</v>
      </c>
      <c r="CM39" s="110">
        <v>121305</v>
      </c>
      <c r="CN39" s="110">
        <v>1364164.45</v>
      </c>
      <c r="CO39" s="110">
        <v>290989.40000000002</v>
      </c>
      <c r="CP39" s="110">
        <v>402011.08</v>
      </c>
      <c r="CQ39" s="110">
        <v>6514</v>
      </c>
      <c r="CR39" s="110">
        <v>319290.68</v>
      </c>
      <c r="CS39" s="110">
        <v>0</v>
      </c>
      <c r="CT39" s="110">
        <v>227278.65</v>
      </c>
      <c r="CU39" s="110">
        <v>0</v>
      </c>
      <c r="CV39" s="111">
        <v>7620</v>
      </c>
      <c r="CW39" s="111">
        <v>6375</v>
      </c>
      <c r="CX39" s="111">
        <v>5499</v>
      </c>
      <c r="CY39" s="111">
        <v>876</v>
      </c>
      <c r="CZ39" s="111">
        <v>1245</v>
      </c>
      <c r="DA39" s="111">
        <v>443</v>
      </c>
      <c r="DB39" s="111">
        <v>802</v>
      </c>
      <c r="DC39" s="111">
        <v>1519</v>
      </c>
      <c r="DD39" s="111">
        <v>1</v>
      </c>
      <c r="DE39" s="111">
        <v>1386</v>
      </c>
      <c r="DF39" s="111">
        <v>1227</v>
      </c>
      <c r="DG39" s="111">
        <v>159</v>
      </c>
      <c r="DH39" s="111">
        <v>133</v>
      </c>
      <c r="DI39" s="111">
        <v>45</v>
      </c>
      <c r="DJ39" s="111">
        <v>88</v>
      </c>
      <c r="DK39" s="111">
        <v>2016</v>
      </c>
      <c r="DL39" s="111">
        <v>1389</v>
      </c>
      <c r="DM39" s="111">
        <v>1200</v>
      </c>
      <c r="DN39" s="111">
        <v>189</v>
      </c>
      <c r="DO39" s="111">
        <v>627</v>
      </c>
      <c r="DP39" s="111">
        <v>241</v>
      </c>
      <c r="DQ39" s="111">
        <v>386</v>
      </c>
      <c r="DR39" s="111">
        <v>703</v>
      </c>
      <c r="DS39" s="111">
        <v>3</v>
      </c>
      <c r="DT39" s="111">
        <v>449</v>
      </c>
      <c r="DU39" s="111">
        <v>361</v>
      </c>
      <c r="DV39" s="111">
        <v>88</v>
      </c>
      <c r="DW39" s="111">
        <v>254</v>
      </c>
      <c r="DX39" s="111">
        <v>80</v>
      </c>
      <c r="DY39" s="111">
        <v>174</v>
      </c>
      <c r="DZ39" s="111">
        <v>3378</v>
      </c>
      <c r="EA39" s="111">
        <v>3148</v>
      </c>
      <c r="EB39" s="111">
        <v>2710</v>
      </c>
      <c r="EC39" s="111">
        <v>438</v>
      </c>
      <c r="ED39" s="111">
        <v>230</v>
      </c>
      <c r="EE39" s="111">
        <v>77</v>
      </c>
      <c r="EF39" s="111">
        <v>153</v>
      </c>
      <c r="EG39" s="111">
        <v>242</v>
      </c>
      <c r="EH39" s="111">
        <v>121</v>
      </c>
      <c r="EI39" s="111">
        <v>102</v>
      </c>
      <c r="EJ39" s="111">
        <v>19</v>
      </c>
      <c r="EK39" s="111">
        <v>121</v>
      </c>
      <c r="EL39" s="111">
        <v>110</v>
      </c>
      <c r="EM39" s="111">
        <v>11</v>
      </c>
      <c r="EN39" s="111">
        <v>211</v>
      </c>
      <c r="EO39" s="111">
        <v>210</v>
      </c>
      <c r="EP39" s="111">
        <v>0</v>
      </c>
      <c r="EQ39" s="111">
        <v>1</v>
      </c>
      <c r="ER39" s="111">
        <v>11</v>
      </c>
      <c r="ES39" s="111">
        <v>0</v>
      </c>
      <c r="ET39" s="111">
        <v>0</v>
      </c>
      <c r="EU39" s="111">
        <v>122</v>
      </c>
      <c r="EV39" s="111">
        <v>122</v>
      </c>
      <c r="EW39" s="111">
        <v>0</v>
      </c>
      <c r="EX39" s="111">
        <v>0</v>
      </c>
      <c r="EY39" s="111">
        <v>22</v>
      </c>
      <c r="EZ39" s="111">
        <v>22</v>
      </c>
      <c r="FA39" s="111">
        <v>0</v>
      </c>
      <c r="FB39" s="111">
        <v>21</v>
      </c>
    </row>
    <row r="40" spans="1:158" ht="19.5" customHeight="1">
      <c r="A40" s="107">
        <v>37</v>
      </c>
      <c r="B40" s="107" t="s">
        <v>382</v>
      </c>
      <c r="C40" s="107" t="s">
        <v>390</v>
      </c>
      <c r="D40" s="110">
        <v>4871230.67</v>
      </c>
      <c r="E40" s="110">
        <v>969605.5</v>
      </c>
      <c r="F40" s="110">
        <v>3901625.17</v>
      </c>
      <c r="G40" s="110">
        <v>4267</v>
      </c>
      <c r="H40" s="110">
        <v>314</v>
      </c>
      <c r="I40" s="110">
        <v>16792.5</v>
      </c>
      <c r="J40" s="110">
        <v>22</v>
      </c>
      <c r="K40" s="110">
        <v>0</v>
      </c>
      <c r="L40" s="110">
        <v>243004.12</v>
      </c>
      <c r="M40" s="110">
        <v>1323853.75</v>
      </c>
      <c r="N40" s="110">
        <v>0</v>
      </c>
      <c r="O40" s="110">
        <v>14353629.310000001</v>
      </c>
      <c r="P40" s="110">
        <v>1605095.85</v>
      </c>
      <c r="Q40" s="110">
        <v>1264685.22</v>
      </c>
      <c r="R40" s="110">
        <v>340410.63</v>
      </c>
      <c r="S40" s="110">
        <v>12748533.460000001</v>
      </c>
      <c r="T40" s="110">
        <v>11350028.029999999</v>
      </c>
      <c r="U40" s="110">
        <v>1398505.43</v>
      </c>
      <c r="V40" s="110">
        <v>1341811.25</v>
      </c>
      <c r="W40" s="110">
        <v>693122.89</v>
      </c>
      <c r="X40" s="110">
        <v>562720.89</v>
      </c>
      <c r="Y40" s="110">
        <v>130402</v>
      </c>
      <c r="Z40" s="110">
        <v>648688.36</v>
      </c>
      <c r="AA40" s="110">
        <v>190926.5</v>
      </c>
      <c r="AB40" s="110">
        <v>457761.86</v>
      </c>
      <c r="AC40" s="110">
        <v>251164.37</v>
      </c>
      <c r="AD40" s="110">
        <v>235670.01</v>
      </c>
      <c r="AE40" s="110">
        <v>224002.81</v>
      </c>
      <c r="AF40" s="110">
        <v>11667.2</v>
      </c>
      <c r="AG40" s="110">
        <v>15494.36</v>
      </c>
      <c r="AH40" s="110">
        <v>4394.5</v>
      </c>
      <c r="AI40" s="110">
        <v>11099.86</v>
      </c>
      <c r="AJ40" s="110">
        <v>121041.38</v>
      </c>
      <c r="AK40" s="110">
        <v>106608.38</v>
      </c>
      <c r="AL40" s="110">
        <v>81403.58</v>
      </c>
      <c r="AM40" s="110">
        <v>25204.799999999999</v>
      </c>
      <c r="AN40" s="110">
        <v>14433</v>
      </c>
      <c r="AO40" s="110">
        <v>4505</v>
      </c>
      <c r="AP40" s="110">
        <v>9928</v>
      </c>
      <c r="AQ40" s="110">
        <v>614963</v>
      </c>
      <c r="AR40" s="110">
        <v>223921</v>
      </c>
      <c r="AS40" s="110">
        <v>169678</v>
      </c>
      <c r="AT40" s="110">
        <v>54243</v>
      </c>
      <c r="AU40" s="110">
        <v>391042</v>
      </c>
      <c r="AV40" s="110">
        <v>116324</v>
      </c>
      <c r="AW40" s="110">
        <v>274718</v>
      </c>
      <c r="AX40" s="110">
        <v>354642.5</v>
      </c>
      <c r="AY40" s="110">
        <v>126923.5</v>
      </c>
      <c r="AZ40" s="110">
        <v>87636.5</v>
      </c>
      <c r="BA40" s="110">
        <v>39287</v>
      </c>
      <c r="BB40" s="110">
        <v>227719</v>
      </c>
      <c r="BC40" s="110">
        <v>65703</v>
      </c>
      <c r="BD40" s="110">
        <v>162016</v>
      </c>
      <c r="BE40" s="110">
        <v>13011818.060000001</v>
      </c>
      <c r="BF40" s="110">
        <v>911972.96</v>
      </c>
      <c r="BG40" s="110">
        <v>701964.33</v>
      </c>
      <c r="BH40" s="110">
        <v>210008.63</v>
      </c>
      <c r="BI40" s="110">
        <v>12099845.1</v>
      </c>
      <c r="BJ40" s="110">
        <v>11159101.529999999</v>
      </c>
      <c r="BK40" s="110">
        <v>940743.57</v>
      </c>
      <c r="BL40" s="110">
        <v>1054637.48</v>
      </c>
      <c r="BM40" s="110">
        <v>90095.17</v>
      </c>
      <c r="BN40" s="110">
        <v>79167.22</v>
      </c>
      <c r="BO40" s="110">
        <v>10927.95</v>
      </c>
      <c r="BP40" s="110">
        <v>964542.31</v>
      </c>
      <c r="BQ40" s="110">
        <v>902944.47</v>
      </c>
      <c r="BR40" s="110">
        <v>61597.84</v>
      </c>
      <c r="BS40" s="110">
        <v>8055555.4100000001</v>
      </c>
      <c r="BT40" s="110">
        <v>474099.79</v>
      </c>
      <c r="BU40" s="110">
        <v>399200.61</v>
      </c>
      <c r="BV40" s="110">
        <v>74899.179999999993</v>
      </c>
      <c r="BW40" s="110">
        <v>7581455.6200000001</v>
      </c>
      <c r="BX40" s="110">
        <v>7084710.0499999998</v>
      </c>
      <c r="BY40" s="110">
        <v>496745.57</v>
      </c>
      <c r="BZ40" s="110">
        <v>1036542</v>
      </c>
      <c r="CA40" s="110">
        <v>76232</v>
      </c>
      <c r="CB40" s="110">
        <v>53466</v>
      </c>
      <c r="CC40" s="110">
        <v>22766</v>
      </c>
      <c r="CD40" s="110">
        <v>960310</v>
      </c>
      <c r="CE40" s="110">
        <v>900227</v>
      </c>
      <c r="CF40" s="110">
        <v>60083</v>
      </c>
      <c r="CG40" s="110">
        <v>2865083.17</v>
      </c>
      <c r="CH40" s="110">
        <v>271546</v>
      </c>
      <c r="CI40" s="110">
        <v>170130.5</v>
      </c>
      <c r="CJ40" s="110">
        <v>101415.5</v>
      </c>
      <c r="CK40" s="110">
        <v>2593537.17</v>
      </c>
      <c r="CL40" s="110">
        <v>2271220.0099999998</v>
      </c>
      <c r="CM40" s="110">
        <v>322317.15999999997</v>
      </c>
      <c r="CN40" s="110">
        <v>319613.65999999997</v>
      </c>
      <c r="CO40" s="110">
        <v>102475.23</v>
      </c>
      <c r="CP40" s="110">
        <v>588739.29</v>
      </c>
      <c r="CQ40" s="110">
        <v>24626.28</v>
      </c>
      <c r="CR40" s="110">
        <v>306356.78999999998</v>
      </c>
      <c r="CS40" s="110">
        <v>0</v>
      </c>
      <c r="CT40" s="110">
        <v>519650.33</v>
      </c>
      <c r="CU40" s="110">
        <v>0</v>
      </c>
      <c r="CV40" s="111">
        <v>4267</v>
      </c>
      <c r="CW40" s="111">
        <v>2235</v>
      </c>
      <c r="CX40" s="111">
        <v>1709</v>
      </c>
      <c r="CY40" s="111">
        <v>526</v>
      </c>
      <c r="CZ40" s="111">
        <v>2032</v>
      </c>
      <c r="DA40" s="111">
        <v>695</v>
      </c>
      <c r="DB40" s="111">
        <v>1337</v>
      </c>
      <c r="DC40" s="111">
        <v>573</v>
      </c>
      <c r="DD40" s="111">
        <v>26</v>
      </c>
      <c r="DE40" s="111">
        <v>361</v>
      </c>
      <c r="DF40" s="111">
        <v>297</v>
      </c>
      <c r="DG40" s="111">
        <v>64</v>
      </c>
      <c r="DH40" s="111">
        <v>212</v>
      </c>
      <c r="DI40" s="111">
        <v>62</v>
      </c>
      <c r="DJ40" s="111">
        <v>150</v>
      </c>
      <c r="DK40" s="111">
        <v>1718</v>
      </c>
      <c r="DL40" s="111">
        <v>586</v>
      </c>
      <c r="DM40" s="111">
        <v>425</v>
      </c>
      <c r="DN40" s="111">
        <v>161</v>
      </c>
      <c r="DO40" s="111">
        <v>1132</v>
      </c>
      <c r="DP40" s="111">
        <v>398</v>
      </c>
      <c r="DQ40" s="111">
        <v>734</v>
      </c>
      <c r="DR40" s="111">
        <v>540</v>
      </c>
      <c r="DS40" s="111">
        <v>0</v>
      </c>
      <c r="DT40" s="111">
        <v>117</v>
      </c>
      <c r="DU40" s="111">
        <v>73</v>
      </c>
      <c r="DV40" s="111">
        <v>44</v>
      </c>
      <c r="DW40" s="111">
        <v>423</v>
      </c>
      <c r="DX40" s="111">
        <v>116</v>
      </c>
      <c r="DY40" s="111">
        <v>307</v>
      </c>
      <c r="DZ40" s="111">
        <v>1410</v>
      </c>
      <c r="EA40" s="111">
        <v>1159</v>
      </c>
      <c r="EB40" s="111">
        <v>905</v>
      </c>
      <c r="EC40" s="111">
        <v>254</v>
      </c>
      <c r="ED40" s="111">
        <v>251</v>
      </c>
      <c r="EE40" s="111">
        <v>119</v>
      </c>
      <c r="EF40" s="111">
        <v>132</v>
      </c>
      <c r="EG40" s="111">
        <v>314</v>
      </c>
      <c r="EH40" s="111">
        <v>37</v>
      </c>
      <c r="EI40" s="111">
        <v>21</v>
      </c>
      <c r="EJ40" s="111">
        <v>16</v>
      </c>
      <c r="EK40" s="111">
        <v>277</v>
      </c>
      <c r="EL40" s="111">
        <v>255</v>
      </c>
      <c r="EM40" s="111">
        <v>22</v>
      </c>
      <c r="EN40" s="111">
        <v>274</v>
      </c>
      <c r="EO40" s="111">
        <v>252</v>
      </c>
      <c r="EP40" s="111">
        <v>2</v>
      </c>
      <c r="EQ40" s="111">
        <v>20</v>
      </c>
      <c r="ER40" s="111">
        <v>131</v>
      </c>
      <c r="ES40" s="111">
        <v>0</v>
      </c>
      <c r="ET40" s="111">
        <v>0</v>
      </c>
      <c r="EU40" s="111">
        <v>56</v>
      </c>
      <c r="EV40" s="111">
        <v>55</v>
      </c>
      <c r="EW40" s="111">
        <v>1</v>
      </c>
      <c r="EX40" s="111">
        <v>0</v>
      </c>
      <c r="EY40" s="111">
        <v>144</v>
      </c>
      <c r="EZ40" s="111">
        <v>143</v>
      </c>
      <c r="FA40" s="111">
        <v>1</v>
      </c>
      <c r="FB40" s="111">
        <v>60</v>
      </c>
    </row>
    <row r="41" spans="1:158" ht="19.5" customHeight="1">
      <c r="A41" s="107">
        <v>38</v>
      </c>
      <c r="B41" s="107" t="s">
        <v>374</v>
      </c>
      <c r="C41" s="107" t="s">
        <v>391</v>
      </c>
      <c r="D41" s="110">
        <v>4550503.33</v>
      </c>
      <c r="E41" s="110">
        <v>4550503.33</v>
      </c>
      <c r="F41" s="110">
        <v>0</v>
      </c>
      <c r="G41" s="110">
        <v>11362</v>
      </c>
      <c r="H41" s="110">
        <v>0</v>
      </c>
      <c r="I41" s="110">
        <v>1124070.33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6265149.4500000002</v>
      </c>
      <c r="P41" s="110">
        <v>4647590.3600000003</v>
      </c>
      <c r="Q41" s="110">
        <v>4164769.54</v>
      </c>
      <c r="R41" s="110">
        <v>482820.82</v>
      </c>
      <c r="S41" s="110">
        <v>1617559.09</v>
      </c>
      <c r="T41" s="110">
        <v>656179.79</v>
      </c>
      <c r="U41" s="110">
        <v>961379.3</v>
      </c>
      <c r="V41" s="110">
        <v>6265149.4500000002</v>
      </c>
      <c r="W41" s="110">
        <v>4647590.3600000003</v>
      </c>
      <c r="X41" s="110">
        <v>4164769.54</v>
      </c>
      <c r="Y41" s="110">
        <v>482820.82</v>
      </c>
      <c r="Z41" s="110">
        <v>1617559.09</v>
      </c>
      <c r="AA41" s="110">
        <v>656179.79</v>
      </c>
      <c r="AB41" s="110">
        <v>961379.3</v>
      </c>
      <c r="AC41" s="110">
        <v>1714646.12</v>
      </c>
      <c r="AD41" s="110">
        <v>1387008.53</v>
      </c>
      <c r="AE41" s="110">
        <v>1325917.71</v>
      </c>
      <c r="AF41" s="110">
        <v>61090.82</v>
      </c>
      <c r="AG41" s="110">
        <v>327637.59000000003</v>
      </c>
      <c r="AH41" s="110">
        <v>123090.79</v>
      </c>
      <c r="AI41" s="110">
        <v>204546.8</v>
      </c>
      <c r="AJ41" s="110">
        <v>0</v>
      </c>
      <c r="AK41" s="110">
        <v>0</v>
      </c>
      <c r="AL41" s="110">
        <v>0</v>
      </c>
      <c r="AM41" s="110">
        <v>0</v>
      </c>
      <c r="AN41" s="110">
        <v>0</v>
      </c>
      <c r="AO41" s="110">
        <v>0</v>
      </c>
      <c r="AP41" s="110">
        <v>0</v>
      </c>
      <c r="AQ41" s="110">
        <v>2608381</v>
      </c>
      <c r="AR41" s="110">
        <v>1892467</v>
      </c>
      <c r="AS41" s="110">
        <v>1640583</v>
      </c>
      <c r="AT41" s="110">
        <v>251884</v>
      </c>
      <c r="AU41" s="110">
        <v>715914</v>
      </c>
      <c r="AV41" s="110">
        <v>304469</v>
      </c>
      <c r="AW41" s="110">
        <v>411445</v>
      </c>
      <c r="AX41" s="110">
        <v>1942122.33</v>
      </c>
      <c r="AY41" s="110">
        <v>1368114.83</v>
      </c>
      <c r="AZ41" s="110">
        <v>1198268.83</v>
      </c>
      <c r="BA41" s="110">
        <v>169846</v>
      </c>
      <c r="BB41" s="110">
        <v>574007.5</v>
      </c>
      <c r="BC41" s="110">
        <v>228620</v>
      </c>
      <c r="BD41" s="110">
        <v>345387.5</v>
      </c>
      <c r="BE41" s="110">
        <v>0</v>
      </c>
      <c r="BF41" s="110">
        <v>0</v>
      </c>
      <c r="BG41" s="110">
        <v>0</v>
      </c>
      <c r="BH41" s="110">
        <v>0</v>
      </c>
      <c r="BI41" s="110">
        <v>0</v>
      </c>
      <c r="BJ41" s="110">
        <v>0</v>
      </c>
      <c r="BK41" s="110">
        <v>0</v>
      </c>
      <c r="BL41" s="110">
        <v>0</v>
      </c>
      <c r="BM41" s="110">
        <v>0</v>
      </c>
      <c r="BN41" s="110">
        <v>0</v>
      </c>
      <c r="BO41" s="110">
        <v>0</v>
      </c>
      <c r="BP41" s="110">
        <v>0</v>
      </c>
      <c r="BQ41" s="110">
        <v>0</v>
      </c>
      <c r="BR41" s="110">
        <v>0</v>
      </c>
      <c r="BS41" s="110">
        <v>0</v>
      </c>
      <c r="BT41" s="110">
        <v>0</v>
      </c>
      <c r="BU41" s="110">
        <v>0</v>
      </c>
      <c r="BV41" s="110">
        <v>0</v>
      </c>
      <c r="BW41" s="110">
        <v>0</v>
      </c>
      <c r="BX41" s="110">
        <v>0</v>
      </c>
      <c r="BY41" s="110">
        <v>0</v>
      </c>
      <c r="BZ41" s="110">
        <v>0</v>
      </c>
      <c r="CA41" s="110">
        <v>0</v>
      </c>
      <c r="CB41" s="110">
        <v>0</v>
      </c>
      <c r="CC41" s="110">
        <v>0</v>
      </c>
      <c r="CD41" s="110">
        <v>0</v>
      </c>
      <c r="CE41" s="110">
        <v>0</v>
      </c>
      <c r="CF41" s="110">
        <v>0</v>
      </c>
      <c r="CG41" s="110">
        <v>0</v>
      </c>
      <c r="CH41" s="110">
        <v>0</v>
      </c>
      <c r="CI41" s="110">
        <v>0</v>
      </c>
      <c r="CJ41" s="110">
        <v>0</v>
      </c>
      <c r="CK41" s="110">
        <v>0</v>
      </c>
      <c r="CL41" s="110">
        <v>0</v>
      </c>
      <c r="CM41" s="110">
        <v>0</v>
      </c>
      <c r="CN41" s="110">
        <v>-65</v>
      </c>
      <c r="CO41" s="110">
        <v>2231042.4700000002</v>
      </c>
      <c r="CP41" s="110">
        <v>1805624.25</v>
      </c>
      <c r="CQ41" s="110">
        <v>617512.1</v>
      </c>
      <c r="CR41" s="110">
        <v>1610323.63</v>
      </c>
      <c r="CS41" s="110">
        <v>647</v>
      </c>
      <c r="CT41" s="110">
        <v>0</v>
      </c>
      <c r="CU41" s="110">
        <v>0</v>
      </c>
      <c r="CV41" s="111">
        <v>11362</v>
      </c>
      <c r="CW41" s="111">
        <v>9492</v>
      </c>
      <c r="CX41" s="111">
        <v>8332</v>
      </c>
      <c r="CY41" s="111">
        <v>1160</v>
      </c>
      <c r="CZ41" s="111">
        <v>1870</v>
      </c>
      <c r="DA41" s="111">
        <v>667</v>
      </c>
      <c r="DB41" s="111">
        <v>1203</v>
      </c>
      <c r="DC41" s="111">
        <v>6960</v>
      </c>
      <c r="DD41" s="111">
        <v>80</v>
      </c>
      <c r="DE41" s="111">
        <v>6182</v>
      </c>
      <c r="DF41" s="111">
        <v>5477</v>
      </c>
      <c r="DG41" s="111">
        <v>705</v>
      </c>
      <c r="DH41" s="111">
        <v>778</v>
      </c>
      <c r="DI41" s="111">
        <v>276</v>
      </c>
      <c r="DJ41" s="111">
        <v>502</v>
      </c>
      <c r="DK41" s="111">
        <v>2715</v>
      </c>
      <c r="DL41" s="111">
        <v>2186</v>
      </c>
      <c r="DM41" s="111">
        <v>1943</v>
      </c>
      <c r="DN41" s="111">
        <v>243</v>
      </c>
      <c r="DO41" s="111">
        <v>529</v>
      </c>
      <c r="DP41" s="111">
        <v>205</v>
      </c>
      <c r="DQ41" s="111">
        <v>324</v>
      </c>
      <c r="DR41" s="111">
        <v>1607</v>
      </c>
      <c r="DS41" s="111">
        <v>0</v>
      </c>
      <c r="DT41" s="111">
        <v>1061</v>
      </c>
      <c r="DU41" s="111">
        <v>855</v>
      </c>
      <c r="DV41" s="111">
        <v>206</v>
      </c>
      <c r="DW41" s="111">
        <v>546</v>
      </c>
      <c r="DX41" s="111">
        <v>186</v>
      </c>
      <c r="DY41" s="111">
        <v>360</v>
      </c>
      <c r="DZ41" s="111">
        <v>0</v>
      </c>
      <c r="EA41" s="111">
        <v>0</v>
      </c>
      <c r="EB41" s="111">
        <v>0</v>
      </c>
      <c r="EC41" s="111">
        <v>0</v>
      </c>
      <c r="ED41" s="111">
        <v>0</v>
      </c>
      <c r="EE41" s="111">
        <v>0</v>
      </c>
      <c r="EF41" s="111">
        <v>0</v>
      </c>
      <c r="EG41" s="111">
        <v>0</v>
      </c>
      <c r="EH41" s="111">
        <v>0</v>
      </c>
      <c r="EI41" s="111">
        <v>0</v>
      </c>
      <c r="EJ41" s="111">
        <v>0</v>
      </c>
      <c r="EK41" s="111">
        <v>0</v>
      </c>
      <c r="EL41" s="111">
        <v>0</v>
      </c>
      <c r="EM41" s="111">
        <v>0</v>
      </c>
      <c r="EN41" s="111">
        <v>0</v>
      </c>
      <c r="EO41" s="111">
        <v>0</v>
      </c>
      <c r="EP41" s="111">
        <v>0</v>
      </c>
      <c r="EQ41" s="111">
        <v>0</v>
      </c>
      <c r="ER41" s="111">
        <v>0</v>
      </c>
      <c r="ES41" s="111">
        <v>0</v>
      </c>
      <c r="ET41" s="111">
        <v>0</v>
      </c>
      <c r="EU41" s="111">
        <v>0</v>
      </c>
      <c r="EV41" s="111">
        <v>0</v>
      </c>
      <c r="EW41" s="111">
        <v>0</v>
      </c>
      <c r="EX41" s="111">
        <v>0</v>
      </c>
      <c r="EY41" s="111">
        <v>0</v>
      </c>
      <c r="EZ41" s="111">
        <v>0</v>
      </c>
      <c r="FA41" s="111">
        <v>0</v>
      </c>
      <c r="FB41" s="111">
        <v>0</v>
      </c>
    </row>
    <row r="42" spans="1:158" ht="19.5" customHeight="1">
      <c r="A42" s="107">
        <v>39</v>
      </c>
      <c r="B42" s="107" t="s">
        <v>361</v>
      </c>
      <c r="C42" s="107" t="s">
        <v>392</v>
      </c>
      <c r="D42" s="110">
        <v>12357837.75</v>
      </c>
      <c r="E42" s="110">
        <v>5778577</v>
      </c>
      <c r="F42" s="110">
        <v>6579260.75</v>
      </c>
      <c r="G42" s="110">
        <v>23684</v>
      </c>
      <c r="H42" s="110">
        <v>1016</v>
      </c>
      <c r="I42" s="110">
        <v>507366</v>
      </c>
      <c r="J42" s="110">
        <v>157831</v>
      </c>
      <c r="K42" s="110">
        <v>10133.42</v>
      </c>
      <c r="L42" s="110">
        <v>89652</v>
      </c>
      <c r="M42" s="110">
        <v>3811918.25</v>
      </c>
      <c r="N42" s="110">
        <v>0</v>
      </c>
      <c r="O42" s="110">
        <v>18259523.640000001</v>
      </c>
      <c r="P42" s="110">
        <v>10662127.550000001</v>
      </c>
      <c r="Q42" s="110">
        <v>9668056.7300000004</v>
      </c>
      <c r="R42" s="110">
        <v>994070.82</v>
      </c>
      <c r="S42" s="110">
        <v>7597396.0899999999</v>
      </c>
      <c r="T42" s="110">
        <v>4046714.81</v>
      </c>
      <c r="U42" s="110">
        <v>3550681.28</v>
      </c>
      <c r="V42" s="110">
        <v>8450097.2599999998</v>
      </c>
      <c r="W42" s="110">
        <v>6088907.0499999998</v>
      </c>
      <c r="X42" s="110">
        <v>5731908.0800000001</v>
      </c>
      <c r="Y42" s="110">
        <v>356998.97</v>
      </c>
      <c r="Z42" s="110">
        <v>2361190.21</v>
      </c>
      <c r="AA42" s="110">
        <v>1267799.1499999999</v>
      </c>
      <c r="AB42" s="110">
        <v>1093391.06</v>
      </c>
      <c r="AC42" s="110">
        <v>2667101.19</v>
      </c>
      <c r="AD42" s="110">
        <v>2145829.38</v>
      </c>
      <c r="AE42" s="110">
        <v>2062269.41</v>
      </c>
      <c r="AF42" s="110">
        <v>83559.97</v>
      </c>
      <c r="AG42" s="110">
        <v>521271.81</v>
      </c>
      <c r="AH42" s="110">
        <v>360795.9</v>
      </c>
      <c r="AI42" s="110">
        <v>160475.91</v>
      </c>
      <c r="AJ42" s="110">
        <v>4419.07</v>
      </c>
      <c r="AK42" s="110">
        <v>1870.67</v>
      </c>
      <c r="AL42" s="110">
        <v>1741.67</v>
      </c>
      <c r="AM42" s="110">
        <v>129</v>
      </c>
      <c r="AN42" s="110">
        <v>2548.4</v>
      </c>
      <c r="AO42" s="110">
        <v>981.25</v>
      </c>
      <c r="AP42" s="110">
        <v>1567.15</v>
      </c>
      <c r="AQ42" s="110">
        <v>3674152</v>
      </c>
      <c r="AR42" s="110">
        <v>2583505</v>
      </c>
      <c r="AS42" s="110">
        <v>2421579</v>
      </c>
      <c r="AT42" s="110">
        <v>161926</v>
      </c>
      <c r="AU42" s="110">
        <v>1090647</v>
      </c>
      <c r="AV42" s="110">
        <v>558730</v>
      </c>
      <c r="AW42" s="110">
        <v>531917</v>
      </c>
      <c r="AX42" s="110">
        <v>2104425</v>
      </c>
      <c r="AY42" s="110">
        <v>1357702</v>
      </c>
      <c r="AZ42" s="110">
        <v>1246318</v>
      </c>
      <c r="BA42" s="110">
        <v>111384</v>
      </c>
      <c r="BB42" s="110">
        <v>746723</v>
      </c>
      <c r="BC42" s="110">
        <v>347292</v>
      </c>
      <c r="BD42" s="110">
        <v>399431</v>
      </c>
      <c r="BE42" s="110">
        <v>9809426.3800000008</v>
      </c>
      <c r="BF42" s="110">
        <v>4573220.5</v>
      </c>
      <c r="BG42" s="110">
        <v>3936148.65</v>
      </c>
      <c r="BH42" s="110">
        <v>637071.85</v>
      </c>
      <c r="BI42" s="110">
        <v>5236205.88</v>
      </c>
      <c r="BJ42" s="110">
        <v>2778915.66</v>
      </c>
      <c r="BK42" s="110">
        <v>2457290.2200000002</v>
      </c>
      <c r="BL42" s="110">
        <v>409725.86</v>
      </c>
      <c r="BM42" s="110">
        <v>136649.34</v>
      </c>
      <c r="BN42" s="110">
        <v>97990.54</v>
      </c>
      <c r="BO42" s="110">
        <v>38658.800000000003</v>
      </c>
      <c r="BP42" s="110">
        <v>273076.52</v>
      </c>
      <c r="BQ42" s="110">
        <v>143330.19</v>
      </c>
      <c r="BR42" s="110">
        <v>129746.33</v>
      </c>
      <c r="BS42" s="110">
        <v>2820439.77</v>
      </c>
      <c r="BT42" s="110">
        <v>1362583.41</v>
      </c>
      <c r="BU42" s="110">
        <v>1232531.8600000001</v>
      </c>
      <c r="BV42" s="110">
        <v>130051.55</v>
      </c>
      <c r="BW42" s="110">
        <v>1457856.36</v>
      </c>
      <c r="BX42" s="110">
        <v>912952.47</v>
      </c>
      <c r="BY42" s="110">
        <v>544903.89</v>
      </c>
      <c r="BZ42" s="110">
        <v>71751</v>
      </c>
      <c r="CA42" s="110">
        <v>22772</v>
      </c>
      <c r="CB42" s="110">
        <v>14612</v>
      </c>
      <c r="CC42" s="110">
        <v>8160</v>
      </c>
      <c r="CD42" s="110">
        <v>48979</v>
      </c>
      <c r="CE42" s="110">
        <v>20142</v>
      </c>
      <c r="CF42" s="110">
        <v>28837</v>
      </c>
      <c r="CG42" s="110">
        <v>6507509.75</v>
      </c>
      <c r="CH42" s="110">
        <v>3051215.75</v>
      </c>
      <c r="CI42" s="110">
        <v>2591014.25</v>
      </c>
      <c r="CJ42" s="110">
        <v>460201.5</v>
      </c>
      <c r="CK42" s="110">
        <v>3456294</v>
      </c>
      <c r="CL42" s="110">
        <v>1702491</v>
      </c>
      <c r="CM42" s="110">
        <v>1753803</v>
      </c>
      <c r="CN42" s="110">
        <v>216807.94</v>
      </c>
      <c r="CO42" s="110">
        <v>2650733.84</v>
      </c>
      <c r="CP42" s="110">
        <v>3968477.41</v>
      </c>
      <c r="CQ42" s="110">
        <v>174748.32</v>
      </c>
      <c r="CR42" s="110">
        <v>1433542.75</v>
      </c>
      <c r="CS42" s="110">
        <v>5712</v>
      </c>
      <c r="CT42" s="110">
        <v>2346060.4</v>
      </c>
      <c r="CU42" s="110">
        <v>0</v>
      </c>
      <c r="CV42" s="111">
        <v>23684</v>
      </c>
      <c r="CW42" s="111">
        <v>19308</v>
      </c>
      <c r="CX42" s="111">
        <v>17973</v>
      </c>
      <c r="CY42" s="111">
        <v>1335</v>
      </c>
      <c r="CZ42" s="111">
        <v>4376</v>
      </c>
      <c r="DA42" s="111">
        <v>2213</v>
      </c>
      <c r="DB42" s="111">
        <v>2163</v>
      </c>
      <c r="DC42" s="111">
        <v>12516</v>
      </c>
      <c r="DD42" s="111">
        <v>2</v>
      </c>
      <c r="DE42" s="111">
        <v>10982</v>
      </c>
      <c r="DF42" s="111">
        <v>10362</v>
      </c>
      <c r="DG42" s="111">
        <v>620</v>
      </c>
      <c r="DH42" s="111">
        <v>1534</v>
      </c>
      <c r="DI42" s="111">
        <v>783</v>
      </c>
      <c r="DJ42" s="111">
        <v>751</v>
      </c>
      <c r="DK42" s="111">
        <v>7689</v>
      </c>
      <c r="DL42" s="111">
        <v>5976</v>
      </c>
      <c r="DM42" s="111">
        <v>5552</v>
      </c>
      <c r="DN42" s="111">
        <v>424</v>
      </c>
      <c r="DO42" s="111">
        <v>1713</v>
      </c>
      <c r="DP42" s="111">
        <v>958</v>
      </c>
      <c r="DQ42" s="111">
        <v>755</v>
      </c>
      <c r="DR42" s="111">
        <v>1785</v>
      </c>
      <c r="DS42" s="111">
        <v>0</v>
      </c>
      <c r="DT42" s="111">
        <v>863</v>
      </c>
      <c r="DU42" s="111">
        <v>760</v>
      </c>
      <c r="DV42" s="111">
        <v>103</v>
      </c>
      <c r="DW42" s="111">
        <v>922</v>
      </c>
      <c r="DX42" s="111">
        <v>397</v>
      </c>
      <c r="DY42" s="111">
        <v>525</v>
      </c>
      <c r="DZ42" s="111">
        <v>1692</v>
      </c>
      <c r="EA42" s="111">
        <v>1486</v>
      </c>
      <c r="EB42" s="111">
        <v>1299</v>
      </c>
      <c r="EC42" s="111">
        <v>187</v>
      </c>
      <c r="ED42" s="111">
        <v>206</v>
      </c>
      <c r="EE42" s="111">
        <v>75</v>
      </c>
      <c r="EF42" s="111">
        <v>131</v>
      </c>
      <c r="EG42" s="111">
        <v>1016</v>
      </c>
      <c r="EH42" s="111">
        <v>597</v>
      </c>
      <c r="EI42" s="111">
        <v>541</v>
      </c>
      <c r="EJ42" s="111">
        <v>56</v>
      </c>
      <c r="EK42" s="111">
        <v>419</v>
      </c>
      <c r="EL42" s="111">
        <v>303</v>
      </c>
      <c r="EM42" s="111">
        <v>116</v>
      </c>
      <c r="EN42" s="111">
        <v>1027</v>
      </c>
      <c r="EO42" s="111">
        <v>1024</v>
      </c>
      <c r="EP42" s="111">
        <v>0</v>
      </c>
      <c r="EQ42" s="111">
        <v>3</v>
      </c>
      <c r="ER42" s="111">
        <v>0</v>
      </c>
      <c r="ES42" s="111">
        <v>0</v>
      </c>
      <c r="ET42" s="111">
        <v>0</v>
      </c>
      <c r="EU42" s="111">
        <v>663</v>
      </c>
      <c r="EV42" s="111">
        <v>663</v>
      </c>
      <c r="EW42" s="111">
        <v>0</v>
      </c>
      <c r="EX42" s="111">
        <v>0</v>
      </c>
      <c r="EY42" s="111">
        <v>225</v>
      </c>
      <c r="EZ42" s="111">
        <v>225</v>
      </c>
      <c r="FA42" s="111">
        <v>0</v>
      </c>
      <c r="FB42" s="111">
        <v>698</v>
      </c>
    </row>
    <row r="43" spans="1:158" ht="19.5" customHeight="1">
      <c r="A43" s="107">
        <v>40</v>
      </c>
      <c r="B43" s="107" t="s">
        <v>361</v>
      </c>
      <c r="C43" s="107" t="s">
        <v>393</v>
      </c>
      <c r="D43" s="110">
        <v>8115868</v>
      </c>
      <c r="E43" s="110">
        <v>3426356</v>
      </c>
      <c r="F43" s="110">
        <v>4689512</v>
      </c>
      <c r="G43" s="110">
        <v>20094</v>
      </c>
      <c r="H43" s="110">
        <v>483</v>
      </c>
      <c r="I43" s="110">
        <v>537809</v>
      </c>
      <c r="J43" s="110">
        <v>6768</v>
      </c>
      <c r="K43" s="110">
        <v>36182.5</v>
      </c>
      <c r="L43" s="110">
        <v>157129.75</v>
      </c>
      <c r="M43" s="110">
        <v>2160619.25</v>
      </c>
      <c r="N43" s="110">
        <v>0</v>
      </c>
      <c r="O43" s="110">
        <v>14773701.609999999</v>
      </c>
      <c r="P43" s="110">
        <v>10396502.529999999</v>
      </c>
      <c r="Q43" s="110">
        <v>9693422.2699999996</v>
      </c>
      <c r="R43" s="110">
        <v>703080.26</v>
      </c>
      <c r="S43" s="110">
        <v>4377199.08</v>
      </c>
      <c r="T43" s="110">
        <v>3698697.35</v>
      </c>
      <c r="U43" s="110">
        <v>678501.73</v>
      </c>
      <c r="V43" s="110">
        <v>7111945.6600000001</v>
      </c>
      <c r="W43" s="110">
        <v>6075822.1699999999</v>
      </c>
      <c r="X43" s="110">
        <v>5700696.0199999996</v>
      </c>
      <c r="Y43" s="110">
        <v>375126.15</v>
      </c>
      <c r="Z43" s="110">
        <v>1036123.49</v>
      </c>
      <c r="AA43" s="110">
        <v>550733.63</v>
      </c>
      <c r="AB43" s="110">
        <v>485389.86</v>
      </c>
      <c r="AC43" s="110">
        <v>3535771.03</v>
      </c>
      <c r="AD43" s="110">
        <v>3084911.12</v>
      </c>
      <c r="AE43" s="110">
        <v>2938325.31</v>
      </c>
      <c r="AF43" s="110">
        <v>146585.81</v>
      </c>
      <c r="AG43" s="110">
        <v>450859.91</v>
      </c>
      <c r="AH43" s="110">
        <v>242244.27</v>
      </c>
      <c r="AI43" s="110">
        <v>208615.64</v>
      </c>
      <c r="AJ43" s="110">
        <v>149818.63</v>
      </c>
      <c r="AK43" s="110">
        <v>130904.05</v>
      </c>
      <c r="AL43" s="110">
        <v>121483.71</v>
      </c>
      <c r="AM43" s="110">
        <v>9420.34</v>
      </c>
      <c r="AN43" s="110">
        <v>18914.580000000002</v>
      </c>
      <c r="AO43" s="110">
        <v>8592.36</v>
      </c>
      <c r="AP43" s="110">
        <v>10322.219999999999</v>
      </c>
      <c r="AQ43" s="110">
        <v>2023555</v>
      </c>
      <c r="AR43" s="110">
        <v>1678353</v>
      </c>
      <c r="AS43" s="110">
        <v>1553011</v>
      </c>
      <c r="AT43" s="110">
        <v>125342</v>
      </c>
      <c r="AU43" s="110">
        <v>345202</v>
      </c>
      <c r="AV43" s="110">
        <v>183179</v>
      </c>
      <c r="AW43" s="110">
        <v>162023</v>
      </c>
      <c r="AX43" s="110">
        <v>1402801</v>
      </c>
      <c r="AY43" s="110">
        <v>1181654</v>
      </c>
      <c r="AZ43" s="110">
        <v>1087876</v>
      </c>
      <c r="BA43" s="110">
        <v>93778</v>
      </c>
      <c r="BB43" s="110">
        <v>221147</v>
      </c>
      <c r="BC43" s="110">
        <v>116718</v>
      </c>
      <c r="BD43" s="110">
        <v>104429</v>
      </c>
      <c r="BE43" s="110">
        <v>7661755.9500000002</v>
      </c>
      <c r="BF43" s="110">
        <v>4320680.3600000003</v>
      </c>
      <c r="BG43" s="110">
        <v>3992726.25</v>
      </c>
      <c r="BH43" s="110">
        <v>327954.11</v>
      </c>
      <c r="BI43" s="110">
        <v>3341075.59</v>
      </c>
      <c r="BJ43" s="110">
        <v>3147963.72</v>
      </c>
      <c r="BK43" s="110">
        <v>193111.87</v>
      </c>
      <c r="BL43" s="110">
        <v>1043656.44</v>
      </c>
      <c r="BM43" s="110">
        <v>573112.56999999995</v>
      </c>
      <c r="BN43" s="110">
        <v>540206.22</v>
      </c>
      <c r="BO43" s="110">
        <v>32906.35</v>
      </c>
      <c r="BP43" s="110">
        <v>470543.87</v>
      </c>
      <c r="BQ43" s="110">
        <v>446039.63</v>
      </c>
      <c r="BR43" s="110">
        <v>24504.240000000002</v>
      </c>
      <c r="BS43" s="110">
        <v>1928587.51</v>
      </c>
      <c r="BT43" s="110">
        <v>1091425.54</v>
      </c>
      <c r="BU43" s="110">
        <v>1037673.28</v>
      </c>
      <c r="BV43" s="110">
        <v>53752.26</v>
      </c>
      <c r="BW43" s="110">
        <v>837161.97</v>
      </c>
      <c r="BX43" s="110">
        <v>796462.84</v>
      </c>
      <c r="BY43" s="110">
        <v>40699.129999999997</v>
      </c>
      <c r="BZ43" s="110">
        <v>1395050</v>
      </c>
      <c r="CA43" s="110">
        <v>780817</v>
      </c>
      <c r="CB43" s="110">
        <v>731191</v>
      </c>
      <c r="CC43" s="110">
        <v>49626</v>
      </c>
      <c r="CD43" s="110">
        <v>614233</v>
      </c>
      <c r="CE43" s="110">
        <v>588140</v>
      </c>
      <c r="CF43" s="110">
        <v>26093</v>
      </c>
      <c r="CG43" s="110">
        <v>3294462</v>
      </c>
      <c r="CH43" s="110">
        <v>1875325.25</v>
      </c>
      <c r="CI43" s="110">
        <v>1683655.75</v>
      </c>
      <c r="CJ43" s="110">
        <v>191669.5</v>
      </c>
      <c r="CK43" s="110">
        <v>1419136.75</v>
      </c>
      <c r="CL43" s="110">
        <v>1317321.25</v>
      </c>
      <c r="CM43" s="110">
        <v>101815.5</v>
      </c>
      <c r="CN43" s="110">
        <v>535815.28</v>
      </c>
      <c r="CO43" s="110">
        <v>1378471.13</v>
      </c>
      <c r="CP43" s="110">
        <v>1793060.13</v>
      </c>
      <c r="CQ43" s="110">
        <v>2766958.84</v>
      </c>
      <c r="CR43" s="110">
        <v>637550.28</v>
      </c>
      <c r="CS43" s="110">
        <v>0</v>
      </c>
      <c r="CT43" s="110">
        <v>299101.26</v>
      </c>
      <c r="CU43" s="110">
        <v>0</v>
      </c>
      <c r="CV43" s="111">
        <v>20094</v>
      </c>
      <c r="CW43" s="111">
        <v>17452</v>
      </c>
      <c r="CX43" s="111">
        <v>16190</v>
      </c>
      <c r="CY43" s="111">
        <v>1262</v>
      </c>
      <c r="CZ43" s="111">
        <v>2642</v>
      </c>
      <c r="DA43" s="111">
        <v>1325</v>
      </c>
      <c r="DB43" s="111">
        <v>1317</v>
      </c>
      <c r="DC43" s="111">
        <v>11365</v>
      </c>
      <c r="DD43" s="111">
        <v>122</v>
      </c>
      <c r="DE43" s="111">
        <v>10148</v>
      </c>
      <c r="DF43" s="111">
        <v>9516</v>
      </c>
      <c r="DG43" s="111">
        <v>632</v>
      </c>
      <c r="DH43" s="111">
        <v>1217</v>
      </c>
      <c r="DI43" s="111">
        <v>613</v>
      </c>
      <c r="DJ43" s="111">
        <v>604</v>
      </c>
      <c r="DK43" s="111">
        <v>4464</v>
      </c>
      <c r="DL43" s="111">
        <v>3515</v>
      </c>
      <c r="DM43" s="111">
        <v>3248</v>
      </c>
      <c r="DN43" s="111">
        <v>267</v>
      </c>
      <c r="DO43" s="111">
        <v>949</v>
      </c>
      <c r="DP43" s="111">
        <v>515</v>
      </c>
      <c r="DQ43" s="111">
        <v>434</v>
      </c>
      <c r="DR43" s="111">
        <v>1121</v>
      </c>
      <c r="DS43" s="111">
        <v>0</v>
      </c>
      <c r="DT43" s="111">
        <v>926</v>
      </c>
      <c r="DU43" s="111">
        <v>812</v>
      </c>
      <c r="DV43" s="111">
        <v>114</v>
      </c>
      <c r="DW43" s="111">
        <v>195</v>
      </c>
      <c r="DX43" s="111">
        <v>79</v>
      </c>
      <c r="DY43" s="111">
        <v>116</v>
      </c>
      <c r="DZ43" s="111">
        <v>3022</v>
      </c>
      <c r="EA43" s="111">
        <v>2754</v>
      </c>
      <c r="EB43" s="111">
        <v>2515</v>
      </c>
      <c r="EC43" s="111">
        <v>239</v>
      </c>
      <c r="ED43" s="111">
        <v>268</v>
      </c>
      <c r="EE43" s="111">
        <v>118</v>
      </c>
      <c r="EF43" s="111">
        <v>150</v>
      </c>
      <c r="EG43" s="111">
        <v>483</v>
      </c>
      <c r="EH43" s="111">
        <v>301</v>
      </c>
      <c r="EI43" s="111">
        <v>288</v>
      </c>
      <c r="EJ43" s="111">
        <v>13</v>
      </c>
      <c r="EK43" s="111">
        <v>182</v>
      </c>
      <c r="EL43" s="111">
        <v>171</v>
      </c>
      <c r="EM43" s="111">
        <v>11</v>
      </c>
      <c r="EN43" s="111">
        <v>467</v>
      </c>
      <c r="EO43" s="111">
        <v>427</v>
      </c>
      <c r="EP43" s="111">
        <v>0</v>
      </c>
      <c r="EQ43" s="111">
        <v>40</v>
      </c>
      <c r="ER43" s="111">
        <v>1</v>
      </c>
      <c r="ES43" s="111">
        <v>0</v>
      </c>
      <c r="ET43" s="111">
        <v>0</v>
      </c>
      <c r="EU43" s="111">
        <v>307</v>
      </c>
      <c r="EV43" s="111">
        <v>307</v>
      </c>
      <c r="EW43" s="111">
        <v>0</v>
      </c>
      <c r="EX43" s="111">
        <v>0</v>
      </c>
      <c r="EY43" s="111">
        <v>40</v>
      </c>
      <c r="EZ43" s="111">
        <v>40</v>
      </c>
      <c r="FA43" s="111">
        <v>0</v>
      </c>
      <c r="FB43" s="111">
        <v>37</v>
      </c>
    </row>
    <row r="44" spans="1:158" ht="19.5" customHeight="1">
      <c r="A44" s="107">
        <v>41</v>
      </c>
      <c r="B44" s="107" t="s">
        <v>350</v>
      </c>
      <c r="C44" s="107" t="s">
        <v>394</v>
      </c>
      <c r="D44" s="110">
        <v>5426152.5</v>
      </c>
      <c r="E44" s="110">
        <v>5344642.5</v>
      </c>
      <c r="F44" s="110">
        <v>81510</v>
      </c>
      <c r="G44" s="110">
        <v>13141</v>
      </c>
      <c r="H44" s="110">
        <v>5</v>
      </c>
      <c r="I44" s="110">
        <v>3110554.5</v>
      </c>
      <c r="J44" s="110">
        <v>975272</v>
      </c>
      <c r="K44" s="110">
        <v>0</v>
      </c>
      <c r="L44" s="110">
        <v>38013</v>
      </c>
      <c r="M44" s="110">
        <v>9880</v>
      </c>
      <c r="N44" s="110">
        <v>0</v>
      </c>
      <c r="O44" s="110">
        <v>5848760.8700000001</v>
      </c>
      <c r="P44" s="110">
        <v>4937115.49</v>
      </c>
      <c r="Q44" s="110">
        <v>3350239.86</v>
      </c>
      <c r="R44" s="110">
        <v>1586875.63</v>
      </c>
      <c r="S44" s="110">
        <v>911645.38</v>
      </c>
      <c r="T44" s="110">
        <v>266858.02</v>
      </c>
      <c r="U44" s="110">
        <v>644787.36</v>
      </c>
      <c r="V44" s="110">
        <v>5754546.6500000004</v>
      </c>
      <c r="W44" s="110">
        <v>4884352.91</v>
      </c>
      <c r="X44" s="110">
        <v>3350239.86</v>
      </c>
      <c r="Y44" s="110">
        <v>1534113.05</v>
      </c>
      <c r="Z44" s="110">
        <v>870193.74</v>
      </c>
      <c r="AA44" s="110">
        <v>266858.02</v>
      </c>
      <c r="AB44" s="110">
        <v>603335.72</v>
      </c>
      <c r="AC44" s="110">
        <v>219205.88</v>
      </c>
      <c r="AD44" s="110">
        <v>186138.45</v>
      </c>
      <c r="AE44" s="110">
        <v>172891.02</v>
      </c>
      <c r="AF44" s="110">
        <v>13247.43</v>
      </c>
      <c r="AG44" s="110">
        <v>33067.43</v>
      </c>
      <c r="AH44" s="110">
        <v>15763.36</v>
      </c>
      <c r="AI44" s="110">
        <v>17304.07</v>
      </c>
      <c r="AJ44" s="110">
        <v>190698.27</v>
      </c>
      <c r="AK44" s="110">
        <v>139660.96</v>
      </c>
      <c r="AL44" s="110">
        <v>8119.34</v>
      </c>
      <c r="AM44" s="110">
        <v>131541.62</v>
      </c>
      <c r="AN44" s="110">
        <v>51037.31</v>
      </c>
      <c r="AO44" s="110">
        <v>6993.66</v>
      </c>
      <c r="AP44" s="110">
        <v>44043.65</v>
      </c>
      <c r="AQ44" s="110">
        <v>569981</v>
      </c>
      <c r="AR44" s="110">
        <v>510621</v>
      </c>
      <c r="AS44" s="110">
        <v>429551</v>
      </c>
      <c r="AT44" s="110">
        <v>81070</v>
      </c>
      <c r="AU44" s="110">
        <v>59360</v>
      </c>
      <c r="AV44" s="110">
        <v>25175</v>
      </c>
      <c r="AW44" s="110">
        <v>34185</v>
      </c>
      <c r="AX44" s="110">
        <v>4774661.5</v>
      </c>
      <c r="AY44" s="110">
        <v>4047932.5</v>
      </c>
      <c r="AZ44" s="110">
        <v>2739678.5</v>
      </c>
      <c r="BA44" s="110">
        <v>1308254</v>
      </c>
      <c r="BB44" s="110">
        <v>726729</v>
      </c>
      <c r="BC44" s="110">
        <v>218926</v>
      </c>
      <c r="BD44" s="110">
        <v>507803</v>
      </c>
      <c r="BE44" s="110">
        <v>94214.22</v>
      </c>
      <c r="BF44" s="110">
        <v>52762.58</v>
      </c>
      <c r="BG44" s="110">
        <v>0</v>
      </c>
      <c r="BH44" s="110">
        <v>52762.58</v>
      </c>
      <c r="BI44" s="110">
        <v>41451.64</v>
      </c>
      <c r="BJ44" s="110">
        <v>0</v>
      </c>
      <c r="BK44" s="110">
        <v>41451.64</v>
      </c>
      <c r="BL44" s="110">
        <v>5578.18</v>
      </c>
      <c r="BM44" s="110">
        <v>2805.86</v>
      </c>
      <c r="BN44" s="110">
        <v>0</v>
      </c>
      <c r="BO44" s="110">
        <v>2805.86</v>
      </c>
      <c r="BP44" s="110">
        <v>2772.32</v>
      </c>
      <c r="BQ44" s="110">
        <v>0</v>
      </c>
      <c r="BR44" s="110">
        <v>2772.32</v>
      </c>
      <c r="BS44" s="110">
        <v>7126.04</v>
      </c>
      <c r="BT44" s="110">
        <v>4155.72</v>
      </c>
      <c r="BU44" s="110">
        <v>0</v>
      </c>
      <c r="BV44" s="110">
        <v>4155.72</v>
      </c>
      <c r="BW44" s="110">
        <v>2970.32</v>
      </c>
      <c r="BX44" s="110">
        <v>0</v>
      </c>
      <c r="BY44" s="110">
        <v>2970.32</v>
      </c>
      <c r="BZ44" s="110">
        <v>902</v>
      </c>
      <c r="CA44" s="110">
        <v>496</v>
      </c>
      <c r="CB44" s="110">
        <v>0</v>
      </c>
      <c r="CC44" s="110">
        <v>496</v>
      </c>
      <c r="CD44" s="110">
        <v>406</v>
      </c>
      <c r="CE44" s="110">
        <v>0</v>
      </c>
      <c r="CF44" s="110">
        <v>406</v>
      </c>
      <c r="CG44" s="110">
        <v>80608</v>
      </c>
      <c r="CH44" s="110">
        <v>45305</v>
      </c>
      <c r="CI44" s="110">
        <v>0</v>
      </c>
      <c r="CJ44" s="110">
        <v>45305</v>
      </c>
      <c r="CK44" s="110">
        <v>35303</v>
      </c>
      <c r="CL44" s="110">
        <v>0</v>
      </c>
      <c r="CM44" s="110">
        <v>35303</v>
      </c>
      <c r="CN44" s="110">
        <v>4100.5600000000004</v>
      </c>
      <c r="CO44" s="110">
        <v>2692368.75</v>
      </c>
      <c r="CP44" s="110">
        <v>1263330.83</v>
      </c>
      <c r="CQ44" s="110">
        <v>1038326.74</v>
      </c>
      <c r="CR44" s="110">
        <v>751689.72</v>
      </c>
      <c r="CS44" s="110">
        <v>4720.05</v>
      </c>
      <c r="CT44" s="110">
        <v>94214.22</v>
      </c>
      <c r="CU44" s="110">
        <v>0</v>
      </c>
      <c r="CV44" s="111">
        <v>13141</v>
      </c>
      <c r="CW44" s="111">
        <v>11498</v>
      </c>
      <c r="CX44" s="111">
        <v>9533</v>
      </c>
      <c r="CY44" s="111">
        <v>1965</v>
      </c>
      <c r="CZ44" s="111">
        <v>1643</v>
      </c>
      <c r="DA44" s="111">
        <v>653</v>
      </c>
      <c r="DB44" s="111">
        <v>990</v>
      </c>
      <c r="DC44" s="111">
        <v>10013</v>
      </c>
      <c r="DD44" s="111">
        <v>2</v>
      </c>
      <c r="DE44" s="111">
        <v>9009</v>
      </c>
      <c r="DF44" s="111">
        <v>7631</v>
      </c>
      <c r="DG44" s="111">
        <v>1378</v>
      </c>
      <c r="DH44" s="111">
        <v>1004</v>
      </c>
      <c r="DI44" s="111">
        <v>455</v>
      </c>
      <c r="DJ44" s="111">
        <v>549</v>
      </c>
      <c r="DK44" s="111">
        <v>1921</v>
      </c>
      <c r="DL44" s="111">
        <v>1657</v>
      </c>
      <c r="DM44" s="111">
        <v>1249</v>
      </c>
      <c r="DN44" s="111">
        <v>408</v>
      </c>
      <c r="DO44" s="111">
        <v>264</v>
      </c>
      <c r="DP44" s="111">
        <v>108</v>
      </c>
      <c r="DQ44" s="111">
        <v>156</v>
      </c>
      <c r="DR44" s="111">
        <v>1181</v>
      </c>
      <c r="DS44" s="111">
        <v>0</v>
      </c>
      <c r="DT44" s="111">
        <v>808</v>
      </c>
      <c r="DU44" s="111">
        <v>631</v>
      </c>
      <c r="DV44" s="111">
        <v>177</v>
      </c>
      <c r="DW44" s="111">
        <v>373</v>
      </c>
      <c r="DX44" s="111">
        <v>90</v>
      </c>
      <c r="DY44" s="111">
        <v>283</v>
      </c>
      <c r="DZ44" s="111">
        <v>24</v>
      </c>
      <c r="EA44" s="111">
        <v>23</v>
      </c>
      <c r="EB44" s="111">
        <v>21</v>
      </c>
      <c r="EC44" s="111">
        <v>2</v>
      </c>
      <c r="ED44" s="111">
        <v>1</v>
      </c>
      <c r="EE44" s="111">
        <v>0</v>
      </c>
      <c r="EF44" s="111">
        <v>1</v>
      </c>
      <c r="EG44" s="111">
        <v>5</v>
      </c>
      <c r="EH44" s="111">
        <v>3</v>
      </c>
      <c r="EI44" s="111">
        <v>0</v>
      </c>
      <c r="EJ44" s="111">
        <v>3</v>
      </c>
      <c r="EK44" s="111">
        <v>2</v>
      </c>
      <c r="EL44" s="111">
        <v>0</v>
      </c>
      <c r="EM44" s="111">
        <v>2</v>
      </c>
      <c r="EN44" s="111">
        <v>6</v>
      </c>
      <c r="EO44" s="111">
        <v>0</v>
      </c>
      <c r="EP44" s="111">
        <v>0</v>
      </c>
      <c r="EQ44" s="111">
        <v>6</v>
      </c>
      <c r="ER44" s="111">
        <v>0</v>
      </c>
      <c r="ES44" s="111">
        <v>0</v>
      </c>
      <c r="ET44" s="111">
        <v>0</v>
      </c>
      <c r="EU44" s="111">
        <v>0</v>
      </c>
      <c r="EV44" s="111">
        <v>0</v>
      </c>
      <c r="EW44" s="111">
        <v>0</v>
      </c>
      <c r="EX44" s="111">
        <v>0</v>
      </c>
      <c r="EY44" s="111">
        <v>0</v>
      </c>
      <c r="EZ44" s="111">
        <v>0</v>
      </c>
      <c r="FA44" s="111">
        <v>0</v>
      </c>
      <c r="FB44" s="111">
        <v>0</v>
      </c>
    </row>
    <row r="45" spans="1:158" ht="19.5" customHeight="1">
      <c r="A45" s="107">
        <v>42</v>
      </c>
      <c r="B45" s="107" t="s">
        <v>350</v>
      </c>
      <c r="C45" s="107" t="s">
        <v>395</v>
      </c>
      <c r="D45" s="110">
        <v>11832504.6</v>
      </c>
      <c r="E45" s="110">
        <v>10795427.35</v>
      </c>
      <c r="F45" s="110">
        <v>1037077.25</v>
      </c>
      <c r="G45" s="110">
        <v>49098</v>
      </c>
      <c r="H45" s="110">
        <v>132</v>
      </c>
      <c r="I45" s="110">
        <v>3432765.9</v>
      </c>
      <c r="J45" s="110">
        <v>1605655.45</v>
      </c>
      <c r="K45" s="110">
        <v>14891.71</v>
      </c>
      <c r="L45" s="110">
        <v>37089</v>
      </c>
      <c r="M45" s="110">
        <v>259084.25</v>
      </c>
      <c r="N45" s="110">
        <v>324.27999999999997</v>
      </c>
      <c r="O45" s="110">
        <v>17808018.16</v>
      </c>
      <c r="P45" s="110">
        <v>14663688.59</v>
      </c>
      <c r="Q45" s="110">
        <v>12611571.710000001</v>
      </c>
      <c r="R45" s="110">
        <v>2052116.88</v>
      </c>
      <c r="S45" s="110">
        <v>3144329.57</v>
      </c>
      <c r="T45" s="110">
        <v>1524852.1</v>
      </c>
      <c r="U45" s="110">
        <v>1619477.47</v>
      </c>
      <c r="V45" s="110">
        <v>16521309.52</v>
      </c>
      <c r="W45" s="110">
        <v>13906364.58</v>
      </c>
      <c r="X45" s="110">
        <v>11995712.949999999</v>
      </c>
      <c r="Y45" s="110">
        <v>1910651.63</v>
      </c>
      <c r="Z45" s="110">
        <v>2614944.94</v>
      </c>
      <c r="AA45" s="110">
        <v>1166372.8899999999</v>
      </c>
      <c r="AB45" s="110">
        <v>1448572.05</v>
      </c>
      <c r="AC45" s="110">
        <v>5504957.2000000002</v>
      </c>
      <c r="AD45" s="110">
        <v>4797621.46</v>
      </c>
      <c r="AE45" s="110">
        <v>4511738.25</v>
      </c>
      <c r="AF45" s="110">
        <v>285883.21000000002</v>
      </c>
      <c r="AG45" s="110">
        <v>707335.74</v>
      </c>
      <c r="AH45" s="110">
        <v>366159.8</v>
      </c>
      <c r="AI45" s="110">
        <v>341175.94</v>
      </c>
      <c r="AJ45" s="110">
        <v>220924.97</v>
      </c>
      <c r="AK45" s="110">
        <v>187291.07</v>
      </c>
      <c r="AL45" s="110">
        <v>170299.45</v>
      </c>
      <c r="AM45" s="110">
        <v>16991.62</v>
      </c>
      <c r="AN45" s="110">
        <v>33633.9</v>
      </c>
      <c r="AO45" s="110">
        <v>15418.04</v>
      </c>
      <c r="AP45" s="110">
        <v>18215.86</v>
      </c>
      <c r="AQ45" s="110">
        <v>2890502</v>
      </c>
      <c r="AR45" s="110">
        <v>2335842</v>
      </c>
      <c r="AS45" s="110">
        <v>2146333</v>
      </c>
      <c r="AT45" s="110">
        <v>189509</v>
      </c>
      <c r="AU45" s="110">
        <v>554660</v>
      </c>
      <c r="AV45" s="110">
        <v>309089</v>
      </c>
      <c r="AW45" s="110">
        <v>245571</v>
      </c>
      <c r="AX45" s="110">
        <v>7904925.3499999996</v>
      </c>
      <c r="AY45" s="110">
        <v>6585610.0499999998</v>
      </c>
      <c r="AZ45" s="110">
        <v>5167342.25</v>
      </c>
      <c r="BA45" s="110">
        <v>1418267.8</v>
      </c>
      <c r="BB45" s="110">
        <v>1319315.3</v>
      </c>
      <c r="BC45" s="110">
        <v>475706.05</v>
      </c>
      <c r="BD45" s="110">
        <v>843609.25</v>
      </c>
      <c r="BE45" s="110">
        <v>1286708.6399999999</v>
      </c>
      <c r="BF45" s="110">
        <v>757324.01</v>
      </c>
      <c r="BG45" s="110">
        <v>615858.76</v>
      </c>
      <c r="BH45" s="110">
        <v>141465.25</v>
      </c>
      <c r="BI45" s="110">
        <v>529384.63</v>
      </c>
      <c r="BJ45" s="110">
        <v>358479.21</v>
      </c>
      <c r="BK45" s="110">
        <v>170905.42</v>
      </c>
      <c r="BL45" s="110">
        <v>166290.4</v>
      </c>
      <c r="BM45" s="110">
        <v>90557.09</v>
      </c>
      <c r="BN45" s="110">
        <v>85585.44</v>
      </c>
      <c r="BO45" s="110">
        <v>4971.6499999999996</v>
      </c>
      <c r="BP45" s="110">
        <v>75733.31</v>
      </c>
      <c r="BQ45" s="110">
        <v>70510.240000000005</v>
      </c>
      <c r="BR45" s="110">
        <v>5223.07</v>
      </c>
      <c r="BS45" s="110">
        <v>83340.990000000005</v>
      </c>
      <c r="BT45" s="110">
        <v>55167.67</v>
      </c>
      <c r="BU45" s="110">
        <v>39945.07</v>
      </c>
      <c r="BV45" s="110">
        <v>15222.6</v>
      </c>
      <c r="BW45" s="110">
        <v>28173.32</v>
      </c>
      <c r="BX45" s="110">
        <v>13533.72</v>
      </c>
      <c r="BY45" s="110">
        <v>14639.6</v>
      </c>
      <c r="BZ45" s="110">
        <v>413981</v>
      </c>
      <c r="CA45" s="110">
        <v>265684</v>
      </c>
      <c r="CB45" s="110">
        <v>258364</v>
      </c>
      <c r="CC45" s="110">
        <v>7320</v>
      </c>
      <c r="CD45" s="110">
        <v>148297</v>
      </c>
      <c r="CE45" s="110">
        <v>131356</v>
      </c>
      <c r="CF45" s="110">
        <v>16941</v>
      </c>
      <c r="CG45" s="110">
        <v>623096.25</v>
      </c>
      <c r="CH45" s="110">
        <v>345915.25</v>
      </c>
      <c r="CI45" s="110">
        <v>231964.25</v>
      </c>
      <c r="CJ45" s="110">
        <v>113951</v>
      </c>
      <c r="CK45" s="110">
        <v>277181</v>
      </c>
      <c r="CL45" s="110">
        <v>143079.25</v>
      </c>
      <c r="CM45" s="110">
        <v>134101.75</v>
      </c>
      <c r="CN45" s="110">
        <v>368325.79</v>
      </c>
      <c r="CO45" s="110">
        <v>6475879.7300000004</v>
      </c>
      <c r="CP45" s="110">
        <v>2048580.2</v>
      </c>
      <c r="CQ45" s="110">
        <v>2836180.62</v>
      </c>
      <c r="CR45" s="110">
        <v>4771092</v>
      </c>
      <c r="CS45" s="110">
        <v>21151.18</v>
      </c>
      <c r="CT45" s="110">
        <v>233547.69</v>
      </c>
      <c r="CU45" s="110">
        <v>0</v>
      </c>
      <c r="CV45" s="111">
        <v>49098</v>
      </c>
      <c r="CW45" s="111">
        <v>42228</v>
      </c>
      <c r="CX45" s="111">
        <v>37270</v>
      </c>
      <c r="CY45" s="111">
        <v>4958</v>
      </c>
      <c r="CZ45" s="111">
        <v>6870</v>
      </c>
      <c r="DA45" s="111">
        <v>2852</v>
      </c>
      <c r="DB45" s="111">
        <v>4018</v>
      </c>
      <c r="DC45" s="111">
        <v>29720</v>
      </c>
      <c r="DD45" s="111">
        <v>2414</v>
      </c>
      <c r="DE45" s="111">
        <v>26401</v>
      </c>
      <c r="DF45" s="111">
        <v>23801</v>
      </c>
      <c r="DG45" s="111">
        <v>2600</v>
      </c>
      <c r="DH45" s="111">
        <v>3319</v>
      </c>
      <c r="DI45" s="111">
        <v>1508</v>
      </c>
      <c r="DJ45" s="111">
        <v>1811</v>
      </c>
      <c r="DK45" s="111">
        <v>4651</v>
      </c>
      <c r="DL45" s="111">
        <v>3844</v>
      </c>
      <c r="DM45" s="111">
        <v>3254</v>
      </c>
      <c r="DN45" s="111">
        <v>590</v>
      </c>
      <c r="DO45" s="111">
        <v>807</v>
      </c>
      <c r="DP45" s="111">
        <v>363</v>
      </c>
      <c r="DQ45" s="111">
        <v>444</v>
      </c>
      <c r="DR45" s="111">
        <v>9044</v>
      </c>
      <c r="DS45" s="111">
        <v>31</v>
      </c>
      <c r="DT45" s="111">
        <v>7150</v>
      </c>
      <c r="DU45" s="111">
        <v>6160</v>
      </c>
      <c r="DV45" s="111">
        <v>990</v>
      </c>
      <c r="DW45" s="111">
        <v>1894</v>
      </c>
      <c r="DX45" s="111">
        <v>833</v>
      </c>
      <c r="DY45" s="111">
        <v>1061</v>
      </c>
      <c r="DZ45" s="111">
        <v>3238</v>
      </c>
      <c r="EA45" s="111">
        <v>2921</v>
      </c>
      <c r="EB45" s="111">
        <v>2729</v>
      </c>
      <c r="EC45" s="111">
        <v>192</v>
      </c>
      <c r="ED45" s="111">
        <v>317</v>
      </c>
      <c r="EE45" s="111">
        <v>131</v>
      </c>
      <c r="EF45" s="111">
        <v>186</v>
      </c>
      <c r="EG45" s="111">
        <v>132</v>
      </c>
      <c r="EH45" s="111">
        <v>77</v>
      </c>
      <c r="EI45" s="111">
        <v>62</v>
      </c>
      <c r="EJ45" s="111">
        <v>15</v>
      </c>
      <c r="EK45" s="111">
        <v>55</v>
      </c>
      <c r="EL45" s="111">
        <v>38</v>
      </c>
      <c r="EM45" s="111">
        <v>17</v>
      </c>
      <c r="EN45" s="111">
        <v>106</v>
      </c>
      <c r="EO45" s="111">
        <v>91</v>
      </c>
      <c r="EP45" s="111">
        <v>0</v>
      </c>
      <c r="EQ45" s="111">
        <v>15</v>
      </c>
      <c r="ER45" s="111">
        <v>0</v>
      </c>
      <c r="ES45" s="111">
        <v>0</v>
      </c>
      <c r="ET45" s="111">
        <v>0</v>
      </c>
      <c r="EU45" s="111">
        <v>3</v>
      </c>
      <c r="EV45" s="111">
        <v>3</v>
      </c>
      <c r="EW45" s="111">
        <v>0</v>
      </c>
      <c r="EX45" s="111">
        <v>0</v>
      </c>
      <c r="EY45" s="111">
        <v>0</v>
      </c>
      <c r="EZ45" s="111">
        <v>0</v>
      </c>
      <c r="FA45" s="111">
        <v>0</v>
      </c>
      <c r="FB45" s="111">
        <v>0</v>
      </c>
    </row>
    <row r="46" spans="1:158" ht="19.5" customHeight="1">
      <c r="A46" s="107">
        <v>43</v>
      </c>
      <c r="B46" s="107" t="s">
        <v>350</v>
      </c>
      <c r="C46" s="107" t="s">
        <v>396</v>
      </c>
      <c r="D46" s="110">
        <v>2283253</v>
      </c>
      <c r="E46" s="110">
        <v>2283253</v>
      </c>
      <c r="F46" s="110">
        <v>0</v>
      </c>
      <c r="G46" s="110">
        <v>6285</v>
      </c>
      <c r="H46" s="110">
        <v>0</v>
      </c>
      <c r="I46" s="110">
        <v>801479</v>
      </c>
      <c r="J46" s="110">
        <v>0</v>
      </c>
      <c r="K46" s="110">
        <v>954.1</v>
      </c>
      <c r="L46" s="110">
        <v>0</v>
      </c>
      <c r="M46" s="110">
        <v>0</v>
      </c>
      <c r="N46" s="110">
        <v>0</v>
      </c>
      <c r="O46" s="110">
        <v>3525497.32</v>
      </c>
      <c r="P46" s="110">
        <v>3066771.75</v>
      </c>
      <c r="Q46" s="110">
        <v>2896242.27</v>
      </c>
      <c r="R46" s="110">
        <v>170529.48</v>
      </c>
      <c r="S46" s="110">
        <v>458725.57</v>
      </c>
      <c r="T46" s="110">
        <v>197488.26</v>
      </c>
      <c r="U46" s="110">
        <v>261237.31</v>
      </c>
      <c r="V46" s="110">
        <v>3525497.32</v>
      </c>
      <c r="W46" s="110">
        <v>3066771.75</v>
      </c>
      <c r="X46" s="110">
        <v>2896242.27</v>
      </c>
      <c r="Y46" s="110">
        <v>170529.48</v>
      </c>
      <c r="Z46" s="110">
        <v>458725.57</v>
      </c>
      <c r="AA46" s="110">
        <v>197488.26</v>
      </c>
      <c r="AB46" s="110">
        <v>261237.31</v>
      </c>
      <c r="AC46" s="110">
        <v>1242244.32</v>
      </c>
      <c r="AD46" s="110">
        <v>1150346.75</v>
      </c>
      <c r="AE46" s="110">
        <v>1115440.27</v>
      </c>
      <c r="AF46" s="110">
        <v>34906.480000000003</v>
      </c>
      <c r="AG46" s="110">
        <v>91897.57</v>
      </c>
      <c r="AH46" s="110">
        <v>41612.26</v>
      </c>
      <c r="AI46" s="110">
        <v>50285.31</v>
      </c>
      <c r="AJ46" s="110">
        <v>0</v>
      </c>
      <c r="AK46" s="110">
        <v>0</v>
      </c>
      <c r="AL46" s="110">
        <v>0</v>
      </c>
      <c r="AM46" s="110">
        <v>0</v>
      </c>
      <c r="AN46" s="110">
        <v>0</v>
      </c>
      <c r="AO46" s="110">
        <v>0</v>
      </c>
      <c r="AP46" s="110">
        <v>0</v>
      </c>
      <c r="AQ46" s="110">
        <v>1178475</v>
      </c>
      <c r="AR46" s="110">
        <v>988346</v>
      </c>
      <c r="AS46" s="110">
        <v>937395</v>
      </c>
      <c r="AT46" s="110">
        <v>50951</v>
      </c>
      <c r="AU46" s="110">
        <v>190129</v>
      </c>
      <c r="AV46" s="110">
        <v>84284</v>
      </c>
      <c r="AW46" s="110">
        <v>105845</v>
      </c>
      <c r="AX46" s="110">
        <v>1104778</v>
      </c>
      <c r="AY46" s="110">
        <v>928079</v>
      </c>
      <c r="AZ46" s="110">
        <v>843407</v>
      </c>
      <c r="BA46" s="110">
        <v>84672</v>
      </c>
      <c r="BB46" s="110">
        <v>176699</v>
      </c>
      <c r="BC46" s="110">
        <v>71592</v>
      </c>
      <c r="BD46" s="110">
        <v>105107</v>
      </c>
      <c r="BE46" s="110">
        <v>0</v>
      </c>
      <c r="BF46" s="110">
        <v>0</v>
      </c>
      <c r="BG46" s="110">
        <v>0</v>
      </c>
      <c r="BH46" s="110">
        <v>0</v>
      </c>
      <c r="BI46" s="110">
        <v>0</v>
      </c>
      <c r="BJ46" s="110">
        <v>0</v>
      </c>
      <c r="BK46" s="110">
        <v>0</v>
      </c>
      <c r="BL46" s="110">
        <v>0</v>
      </c>
      <c r="BM46" s="110">
        <v>0</v>
      </c>
      <c r="BN46" s="110">
        <v>0</v>
      </c>
      <c r="BO46" s="110">
        <v>0</v>
      </c>
      <c r="BP46" s="110">
        <v>0</v>
      </c>
      <c r="BQ46" s="110">
        <v>0</v>
      </c>
      <c r="BR46" s="110">
        <v>0</v>
      </c>
      <c r="BS46" s="110">
        <v>0</v>
      </c>
      <c r="BT46" s="110">
        <v>0</v>
      </c>
      <c r="BU46" s="110">
        <v>0</v>
      </c>
      <c r="BV46" s="110">
        <v>0</v>
      </c>
      <c r="BW46" s="110">
        <v>0</v>
      </c>
      <c r="BX46" s="110">
        <v>0</v>
      </c>
      <c r="BY46" s="110">
        <v>0</v>
      </c>
      <c r="BZ46" s="110">
        <v>0</v>
      </c>
      <c r="CA46" s="110">
        <v>0</v>
      </c>
      <c r="CB46" s="110">
        <v>0</v>
      </c>
      <c r="CC46" s="110">
        <v>0</v>
      </c>
      <c r="CD46" s="110">
        <v>0</v>
      </c>
      <c r="CE46" s="110">
        <v>0</v>
      </c>
      <c r="CF46" s="110">
        <v>0</v>
      </c>
      <c r="CG46" s="110">
        <v>0</v>
      </c>
      <c r="CH46" s="110">
        <v>0</v>
      </c>
      <c r="CI46" s="110">
        <v>0</v>
      </c>
      <c r="CJ46" s="110">
        <v>0</v>
      </c>
      <c r="CK46" s="110">
        <v>0</v>
      </c>
      <c r="CL46" s="110">
        <v>0</v>
      </c>
      <c r="CM46" s="110">
        <v>0</v>
      </c>
      <c r="CN46" s="110">
        <v>-25</v>
      </c>
      <c r="CO46" s="110">
        <v>2095863.39</v>
      </c>
      <c r="CP46" s="110">
        <v>215527.85</v>
      </c>
      <c r="CQ46" s="110">
        <v>933949.53</v>
      </c>
      <c r="CR46" s="110">
        <v>280156.55</v>
      </c>
      <c r="CS46" s="110">
        <v>0</v>
      </c>
      <c r="CT46" s="110">
        <v>0</v>
      </c>
      <c r="CU46" s="110">
        <v>0</v>
      </c>
      <c r="CV46" s="111">
        <v>6285</v>
      </c>
      <c r="CW46" s="111">
        <v>5642</v>
      </c>
      <c r="CX46" s="111">
        <v>5273</v>
      </c>
      <c r="CY46" s="111">
        <v>369</v>
      </c>
      <c r="CZ46" s="111">
        <v>643</v>
      </c>
      <c r="DA46" s="111">
        <v>290</v>
      </c>
      <c r="DB46" s="111">
        <v>353</v>
      </c>
      <c r="DC46" s="111">
        <v>5682</v>
      </c>
      <c r="DD46" s="111">
        <v>0</v>
      </c>
      <c r="DE46" s="111">
        <v>5185</v>
      </c>
      <c r="DF46" s="111">
        <v>4858</v>
      </c>
      <c r="DG46" s="111">
        <v>327</v>
      </c>
      <c r="DH46" s="111">
        <v>497</v>
      </c>
      <c r="DI46" s="111">
        <v>220</v>
      </c>
      <c r="DJ46" s="111">
        <v>277</v>
      </c>
      <c r="DK46" s="111">
        <v>311</v>
      </c>
      <c r="DL46" s="111">
        <v>260</v>
      </c>
      <c r="DM46" s="111">
        <v>243</v>
      </c>
      <c r="DN46" s="111">
        <v>17</v>
      </c>
      <c r="DO46" s="111">
        <v>51</v>
      </c>
      <c r="DP46" s="111">
        <v>27</v>
      </c>
      <c r="DQ46" s="111">
        <v>24</v>
      </c>
      <c r="DR46" s="111">
        <v>292</v>
      </c>
      <c r="DS46" s="111">
        <v>0</v>
      </c>
      <c r="DT46" s="111">
        <v>197</v>
      </c>
      <c r="DU46" s="111">
        <v>172</v>
      </c>
      <c r="DV46" s="111">
        <v>25</v>
      </c>
      <c r="DW46" s="111">
        <v>95</v>
      </c>
      <c r="DX46" s="111">
        <v>43</v>
      </c>
      <c r="DY46" s="111">
        <v>52</v>
      </c>
      <c r="DZ46" s="111">
        <v>0</v>
      </c>
      <c r="EA46" s="111">
        <v>0</v>
      </c>
      <c r="EB46" s="111">
        <v>0</v>
      </c>
      <c r="EC46" s="111">
        <v>0</v>
      </c>
      <c r="ED46" s="111">
        <v>0</v>
      </c>
      <c r="EE46" s="111">
        <v>0</v>
      </c>
      <c r="EF46" s="111">
        <v>0</v>
      </c>
      <c r="EG46" s="111">
        <v>0</v>
      </c>
      <c r="EH46" s="111">
        <v>0</v>
      </c>
      <c r="EI46" s="111">
        <v>0</v>
      </c>
      <c r="EJ46" s="111">
        <v>0</v>
      </c>
      <c r="EK46" s="111">
        <v>0</v>
      </c>
      <c r="EL46" s="111">
        <v>0</v>
      </c>
      <c r="EM46" s="111">
        <v>0</v>
      </c>
      <c r="EN46" s="111">
        <v>0</v>
      </c>
      <c r="EO46" s="111">
        <v>0</v>
      </c>
      <c r="EP46" s="111">
        <v>0</v>
      </c>
      <c r="EQ46" s="111">
        <v>0</v>
      </c>
      <c r="ER46" s="111">
        <v>0</v>
      </c>
      <c r="ES46" s="111">
        <v>0</v>
      </c>
      <c r="ET46" s="111">
        <v>0</v>
      </c>
      <c r="EU46" s="111">
        <v>0</v>
      </c>
      <c r="EV46" s="111">
        <v>0</v>
      </c>
      <c r="EW46" s="111">
        <v>0</v>
      </c>
      <c r="EX46" s="111">
        <v>0</v>
      </c>
      <c r="EY46" s="111">
        <v>0</v>
      </c>
      <c r="EZ46" s="111">
        <v>0</v>
      </c>
      <c r="FA46" s="111">
        <v>0</v>
      </c>
      <c r="FB46" s="111">
        <v>0</v>
      </c>
    </row>
    <row r="47" spans="1:158" ht="19.5" customHeight="1">
      <c r="A47" s="107">
        <v>44</v>
      </c>
      <c r="B47" s="107" t="s">
        <v>350</v>
      </c>
      <c r="C47" s="107" t="s">
        <v>397</v>
      </c>
      <c r="D47" s="110">
        <v>2946646.5</v>
      </c>
      <c r="E47" s="110">
        <v>1381060</v>
      </c>
      <c r="F47" s="110">
        <v>1565586.5</v>
      </c>
      <c r="G47" s="110">
        <v>5657</v>
      </c>
      <c r="H47" s="110">
        <v>579</v>
      </c>
      <c r="I47" s="110">
        <v>50820</v>
      </c>
      <c r="J47" s="110">
        <v>296</v>
      </c>
      <c r="K47" s="110">
        <v>1124.02</v>
      </c>
      <c r="L47" s="110">
        <v>608577</v>
      </c>
      <c r="M47" s="110">
        <v>7276</v>
      </c>
      <c r="N47" s="110">
        <v>0</v>
      </c>
      <c r="O47" s="110">
        <v>13545265.449999999</v>
      </c>
      <c r="P47" s="110">
        <v>8281479.29</v>
      </c>
      <c r="Q47" s="110">
        <v>8029919.71</v>
      </c>
      <c r="R47" s="110">
        <v>251559.58</v>
      </c>
      <c r="S47" s="110">
        <v>5263786.16</v>
      </c>
      <c r="T47" s="110">
        <v>5049157.29</v>
      </c>
      <c r="U47" s="110">
        <v>214628.87</v>
      </c>
      <c r="V47" s="110">
        <v>7296164.0700000003</v>
      </c>
      <c r="W47" s="110">
        <v>5422105.9199999999</v>
      </c>
      <c r="X47" s="110">
        <v>5323686.5599999996</v>
      </c>
      <c r="Y47" s="110">
        <v>98419.36</v>
      </c>
      <c r="Z47" s="110">
        <v>1874058.15</v>
      </c>
      <c r="AA47" s="110">
        <v>1756751.07</v>
      </c>
      <c r="AB47" s="110">
        <v>117307.08</v>
      </c>
      <c r="AC47" s="110">
        <v>5683934.54</v>
      </c>
      <c r="AD47" s="110">
        <v>4270092.6900000004</v>
      </c>
      <c r="AE47" s="110">
        <v>4208807.2300000004</v>
      </c>
      <c r="AF47" s="110">
        <v>61285.46</v>
      </c>
      <c r="AG47" s="110">
        <v>1413841.85</v>
      </c>
      <c r="AH47" s="110">
        <v>1361334.65</v>
      </c>
      <c r="AI47" s="110">
        <v>52507.199999999997</v>
      </c>
      <c r="AJ47" s="110">
        <v>231169.53</v>
      </c>
      <c r="AK47" s="110">
        <v>162781.73000000001</v>
      </c>
      <c r="AL47" s="110">
        <v>161476.82999999999</v>
      </c>
      <c r="AM47" s="110">
        <v>1304.9000000000001</v>
      </c>
      <c r="AN47" s="110">
        <v>68387.8</v>
      </c>
      <c r="AO47" s="110">
        <v>65808.92</v>
      </c>
      <c r="AP47" s="110">
        <v>2578.88</v>
      </c>
      <c r="AQ47" s="110">
        <v>1096969</v>
      </c>
      <c r="AR47" s="110">
        <v>798430</v>
      </c>
      <c r="AS47" s="110">
        <v>779441</v>
      </c>
      <c r="AT47" s="110">
        <v>18989</v>
      </c>
      <c r="AU47" s="110">
        <v>298539</v>
      </c>
      <c r="AV47" s="110">
        <v>259810</v>
      </c>
      <c r="AW47" s="110">
        <v>38729</v>
      </c>
      <c r="AX47" s="110">
        <v>284091</v>
      </c>
      <c r="AY47" s="110">
        <v>190801.5</v>
      </c>
      <c r="AZ47" s="110">
        <v>173961.5</v>
      </c>
      <c r="BA47" s="110">
        <v>16840</v>
      </c>
      <c r="BB47" s="110">
        <v>93289.5</v>
      </c>
      <c r="BC47" s="110">
        <v>69797.5</v>
      </c>
      <c r="BD47" s="110">
        <v>23492</v>
      </c>
      <c r="BE47" s="110">
        <v>6249101.3799999999</v>
      </c>
      <c r="BF47" s="110">
        <v>2859373.37</v>
      </c>
      <c r="BG47" s="110">
        <v>2706233.15</v>
      </c>
      <c r="BH47" s="110">
        <v>153140.22</v>
      </c>
      <c r="BI47" s="110">
        <v>3389728.01</v>
      </c>
      <c r="BJ47" s="110">
        <v>3292406.22</v>
      </c>
      <c r="BK47" s="110">
        <v>97321.79</v>
      </c>
      <c r="BL47" s="110">
        <v>4480338.9000000004</v>
      </c>
      <c r="BM47" s="110">
        <v>2131302.13</v>
      </c>
      <c r="BN47" s="110">
        <v>2072493.27</v>
      </c>
      <c r="BO47" s="110">
        <v>58808.86</v>
      </c>
      <c r="BP47" s="110">
        <v>2349036.77</v>
      </c>
      <c r="BQ47" s="110">
        <v>2303507.1800000002</v>
      </c>
      <c r="BR47" s="110">
        <v>45529.59</v>
      </c>
      <c r="BS47" s="110">
        <v>203175.98</v>
      </c>
      <c r="BT47" s="110">
        <v>91540.24</v>
      </c>
      <c r="BU47" s="110">
        <v>82475.88</v>
      </c>
      <c r="BV47" s="110">
        <v>9064.36</v>
      </c>
      <c r="BW47" s="110">
        <v>111635.74</v>
      </c>
      <c r="BX47" s="110">
        <v>103939.54</v>
      </c>
      <c r="BY47" s="110">
        <v>7696.2</v>
      </c>
      <c r="BZ47" s="110">
        <v>745749</v>
      </c>
      <c r="CA47" s="110">
        <v>296951</v>
      </c>
      <c r="CB47" s="110">
        <v>266710</v>
      </c>
      <c r="CC47" s="110">
        <v>30241</v>
      </c>
      <c r="CD47" s="110">
        <v>448798</v>
      </c>
      <c r="CE47" s="110">
        <v>428475</v>
      </c>
      <c r="CF47" s="110">
        <v>20323</v>
      </c>
      <c r="CG47" s="110">
        <v>819837.5</v>
      </c>
      <c r="CH47" s="110">
        <v>339580</v>
      </c>
      <c r="CI47" s="110">
        <v>284554</v>
      </c>
      <c r="CJ47" s="110">
        <v>55026</v>
      </c>
      <c r="CK47" s="110">
        <v>480257.5</v>
      </c>
      <c r="CL47" s="110">
        <v>456484.5</v>
      </c>
      <c r="CM47" s="110">
        <v>23773</v>
      </c>
      <c r="CN47" s="110">
        <v>0</v>
      </c>
      <c r="CO47" s="110">
        <v>2812822.53</v>
      </c>
      <c r="CP47" s="110">
        <v>4058738.51</v>
      </c>
      <c r="CQ47" s="110">
        <v>245636.22</v>
      </c>
      <c r="CR47" s="110">
        <v>95527.54</v>
      </c>
      <c r="CS47" s="110">
        <v>83439.27</v>
      </c>
      <c r="CT47" s="110">
        <v>194321.46</v>
      </c>
      <c r="CU47" s="110">
        <v>0</v>
      </c>
      <c r="CV47" s="111">
        <v>5657</v>
      </c>
      <c r="CW47" s="111">
        <v>3904</v>
      </c>
      <c r="CX47" s="111">
        <v>3785</v>
      </c>
      <c r="CY47" s="111">
        <v>119</v>
      </c>
      <c r="CZ47" s="111">
        <v>1753</v>
      </c>
      <c r="DA47" s="111">
        <v>1584</v>
      </c>
      <c r="DB47" s="111">
        <v>169</v>
      </c>
      <c r="DC47" s="111">
        <v>3985</v>
      </c>
      <c r="DD47" s="111">
        <v>3</v>
      </c>
      <c r="DE47" s="111">
        <v>2632</v>
      </c>
      <c r="DF47" s="111">
        <v>2577</v>
      </c>
      <c r="DG47" s="111">
        <v>55</v>
      </c>
      <c r="DH47" s="111">
        <v>1353</v>
      </c>
      <c r="DI47" s="111">
        <v>1255</v>
      </c>
      <c r="DJ47" s="111">
        <v>98</v>
      </c>
      <c r="DK47" s="111">
        <v>1546</v>
      </c>
      <c r="DL47" s="111">
        <v>1198</v>
      </c>
      <c r="DM47" s="111">
        <v>1160</v>
      </c>
      <c r="DN47" s="111">
        <v>38</v>
      </c>
      <c r="DO47" s="111">
        <v>348</v>
      </c>
      <c r="DP47" s="111">
        <v>308</v>
      </c>
      <c r="DQ47" s="111">
        <v>40</v>
      </c>
      <c r="DR47" s="111">
        <v>123</v>
      </c>
      <c r="DS47" s="111">
        <v>0</v>
      </c>
      <c r="DT47" s="111">
        <v>71</v>
      </c>
      <c r="DU47" s="111">
        <v>45</v>
      </c>
      <c r="DV47" s="111">
        <v>26</v>
      </c>
      <c r="DW47" s="111">
        <v>52</v>
      </c>
      <c r="DX47" s="111">
        <v>21</v>
      </c>
      <c r="DY47" s="111">
        <v>31</v>
      </c>
      <c r="DZ47" s="111">
        <v>0</v>
      </c>
      <c r="EA47" s="111">
        <v>0</v>
      </c>
      <c r="EB47" s="111">
        <v>0</v>
      </c>
      <c r="EC47" s="111">
        <v>0</v>
      </c>
      <c r="ED47" s="111">
        <v>0</v>
      </c>
      <c r="EE47" s="111">
        <v>0</v>
      </c>
      <c r="EF47" s="111">
        <v>0</v>
      </c>
      <c r="EG47" s="111">
        <v>579</v>
      </c>
      <c r="EH47" s="111">
        <v>241</v>
      </c>
      <c r="EI47" s="111">
        <v>235</v>
      </c>
      <c r="EJ47" s="111">
        <v>6</v>
      </c>
      <c r="EK47" s="111">
        <v>338</v>
      </c>
      <c r="EL47" s="111">
        <v>333</v>
      </c>
      <c r="EM47" s="111">
        <v>5</v>
      </c>
      <c r="EN47" s="111">
        <v>379</v>
      </c>
      <c r="EO47" s="111">
        <v>0</v>
      </c>
      <c r="EP47" s="111">
        <v>0</v>
      </c>
      <c r="EQ47" s="111">
        <v>379</v>
      </c>
      <c r="ER47" s="111">
        <v>0</v>
      </c>
      <c r="ES47" s="111">
        <v>0</v>
      </c>
      <c r="ET47" s="111">
        <v>0</v>
      </c>
      <c r="EU47" s="111">
        <v>0</v>
      </c>
      <c r="EV47" s="111">
        <v>0</v>
      </c>
      <c r="EW47" s="111">
        <v>0</v>
      </c>
      <c r="EX47" s="111">
        <v>0</v>
      </c>
      <c r="EY47" s="111">
        <v>0</v>
      </c>
      <c r="EZ47" s="111">
        <v>0</v>
      </c>
      <c r="FA47" s="111">
        <v>0</v>
      </c>
      <c r="FB47" s="111">
        <v>0</v>
      </c>
    </row>
    <row r="48" spans="1:158" ht="19.5" customHeight="1">
      <c r="A48" s="107">
        <v>45</v>
      </c>
      <c r="B48" s="107" t="s">
        <v>350</v>
      </c>
      <c r="C48" s="107" t="s">
        <v>398</v>
      </c>
      <c r="D48" s="110">
        <v>12994320.75</v>
      </c>
      <c r="E48" s="110">
        <v>10654290</v>
      </c>
      <c r="F48" s="110">
        <v>2340030.75</v>
      </c>
      <c r="G48" s="110">
        <v>23426</v>
      </c>
      <c r="H48" s="110">
        <v>136</v>
      </c>
      <c r="I48" s="110">
        <v>595534</v>
      </c>
      <c r="J48" s="110">
        <v>7780</v>
      </c>
      <c r="K48" s="110">
        <v>0</v>
      </c>
      <c r="L48" s="110">
        <v>218554.1</v>
      </c>
      <c r="M48" s="110">
        <v>31158.25</v>
      </c>
      <c r="N48" s="110">
        <v>1546.79</v>
      </c>
      <c r="O48" s="110">
        <v>21193703</v>
      </c>
      <c r="P48" s="110">
        <v>18990810.059999999</v>
      </c>
      <c r="Q48" s="110">
        <v>18156627.199999999</v>
      </c>
      <c r="R48" s="110">
        <v>834182.86</v>
      </c>
      <c r="S48" s="110">
        <v>2202892.94</v>
      </c>
      <c r="T48" s="110">
        <v>1619061.93</v>
      </c>
      <c r="U48" s="110">
        <v>583831.01</v>
      </c>
      <c r="V48" s="110">
        <v>16897696.600000001</v>
      </c>
      <c r="W48" s="110">
        <v>15320697.41</v>
      </c>
      <c r="X48" s="110">
        <v>14559725.66</v>
      </c>
      <c r="Y48" s="110">
        <v>760971.75</v>
      </c>
      <c r="Z48" s="110">
        <v>1576999.19</v>
      </c>
      <c r="AA48" s="110">
        <v>1063936.47</v>
      </c>
      <c r="AB48" s="110">
        <v>513062.72</v>
      </c>
      <c r="AC48" s="110">
        <v>5378018.3499999996</v>
      </c>
      <c r="AD48" s="110">
        <v>4931123.8499999996</v>
      </c>
      <c r="AE48" s="110">
        <v>4736930.59</v>
      </c>
      <c r="AF48" s="110">
        <v>194193.26</v>
      </c>
      <c r="AG48" s="110">
        <v>446894.5</v>
      </c>
      <c r="AH48" s="110">
        <v>312443.32</v>
      </c>
      <c r="AI48" s="110">
        <v>134451.18</v>
      </c>
      <c r="AJ48" s="110">
        <v>865388.25</v>
      </c>
      <c r="AK48" s="110">
        <v>771472.56</v>
      </c>
      <c r="AL48" s="110">
        <v>713463.07</v>
      </c>
      <c r="AM48" s="110">
        <v>58009.49</v>
      </c>
      <c r="AN48" s="110">
        <v>93915.69</v>
      </c>
      <c r="AO48" s="110">
        <v>63889.15</v>
      </c>
      <c r="AP48" s="110">
        <v>30026.54</v>
      </c>
      <c r="AQ48" s="110">
        <v>9188098</v>
      </c>
      <c r="AR48" s="110">
        <v>8292578</v>
      </c>
      <c r="AS48" s="110">
        <v>7850459</v>
      </c>
      <c r="AT48" s="110">
        <v>442119</v>
      </c>
      <c r="AU48" s="110">
        <v>895520</v>
      </c>
      <c r="AV48" s="110">
        <v>591060</v>
      </c>
      <c r="AW48" s="110">
        <v>304460</v>
      </c>
      <c r="AX48" s="110">
        <v>1466192</v>
      </c>
      <c r="AY48" s="110">
        <v>1325523</v>
      </c>
      <c r="AZ48" s="110">
        <v>1258873</v>
      </c>
      <c r="BA48" s="110">
        <v>66650</v>
      </c>
      <c r="BB48" s="110">
        <v>140669</v>
      </c>
      <c r="BC48" s="110">
        <v>96544</v>
      </c>
      <c r="BD48" s="110">
        <v>44125</v>
      </c>
      <c r="BE48" s="110">
        <v>4296006.4000000004</v>
      </c>
      <c r="BF48" s="110">
        <v>3670112.65</v>
      </c>
      <c r="BG48" s="110">
        <v>3596901.54</v>
      </c>
      <c r="BH48" s="110">
        <v>73211.11</v>
      </c>
      <c r="BI48" s="110">
        <v>625893.75</v>
      </c>
      <c r="BJ48" s="110">
        <v>555125.46</v>
      </c>
      <c r="BK48" s="110">
        <v>70768.289999999994</v>
      </c>
      <c r="BL48" s="110">
        <v>1599408.55</v>
      </c>
      <c r="BM48" s="110">
        <v>1385927.06</v>
      </c>
      <c r="BN48" s="110">
        <v>1364255.4</v>
      </c>
      <c r="BO48" s="110">
        <v>21671.66</v>
      </c>
      <c r="BP48" s="110">
        <v>213481.49</v>
      </c>
      <c r="BQ48" s="110">
        <v>181363.41</v>
      </c>
      <c r="BR48" s="110">
        <v>32118.080000000002</v>
      </c>
      <c r="BS48" s="110">
        <v>356567.1</v>
      </c>
      <c r="BT48" s="110">
        <v>294276.59000000003</v>
      </c>
      <c r="BU48" s="110">
        <v>284024.64</v>
      </c>
      <c r="BV48" s="110">
        <v>10251.950000000001</v>
      </c>
      <c r="BW48" s="110">
        <v>62290.51</v>
      </c>
      <c r="BX48" s="110">
        <v>53243.8</v>
      </c>
      <c r="BY48" s="110">
        <v>9046.7099999999991</v>
      </c>
      <c r="BZ48" s="110">
        <v>1178541.6000000001</v>
      </c>
      <c r="CA48" s="110">
        <v>1006488.6</v>
      </c>
      <c r="CB48" s="110">
        <v>984108.6</v>
      </c>
      <c r="CC48" s="110">
        <v>22380</v>
      </c>
      <c r="CD48" s="110">
        <v>172053</v>
      </c>
      <c r="CE48" s="110">
        <v>156701</v>
      </c>
      <c r="CF48" s="110">
        <v>15352</v>
      </c>
      <c r="CG48" s="110">
        <v>1161489.1499999999</v>
      </c>
      <c r="CH48" s="110">
        <v>983420.4</v>
      </c>
      <c r="CI48" s="110">
        <v>964512.9</v>
      </c>
      <c r="CJ48" s="110">
        <v>18907.5</v>
      </c>
      <c r="CK48" s="110">
        <v>178068.75</v>
      </c>
      <c r="CL48" s="110">
        <v>163817.25</v>
      </c>
      <c r="CM48" s="110">
        <v>14251.5</v>
      </c>
      <c r="CN48" s="110">
        <v>16853683.890000001</v>
      </c>
      <c r="CO48" s="110">
        <v>42256.71</v>
      </c>
      <c r="CP48" s="110">
        <v>18</v>
      </c>
      <c r="CQ48" s="110">
        <v>1528</v>
      </c>
      <c r="CR48" s="110">
        <v>0</v>
      </c>
      <c r="CS48" s="110">
        <v>0</v>
      </c>
      <c r="CT48" s="110">
        <v>7979</v>
      </c>
      <c r="CU48" s="110">
        <v>0</v>
      </c>
      <c r="CV48" s="111">
        <v>23426</v>
      </c>
      <c r="CW48" s="111">
        <v>20933</v>
      </c>
      <c r="CX48" s="111">
        <v>19769</v>
      </c>
      <c r="CY48" s="111">
        <v>1164</v>
      </c>
      <c r="CZ48" s="111">
        <v>2493</v>
      </c>
      <c r="DA48" s="111">
        <v>1609</v>
      </c>
      <c r="DB48" s="111">
        <v>884</v>
      </c>
      <c r="DC48" s="111">
        <v>33</v>
      </c>
      <c r="DD48" s="111">
        <v>0</v>
      </c>
      <c r="DE48" s="111">
        <v>28</v>
      </c>
      <c r="DF48" s="111">
        <v>28</v>
      </c>
      <c r="DG48" s="111">
        <v>0</v>
      </c>
      <c r="DH48" s="111">
        <v>5</v>
      </c>
      <c r="DI48" s="111">
        <v>1</v>
      </c>
      <c r="DJ48" s="111">
        <v>4</v>
      </c>
      <c r="DK48" s="111">
        <v>0</v>
      </c>
      <c r="DL48" s="111">
        <v>0</v>
      </c>
      <c r="DM48" s="111">
        <v>0</v>
      </c>
      <c r="DN48" s="111">
        <v>0</v>
      </c>
      <c r="DO48" s="111">
        <v>0</v>
      </c>
      <c r="DP48" s="111">
        <v>0</v>
      </c>
      <c r="DQ48" s="111">
        <v>0</v>
      </c>
      <c r="DR48" s="111">
        <v>0</v>
      </c>
      <c r="DS48" s="111">
        <v>0</v>
      </c>
      <c r="DT48" s="111">
        <v>0</v>
      </c>
      <c r="DU48" s="111">
        <v>0</v>
      </c>
      <c r="DV48" s="111">
        <v>0</v>
      </c>
      <c r="DW48" s="111">
        <v>0</v>
      </c>
      <c r="DX48" s="111">
        <v>0</v>
      </c>
      <c r="DY48" s="111">
        <v>0</v>
      </c>
      <c r="DZ48" s="111">
        <v>23393</v>
      </c>
      <c r="EA48" s="111">
        <v>20905</v>
      </c>
      <c r="EB48" s="111">
        <v>19741</v>
      </c>
      <c r="EC48" s="111">
        <v>1164</v>
      </c>
      <c r="ED48" s="111">
        <v>2488</v>
      </c>
      <c r="EE48" s="111">
        <v>1608</v>
      </c>
      <c r="EF48" s="111">
        <v>880</v>
      </c>
      <c r="EG48" s="111">
        <v>136</v>
      </c>
      <c r="EH48" s="111">
        <v>120</v>
      </c>
      <c r="EI48" s="111">
        <v>117</v>
      </c>
      <c r="EJ48" s="111">
        <v>3</v>
      </c>
      <c r="EK48" s="111">
        <v>16</v>
      </c>
      <c r="EL48" s="111">
        <v>16</v>
      </c>
      <c r="EM48" s="111">
        <v>0</v>
      </c>
      <c r="EN48" s="111">
        <v>52</v>
      </c>
      <c r="EO48" s="111">
        <v>0</v>
      </c>
      <c r="EP48" s="111">
        <v>0</v>
      </c>
      <c r="EQ48" s="111">
        <v>52</v>
      </c>
      <c r="ER48" s="111">
        <v>0</v>
      </c>
      <c r="ES48" s="111">
        <v>0</v>
      </c>
      <c r="ET48" s="111">
        <v>0</v>
      </c>
      <c r="EU48" s="111">
        <v>0</v>
      </c>
      <c r="EV48" s="111">
        <v>0</v>
      </c>
      <c r="EW48" s="111">
        <v>0</v>
      </c>
      <c r="EX48" s="111">
        <v>0</v>
      </c>
      <c r="EY48" s="111">
        <v>0</v>
      </c>
      <c r="EZ48" s="111">
        <v>0</v>
      </c>
      <c r="FA48" s="111">
        <v>0</v>
      </c>
      <c r="FB48" s="111">
        <v>0</v>
      </c>
    </row>
    <row r="49" spans="1:158" ht="19.5" customHeight="1">
      <c r="A49" s="107">
        <v>46</v>
      </c>
      <c r="B49" s="107" t="s">
        <v>350</v>
      </c>
      <c r="C49" s="107" t="s">
        <v>399</v>
      </c>
      <c r="D49" s="110">
        <v>1549107.5</v>
      </c>
      <c r="E49" s="110">
        <v>1387831</v>
      </c>
      <c r="F49" s="110">
        <v>161276.5</v>
      </c>
      <c r="G49" s="110">
        <v>1678</v>
      </c>
      <c r="H49" s="110">
        <v>13</v>
      </c>
      <c r="I49" s="110">
        <v>1175566</v>
      </c>
      <c r="J49" s="110">
        <v>0</v>
      </c>
      <c r="K49" s="110">
        <v>0</v>
      </c>
      <c r="L49" s="110">
        <v>127161</v>
      </c>
      <c r="M49" s="110">
        <v>0</v>
      </c>
      <c r="N49" s="110">
        <v>76.3</v>
      </c>
      <c r="O49" s="110">
        <v>1559601.3</v>
      </c>
      <c r="P49" s="110">
        <v>1322002.6599999999</v>
      </c>
      <c r="Q49" s="110">
        <v>1241187.07</v>
      </c>
      <c r="R49" s="110">
        <v>80815.59</v>
      </c>
      <c r="S49" s="110">
        <v>237598.64</v>
      </c>
      <c r="T49" s="110">
        <v>186698.12</v>
      </c>
      <c r="U49" s="110">
        <v>50900.52</v>
      </c>
      <c r="V49" s="110">
        <v>1395712.87</v>
      </c>
      <c r="W49" s="110">
        <v>1292419.31</v>
      </c>
      <c r="X49" s="110">
        <v>1211603.72</v>
      </c>
      <c r="Y49" s="110">
        <v>80815.59</v>
      </c>
      <c r="Z49" s="110">
        <v>103293.56</v>
      </c>
      <c r="AA49" s="110">
        <v>52393.04</v>
      </c>
      <c r="AB49" s="110">
        <v>50900.52</v>
      </c>
      <c r="AC49" s="110">
        <v>3259.87</v>
      </c>
      <c r="AD49" s="110">
        <v>2870.31</v>
      </c>
      <c r="AE49" s="110">
        <v>2700.72</v>
      </c>
      <c r="AF49" s="110">
        <v>169.59</v>
      </c>
      <c r="AG49" s="110">
        <v>389.56</v>
      </c>
      <c r="AH49" s="110">
        <v>143.04</v>
      </c>
      <c r="AI49" s="110">
        <v>246.52</v>
      </c>
      <c r="AJ49" s="110">
        <v>4622</v>
      </c>
      <c r="AK49" s="110">
        <v>3995</v>
      </c>
      <c r="AL49" s="110">
        <v>3400</v>
      </c>
      <c r="AM49" s="110">
        <v>595</v>
      </c>
      <c r="AN49" s="110">
        <v>627</v>
      </c>
      <c r="AO49" s="110">
        <v>152</v>
      </c>
      <c r="AP49" s="110">
        <v>475</v>
      </c>
      <c r="AQ49" s="110">
        <v>148863</v>
      </c>
      <c r="AR49" s="110">
        <v>133661</v>
      </c>
      <c r="AS49" s="110">
        <v>109478</v>
      </c>
      <c r="AT49" s="110">
        <v>24183</v>
      </c>
      <c r="AU49" s="110">
        <v>15202</v>
      </c>
      <c r="AV49" s="110">
        <v>6690</v>
      </c>
      <c r="AW49" s="110">
        <v>8512</v>
      </c>
      <c r="AX49" s="110">
        <v>1238968</v>
      </c>
      <c r="AY49" s="110">
        <v>1151893</v>
      </c>
      <c r="AZ49" s="110">
        <v>1096025</v>
      </c>
      <c r="BA49" s="110">
        <v>55868</v>
      </c>
      <c r="BB49" s="110">
        <v>87075</v>
      </c>
      <c r="BC49" s="110">
        <v>45408</v>
      </c>
      <c r="BD49" s="110">
        <v>41667</v>
      </c>
      <c r="BE49" s="110">
        <v>163888.43</v>
      </c>
      <c r="BF49" s="110">
        <v>29583.35</v>
      </c>
      <c r="BG49" s="110">
        <v>29583.35</v>
      </c>
      <c r="BH49" s="110">
        <v>0</v>
      </c>
      <c r="BI49" s="110">
        <v>134305.07999999999</v>
      </c>
      <c r="BJ49" s="110">
        <v>134305.07999999999</v>
      </c>
      <c r="BK49" s="110">
        <v>0</v>
      </c>
      <c r="BL49" s="110">
        <v>2541.11</v>
      </c>
      <c r="BM49" s="110">
        <v>192.35</v>
      </c>
      <c r="BN49" s="110">
        <v>192.35</v>
      </c>
      <c r="BO49" s="110">
        <v>0</v>
      </c>
      <c r="BP49" s="110">
        <v>2348.7600000000002</v>
      </c>
      <c r="BQ49" s="110">
        <v>2348.7600000000002</v>
      </c>
      <c r="BR49" s="110">
        <v>0</v>
      </c>
      <c r="BS49" s="110">
        <v>70.819999999999993</v>
      </c>
      <c r="BT49" s="110">
        <v>0</v>
      </c>
      <c r="BU49" s="110">
        <v>0</v>
      </c>
      <c r="BV49" s="110">
        <v>0</v>
      </c>
      <c r="BW49" s="110">
        <v>70.819999999999993</v>
      </c>
      <c r="BX49" s="110">
        <v>70.819999999999993</v>
      </c>
      <c r="BY49" s="110">
        <v>0</v>
      </c>
      <c r="BZ49" s="110">
        <v>8547</v>
      </c>
      <c r="CA49" s="110">
        <v>1261</v>
      </c>
      <c r="CB49" s="110">
        <v>1261</v>
      </c>
      <c r="CC49" s="110">
        <v>0</v>
      </c>
      <c r="CD49" s="110">
        <v>7286</v>
      </c>
      <c r="CE49" s="110">
        <v>7286</v>
      </c>
      <c r="CF49" s="110">
        <v>0</v>
      </c>
      <c r="CG49" s="110">
        <v>152729.5</v>
      </c>
      <c r="CH49" s="110">
        <v>28130</v>
      </c>
      <c r="CI49" s="110">
        <v>28130</v>
      </c>
      <c r="CJ49" s="110">
        <v>0</v>
      </c>
      <c r="CK49" s="110">
        <v>124599.5</v>
      </c>
      <c r="CL49" s="110">
        <v>124599.5</v>
      </c>
      <c r="CM49" s="110">
        <v>0</v>
      </c>
      <c r="CN49" s="110">
        <v>-50</v>
      </c>
      <c r="CO49" s="110">
        <v>766857.07</v>
      </c>
      <c r="CP49" s="110">
        <v>125899.28</v>
      </c>
      <c r="CQ49" s="110">
        <v>443067.52</v>
      </c>
      <c r="CR49" s="110">
        <v>40690</v>
      </c>
      <c r="CS49" s="110">
        <v>19199</v>
      </c>
      <c r="CT49" s="110">
        <v>0</v>
      </c>
      <c r="CU49" s="110">
        <v>0</v>
      </c>
      <c r="CV49" s="111">
        <v>1678</v>
      </c>
      <c r="CW49" s="111">
        <v>1495</v>
      </c>
      <c r="CX49" s="111">
        <v>1238</v>
      </c>
      <c r="CY49" s="111">
        <v>257</v>
      </c>
      <c r="CZ49" s="111">
        <v>183</v>
      </c>
      <c r="DA49" s="111">
        <v>82</v>
      </c>
      <c r="DB49" s="111">
        <v>101</v>
      </c>
      <c r="DC49" s="111">
        <v>1324</v>
      </c>
      <c r="DD49" s="111">
        <v>0</v>
      </c>
      <c r="DE49" s="111">
        <v>1185</v>
      </c>
      <c r="DF49" s="111">
        <v>1111</v>
      </c>
      <c r="DG49" s="111">
        <v>74</v>
      </c>
      <c r="DH49" s="111">
        <v>139</v>
      </c>
      <c r="DI49" s="111">
        <v>70</v>
      </c>
      <c r="DJ49" s="111">
        <v>69</v>
      </c>
      <c r="DK49" s="111">
        <v>317</v>
      </c>
      <c r="DL49" s="111">
        <v>286</v>
      </c>
      <c r="DM49" s="111">
        <v>110</v>
      </c>
      <c r="DN49" s="111">
        <v>176</v>
      </c>
      <c r="DO49" s="111">
        <v>31</v>
      </c>
      <c r="DP49" s="111">
        <v>12</v>
      </c>
      <c r="DQ49" s="111">
        <v>19</v>
      </c>
      <c r="DR49" s="111">
        <v>37</v>
      </c>
      <c r="DS49" s="111">
        <v>0</v>
      </c>
      <c r="DT49" s="111">
        <v>24</v>
      </c>
      <c r="DU49" s="111">
        <v>17</v>
      </c>
      <c r="DV49" s="111">
        <v>7</v>
      </c>
      <c r="DW49" s="111">
        <v>13</v>
      </c>
      <c r="DX49" s="111">
        <v>0</v>
      </c>
      <c r="DY49" s="111">
        <v>13</v>
      </c>
      <c r="DZ49" s="111">
        <v>0</v>
      </c>
      <c r="EA49" s="111">
        <v>0</v>
      </c>
      <c r="EB49" s="111">
        <v>0</v>
      </c>
      <c r="EC49" s="111">
        <v>0</v>
      </c>
      <c r="ED49" s="111">
        <v>0</v>
      </c>
      <c r="EE49" s="111">
        <v>0</v>
      </c>
      <c r="EF49" s="111">
        <v>0</v>
      </c>
      <c r="EG49" s="111">
        <v>13</v>
      </c>
      <c r="EH49" s="111">
        <v>2</v>
      </c>
      <c r="EI49" s="111">
        <v>2</v>
      </c>
      <c r="EJ49" s="111">
        <v>0</v>
      </c>
      <c r="EK49" s="111">
        <v>11</v>
      </c>
      <c r="EL49" s="111">
        <v>11</v>
      </c>
      <c r="EM49" s="111">
        <v>0</v>
      </c>
      <c r="EN49" s="111">
        <v>66</v>
      </c>
      <c r="EO49" s="111">
        <v>0</v>
      </c>
      <c r="EP49" s="111">
        <v>0</v>
      </c>
      <c r="EQ49" s="111">
        <v>66</v>
      </c>
      <c r="ER49" s="111">
        <v>0</v>
      </c>
      <c r="ES49" s="111">
        <v>0</v>
      </c>
      <c r="ET49" s="111">
        <v>0</v>
      </c>
      <c r="EU49" s="111">
        <v>0</v>
      </c>
      <c r="EV49" s="111">
        <v>0</v>
      </c>
      <c r="EW49" s="111">
        <v>0</v>
      </c>
      <c r="EX49" s="111">
        <v>0</v>
      </c>
      <c r="EY49" s="111">
        <v>0</v>
      </c>
      <c r="EZ49" s="111">
        <v>0</v>
      </c>
      <c r="FA49" s="111">
        <v>0</v>
      </c>
      <c r="FB49" s="111">
        <v>0</v>
      </c>
    </row>
    <row r="50" spans="1:158" ht="19.5" customHeight="1">
      <c r="A50" s="107">
        <v>47</v>
      </c>
      <c r="B50" s="107" t="s">
        <v>350</v>
      </c>
      <c r="C50" s="107" t="s">
        <v>400</v>
      </c>
      <c r="D50" s="110">
        <v>4229067.5</v>
      </c>
      <c r="E50" s="110">
        <v>3004802.5</v>
      </c>
      <c r="F50" s="110">
        <v>1224265</v>
      </c>
      <c r="G50" s="110">
        <v>9269</v>
      </c>
      <c r="H50" s="110">
        <v>132</v>
      </c>
      <c r="I50" s="110">
        <v>2138000</v>
      </c>
      <c r="J50" s="110">
        <v>0</v>
      </c>
      <c r="K50" s="110">
        <v>2389904.2599999998</v>
      </c>
      <c r="L50" s="110">
        <v>358380.5</v>
      </c>
      <c r="M50" s="110">
        <v>41400</v>
      </c>
      <c r="N50" s="110">
        <v>2865.07</v>
      </c>
      <c r="O50" s="110">
        <v>9145938.8300000001</v>
      </c>
      <c r="P50" s="110">
        <v>8046985.2599999998</v>
      </c>
      <c r="Q50" s="110">
        <v>7869713.7000000002</v>
      </c>
      <c r="R50" s="110">
        <v>177271.56</v>
      </c>
      <c r="S50" s="110">
        <v>1098953.57</v>
      </c>
      <c r="T50" s="110">
        <v>727896.69</v>
      </c>
      <c r="U50" s="110">
        <v>371056.88</v>
      </c>
      <c r="V50" s="110">
        <v>7626002.3700000001</v>
      </c>
      <c r="W50" s="110">
        <v>6728465.9400000004</v>
      </c>
      <c r="X50" s="110">
        <v>6551194.3799999999</v>
      </c>
      <c r="Y50" s="110">
        <v>177271.56</v>
      </c>
      <c r="Z50" s="110">
        <v>897536.43</v>
      </c>
      <c r="AA50" s="110">
        <v>526479.55000000005</v>
      </c>
      <c r="AB50" s="110">
        <v>371056.88</v>
      </c>
      <c r="AC50" s="110">
        <v>4539386.13</v>
      </c>
      <c r="AD50" s="110">
        <v>4033855.7</v>
      </c>
      <c r="AE50" s="110">
        <v>3941270.64</v>
      </c>
      <c r="AF50" s="110">
        <v>92585.06</v>
      </c>
      <c r="AG50" s="110">
        <v>505530.43</v>
      </c>
      <c r="AH50" s="110">
        <v>289116.05</v>
      </c>
      <c r="AI50" s="110">
        <v>216414.38</v>
      </c>
      <c r="AJ50" s="110">
        <v>81813.740000000005</v>
      </c>
      <c r="AK50" s="110">
        <v>72971.740000000005</v>
      </c>
      <c r="AL50" s="110">
        <v>72469.740000000005</v>
      </c>
      <c r="AM50" s="110">
        <v>502</v>
      </c>
      <c r="AN50" s="110">
        <v>8842</v>
      </c>
      <c r="AO50" s="110">
        <v>8680</v>
      </c>
      <c r="AP50" s="110">
        <v>162</v>
      </c>
      <c r="AQ50" s="110">
        <v>319435</v>
      </c>
      <c r="AR50" s="110">
        <v>279733</v>
      </c>
      <c r="AS50" s="110">
        <v>273399</v>
      </c>
      <c r="AT50" s="110">
        <v>6334</v>
      </c>
      <c r="AU50" s="110">
        <v>39702</v>
      </c>
      <c r="AV50" s="110">
        <v>26065</v>
      </c>
      <c r="AW50" s="110">
        <v>13637</v>
      </c>
      <c r="AX50" s="110">
        <v>2685367.5</v>
      </c>
      <c r="AY50" s="110">
        <v>2341905.5</v>
      </c>
      <c r="AZ50" s="110">
        <v>2264055</v>
      </c>
      <c r="BA50" s="110">
        <v>77850.5</v>
      </c>
      <c r="BB50" s="110">
        <v>343462</v>
      </c>
      <c r="BC50" s="110">
        <v>202618.5</v>
      </c>
      <c r="BD50" s="110">
        <v>140843.5</v>
      </c>
      <c r="BE50" s="110">
        <v>1519936.46</v>
      </c>
      <c r="BF50" s="110">
        <v>1318519.32</v>
      </c>
      <c r="BG50" s="110">
        <v>1318519.32</v>
      </c>
      <c r="BH50" s="110">
        <v>0</v>
      </c>
      <c r="BI50" s="110">
        <v>201417.14</v>
      </c>
      <c r="BJ50" s="110">
        <v>201417.14</v>
      </c>
      <c r="BK50" s="110">
        <v>0</v>
      </c>
      <c r="BL50" s="110">
        <v>203908.79</v>
      </c>
      <c r="BM50" s="110">
        <v>178121.54</v>
      </c>
      <c r="BN50" s="110">
        <v>178121.54</v>
      </c>
      <c r="BO50" s="110">
        <v>0</v>
      </c>
      <c r="BP50" s="110">
        <v>25787.25</v>
      </c>
      <c r="BQ50" s="110">
        <v>25787.25</v>
      </c>
      <c r="BR50" s="110">
        <v>0</v>
      </c>
      <c r="BS50" s="110">
        <v>91762.67</v>
      </c>
      <c r="BT50" s="110">
        <v>75643.78</v>
      </c>
      <c r="BU50" s="110">
        <v>75643.78</v>
      </c>
      <c r="BV50" s="110">
        <v>0</v>
      </c>
      <c r="BW50" s="110">
        <v>16118.89</v>
      </c>
      <c r="BX50" s="110">
        <v>16118.89</v>
      </c>
      <c r="BY50" s="110">
        <v>0</v>
      </c>
      <c r="BZ50" s="110">
        <v>691800</v>
      </c>
      <c r="CA50" s="110">
        <v>599451</v>
      </c>
      <c r="CB50" s="110">
        <v>599451</v>
      </c>
      <c r="CC50" s="110">
        <v>0</v>
      </c>
      <c r="CD50" s="110">
        <v>92349</v>
      </c>
      <c r="CE50" s="110">
        <v>92349</v>
      </c>
      <c r="CF50" s="110">
        <v>0</v>
      </c>
      <c r="CG50" s="110">
        <v>532465</v>
      </c>
      <c r="CH50" s="110">
        <v>465303</v>
      </c>
      <c r="CI50" s="110">
        <v>465303</v>
      </c>
      <c r="CJ50" s="110">
        <v>0</v>
      </c>
      <c r="CK50" s="110">
        <v>67162</v>
      </c>
      <c r="CL50" s="110">
        <v>67162</v>
      </c>
      <c r="CM50" s="110">
        <v>0</v>
      </c>
      <c r="CN50" s="110">
        <v>0</v>
      </c>
      <c r="CO50" s="110">
        <v>2776133.57</v>
      </c>
      <c r="CP50" s="110">
        <v>3680344.41</v>
      </c>
      <c r="CQ50" s="110">
        <v>208682.87</v>
      </c>
      <c r="CR50" s="110">
        <v>960841.52</v>
      </c>
      <c r="CS50" s="110">
        <v>0</v>
      </c>
      <c r="CT50" s="110">
        <v>0</v>
      </c>
      <c r="CU50" s="110">
        <v>0</v>
      </c>
      <c r="CV50" s="111">
        <v>9269</v>
      </c>
      <c r="CW50" s="111">
        <v>8275</v>
      </c>
      <c r="CX50" s="111">
        <v>8004</v>
      </c>
      <c r="CY50" s="111">
        <v>271</v>
      </c>
      <c r="CZ50" s="111">
        <v>994</v>
      </c>
      <c r="DA50" s="111">
        <v>586</v>
      </c>
      <c r="DB50" s="111">
        <v>408</v>
      </c>
      <c r="DC50" s="111">
        <v>4864</v>
      </c>
      <c r="DD50" s="111">
        <v>15</v>
      </c>
      <c r="DE50" s="111">
        <v>4459</v>
      </c>
      <c r="DF50" s="111">
        <v>4341</v>
      </c>
      <c r="DG50" s="111">
        <v>118</v>
      </c>
      <c r="DH50" s="111">
        <v>405</v>
      </c>
      <c r="DI50" s="111">
        <v>229</v>
      </c>
      <c r="DJ50" s="111">
        <v>176</v>
      </c>
      <c r="DK50" s="111">
        <v>3729</v>
      </c>
      <c r="DL50" s="111">
        <v>3297</v>
      </c>
      <c r="DM50" s="111">
        <v>3187</v>
      </c>
      <c r="DN50" s="111">
        <v>110</v>
      </c>
      <c r="DO50" s="111">
        <v>432</v>
      </c>
      <c r="DP50" s="111">
        <v>278</v>
      </c>
      <c r="DQ50" s="111">
        <v>154</v>
      </c>
      <c r="DR50" s="111">
        <v>661</v>
      </c>
      <c r="DS50" s="111">
        <v>0</v>
      </c>
      <c r="DT50" s="111">
        <v>508</v>
      </c>
      <c r="DU50" s="111">
        <v>472</v>
      </c>
      <c r="DV50" s="111">
        <v>36</v>
      </c>
      <c r="DW50" s="111">
        <v>153</v>
      </c>
      <c r="DX50" s="111">
        <v>79</v>
      </c>
      <c r="DY50" s="111">
        <v>74</v>
      </c>
      <c r="DZ50" s="111">
        <v>0</v>
      </c>
      <c r="EA50" s="111">
        <v>0</v>
      </c>
      <c r="EB50" s="111">
        <v>0</v>
      </c>
      <c r="EC50" s="111">
        <v>0</v>
      </c>
      <c r="ED50" s="111">
        <v>0</v>
      </c>
      <c r="EE50" s="111">
        <v>0</v>
      </c>
      <c r="EF50" s="111">
        <v>0</v>
      </c>
      <c r="EG50" s="111">
        <v>132</v>
      </c>
      <c r="EH50" s="111">
        <v>113</v>
      </c>
      <c r="EI50" s="111">
        <v>113</v>
      </c>
      <c r="EJ50" s="111">
        <v>0</v>
      </c>
      <c r="EK50" s="111">
        <v>19</v>
      </c>
      <c r="EL50" s="111">
        <v>19</v>
      </c>
      <c r="EM50" s="111">
        <v>0</v>
      </c>
      <c r="EN50" s="111">
        <v>102</v>
      </c>
      <c r="EO50" s="111">
        <v>0</v>
      </c>
      <c r="EP50" s="111">
        <v>0</v>
      </c>
      <c r="EQ50" s="111">
        <v>102</v>
      </c>
      <c r="ER50" s="111">
        <v>0</v>
      </c>
      <c r="ES50" s="111">
        <v>0</v>
      </c>
      <c r="ET50" s="111">
        <v>0</v>
      </c>
      <c r="EU50" s="111">
        <v>0</v>
      </c>
      <c r="EV50" s="111">
        <v>0</v>
      </c>
      <c r="EW50" s="111">
        <v>0</v>
      </c>
      <c r="EX50" s="111">
        <v>0</v>
      </c>
      <c r="EY50" s="111">
        <v>0</v>
      </c>
      <c r="EZ50" s="111">
        <v>0</v>
      </c>
      <c r="FA50" s="111">
        <v>0</v>
      </c>
      <c r="FB50" s="111">
        <v>18</v>
      </c>
    </row>
    <row r="51" spans="1:158" ht="19.5" customHeight="1">
      <c r="A51" s="107">
        <v>48</v>
      </c>
      <c r="B51" s="107" t="s">
        <v>401</v>
      </c>
      <c r="C51" s="107" t="s">
        <v>402</v>
      </c>
      <c r="D51" s="110">
        <v>305575</v>
      </c>
      <c r="E51" s="110">
        <v>192544</v>
      </c>
      <c r="F51" s="110">
        <v>113031</v>
      </c>
      <c r="G51" s="110">
        <v>420</v>
      </c>
      <c r="H51" s="110">
        <v>24</v>
      </c>
      <c r="I51" s="110">
        <v>680</v>
      </c>
      <c r="J51" s="110">
        <v>0</v>
      </c>
      <c r="K51" s="110">
        <v>0</v>
      </c>
      <c r="L51" s="110">
        <v>8760</v>
      </c>
      <c r="M51" s="110">
        <v>0</v>
      </c>
      <c r="N51" s="110">
        <v>0</v>
      </c>
      <c r="O51" s="110">
        <v>472549.45</v>
      </c>
      <c r="P51" s="110">
        <v>231262.59</v>
      </c>
      <c r="Q51" s="110">
        <v>204628.57</v>
      </c>
      <c r="R51" s="110">
        <v>26634.02</v>
      </c>
      <c r="S51" s="110">
        <v>241286.86</v>
      </c>
      <c r="T51" s="110">
        <v>152172.60999999999</v>
      </c>
      <c r="U51" s="110">
        <v>89114.25</v>
      </c>
      <c r="V51" s="110">
        <v>245966.11</v>
      </c>
      <c r="W51" s="110">
        <v>117445.32</v>
      </c>
      <c r="X51" s="110">
        <v>90811.3</v>
      </c>
      <c r="Y51" s="110">
        <v>26634.02</v>
      </c>
      <c r="Z51" s="110">
        <v>128520.79</v>
      </c>
      <c r="AA51" s="110">
        <v>39406.54</v>
      </c>
      <c r="AB51" s="110">
        <v>89114.25</v>
      </c>
      <c r="AC51" s="110">
        <v>53291.11</v>
      </c>
      <c r="AD51" s="110">
        <v>32202.32</v>
      </c>
      <c r="AE51" s="110">
        <v>28546.3</v>
      </c>
      <c r="AF51" s="110">
        <v>3656.02</v>
      </c>
      <c r="AG51" s="110">
        <v>21088.79</v>
      </c>
      <c r="AH51" s="110">
        <v>5006.54</v>
      </c>
      <c r="AI51" s="110">
        <v>16082.25</v>
      </c>
      <c r="AJ51" s="110">
        <v>131</v>
      </c>
      <c r="AK51" s="110">
        <v>45</v>
      </c>
      <c r="AL51" s="110">
        <v>45</v>
      </c>
      <c r="AM51" s="110">
        <v>0</v>
      </c>
      <c r="AN51" s="110">
        <v>86</v>
      </c>
      <c r="AO51" s="110">
        <v>43</v>
      </c>
      <c r="AP51" s="110">
        <v>43</v>
      </c>
      <c r="AQ51" s="110">
        <v>170335</v>
      </c>
      <c r="AR51" s="110">
        <v>74108</v>
      </c>
      <c r="AS51" s="110">
        <v>52548</v>
      </c>
      <c r="AT51" s="110">
        <v>21560</v>
      </c>
      <c r="AU51" s="110">
        <v>96227</v>
      </c>
      <c r="AV51" s="110">
        <v>30323</v>
      </c>
      <c r="AW51" s="110">
        <v>65904</v>
      </c>
      <c r="AX51" s="110">
        <v>22209</v>
      </c>
      <c r="AY51" s="110">
        <v>11090</v>
      </c>
      <c r="AZ51" s="110">
        <v>9672</v>
      </c>
      <c r="BA51" s="110">
        <v>1418</v>
      </c>
      <c r="BB51" s="110">
        <v>11119</v>
      </c>
      <c r="BC51" s="110">
        <v>4034</v>
      </c>
      <c r="BD51" s="110">
        <v>7085</v>
      </c>
      <c r="BE51" s="110">
        <v>226583.34</v>
      </c>
      <c r="BF51" s="110">
        <v>113817.27</v>
      </c>
      <c r="BG51" s="110">
        <v>113817.27</v>
      </c>
      <c r="BH51" s="110">
        <v>0</v>
      </c>
      <c r="BI51" s="110">
        <v>112766.07</v>
      </c>
      <c r="BJ51" s="110">
        <v>112766.07</v>
      </c>
      <c r="BK51" s="110">
        <v>0</v>
      </c>
      <c r="BL51" s="110">
        <v>113552.34</v>
      </c>
      <c r="BM51" s="110">
        <v>52042.27</v>
      </c>
      <c r="BN51" s="110">
        <v>52042.27</v>
      </c>
      <c r="BO51" s="110">
        <v>0</v>
      </c>
      <c r="BP51" s="110">
        <v>61510.07</v>
      </c>
      <c r="BQ51" s="110">
        <v>61510.07</v>
      </c>
      <c r="BR51" s="110">
        <v>0</v>
      </c>
      <c r="BS51" s="110">
        <v>0</v>
      </c>
      <c r="BT51" s="110">
        <v>0</v>
      </c>
      <c r="BU51" s="110">
        <v>0</v>
      </c>
      <c r="BV51" s="110">
        <v>0</v>
      </c>
      <c r="BW51" s="110">
        <v>0</v>
      </c>
      <c r="BX51" s="110">
        <v>0</v>
      </c>
      <c r="BY51" s="110">
        <v>0</v>
      </c>
      <c r="BZ51" s="110">
        <v>93615</v>
      </c>
      <c r="CA51" s="110">
        <v>51560</v>
      </c>
      <c r="CB51" s="110">
        <v>51560</v>
      </c>
      <c r="CC51" s="110">
        <v>0</v>
      </c>
      <c r="CD51" s="110">
        <v>42055</v>
      </c>
      <c r="CE51" s="110">
        <v>42055</v>
      </c>
      <c r="CF51" s="110">
        <v>0</v>
      </c>
      <c r="CG51" s="110">
        <v>19416</v>
      </c>
      <c r="CH51" s="110">
        <v>10215</v>
      </c>
      <c r="CI51" s="110">
        <v>10215</v>
      </c>
      <c r="CJ51" s="110">
        <v>0</v>
      </c>
      <c r="CK51" s="110">
        <v>9201</v>
      </c>
      <c r="CL51" s="110">
        <v>9201</v>
      </c>
      <c r="CM51" s="110">
        <v>0</v>
      </c>
      <c r="CN51" s="110">
        <v>0</v>
      </c>
      <c r="CO51" s="110">
        <v>71809.3</v>
      </c>
      <c r="CP51" s="110">
        <v>135887.37</v>
      </c>
      <c r="CQ51" s="110">
        <v>30062.42</v>
      </c>
      <c r="CR51" s="110">
        <v>8207.02</v>
      </c>
      <c r="CS51" s="110">
        <v>0</v>
      </c>
      <c r="CT51" s="110">
        <v>0</v>
      </c>
      <c r="CU51" s="110">
        <v>0</v>
      </c>
      <c r="CV51" s="111">
        <v>420</v>
      </c>
      <c r="CW51" s="111">
        <v>272</v>
      </c>
      <c r="CX51" s="111">
        <v>251</v>
      </c>
      <c r="CY51" s="111">
        <v>21</v>
      </c>
      <c r="CZ51" s="111">
        <v>148</v>
      </c>
      <c r="DA51" s="111">
        <v>59</v>
      </c>
      <c r="DB51" s="111">
        <v>89</v>
      </c>
      <c r="DC51" s="111">
        <v>163</v>
      </c>
      <c r="DD51" s="111">
        <v>2</v>
      </c>
      <c r="DE51" s="111">
        <v>134</v>
      </c>
      <c r="DF51" s="111">
        <v>126</v>
      </c>
      <c r="DG51" s="111">
        <v>8</v>
      </c>
      <c r="DH51" s="111">
        <v>29</v>
      </c>
      <c r="DI51" s="111">
        <v>19</v>
      </c>
      <c r="DJ51" s="111">
        <v>10</v>
      </c>
      <c r="DK51" s="111">
        <v>226</v>
      </c>
      <c r="DL51" s="111">
        <v>132</v>
      </c>
      <c r="DM51" s="111">
        <v>122</v>
      </c>
      <c r="DN51" s="111">
        <v>10</v>
      </c>
      <c r="DO51" s="111">
        <v>94</v>
      </c>
      <c r="DP51" s="111">
        <v>31</v>
      </c>
      <c r="DQ51" s="111">
        <v>63</v>
      </c>
      <c r="DR51" s="111">
        <v>29</v>
      </c>
      <c r="DS51" s="111">
        <v>0</v>
      </c>
      <c r="DT51" s="111">
        <v>5</v>
      </c>
      <c r="DU51" s="111">
        <v>2</v>
      </c>
      <c r="DV51" s="111">
        <v>3</v>
      </c>
      <c r="DW51" s="111">
        <v>24</v>
      </c>
      <c r="DX51" s="111">
        <v>9</v>
      </c>
      <c r="DY51" s="111">
        <v>15</v>
      </c>
      <c r="DZ51" s="111">
        <v>0</v>
      </c>
      <c r="EA51" s="111">
        <v>0</v>
      </c>
      <c r="EB51" s="111">
        <v>0</v>
      </c>
      <c r="EC51" s="111">
        <v>0</v>
      </c>
      <c r="ED51" s="111">
        <v>0</v>
      </c>
      <c r="EE51" s="111">
        <v>0</v>
      </c>
      <c r="EF51" s="111">
        <v>0</v>
      </c>
      <c r="EG51" s="111">
        <v>24</v>
      </c>
      <c r="EH51" s="111">
        <v>14</v>
      </c>
      <c r="EI51" s="111">
        <v>14</v>
      </c>
      <c r="EJ51" s="111">
        <v>0</v>
      </c>
      <c r="EK51" s="111">
        <v>10</v>
      </c>
      <c r="EL51" s="111">
        <v>10</v>
      </c>
      <c r="EM51" s="111">
        <v>0</v>
      </c>
      <c r="EN51" s="111">
        <v>27</v>
      </c>
      <c r="EO51" s="111">
        <v>0</v>
      </c>
      <c r="EP51" s="111">
        <v>0</v>
      </c>
      <c r="EQ51" s="111">
        <v>27</v>
      </c>
      <c r="ER51" s="111">
        <v>0</v>
      </c>
      <c r="ES51" s="111">
        <v>0</v>
      </c>
      <c r="ET51" s="111">
        <v>0</v>
      </c>
      <c r="EU51" s="111">
        <v>0</v>
      </c>
      <c r="EV51" s="111">
        <v>0</v>
      </c>
      <c r="EW51" s="111">
        <v>0</v>
      </c>
      <c r="EX51" s="111">
        <v>0</v>
      </c>
      <c r="EY51" s="111">
        <v>0</v>
      </c>
      <c r="EZ51" s="111">
        <v>0</v>
      </c>
      <c r="FA51" s="111">
        <v>0</v>
      </c>
      <c r="FB51" s="111">
        <v>24</v>
      </c>
    </row>
    <row r="52" spans="1:158" ht="19.5" customHeight="1">
      <c r="A52" s="107">
        <v>49</v>
      </c>
      <c r="B52" s="107" t="s">
        <v>401</v>
      </c>
      <c r="C52" s="107" t="s">
        <v>403</v>
      </c>
      <c r="D52" s="110">
        <v>80883</v>
      </c>
      <c r="E52" s="110">
        <v>80883</v>
      </c>
      <c r="F52" s="110">
        <v>0</v>
      </c>
      <c r="G52" s="110">
        <v>603</v>
      </c>
      <c r="H52" s="110">
        <v>0</v>
      </c>
      <c r="I52" s="110">
        <v>30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  <c r="O52" s="110">
        <v>172744.01</v>
      </c>
      <c r="P52" s="110">
        <v>156934.37</v>
      </c>
      <c r="Q52" s="110">
        <v>151518.29</v>
      </c>
      <c r="R52" s="110">
        <v>5416.08</v>
      </c>
      <c r="S52" s="110">
        <v>15809.64</v>
      </c>
      <c r="T52" s="110">
        <v>6604.3</v>
      </c>
      <c r="U52" s="110">
        <v>9205.34</v>
      </c>
      <c r="V52" s="110">
        <v>172744.01</v>
      </c>
      <c r="W52" s="110">
        <v>156934.37</v>
      </c>
      <c r="X52" s="110">
        <v>151518.29</v>
      </c>
      <c r="Y52" s="110">
        <v>5416.08</v>
      </c>
      <c r="Z52" s="110">
        <v>15809.64</v>
      </c>
      <c r="AA52" s="110">
        <v>6604.3</v>
      </c>
      <c r="AB52" s="110">
        <v>9205.34</v>
      </c>
      <c r="AC52" s="110">
        <v>91861.01</v>
      </c>
      <c r="AD52" s="110">
        <v>84438.37</v>
      </c>
      <c r="AE52" s="110">
        <v>83896.29</v>
      </c>
      <c r="AF52" s="110">
        <v>542.08000000000004</v>
      </c>
      <c r="AG52" s="110">
        <v>7422.64</v>
      </c>
      <c r="AH52" s="110">
        <v>3839.3</v>
      </c>
      <c r="AI52" s="110">
        <v>3583.34</v>
      </c>
      <c r="AJ52" s="110">
        <v>0</v>
      </c>
      <c r="AK52" s="110">
        <v>0</v>
      </c>
      <c r="AL52" s="110">
        <v>0</v>
      </c>
      <c r="AM52" s="110">
        <v>0</v>
      </c>
      <c r="AN52" s="110">
        <v>0</v>
      </c>
      <c r="AO52" s="110">
        <v>0</v>
      </c>
      <c r="AP52" s="110">
        <v>0</v>
      </c>
      <c r="AQ52" s="110">
        <v>60442</v>
      </c>
      <c r="AR52" s="110">
        <v>54514</v>
      </c>
      <c r="AS52" s="110">
        <v>51704</v>
      </c>
      <c r="AT52" s="110">
        <v>2810</v>
      </c>
      <c r="AU52" s="110">
        <v>5928</v>
      </c>
      <c r="AV52" s="110">
        <v>1574</v>
      </c>
      <c r="AW52" s="110">
        <v>4354</v>
      </c>
      <c r="AX52" s="110">
        <v>20441</v>
      </c>
      <c r="AY52" s="110">
        <v>17982</v>
      </c>
      <c r="AZ52" s="110">
        <v>15918</v>
      </c>
      <c r="BA52" s="110">
        <v>2064</v>
      </c>
      <c r="BB52" s="110">
        <v>2459</v>
      </c>
      <c r="BC52" s="110">
        <v>1191</v>
      </c>
      <c r="BD52" s="110">
        <v>1268</v>
      </c>
      <c r="BE52" s="110">
        <v>0</v>
      </c>
      <c r="BF52" s="110">
        <v>0</v>
      </c>
      <c r="BG52" s="110">
        <v>0</v>
      </c>
      <c r="BH52" s="110">
        <v>0</v>
      </c>
      <c r="BI52" s="110">
        <v>0</v>
      </c>
      <c r="BJ52" s="110">
        <v>0</v>
      </c>
      <c r="BK52" s="110">
        <v>0</v>
      </c>
      <c r="BL52" s="110">
        <v>0</v>
      </c>
      <c r="BM52" s="110">
        <v>0</v>
      </c>
      <c r="BN52" s="110">
        <v>0</v>
      </c>
      <c r="BO52" s="110">
        <v>0</v>
      </c>
      <c r="BP52" s="110">
        <v>0</v>
      </c>
      <c r="BQ52" s="110">
        <v>0</v>
      </c>
      <c r="BR52" s="110">
        <v>0</v>
      </c>
      <c r="BS52" s="110">
        <v>0</v>
      </c>
      <c r="BT52" s="110">
        <v>0</v>
      </c>
      <c r="BU52" s="110">
        <v>0</v>
      </c>
      <c r="BV52" s="110">
        <v>0</v>
      </c>
      <c r="BW52" s="110">
        <v>0</v>
      </c>
      <c r="BX52" s="110">
        <v>0</v>
      </c>
      <c r="BY52" s="110">
        <v>0</v>
      </c>
      <c r="BZ52" s="110">
        <v>0</v>
      </c>
      <c r="CA52" s="110">
        <v>0</v>
      </c>
      <c r="CB52" s="110">
        <v>0</v>
      </c>
      <c r="CC52" s="110">
        <v>0</v>
      </c>
      <c r="CD52" s="110">
        <v>0</v>
      </c>
      <c r="CE52" s="110">
        <v>0</v>
      </c>
      <c r="CF52" s="110">
        <v>0</v>
      </c>
      <c r="CG52" s="110">
        <v>0</v>
      </c>
      <c r="CH52" s="110">
        <v>0</v>
      </c>
      <c r="CI52" s="110">
        <v>0</v>
      </c>
      <c r="CJ52" s="110">
        <v>0</v>
      </c>
      <c r="CK52" s="110">
        <v>0</v>
      </c>
      <c r="CL52" s="110">
        <v>0</v>
      </c>
      <c r="CM52" s="110">
        <v>0</v>
      </c>
      <c r="CN52" s="110">
        <v>0</v>
      </c>
      <c r="CO52" s="110">
        <v>67169.440000000002</v>
      </c>
      <c r="CP52" s="110">
        <v>47365.11</v>
      </c>
      <c r="CQ52" s="110">
        <v>51731.69</v>
      </c>
      <c r="CR52" s="110">
        <v>5725.77</v>
      </c>
      <c r="CS52" s="110">
        <v>752</v>
      </c>
      <c r="CT52" s="110">
        <v>0</v>
      </c>
      <c r="CU52" s="110">
        <v>0</v>
      </c>
      <c r="CV52" s="111">
        <v>603</v>
      </c>
      <c r="CW52" s="111">
        <v>557</v>
      </c>
      <c r="CX52" s="111">
        <v>541</v>
      </c>
      <c r="CY52" s="111">
        <v>16</v>
      </c>
      <c r="CZ52" s="111">
        <v>46</v>
      </c>
      <c r="DA52" s="111">
        <v>28</v>
      </c>
      <c r="DB52" s="111">
        <v>18</v>
      </c>
      <c r="DC52" s="111">
        <v>419</v>
      </c>
      <c r="DD52" s="111">
        <v>38</v>
      </c>
      <c r="DE52" s="111">
        <v>398</v>
      </c>
      <c r="DF52" s="111">
        <v>394</v>
      </c>
      <c r="DG52" s="111">
        <v>4</v>
      </c>
      <c r="DH52" s="111">
        <v>21</v>
      </c>
      <c r="DI52" s="111">
        <v>11</v>
      </c>
      <c r="DJ52" s="111">
        <v>10</v>
      </c>
      <c r="DK52" s="111">
        <v>135</v>
      </c>
      <c r="DL52" s="111">
        <v>116</v>
      </c>
      <c r="DM52" s="111">
        <v>110</v>
      </c>
      <c r="DN52" s="111">
        <v>6</v>
      </c>
      <c r="DO52" s="111">
        <v>19</v>
      </c>
      <c r="DP52" s="111">
        <v>14</v>
      </c>
      <c r="DQ52" s="111">
        <v>5</v>
      </c>
      <c r="DR52" s="111">
        <v>11</v>
      </c>
      <c r="DS52" s="111">
        <v>0</v>
      </c>
      <c r="DT52" s="111">
        <v>7</v>
      </c>
      <c r="DU52" s="111">
        <v>3</v>
      </c>
      <c r="DV52" s="111">
        <v>4</v>
      </c>
      <c r="DW52" s="111">
        <v>4</v>
      </c>
      <c r="DX52" s="111">
        <v>1</v>
      </c>
      <c r="DY52" s="111">
        <v>3</v>
      </c>
      <c r="DZ52" s="111">
        <v>0</v>
      </c>
      <c r="EA52" s="111">
        <v>0</v>
      </c>
      <c r="EB52" s="111">
        <v>0</v>
      </c>
      <c r="EC52" s="111">
        <v>0</v>
      </c>
      <c r="ED52" s="111">
        <v>0</v>
      </c>
      <c r="EE52" s="111">
        <v>0</v>
      </c>
      <c r="EF52" s="111">
        <v>0</v>
      </c>
      <c r="EG52" s="111">
        <v>0</v>
      </c>
      <c r="EH52" s="111">
        <v>0</v>
      </c>
      <c r="EI52" s="111">
        <v>0</v>
      </c>
      <c r="EJ52" s="111">
        <v>0</v>
      </c>
      <c r="EK52" s="111">
        <v>0</v>
      </c>
      <c r="EL52" s="111">
        <v>0</v>
      </c>
      <c r="EM52" s="111">
        <v>0</v>
      </c>
      <c r="EN52" s="111">
        <v>0</v>
      </c>
      <c r="EO52" s="111">
        <v>0</v>
      </c>
      <c r="EP52" s="111">
        <v>0</v>
      </c>
      <c r="EQ52" s="111">
        <v>0</v>
      </c>
      <c r="ER52" s="111">
        <v>0</v>
      </c>
      <c r="ES52" s="111">
        <v>0</v>
      </c>
      <c r="ET52" s="111">
        <v>0</v>
      </c>
      <c r="EU52" s="111">
        <v>0</v>
      </c>
      <c r="EV52" s="111">
        <v>0</v>
      </c>
      <c r="EW52" s="111">
        <v>0</v>
      </c>
      <c r="EX52" s="111">
        <v>0</v>
      </c>
      <c r="EY52" s="111">
        <v>0</v>
      </c>
      <c r="EZ52" s="111">
        <v>0</v>
      </c>
      <c r="FA52" s="111">
        <v>0</v>
      </c>
      <c r="FB52" s="111">
        <v>0</v>
      </c>
    </row>
    <row r="53" spans="1:158" ht="19.5" customHeight="1">
      <c r="A53" s="107">
        <v>50</v>
      </c>
      <c r="B53" s="107" t="s">
        <v>401</v>
      </c>
      <c r="C53" s="107" t="s">
        <v>404</v>
      </c>
      <c r="D53" s="110">
        <v>3783112.94</v>
      </c>
      <c r="E53" s="110">
        <v>0</v>
      </c>
      <c r="F53" s="110">
        <v>3783112.94</v>
      </c>
      <c r="G53" s="110">
        <v>0</v>
      </c>
      <c r="H53" s="110">
        <v>2</v>
      </c>
      <c r="I53" s="110">
        <v>0</v>
      </c>
      <c r="J53" s="110">
        <v>0</v>
      </c>
      <c r="K53" s="110">
        <v>0</v>
      </c>
      <c r="L53" s="110">
        <v>342559.39</v>
      </c>
      <c r="M53" s="110">
        <v>1255128.6499999999</v>
      </c>
      <c r="N53" s="110">
        <v>900</v>
      </c>
      <c r="O53" s="110">
        <v>7091861.8700000001</v>
      </c>
      <c r="P53" s="110">
        <v>4619526.0999999996</v>
      </c>
      <c r="Q53" s="110">
        <v>4455037.76</v>
      </c>
      <c r="R53" s="110">
        <v>164488.34</v>
      </c>
      <c r="S53" s="110">
        <v>2472335.77</v>
      </c>
      <c r="T53" s="110">
        <v>2244802.77</v>
      </c>
      <c r="U53" s="110">
        <v>227533</v>
      </c>
      <c r="V53" s="110">
        <v>0</v>
      </c>
      <c r="W53" s="110">
        <v>0</v>
      </c>
      <c r="X53" s="110">
        <v>0</v>
      </c>
      <c r="Y53" s="110">
        <v>0</v>
      </c>
      <c r="Z53" s="110">
        <v>0</v>
      </c>
      <c r="AA53" s="110">
        <v>0</v>
      </c>
      <c r="AB53" s="110">
        <v>0</v>
      </c>
      <c r="AC53" s="110">
        <v>0</v>
      </c>
      <c r="AD53" s="110">
        <v>0</v>
      </c>
      <c r="AE53" s="110">
        <v>0</v>
      </c>
      <c r="AF53" s="110">
        <v>0</v>
      </c>
      <c r="AG53" s="110">
        <v>0</v>
      </c>
      <c r="AH53" s="110">
        <v>0</v>
      </c>
      <c r="AI53" s="110">
        <v>0</v>
      </c>
      <c r="AJ53" s="110">
        <v>0</v>
      </c>
      <c r="AK53" s="110">
        <v>0</v>
      </c>
      <c r="AL53" s="110">
        <v>0</v>
      </c>
      <c r="AM53" s="110">
        <v>0</v>
      </c>
      <c r="AN53" s="110">
        <v>0</v>
      </c>
      <c r="AO53" s="110">
        <v>0</v>
      </c>
      <c r="AP53" s="110">
        <v>0</v>
      </c>
      <c r="AQ53" s="110">
        <v>0</v>
      </c>
      <c r="AR53" s="110">
        <v>0</v>
      </c>
      <c r="AS53" s="110">
        <v>0</v>
      </c>
      <c r="AT53" s="110">
        <v>0</v>
      </c>
      <c r="AU53" s="110">
        <v>0</v>
      </c>
      <c r="AV53" s="110">
        <v>0</v>
      </c>
      <c r="AW53" s="110">
        <v>0</v>
      </c>
      <c r="AX53" s="110">
        <v>0</v>
      </c>
      <c r="AY53" s="110">
        <v>0</v>
      </c>
      <c r="AZ53" s="110">
        <v>0</v>
      </c>
      <c r="BA53" s="110">
        <v>0</v>
      </c>
      <c r="BB53" s="110">
        <v>0</v>
      </c>
      <c r="BC53" s="110">
        <v>0</v>
      </c>
      <c r="BD53" s="110">
        <v>0</v>
      </c>
      <c r="BE53" s="110">
        <v>7091861.8700000001</v>
      </c>
      <c r="BF53" s="110">
        <v>4619526.0999999996</v>
      </c>
      <c r="BG53" s="110">
        <v>4455037.76</v>
      </c>
      <c r="BH53" s="110">
        <v>164488.34</v>
      </c>
      <c r="BI53" s="110">
        <v>2472335.77</v>
      </c>
      <c r="BJ53" s="110">
        <v>2244802.77</v>
      </c>
      <c r="BK53" s="110">
        <v>227533</v>
      </c>
      <c r="BL53" s="110">
        <v>1365169.28</v>
      </c>
      <c r="BM53" s="110">
        <v>1018980.83</v>
      </c>
      <c r="BN53" s="110">
        <v>981556.83</v>
      </c>
      <c r="BO53" s="110">
        <v>37424</v>
      </c>
      <c r="BP53" s="110">
        <v>346188.45</v>
      </c>
      <c r="BQ53" s="110">
        <v>286504.42</v>
      </c>
      <c r="BR53" s="110">
        <v>59684.03</v>
      </c>
      <c r="BS53" s="110">
        <v>1943579.65</v>
      </c>
      <c r="BT53" s="110">
        <v>1218219.3999999999</v>
      </c>
      <c r="BU53" s="110">
        <v>1179525.06</v>
      </c>
      <c r="BV53" s="110">
        <v>38694.339999999997</v>
      </c>
      <c r="BW53" s="110">
        <v>725360.25</v>
      </c>
      <c r="BX53" s="110">
        <v>627489.78</v>
      </c>
      <c r="BY53" s="110">
        <v>97870.47</v>
      </c>
      <c r="BZ53" s="110">
        <v>1558561</v>
      </c>
      <c r="CA53" s="110">
        <v>1025650.5</v>
      </c>
      <c r="CB53" s="110">
        <v>986026.5</v>
      </c>
      <c r="CC53" s="110">
        <v>39624</v>
      </c>
      <c r="CD53" s="110">
        <v>532910.5</v>
      </c>
      <c r="CE53" s="110">
        <v>499760.5</v>
      </c>
      <c r="CF53" s="110">
        <v>33150</v>
      </c>
      <c r="CG53" s="110">
        <v>2224551.94</v>
      </c>
      <c r="CH53" s="110">
        <v>1356675.37</v>
      </c>
      <c r="CI53" s="110">
        <v>1307929.3700000001</v>
      </c>
      <c r="CJ53" s="110">
        <v>48746</v>
      </c>
      <c r="CK53" s="110">
        <v>867876.57</v>
      </c>
      <c r="CL53" s="110">
        <v>831048.07</v>
      </c>
      <c r="CM53" s="110">
        <v>36828.5</v>
      </c>
      <c r="CN53" s="110">
        <v>0</v>
      </c>
      <c r="CO53" s="110">
        <v>0</v>
      </c>
      <c r="CP53" s="110">
        <v>0</v>
      </c>
      <c r="CQ53" s="110">
        <v>0</v>
      </c>
      <c r="CR53" s="110">
        <v>0</v>
      </c>
      <c r="CS53" s="110">
        <v>0</v>
      </c>
      <c r="CT53" s="110">
        <v>0</v>
      </c>
      <c r="CU53" s="110">
        <v>0</v>
      </c>
      <c r="CV53" s="111">
        <v>0</v>
      </c>
      <c r="CW53" s="111">
        <v>0</v>
      </c>
      <c r="CX53" s="111">
        <v>0</v>
      </c>
      <c r="CY53" s="111">
        <v>0</v>
      </c>
      <c r="CZ53" s="111">
        <v>0</v>
      </c>
      <c r="DA53" s="111">
        <v>0</v>
      </c>
      <c r="DB53" s="111">
        <v>0</v>
      </c>
      <c r="DC53" s="111">
        <v>0</v>
      </c>
      <c r="DD53" s="111">
        <v>0</v>
      </c>
      <c r="DE53" s="111">
        <v>0</v>
      </c>
      <c r="DF53" s="111">
        <v>0</v>
      </c>
      <c r="DG53" s="111">
        <v>0</v>
      </c>
      <c r="DH53" s="111">
        <v>0</v>
      </c>
      <c r="DI53" s="111">
        <v>0</v>
      </c>
      <c r="DJ53" s="111">
        <v>0</v>
      </c>
      <c r="DK53" s="111">
        <v>0</v>
      </c>
      <c r="DL53" s="111">
        <v>0</v>
      </c>
      <c r="DM53" s="111">
        <v>0</v>
      </c>
      <c r="DN53" s="111">
        <v>0</v>
      </c>
      <c r="DO53" s="111">
        <v>0</v>
      </c>
      <c r="DP53" s="111">
        <v>0</v>
      </c>
      <c r="DQ53" s="111">
        <v>0</v>
      </c>
      <c r="DR53" s="111">
        <v>0</v>
      </c>
      <c r="DS53" s="111">
        <v>0</v>
      </c>
      <c r="DT53" s="111">
        <v>0</v>
      </c>
      <c r="DU53" s="111">
        <v>0</v>
      </c>
      <c r="DV53" s="111">
        <v>0</v>
      </c>
      <c r="DW53" s="111">
        <v>0</v>
      </c>
      <c r="DX53" s="111">
        <v>0</v>
      </c>
      <c r="DY53" s="111">
        <v>0</v>
      </c>
      <c r="DZ53" s="111">
        <v>0</v>
      </c>
      <c r="EA53" s="111">
        <v>0</v>
      </c>
      <c r="EB53" s="111">
        <v>0</v>
      </c>
      <c r="EC53" s="111">
        <v>0</v>
      </c>
      <c r="ED53" s="111">
        <v>0</v>
      </c>
      <c r="EE53" s="111">
        <v>0</v>
      </c>
      <c r="EF53" s="111">
        <v>0</v>
      </c>
      <c r="EG53" s="111">
        <v>2</v>
      </c>
      <c r="EH53" s="111">
        <v>2</v>
      </c>
      <c r="EI53" s="111">
        <v>2</v>
      </c>
      <c r="EJ53" s="111">
        <v>0</v>
      </c>
      <c r="EK53" s="111">
        <v>0</v>
      </c>
      <c r="EL53" s="111">
        <v>0</v>
      </c>
      <c r="EM53" s="111">
        <v>0</v>
      </c>
      <c r="EN53" s="111">
        <v>3</v>
      </c>
      <c r="EO53" s="111">
        <v>0</v>
      </c>
      <c r="EP53" s="111">
        <v>0</v>
      </c>
      <c r="EQ53" s="111">
        <v>3</v>
      </c>
      <c r="ER53" s="111">
        <v>0</v>
      </c>
      <c r="ES53" s="111">
        <v>0</v>
      </c>
      <c r="ET53" s="111">
        <v>0</v>
      </c>
      <c r="EU53" s="111">
        <v>0</v>
      </c>
      <c r="EV53" s="111">
        <v>0</v>
      </c>
      <c r="EW53" s="111">
        <v>0</v>
      </c>
      <c r="EX53" s="111">
        <v>0</v>
      </c>
      <c r="EY53" s="111">
        <v>0</v>
      </c>
      <c r="EZ53" s="111">
        <v>0</v>
      </c>
      <c r="FA53" s="111">
        <v>0</v>
      </c>
      <c r="FB53" s="111">
        <v>0</v>
      </c>
    </row>
    <row r="54" spans="1:158" ht="19.5" customHeight="1">
      <c r="A54" s="107">
        <v>51</v>
      </c>
      <c r="B54" s="107" t="s">
        <v>361</v>
      </c>
      <c r="C54" s="107" t="s">
        <v>405</v>
      </c>
      <c r="D54" s="110">
        <v>2237504.75</v>
      </c>
      <c r="E54" s="110">
        <v>367554</v>
      </c>
      <c r="F54" s="110">
        <v>1869950.75</v>
      </c>
      <c r="G54" s="110">
        <v>2419</v>
      </c>
      <c r="H54" s="110">
        <v>384</v>
      </c>
      <c r="I54" s="110">
        <v>28430</v>
      </c>
      <c r="J54" s="110">
        <v>0</v>
      </c>
      <c r="K54" s="110">
        <v>0</v>
      </c>
      <c r="L54" s="110">
        <v>111572</v>
      </c>
      <c r="M54" s="110">
        <v>990554.25</v>
      </c>
      <c r="N54" s="110">
        <v>0</v>
      </c>
      <c r="O54" s="110">
        <v>6309083.4400000004</v>
      </c>
      <c r="P54" s="110">
        <v>4549342.1500000004</v>
      </c>
      <c r="Q54" s="110">
        <v>4435371.1900000004</v>
      </c>
      <c r="R54" s="110">
        <v>113970.96</v>
      </c>
      <c r="S54" s="110">
        <v>1759741.29</v>
      </c>
      <c r="T54" s="110">
        <v>1733272.21</v>
      </c>
      <c r="U54" s="110">
        <v>26469.08</v>
      </c>
      <c r="V54" s="110">
        <v>803801.19</v>
      </c>
      <c r="W54" s="110">
        <v>702123.1</v>
      </c>
      <c r="X54" s="110">
        <v>669540.78</v>
      </c>
      <c r="Y54" s="110">
        <v>32582.32</v>
      </c>
      <c r="Z54" s="110">
        <v>101678.09</v>
      </c>
      <c r="AA54" s="110">
        <v>75728.72</v>
      </c>
      <c r="AB54" s="110">
        <v>25949.37</v>
      </c>
      <c r="AC54" s="110">
        <v>428917.39</v>
      </c>
      <c r="AD54" s="110">
        <v>378443.3</v>
      </c>
      <c r="AE54" s="110">
        <v>364674.98</v>
      </c>
      <c r="AF54" s="110">
        <v>13768.32</v>
      </c>
      <c r="AG54" s="110">
        <v>50474.09</v>
      </c>
      <c r="AH54" s="110">
        <v>40159.72</v>
      </c>
      <c r="AI54" s="110">
        <v>10314.370000000001</v>
      </c>
      <c r="AJ54" s="110">
        <v>7329.8</v>
      </c>
      <c r="AK54" s="110">
        <v>5746.8</v>
      </c>
      <c r="AL54" s="110">
        <v>5746.8</v>
      </c>
      <c r="AM54" s="110">
        <v>0</v>
      </c>
      <c r="AN54" s="110">
        <v>1583</v>
      </c>
      <c r="AO54" s="110">
        <v>1003</v>
      </c>
      <c r="AP54" s="110">
        <v>580</v>
      </c>
      <c r="AQ54" s="110">
        <v>259832</v>
      </c>
      <c r="AR54" s="110">
        <v>228580</v>
      </c>
      <c r="AS54" s="110">
        <v>215822</v>
      </c>
      <c r="AT54" s="110">
        <v>12758</v>
      </c>
      <c r="AU54" s="110">
        <v>31252</v>
      </c>
      <c r="AV54" s="110">
        <v>21900</v>
      </c>
      <c r="AW54" s="110">
        <v>9352</v>
      </c>
      <c r="AX54" s="110">
        <v>107722</v>
      </c>
      <c r="AY54" s="110">
        <v>89353</v>
      </c>
      <c r="AZ54" s="110">
        <v>83297</v>
      </c>
      <c r="BA54" s="110">
        <v>6056</v>
      </c>
      <c r="BB54" s="110">
        <v>18369</v>
      </c>
      <c r="BC54" s="110">
        <v>12666</v>
      </c>
      <c r="BD54" s="110">
        <v>5703</v>
      </c>
      <c r="BE54" s="110">
        <v>5505282.25</v>
      </c>
      <c r="BF54" s="110">
        <v>3847219.05</v>
      </c>
      <c r="BG54" s="110">
        <v>3765830.41</v>
      </c>
      <c r="BH54" s="110">
        <v>81388.639999999999</v>
      </c>
      <c r="BI54" s="110">
        <v>1658063.2</v>
      </c>
      <c r="BJ54" s="110">
        <v>1657543.49</v>
      </c>
      <c r="BK54" s="110">
        <v>519.71</v>
      </c>
      <c r="BL54" s="110">
        <v>249955.27</v>
      </c>
      <c r="BM54" s="110">
        <v>167261.35999999999</v>
      </c>
      <c r="BN54" s="110">
        <v>165478.22</v>
      </c>
      <c r="BO54" s="110">
        <v>1783.14</v>
      </c>
      <c r="BP54" s="110">
        <v>82693.91</v>
      </c>
      <c r="BQ54" s="110">
        <v>82608.7</v>
      </c>
      <c r="BR54" s="110">
        <v>85.21</v>
      </c>
      <c r="BS54" s="110">
        <v>3385376.23</v>
      </c>
      <c r="BT54" s="110">
        <v>2363562.94</v>
      </c>
      <c r="BU54" s="110">
        <v>2331295.94</v>
      </c>
      <c r="BV54" s="110">
        <v>32267</v>
      </c>
      <c r="BW54" s="110">
        <v>1021813.29</v>
      </c>
      <c r="BX54" s="110">
        <v>1021813.29</v>
      </c>
      <c r="BY54" s="110">
        <v>0</v>
      </c>
      <c r="BZ54" s="110">
        <v>566360</v>
      </c>
      <c r="CA54" s="110">
        <v>373217</v>
      </c>
      <c r="CB54" s="110">
        <v>365898</v>
      </c>
      <c r="CC54" s="110">
        <v>7319</v>
      </c>
      <c r="CD54" s="110">
        <v>193143</v>
      </c>
      <c r="CE54" s="110">
        <v>192943</v>
      </c>
      <c r="CF54" s="110">
        <v>200</v>
      </c>
      <c r="CG54" s="110">
        <v>1303590.75</v>
      </c>
      <c r="CH54" s="110">
        <v>943177.75</v>
      </c>
      <c r="CI54" s="110">
        <v>903158.25</v>
      </c>
      <c r="CJ54" s="110">
        <v>40019.5</v>
      </c>
      <c r="CK54" s="110">
        <v>360413</v>
      </c>
      <c r="CL54" s="110">
        <v>360178.5</v>
      </c>
      <c r="CM54" s="110">
        <v>234.5</v>
      </c>
      <c r="CN54" s="110">
        <v>0</v>
      </c>
      <c r="CO54" s="110">
        <v>524983.57999999996</v>
      </c>
      <c r="CP54" s="110">
        <v>228180.26</v>
      </c>
      <c r="CQ54" s="110">
        <v>40812.76</v>
      </c>
      <c r="CR54" s="110">
        <v>9824.59</v>
      </c>
      <c r="CS54" s="110">
        <v>0</v>
      </c>
      <c r="CT54" s="110">
        <v>51701.42</v>
      </c>
      <c r="CU54" s="110">
        <v>0</v>
      </c>
      <c r="CV54" s="111">
        <v>2419</v>
      </c>
      <c r="CW54" s="111">
        <v>2031</v>
      </c>
      <c r="CX54" s="111">
        <v>1923</v>
      </c>
      <c r="CY54" s="111">
        <v>108</v>
      </c>
      <c r="CZ54" s="111">
        <v>388</v>
      </c>
      <c r="DA54" s="111">
        <v>267</v>
      </c>
      <c r="DB54" s="111">
        <v>121</v>
      </c>
      <c r="DC54" s="111">
        <v>1653</v>
      </c>
      <c r="DD54" s="111">
        <v>0</v>
      </c>
      <c r="DE54" s="111">
        <v>1437</v>
      </c>
      <c r="DF54" s="111">
        <v>1367</v>
      </c>
      <c r="DG54" s="111">
        <v>70</v>
      </c>
      <c r="DH54" s="111">
        <v>216</v>
      </c>
      <c r="DI54" s="111">
        <v>153</v>
      </c>
      <c r="DJ54" s="111">
        <v>63</v>
      </c>
      <c r="DK54" s="111">
        <v>744</v>
      </c>
      <c r="DL54" s="111">
        <v>581</v>
      </c>
      <c r="DM54" s="111">
        <v>549</v>
      </c>
      <c r="DN54" s="111">
        <v>32</v>
      </c>
      <c r="DO54" s="111">
        <v>163</v>
      </c>
      <c r="DP54" s="111">
        <v>108</v>
      </c>
      <c r="DQ54" s="111">
        <v>55</v>
      </c>
      <c r="DR54" s="111">
        <v>22</v>
      </c>
      <c r="DS54" s="111">
        <v>0</v>
      </c>
      <c r="DT54" s="111">
        <v>13</v>
      </c>
      <c r="DU54" s="111">
        <v>7</v>
      </c>
      <c r="DV54" s="111">
        <v>6</v>
      </c>
      <c r="DW54" s="111">
        <v>9</v>
      </c>
      <c r="DX54" s="111">
        <v>6</v>
      </c>
      <c r="DY54" s="111">
        <v>3</v>
      </c>
      <c r="DZ54" s="111">
        <v>0</v>
      </c>
      <c r="EA54" s="111">
        <v>0</v>
      </c>
      <c r="EB54" s="111">
        <v>0</v>
      </c>
      <c r="EC54" s="111">
        <v>0</v>
      </c>
      <c r="ED54" s="111">
        <v>0</v>
      </c>
      <c r="EE54" s="111">
        <v>0</v>
      </c>
      <c r="EF54" s="111">
        <v>0</v>
      </c>
      <c r="EG54" s="111">
        <v>384</v>
      </c>
      <c r="EH54" s="111">
        <v>274</v>
      </c>
      <c r="EI54" s="111">
        <v>270</v>
      </c>
      <c r="EJ54" s="111">
        <v>4</v>
      </c>
      <c r="EK54" s="111">
        <v>110</v>
      </c>
      <c r="EL54" s="111">
        <v>109</v>
      </c>
      <c r="EM54" s="111">
        <v>1</v>
      </c>
      <c r="EN54" s="111">
        <v>337</v>
      </c>
      <c r="EO54" s="111">
        <v>332</v>
      </c>
      <c r="EP54" s="111">
        <v>0</v>
      </c>
      <c r="EQ54" s="111">
        <v>5</v>
      </c>
      <c r="ER54" s="111">
        <v>4</v>
      </c>
      <c r="ES54" s="111">
        <v>0</v>
      </c>
      <c r="ET54" s="111">
        <v>0</v>
      </c>
      <c r="EU54" s="111">
        <v>10</v>
      </c>
      <c r="EV54" s="111">
        <v>10</v>
      </c>
      <c r="EW54" s="111">
        <v>0</v>
      </c>
      <c r="EX54" s="111">
        <v>0</v>
      </c>
      <c r="EY54" s="111">
        <v>12</v>
      </c>
      <c r="EZ54" s="111">
        <v>12</v>
      </c>
      <c r="FA54" s="111">
        <v>0</v>
      </c>
      <c r="FB54" s="111">
        <v>2</v>
      </c>
    </row>
    <row r="55" spans="1:158" ht="19.5" customHeight="1">
      <c r="A55" s="107">
        <v>52</v>
      </c>
      <c r="B55" s="107" t="s">
        <v>350</v>
      </c>
      <c r="C55" s="107" t="s">
        <v>406</v>
      </c>
      <c r="D55" s="110">
        <v>2874016</v>
      </c>
      <c r="E55" s="110">
        <v>2874016</v>
      </c>
      <c r="F55" s="110">
        <v>0</v>
      </c>
      <c r="G55" s="110">
        <v>2261</v>
      </c>
      <c r="H55" s="110">
        <v>0</v>
      </c>
      <c r="I55" s="110">
        <v>1479715</v>
      </c>
      <c r="J55" s="110">
        <v>8188</v>
      </c>
      <c r="K55" s="110">
        <v>0</v>
      </c>
      <c r="L55" s="110">
        <v>0</v>
      </c>
      <c r="M55" s="110">
        <v>0</v>
      </c>
      <c r="N55" s="110">
        <v>0</v>
      </c>
      <c r="O55" s="110">
        <v>3411268.2</v>
      </c>
      <c r="P55" s="110">
        <v>2569580.16</v>
      </c>
      <c r="Q55" s="110">
        <v>2480156.4300000002</v>
      </c>
      <c r="R55" s="110">
        <v>89423.73</v>
      </c>
      <c r="S55" s="110">
        <v>841688.04</v>
      </c>
      <c r="T55" s="110">
        <v>627275.57999999996</v>
      </c>
      <c r="U55" s="110">
        <v>214412.46</v>
      </c>
      <c r="V55" s="110">
        <v>3411268.2</v>
      </c>
      <c r="W55" s="110">
        <v>2569580.16</v>
      </c>
      <c r="X55" s="110">
        <v>2480156.4300000002</v>
      </c>
      <c r="Y55" s="110">
        <v>89423.73</v>
      </c>
      <c r="Z55" s="110">
        <v>841688.04</v>
      </c>
      <c r="AA55" s="110">
        <v>627275.57999999996</v>
      </c>
      <c r="AB55" s="110">
        <v>214412.46</v>
      </c>
      <c r="AC55" s="110">
        <v>536546.27</v>
      </c>
      <c r="AD55" s="110">
        <v>441462.23</v>
      </c>
      <c r="AE55" s="110">
        <v>420203.5</v>
      </c>
      <c r="AF55" s="110">
        <v>21258.73</v>
      </c>
      <c r="AG55" s="110">
        <v>95084.04</v>
      </c>
      <c r="AH55" s="110">
        <v>53431.58</v>
      </c>
      <c r="AI55" s="110">
        <v>41652.46</v>
      </c>
      <c r="AJ55" s="110">
        <v>705.93</v>
      </c>
      <c r="AK55" s="110">
        <v>662.93</v>
      </c>
      <c r="AL55" s="110">
        <v>662.93</v>
      </c>
      <c r="AM55" s="110">
        <v>0</v>
      </c>
      <c r="AN55" s="110">
        <v>43</v>
      </c>
      <c r="AO55" s="110">
        <v>43</v>
      </c>
      <c r="AP55" s="110">
        <v>0</v>
      </c>
      <c r="AQ55" s="110">
        <v>1212477</v>
      </c>
      <c r="AR55" s="110">
        <v>881808</v>
      </c>
      <c r="AS55" s="110">
        <v>853907</v>
      </c>
      <c r="AT55" s="110">
        <v>27901</v>
      </c>
      <c r="AU55" s="110">
        <v>330669</v>
      </c>
      <c r="AV55" s="110">
        <v>251300</v>
      </c>
      <c r="AW55" s="110">
        <v>79369</v>
      </c>
      <c r="AX55" s="110">
        <v>1661539</v>
      </c>
      <c r="AY55" s="110">
        <v>1245647</v>
      </c>
      <c r="AZ55" s="110">
        <v>1205383</v>
      </c>
      <c r="BA55" s="110">
        <v>40264</v>
      </c>
      <c r="BB55" s="110">
        <v>415892</v>
      </c>
      <c r="BC55" s="110">
        <v>322501</v>
      </c>
      <c r="BD55" s="110">
        <v>93391</v>
      </c>
      <c r="BE55" s="110">
        <v>0</v>
      </c>
      <c r="BF55" s="110">
        <v>0</v>
      </c>
      <c r="BG55" s="110">
        <v>0</v>
      </c>
      <c r="BH55" s="110">
        <v>0</v>
      </c>
      <c r="BI55" s="110">
        <v>0</v>
      </c>
      <c r="BJ55" s="110">
        <v>0</v>
      </c>
      <c r="BK55" s="110">
        <v>0</v>
      </c>
      <c r="BL55" s="110">
        <v>0</v>
      </c>
      <c r="BM55" s="110">
        <v>0</v>
      </c>
      <c r="BN55" s="110">
        <v>0</v>
      </c>
      <c r="BO55" s="110">
        <v>0</v>
      </c>
      <c r="BP55" s="110">
        <v>0</v>
      </c>
      <c r="BQ55" s="110">
        <v>0</v>
      </c>
      <c r="BR55" s="110">
        <v>0</v>
      </c>
      <c r="BS55" s="110">
        <v>0</v>
      </c>
      <c r="BT55" s="110">
        <v>0</v>
      </c>
      <c r="BU55" s="110">
        <v>0</v>
      </c>
      <c r="BV55" s="110">
        <v>0</v>
      </c>
      <c r="BW55" s="110">
        <v>0</v>
      </c>
      <c r="BX55" s="110">
        <v>0</v>
      </c>
      <c r="BY55" s="110">
        <v>0</v>
      </c>
      <c r="BZ55" s="110">
        <v>0</v>
      </c>
      <c r="CA55" s="110">
        <v>0</v>
      </c>
      <c r="CB55" s="110">
        <v>0</v>
      </c>
      <c r="CC55" s="110">
        <v>0</v>
      </c>
      <c r="CD55" s="110">
        <v>0</v>
      </c>
      <c r="CE55" s="110">
        <v>0</v>
      </c>
      <c r="CF55" s="110">
        <v>0</v>
      </c>
      <c r="CG55" s="110">
        <v>0</v>
      </c>
      <c r="CH55" s="110">
        <v>0</v>
      </c>
      <c r="CI55" s="110">
        <v>0</v>
      </c>
      <c r="CJ55" s="110">
        <v>0</v>
      </c>
      <c r="CK55" s="110">
        <v>0</v>
      </c>
      <c r="CL55" s="110">
        <v>0</v>
      </c>
      <c r="CM55" s="110">
        <v>0</v>
      </c>
      <c r="CN55" s="110">
        <v>0</v>
      </c>
      <c r="CO55" s="110">
        <v>510050.33</v>
      </c>
      <c r="CP55" s="110">
        <v>1783809.94</v>
      </c>
      <c r="CQ55" s="110">
        <v>142123.57999999999</v>
      </c>
      <c r="CR55" s="110">
        <v>974252.35</v>
      </c>
      <c r="CS55" s="110">
        <v>1032</v>
      </c>
      <c r="CT55" s="110">
        <v>0</v>
      </c>
      <c r="CU55" s="110">
        <v>0</v>
      </c>
      <c r="CV55" s="111">
        <v>2261</v>
      </c>
      <c r="CW55" s="111">
        <v>1893</v>
      </c>
      <c r="CX55" s="111">
        <v>1785</v>
      </c>
      <c r="CY55" s="111">
        <v>108</v>
      </c>
      <c r="CZ55" s="111">
        <v>368</v>
      </c>
      <c r="DA55" s="111">
        <v>210</v>
      </c>
      <c r="DB55" s="111">
        <v>158</v>
      </c>
      <c r="DC55" s="111">
        <v>757</v>
      </c>
      <c r="DD55" s="111">
        <v>0</v>
      </c>
      <c r="DE55" s="111">
        <v>661</v>
      </c>
      <c r="DF55" s="111">
        <v>629</v>
      </c>
      <c r="DG55" s="111">
        <v>32</v>
      </c>
      <c r="DH55" s="111">
        <v>96</v>
      </c>
      <c r="DI55" s="111">
        <v>48</v>
      </c>
      <c r="DJ55" s="111">
        <v>48</v>
      </c>
      <c r="DK55" s="111">
        <v>1343</v>
      </c>
      <c r="DL55" s="111">
        <v>1109</v>
      </c>
      <c r="DM55" s="111">
        <v>1037</v>
      </c>
      <c r="DN55" s="111">
        <v>72</v>
      </c>
      <c r="DO55" s="111">
        <v>234</v>
      </c>
      <c r="DP55" s="111">
        <v>139</v>
      </c>
      <c r="DQ55" s="111">
        <v>95</v>
      </c>
      <c r="DR55" s="111">
        <v>161</v>
      </c>
      <c r="DS55" s="111">
        <v>0</v>
      </c>
      <c r="DT55" s="111">
        <v>123</v>
      </c>
      <c r="DU55" s="111">
        <v>119</v>
      </c>
      <c r="DV55" s="111">
        <v>4</v>
      </c>
      <c r="DW55" s="111">
        <v>38</v>
      </c>
      <c r="DX55" s="111">
        <v>23</v>
      </c>
      <c r="DY55" s="111">
        <v>15</v>
      </c>
      <c r="DZ55" s="111">
        <v>0</v>
      </c>
      <c r="EA55" s="111">
        <v>0</v>
      </c>
      <c r="EB55" s="111">
        <v>0</v>
      </c>
      <c r="EC55" s="111">
        <v>0</v>
      </c>
      <c r="ED55" s="111">
        <v>0</v>
      </c>
      <c r="EE55" s="111">
        <v>0</v>
      </c>
      <c r="EF55" s="111">
        <v>0</v>
      </c>
      <c r="EG55" s="111">
        <v>0</v>
      </c>
      <c r="EH55" s="111">
        <v>0</v>
      </c>
      <c r="EI55" s="111">
        <v>0</v>
      </c>
      <c r="EJ55" s="111">
        <v>0</v>
      </c>
      <c r="EK55" s="111">
        <v>0</v>
      </c>
      <c r="EL55" s="111">
        <v>0</v>
      </c>
      <c r="EM55" s="111">
        <v>0</v>
      </c>
      <c r="EN55" s="111">
        <v>0</v>
      </c>
      <c r="EO55" s="111">
        <v>0</v>
      </c>
      <c r="EP55" s="111">
        <v>0</v>
      </c>
      <c r="EQ55" s="111">
        <v>0</v>
      </c>
      <c r="ER55" s="111">
        <v>0</v>
      </c>
      <c r="ES55" s="111">
        <v>0</v>
      </c>
      <c r="ET55" s="111">
        <v>0</v>
      </c>
      <c r="EU55" s="111">
        <v>0</v>
      </c>
      <c r="EV55" s="111">
        <v>0</v>
      </c>
      <c r="EW55" s="111">
        <v>0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</row>
    <row r="56" spans="1:158" ht="19.5" customHeight="1">
      <c r="A56" s="107">
        <v>53</v>
      </c>
      <c r="B56" s="107" t="s">
        <v>407</v>
      </c>
      <c r="C56" s="107" t="s">
        <v>408</v>
      </c>
      <c r="D56" s="110">
        <v>1756</v>
      </c>
      <c r="E56" s="110">
        <v>1756</v>
      </c>
      <c r="F56" s="110">
        <v>0</v>
      </c>
      <c r="G56" s="110">
        <v>10</v>
      </c>
      <c r="H56" s="110">
        <v>0</v>
      </c>
      <c r="I56" s="110">
        <v>0</v>
      </c>
      <c r="J56" s="110">
        <v>0</v>
      </c>
      <c r="K56" s="110">
        <v>0</v>
      </c>
      <c r="L56" s="110">
        <v>0</v>
      </c>
      <c r="M56" s="110">
        <v>0</v>
      </c>
      <c r="N56" s="110">
        <v>0</v>
      </c>
      <c r="O56" s="110">
        <v>139408.1</v>
      </c>
      <c r="P56" s="110">
        <v>139358.1</v>
      </c>
      <c r="Q56" s="110">
        <v>139358.1</v>
      </c>
      <c r="R56" s="110">
        <v>0</v>
      </c>
      <c r="S56" s="110">
        <v>50</v>
      </c>
      <c r="T56" s="110">
        <v>0</v>
      </c>
      <c r="U56" s="110">
        <v>50</v>
      </c>
      <c r="V56" s="110">
        <v>139408.1</v>
      </c>
      <c r="W56" s="110">
        <v>139358.1</v>
      </c>
      <c r="X56" s="110">
        <v>139358.1</v>
      </c>
      <c r="Y56" s="110">
        <v>0</v>
      </c>
      <c r="Z56" s="110">
        <v>50</v>
      </c>
      <c r="AA56" s="110">
        <v>0</v>
      </c>
      <c r="AB56" s="110">
        <v>50</v>
      </c>
      <c r="AC56" s="110">
        <v>137652.1</v>
      </c>
      <c r="AD56" s="110">
        <v>137652.1</v>
      </c>
      <c r="AE56" s="110">
        <v>137652.1</v>
      </c>
      <c r="AF56" s="110">
        <v>0</v>
      </c>
      <c r="AG56" s="110">
        <v>0</v>
      </c>
      <c r="AH56" s="110">
        <v>0</v>
      </c>
      <c r="AI56" s="110">
        <v>0</v>
      </c>
      <c r="AJ56" s="110">
        <v>0</v>
      </c>
      <c r="AK56" s="110">
        <v>0</v>
      </c>
      <c r="AL56" s="110">
        <v>0</v>
      </c>
      <c r="AM56" s="110">
        <v>0</v>
      </c>
      <c r="AN56" s="110">
        <v>0</v>
      </c>
      <c r="AO56" s="110">
        <v>0</v>
      </c>
      <c r="AP56" s="110">
        <v>0</v>
      </c>
      <c r="AQ56" s="110">
        <v>1506</v>
      </c>
      <c r="AR56" s="110">
        <v>1506</v>
      </c>
      <c r="AS56" s="110">
        <v>1506</v>
      </c>
      <c r="AT56" s="110">
        <v>0</v>
      </c>
      <c r="AU56" s="110">
        <v>0</v>
      </c>
      <c r="AV56" s="110">
        <v>0</v>
      </c>
      <c r="AW56" s="110">
        <v>0</v>
      </c>
      <c r="AX56" s="110">
        <v>250</v>
      </c>
      <c r="AY56" s="110">
        <v>200</v>
      </c>
      <c r="AZ56" s="110">
        <v>200</v>
      </c>
      <c r="BA56" s="110">
        <v>0</v>
      </c>
      <c r="BB56" s="110">
        <v>50</v>
      </c>
      <c r="BC56" s="110">
        <v>0</v>
      </c>
      <c r="BD56" s="110">
        <v>50</v>
      </c>
      <c r="BE56" s="110">
        <v>0</v>
      </c>
      <c r="BF56" s="110">
        <v>0</v>
      </c>
      <c r="BG56" s="110">
        <v>0</v>
      </c>
      <c r="BH56" s="110">
        <v>0</v>
      </c>
      <c r="BI56" s="110">
        <v>0</v>
      </c>
      <c r="BJ56" s="110">
        <v>0</v>
      </c>
      <c r="BK56" s="110">
        <v>0</v>
      </c>
      <c r="BL56" s="110">
        <v>0</v>
      </c>
      <c r="BM56" s="110">
        <v>0</v>
      </c>
      <c r="BN56" s="110">
        <v>0</v>
      </c>
      <c r="BO56" s="110">
        <v>0</v>
      </c>
      <c r="BP56" s="110">
        <v>0</v>
      </c>
      <c r="BQ56" s="110">
        <v>0</v>
      </c>
      <c r="BR56" s="110">
        <v>0</v>
      </c>
      <c r="BS56" s="110">
        <v>0</v>
      </c>
      <c r="BT56" s="110">
        <v>0</v>
      </c>
      <c r="BU56" s="110">
        <v>0</v>
      </c>
      <c r="BV56" s="110">
        <v>0</v>
      </c>
      <c r="BW56" s="110">
        <v>0</v>
      </c>
      <c r="BX56" s="110">
        <v>0</v>
      </c>
      <c r="BY56" s="110">
        <v>0</v>
      </c>
      <c r="BZ56" s="110">
        <v>0</v>
      </c>
      <c r="CA56" s="110">
        <v>0</v>
      </c>
      <c r="CB56" s="110">
        <v>0</v>
      </c>
      <c r="CC56" s="110">
        <v>0</v>
      </c>
      <c r="CD56" s="110">
        <v>0</v>
      </c>
      <c r="CE56" s="110">
        <v>0</v>
      </c>
      <c r="CF56" s="110">
        <v>0</v>
      </c>
      <c r="CG56" s="110">
        <v>0</v>
      </c>
      <c r="CH56" s="110">
        <v>0</v>
      </c>
      <c r="CI56" s="110">
        <v>0</v>
      </c>
      <c r="CJ56" s="110">
        <v>0</v>
      </c>
      <c r="CK56" s="110">
        <v>0</v>
      </c>
      <c r="CL56" s="110">
        <v>0</v>
      </c>
      <c r="CM56" s="110">
        <v>0</v>
      </c>
      <c r="CN56" s="110">
        <v>0</v>
      </c>
      <c r="CO56" s="110">
        <v>0</v>
      </c>
      <c r="CP56" s="110">
        <v>0</v>
      </c>
      <c r="CQ56" s="110">
        <v>139408.1</v>
      </c>
      <c r="CR56" s="110">
        <v>0</v>
      </c>
      <c r="CS56" s="110">
        <v>0</v>
      </c>
      <c r="CT56" s="110">
        <v>0</v>
      </c>
      <c r="CU56" s="110">
        <v>0</v>
      </c>
      <c r="CV56" s="111">
        <v>10</v>
      </c>
      <c r="CW56" s="111">
        <v>8</v>
      </c>
      <c r="CX56" s="111">
        <v>8</v>
      </c>
      <c r="CY56" s="111">
        <v>0</v>
      </c>
      <c r="CZ56" s="111">
        <v>2</v>
      </c>
      <c r="DA56" s="111">
        <v>0</v>
      </c>
      <c r="DB56" s="111">
        <v>2</v>
      </c>
      <c r="DC56" s="111">
        <v>10</v>
      </c>
      <c r="DD56" s="111">
        <v>0</v>
      </c>
      <c r="DE56" s="111">
        <v>8</v>
      </c>
      <c r="DF56" s="111">
        <v>8</v>
      </c>
      <c r="DG56" s="111">
        <v>0</v>
      </c>
      <c r="DH56" s="111">
        <v>2</v>
      </c>
      <c r="DI56" s="111">
        <v>0</v>
      </c>
      <c r="DJ56" s="111">
        <v>2</v>
      </c>
      <c r="DK56" s="111">
        <v>0</v>
      </c>
      <c r="DL56" s="111">
        <v>0</v>
      </c>
      <c r="DM56" s="111">
        <v>0</v>
      </c>
      <c r="DN56" s="111">
        <v>0</v>
      </c>
      <c r="DO56" s="111">
        <v>0</v>
      </c>
      <c r="DP56" s="111">
        <v>0</v>
      </c>
      <c r="DQ56" s="111">
        <v>0</v>
      </c>
      <c r="DR56" s="111">
        <v>0</v>
      </c>
      <c r="DS56" s="111">
        <v>0</v>
      </c>
      <c r="DT56" s="111">
        <v>0</v>
      </c>
      <c r="DU56" s="111">
        <v>0</v>
      </c>
      <c r="DV56" s="111">
        <v>0</v>
      </c>
      <c r="DW56" s="111">
        <v>0</v>
      </c>
      <c r="DX56" s="111">
        <v>0</v>
      </c>
      <c r="DY56" s="111">
        <v>0</v>
      </c>
      <c r="DZ56" s="111">
        <v>0</v>
      </c>
      <c r="EA56" s="111">
        <v>0</v>
      </c>
      <c r="EB56" s="111">
        <v>0</v>
      </c>
      <c r="EC56" s="111">
        <v>0</v>
      </c>
      <c r="ED56" s="111">
        <v>0</v>
      </c>
      <c r="EE56" s="111">
        <v>0</v>
      </c>
      <c r="EF56" s="111">
        <v>0</v>
      </c>
      <c r="EG56" s="111">
        <v>0</v>
      </c>
      <c r="EH56" s="111">
        <v>0</v>
      </c>
      <c r="EI56" s="111">
        <v>0</v>
      </c>
      <c r="EJ56" s="111">
        <v>0</v>
      </c>
      <c r="EK56" s="111">
        <v>0</v>
      </c>
      <c r="EL56" s="111">
        <v>0</v>
      </c>
      <c r="EM56" s="111">
        <v>0</v>
      </c>
      <c r="EN56" s="111">
        <v>0</v>
      </c>
      <c r="EO56" s="111">
        <v>0</v>
      </c>
      <c r="EP56" s="111">
        <v>0</v>
      </c>
      <c r="EQ56" s="111">
        <v>0</v>
      </c>
      <c r="ER56" s="111">
        <v>0</v>
      </c>
      <c r="ES56" s="111">
        <v>0</v>
      </c>
      <c r="ET56" s="111">
        <v>0</v>
      </c>
      <c r="EU56" s="111">
        <v>0</v>
      </c>
      <c r="EV56" s="111">
        <v>0</v>
      </c>
      <c r="EW56" s="111">
        <v>0</v>
      </c>
      <c r="EX56" s="111">
        <v>0</v>
      </c>
      <c r="EY56" s="111">
        <v>0</v>
      </c>
      <c r="EZ56" s="111">
        <v>0</v>
      </c>
      <c r="FA56" s="111">
        <v>0</v>
      </c>
      <c r="FB56" s="111">
        <v>0</v>
      </c>
    </row>
    <row r="57" spans="1:158" ht="19.5" customHeight="1">
      <c r="A57" s="107">
        <v>54</v>
      </c>
      <c r="B57" s="107" t="s">
        <v>401</v>
      </c>
      <c r="C57" s="107" t="s">
        <v>409</v>
      </c>
      <c r="D57" s="110">
        <v>4877724.1100000003</v>
      </c>
      <c r="E57" s="110">
        <v>4877724.1100000003</v>
      </c>
      <c r="F57" s="110">
        <v>0</v>
      </c>
      <c r="G57" s="110">
        <v>747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110">
        <v>0</v>
      </c>
      <c r="N57" s="110">
        <v>0</v>
      </c>
      <c r="O57" s="110">
        <v>4877867.57</v>
      </c>
      <c r="P57" s="110">
        <v>389743.21</v>
      </c>
      <c r="Q57" s="110">
        <v>143.46</v>
      </c>
      <c r="R57" s="110">
        <v>389599.75</v>
      </c>
      <c r="S57" s="110">
        <v>4488124.3600000003</v>
      </c>
      <c r="T57" s="110">
        <v>0</v>
      </c>
      <c r="U57" s="110">
        <v>4488124.3600000003</v>
      </c>
      <c r="V57" s="110">
        <v>4877867.57</v>
      </c>
      <c r="W57" s="110">
        <v>389743.21</v>
      </c>
      <c r="X57" s="110">
        <v>143.46</v>
      </c>
      <c r="Y57" s="110">
        <v>389599.75</v>
      </c>
      <c r="Z57" s="110">
        <v>4488124.3600000003</v>
      </c>
      <c r="AA57" s="110">
        <v>0</v>
      </c>
      <c r="AB57" s="110">
        <v>4488124.3600000003</v>
      </c>
      <c r="AC57" s="110">
        <v>143.46</v>
      </c>
      <c r="AD57" s="110">
        <v>143.46</v>
      </c>
      <c r="AE57" s="110">
        <v>143.46</v>
      </c>
      <c r="AF57" s="110">
        <v>0</v>
      </c>
      <c r="AG57" s="110">
        <v>0</v>
      </c>
      <c r="AH57" s="110">
        <v>0</v>
      </c>
      <c r="AI57" s="110">
        <v>0</v>
      </c>
      <c r="AJ57" s="110">
        <v>0</v>
      </c>
      <c r="AK57" s="110">
        <v>0</v>
      </c>
      <c r="AL57" s="110">
        <v>0</v>
      </c>
      <c r="AM57" s="110">
        <v>0</v>
      </c>
      <c r="AN57" s="110">
        <v>0</v>
      </c>
      <c r="AO57" s="110">
        <v>0</v>
      </c>
      <c r="AP57" s="110">
        <v>0</v>
      </c>
      <c r="AQ57" s="110">
        <v>0</v>
      </c>
      <c r="AR57" s="110">
        <v>0</v>
      </c>
      <c r="AS57" s="110">
        <v>0</v>
      </c>
      <c r="AT57" s="110">
        <v>0</v>
      </c>
      <c r="AU57" s="110">
        <v>0</v>
      </c>
      <c r="AV57" s="110">
        <v>0</v>
      </c>
      <c r="AW57" s="110">
        <v>0</v>
      </c>
      <c r="AX57" s="110">
        <v>4877724.1100000003</v>
      </c>
      <c r="AY57" s="110">
        <v>389599.75</v>
      </c>
      <c r="AZ57" s="110">
        <v>0</v>
      </c>
      <c r="BA57" s="110">
        <v>389599.75</v>
      </c>
      <c r="BB57" s="110">
        <v>4488124.3600000003</v>
      </c>
      <c r="BC57" s="110">
        <v>0</v>
      </c>
      <c r="BD57" s="110">
        <v>4488124.3600000003</v>
      </c>
      <c r="BE57" s="110">
        <v>0</v>
      </c>
      <c r="BF57" s="110">
        <v>0</v>
      </c>
      <c r="BG57" s="110">
        <v>0</v>
      </c>
      <c r="BH57" s="110">
        <v>0</v>
      </c>
      <c r="BI57" s="110">
        <v>0</v>
      </c>
      <c r="BJ57" s="110">
        <v>0</v>
      </c>
      <c r="BK57" s="110">
        <v>0</v>
      </c>
      <c r="BL57" s="110">
        <v>0</v>
      </c>
      <c r="BM57" s="110">
        <v>0</v>
      </c>
      <c r="BN57" s="110">
        <v>0</v>
      </c>
      <c r="BO57" s="110">
        <v>0</v>
      </c>
      <c r="BP57" s="110">
        <v>0</v>
      </c>
      <c r="BQ57" s="110">
        <v>0</v>
      </c>
      <c r="BR57" s="110">
        <v>0</v>
      </c>
      <c r="BS57" s="110">
        <v>0</v>
      </c>
      <c r="BT57" s="110">
        <v>0</v>
      </c>
      <c r="BU57" s="110">
        <v>0</v>
      </c>
      <c r="BV57" s="110">
        <v>0</v>
      </c>
      <c r="BW57" s="110">
        <v>0</v>
      </c>
      <c r="BX57" s="110">
        <v>0</v>
      </c>
      <c r="BY57" s="110">
        <v>0</v>
      </c>
      <c r="BZ57" s="110">
        <v>0</v>
      </c>
      <c r="CA57" s="110">
        <v>0</v>
      </c>
      <c r="CB57" s="110">
        <v>0</v>
      </c>
      <c r="CC57" s="110">
        <v>0</v>
      </c>
      <c r="CD57" s="110">
        <v>0</v>
      </c>
      <c r="CE57" s="110">
        <v>0</v>
      </c>
      <c r="CF57" s="110">
        <v>0</v>
      </c>
      <c r="CG57" s="110">
        <v>0</v>
      </c>
      <c r="CH57" s="110">
        <v>0</v>
      </c>
      <c r="CI57" s="110">
        <v>0</v>
      </c>
      <c r="CJ57" s="110">
        <v>0</v>
      </c>
      <c r="CK57" s="110">
        <v>0</v>
      </c>
      <c r="CL57" s="110">
        <v>0</v>
      </c>
      <c r="CM57" s="110">
        <v>0</v>
      </c>
      <c r="CN57" s="110">
        <v>0</v>
      </c>
      <c r="CO57" s="110">
        <v>4877867.57</v>
      </c>
      <c r="CP57" s="110">
        <v>0</v>
      </c>
      <c r="CQ57" s="110">
        <v>0</v>
      </c>
      <c r="CR57" s="110">
        <v>0</v>
      </c>
      <c r="CS57" s="110">
        <v>0</v>
      </c>
      <c r="CT57" s="110">
        <v>0</v>
      </c>
      <c r="CU57" s="110">
        <v>0</v>
      </c>
      <c r="CV57" s="111">
        <v>747</v>
      </c>
      <c r="CW57" s="111">
        <v>267</v>
      </c>
      <c r="CX57" s="111">
        <v>0</v>
      </c>
      <c r="CY57" s="111">
        <v>267</v>
      </c>
      <c r="CZ57" s="111">
        <v>480</v>
      </c>
      <c r="DA57" s="111">
        <v>0</v>
      </c>
      <c r="DB57" s="111">
        <v>480</v>
      </c>
      <c r="DC57" s="111">
        <v>747</v>
      </c>
      <c r="DD57" s="111">
        <v>0</v>
      </c>
      <c r="DE57" s="111">
        <v>267</v>
      </c>
      <c r="DF57" s="111">
        <v>0</v>
      </c>
      <c r="DG57" s="111">
        <v>267</v>
      </c>
      <c r="DH57" s="111">
        <v>480</v>
      </c>
      <c r="DI57" s="111">
        <v>0</v>
      </c>
      <c r="DJ57" s="111">
        <v>480</v>
      </c>
      <c r="DK57" s="111">
        <v>0</v>
      </c>
      <c r="DL57" s="111">
        <v>0</v>
      </c>
      <c r="DM57" s="111">
        <v>0</v>
      </c>
      <c r="DN57" s="111">
        <v>0</v>
      </c>
      <c r="DO57" s="111">
        <v>0</v>
      </c>
      <c r="DP57" s="111">
        <v>0</v>
      </c>
      <c r="DQ57" s="111">
        <v>0</v>
      </c>
      <c r="DR57" s="111">
        <v>0</v>
      </c>
      <c r="DS57" s="111">
        <v>0</v>
      </c>
      <c r="DT57" s="111">
        <v>0</v>
      </c>
      <c r="DU57" s="111">
        <v>0</v>
      </c>
      <c r="DV57" s="111">
        <v>0</v>
      </c>
      <c r="DW57" s="111">
        <v>0</v>
      </c>
      <c r="DX57" s="111">
        <v>0</v>
      </c>
      <c r="DY57" s="111">
        <v>0</v>
      </c>
      <c r="DZ57" s="111">
        <v>0</v>
      </c>
      <c r="EA57" s="111">
        <v>0</v>
      </c>
      <c r="EB57" s="111">
        <v>0</v>
      </c>
      <c r="EC57" s="111">
        <v>0</v>
      </c>
      <c r="ED57" s="111">
        <v>0</v>
      </c>
      <c r="EE57" s="111">
        <v>0</v>
      </c>
      <c r="EF57" s="111">
        <v>0</v>
      </c>
      <c r="EG57" s="111">
        <v>0</v>
      </c>
      <c r="EH57" s="111">
        <v>0</v>
      </c>
      <c r="EI57" s="111">
        <v>0</v>
      </c>
      <c r="EJ57" s="111">
        <v>0</v>
      </c>
      <c r="EK57" s="111">
        <v>0</v>
      </c>
      <c r="EL57" s="111">
        <v>0</v>
      </c>
      <c r="EM57" s="111">
        <v>0</v>
      </c>
      <c r="EN57" s="111">
        <v>0</v>
      </c>
      <c r="EO57" s="111">
        <v>0</v>
      </c>
      <c r="EP57" s="111">
        <v>0</v>
      </c>
      <c r="EQ57" s="111">
        <v>0</v>
      </c>
      <c r="ER57" s="111">
        <v>0</v>
      </c>
      <c r="ES57" s="111">
        <v>0</v>
      </c>
      <c r="ET57" s="111">
        <v>0</v>
      </c>
      <c r="EU57" s="111">
        <v>0</v>
      </c>
      <c r="EV57" s="111">
        <v>0</v>
      </c>
      <c r="EW57" s="111">
        <v>0</v>
      </c>
      <c r="EX57" s="111">
        <v>0</v>
      </c>
      <c r="EY57" s="111">
        <v>0</v>
      </c>
      <c r="EZ57" s="111">
        <v>0</v>
      </c>
      <c r="FA57" s="111">
        <v>0</v>
      </c>
      <c r="FB57" s="111">
        <v>0</v>
      </c>
    </row>
    <row r="58" spans="1:158" ht="19.5" customHeight="1">
      <c r="A58" s="107">
        <v>55</v>
      </c>
      <c r="B58" s="107" t="s">
        <v>350</v>
      </c>
      <c r="C58" s="107" t="s">
        <v>410</v>
      </c>
      <c r="D58" s="110">
        <v>592115.5</v>
      </c>
      <c r="E58" s="110">
        <v>237694</v>
      </c>
      <c r="F58" s="110">
        <v>354421.5</v>
      </c>
      <c r="G58" s="110">
        <v>915</v>
      </c>
      <c r="H58" s="110">
        <v>35</v>
      </c>
      <c r="I58" s="110">
        <v>5424</v>
      </c>
      <c r="J58" s="110">
        <v>0</v>
      </c>
      <c r="K58" s="110">
        <v>0</v>
      </c>
      <c r="L58" s="110">
        <v>21769</v>
      </c>
      <c r="M58" s="110">
        <v>3602</v>
      </c>
      <c r="N58" s="110">
        <v>105</v>
      </c>
      <c r="O58" s="110">
        <v>1004746.26</v>
      </c>
      <c r="P58" s="110">
        <v>818295.12</v>
      </c>
      <c r="Q58" s="110">
        <v>814799.1</v>
      </c>
      <c r="R58" s="110">
        <v>3496.02</v>
      </c>
      <c r="S58" s="110">
        <v>186451.14</v>
      </c>
      <c r="T58" s="110">
        <v>175316.35</v>
      </c>
      <c r="U58" s="110">
        <v>11134.79</v>
      </c>
      <c r="V58" s="110">
        <v>388930.41</v>
      </c>
      <c r="W58" s="110">
        <v>357028.15</v>
      </c>
      <c r="X58" s="110">
        <v>353532.13</v>
      </c>
      <c r="Y58" s="110">
        <v>3496.02</v>
      </c>
      <c r="Z58" s="110">
        <v>31902.26</v>
      </c>
      <c r="AA58" s="110">
        <v>20767.47</v>
      </c>
      <c r="AB58" s="110">
        <v>11134.79</v>
      </c>
      <c r="AC58" s="110">
        <v>142224.22</v>
      </c>
      <c r="AD58" s="110">
        <v>131826.96</v>
      </c>
      <c r="AE58" s="110">
        <v>131049.41</v>
      </c>
      <c r="AF58" s="110">
        <v>777.55</v>
      </c>
      <c r="AG58" s="110">
        <v>10397.26</v>
      </c>
      <c r="AH58" s="110">
        <v>7553.56</v>
      </c>
      <c r="AI58" s="110">
        <v>2843.7</v>
      </c>
      <c r="AJ58" s="110">
        <v>9012.19</v>
      </c>
      <c r="AK58" s="110">
        <v>8271.19</v>
      </c>
      <c r="AL58" s="110">
        <v>8184.72</v>
      </c>
      <c r="AM58" s="110">
        <v>86.47</v>
      </c>
      <c r="AN58" s="110">
        <v>741</v>
      </c>
      <c r="AO58" s="110">
        <v>433.91</v>
      </c>
      <c r="AP58" s="110">
        <v>307.08999999999997</v>
      </c>
      <c r="AQ58" s="110">
        <v>205575</v>
      </c>
      <c r="AR58" s="110">
        <v>187789</v>
      </c>
      <c r="AS58" s="110">
        <v>185510</v>
      </c>
      <c r="AT58" s="110">
        <v>2279</v>
      </c>
      <c r="AU58" s="110">
        <v>17786</v>
      </c>
      <c r="AV58" s="110">
        <v>10858</v>
      </c>
      <c r="AW58" s="110">
        <v>6928</v>
      </c>
      <c r="AX58" s="110">
        <v>32119</v>
      </c>
      <c r="AY58" s="110">
        <v>29141</v>
      </c>
      <c r="AZ58" s="110">
        <v>28788</v>
      </c>
      <c r="BA58" s="110">
        <v>353</v>
      </c>
      <c r="BB58" s="110">
        <v>2978</v>
      </c>
      <c r="BC58" s="110">
        <v>1922</v>
      </c>
      <c r="BD58" s="110">
        <v>1056</v>
      </c>
      <c r="BE58" s="110">
        <v>615815.85</v>
      </c>
      <c r="BF58" s="110">
        <v>461266.97</v>
      </c>
      <c r="BG58" s="110">
        <v>461266.97</v>
      </c>
      <c r="BH58" s="110">
        <v>0</v>
      </c>
      <c r="BI58" s="110">
        <v>154548.88</v>
      </c>
      <c r="BJ58" s="110">
        <v>154548.88</v>
      </c>
      <c r="BK58" s="110">
        <v>0</v>
      </c>
      <c r="BL58" s="110">
        <v>227321.78</v>
      </c>
      <c r="BM58" s="110">
        <v>146368.97</v>
      </c>
      <c r="BN58" s="110">
        <v>146368.97</v>
      </c>
      <c r="BO58" s="110">
        <v>0</v>
      </c>
      <c r="BP58" s="110">
        <v>80952.81</v>
      </c>
      <c r="BQ58" s="110">
        <v>80952.81</v>
      </c>
      <c r="BR58" s="110">
        <v>0</v>
      </c>
      <c r="BS58" s="110">
        <v>34072.57</v>
      </c>
      <c r="BT58" s="110">
        <v>30361.5</v>
      </c>
      <c r="BU58" s="110">
        <v>30361.5</v>
      </c>
      <c r="BV58" s="110">
        <v>0</v>
      </c>
      <c r="BW58" s="110">
        <v>3711.07</v>
      </c>
      <c r="BX58" s="110">
        <v>3711.07</v>
      </c>
      <c r="BY58" s="110">
        <v>0</v>
      </c>
      <c r="BZ58" s="110">
        <v>277553</v>
      </c>
      <c r="CA58" s="110">
        <v>224647</v>
      </c>
      <c r="CB58" s="110">
        <v>224647</v>
      </c>
      <c r="CC58" s="110">
        <v>0</v>
      </c>
      <c r="CD58" s="110">
        <v>52906</v>
      </c>
      <c r="CE58" s="110">
        <v>52906</v>
      </c>
      <c r="CF58" s="110">
        <v>0</v>
      </c>
      <c r="CG58" s="110">
        <v>76868.5</v>
      </c>
      <c r="CH58" s="110">
        <v>59889.5</v>
      </c>
      <c r="CI58" s="110">
        <v>59889.5</v>
      </c>
      <c r="CJ58" s="110">
        <v>0</v>
      </c>
      <c r="CK58" s="110">
        <v>16979</v>
      </c>
      <c r="CL58" s="110">
        <v>16979</v>
      </c>
      <c r="CM58" s="110">
        <v>0</v>
      </c>
      <c r="CN58" s="110">
        <v>287286.62</v>
      </c>
      <c r="CO58" s="110">
        <v>0</v>
      </c>
      <c r="CP58" s="110">
        <v>13994.74</v>
      </c>
      <c r="CQ58" s="110">
        <v>87649.05</v>
      </c>
      <c r="CR58" s="110">
        <v>0</v>
      </c>
      <c r="CS58" s="110">
        <v>0</v>
      </c>
      <c r="CT58" s="110">
        <v>0</v>
      </c>
      <c r="CU58" s="110">
        <v>0</v>
      </c>
      <c r="CV58" s="111">
        <v>915</v>
      </c>
      <c r="CW58" s="111">
        <v>830</v>
      </c>
      <c r="CX58" s="111">
        <v>820</v>
      </c>
      <c r="CY58" s="111">
        <v>10</v>
      </c>
      <c r="CZ58" s="111">
        <v>85</v>
      </c>
      <c r="DA58" s="111">
        <v>55</v>
      </c>
      <c r="DB58" s="111">
        <v>30</v>
      </c>
      <c r="DC58" s="111">
        <v>197</v>
      </c>
      <c r="DD58" s="111">
        <v>0</v>
      </c>
      <c r="DE58" s="111">
        <v>178</v>
      </c>
      <c r="DF58" s="111">
        <v>175</v>
      </c>
      <c r="DG58" s="111">
        <v>3</v>
      </c>
      <c r="DH58" s="111">
        <v>19</v>
      </c>
      <c r="DI58" s="111">
        <v>9</v>
      </c>
      <c r="DJ58" s="111">
        <v>10</v>
      </c>
      <c r="DK58" s="111">
        <v>43</v>
      </c>
      <c r="DL58" s="111">
        <v>35</v>
      </c>
      <c r="DM58" s="111">
        <v>35</v>
      </c>
      <c r="DN58" s="111">
        <v>0</v>
      </c>
      <c r="DO58" s="111">
        <v>8</v>
      </c>
      <c r="DP58" s="111">
        <v>7</v>
      </c>
      <c r="DQ58" s="111">
        <v>1</v>
      </c>
      <c r="DR58" s="111">
        <v>0</v>
      </c>
      <c r="DS58" s="111">
        <v>0</v>
      </c>
      <c r="DT58" s="111">
        <v>0</v>
      </c>
      <c r="DU58" s="111">
        <v>0</v>
      </c>
      <c r="DV58" s="111">
        <v>0</v>
      </c>
      <c r="DW58" s="111">
        <v>0</v>
      </c>
      <c r="DX58" s="111">
        <v>0</v>
      </c>
      <c r="DY58" s="111">
        <v>0</v>
      </c>
      <c r="DZ58" s="111">
        <v>675</v>
      </c>
      <c r="EA58" s="111">
        <v>617</v>
      </c>
      <c r="EB58" s="111">
        <v>610</v>
      </c>
      <c r="EC58" s="111">
        <v>7</v>
      </c>
      <c r="ED58" s="111">
        <v>58</v>
      </c>
      <c r="EE58" s="111">
        <v>39</v>
      </c>
      <c r="EF58" s="111">
        <v>19</v>
      </c>
      <c r="EG58" s="111">
        <v>35</v>
      </c>
      <c r="EH58" s="111">
        <v>29</v>
      </c>
      <c r="EI58" s="111">
        <v>29</v>
      </c>
      <c r="EJ58" s="111">
        <v>0</v>
      </c>
      <c r="EK58" s="111">
        <v>6</v>
      </c>
      <c r="EL58" s="111">
        <v>6</v>
      </c>
      <c r="EM58" s="111">
        <v>0</v>
      </c>
      <c r="EN58" s="111">
        <v>0</v>
      </c>
      <c r="EO58" s="111">
        <v>0</v>
      </c>
      <c r="EP58" s="111">
        <v>0</v>
      </c>
      <c r="EQ58" s="111">
        <v>0</v>
      </c>
      <c r="ER58" s="111">
        <v>0</v>
      </c>
      <c r="ES58" s="111">
        <v>0</v>
      </c>
      <c r="ET58" s="111">
        <v>0</v>
      </c>
      <c r="EU58" s="111">
        <v>0</v>
      </c>
      <c r="EV58" s="111">
        <v>0</v>
      </c>
      <c r="EW58" s="111">
        <v>0</v>
      </c>
      <c r="EX58" s="111">
        <v>0</v>
      </c>
      <c r="EY58" s="111">
        <v>0</v>
      </c>
      <c r="EZ58" s="111">
        <v>0</v>
      </c>
      <c r="FA58" s="111">
        <v>0</v>
      </c>
      <c r="FB58" s="111">
        <v>5</v>
      </c>
    </row>
    <row r="59" spans="1:158" ht="28.5" customHeight="1">
      <c r="A59" s="107">
        <v>56</v>
      </c>
      <c r="B59" s="107" t="s">
        <v>361</v>
      </c>
      <c r="C59" s="107" t="s">
        <v>468</v>
      </c>
      <c r="D59" s="110">
        <v>1588692.05</v>
      </c>
      <c r="E59" s="110">
        <v>1316834.5</v>
      </c>
      <c r="F59" s="110">
        <v>271857.55</v>
      </c>
      <c r="G59" s="110">
        <v>1164</v>
      </c>
      <c r="H59" s="110">
        <v>32</v>
      </c>
      <c r="I59" s="110">
        <v>600</v>
      </c>
      <c r="J59" s="110">
        <v>0</v>
      </c>
      <c r="K59" s="110">
        <v>0</v>
      </c>
      <c r="L59" s="110">
        <v>48283</v>
      </c>
      <c r="M59" s="110">
        <v>38780</v>
      </c>
      <c r="N59" s="110">
        <v>999.95</v>
      </c>
      <c r="O59" s="110">
        <v>1733326.17</v>
      </c>
      <c r="P59" s="110">
        <v>681868.93</v>
      </c>
      <c r="Q59" s="110">
        <v>208957.05</v>
      </c>
      <c r="R59" s="110">
        <v>472911.88</v>
      </c>
      <c r="S59" s="110">
        <v>1051457.24</v>
      </c>
      <c r="T59" s="110">
        <v>246529.29</v>
      </c>
      <c r="U59" s="110">
        <v>804927.95</v>
      </c>
      <c r="V59" s="110">
        <v>1341776.07</v>
      </c>
      <c r="W59" s="110">
        <v>574567.24</v>
      </c>
      <c r="X59" s="110">
        <v>121427.19</v>
      </c>
      <c r="Y59" s="110">
        <v>453140.05</v>
      </c>
      <c r="Z59" s="110">
        <v>767208.83</v>
      </c>
      <c r="AA59" s="110">
        <v>12175.45</v>
      </c>
      <c r="AB59" s="110">
        <v>755033.38</v>
      </c>
      <c r="AC59" s="110">
        <v>19475.7</v>
      </c>
      <c r="AD59" s="110">
        <v>15756.66</v>
      </c>
      <c r="AE59" s="110">
        <v>14944.61</v>
      </c>
      <c r="AF59" s="110">
        <v>812.05</v>
      </c>
      <c r="AG59" s="110">
        <v>3719.04</v>
      </c>
      <c r="AH59" s="110">
        <v>1332.16</v>
      </c>
      <c r="AI59" s="110">
        <v>2386.88</v>
      </c>
      <c r="AJ59" s="110">
        <v>5465.87</v>
      </c>
      <c r="AK59" s="110">
        <v>1710.58</v>
      </c>
      <c r="AL59" s="110">
        <v>158.58000000000001</v>
      </c>
      <c r="AM59" s="110">
        <v>1552</v>
      </c>
      <c r="AN59" s="110">
        <v>3755.29</v>
      </c>
      <c r="AO59" s="110">
        <v>69.290000000000006</v>
      </c>
      <c r="AP59" s="110">
        <v>3686</v>
      </c>
      <c r="AQ59" s="110">
        <v>939187.5</v>
      </c>
      <c r="AR59" s="110">
        <v>416415</v>
      </c>
      <c r="AS59" s="110">
        <v>97121</v>
      </c>
      <c r="AT59" s="110">
        <v>319294</v>
      </c>
      <c r="AU59" s="110">
        <v>522772.5</v>
      </c>
      <c r="AV59" s="110">
        <v>9762</v>
      </c>
      <c r="AW59" s="110">
        <v>513010.5</v>
      </c>
      <c r="AX59" s="110">
        <v>377647</v>
      </c>
      <c r="AY59" s="110">
        <v>140685</v>
      </c>
      <c r="AZ59" s="110">
        <v>9203</v>
      </c>
      <c r="BA59" s="110">
        <v>131482</v>
      </c>
      <c r="BB59" s="110">
        <v>236962</v>
      </c>
      <c r="BC59" s="110">
        <v>1012</v>
      </c>
      <c r="BD59" s="110">
        <v>235950</v>
      </c>
      <c r="BE59" s="110">
        <v>391550.1</v>
      </c>
      <c r="BF59" s="110">
        <v>107301.69</v>
      </c>
      <c r="BG59" s="110">
        <v>87529.86</v>
      </c>
      <c r="BH59" s="110">
        <v>19771.830000000002</v>
      </c>
      <c r="BI59" s="110">
        <v>284248.40999999997</v>
      </c>
      <c r="BJ59" s="110">
        <v>234353.84</v>
      </c>
      <c r="BK59" s="110">
        <v>49894.57</v>
      </c>
      <c r="BL59" s="110">
        <v>78105.429999999993</v>
      </c>
      <c r="BM59" s="110">
        <v>28779.33</v>
      </c>
      <c r="BN59" s="110">
        <v>12245.2</v>
      </c>
      <c r="BO59" s="110">
        <v>16534.13</v>
      </c>
      <c r="BP59" s="110">
        <v>49326.1</v>
      </c>
      <c r="BQ59" s="110">
        <v>38281.33</v>
      </c>
      <c r="BR59" s="110">
        <v>11044.77</v>
      </c>
      <c r="BS59" s="110">
        <v>41587.120000000003</v>
      </c>
      <c r="BT59" s="110">
        <v>10382.06</v>
      </c>
      <c r="BU59" s="110">
        <v>9768.16</v>
      </c>
      <c r="BV59" s="110">
        <v>613.9</v>
      </c>
      <c r="BW59" s="110">
        <v>31205.06</v>
      </c>
      <c r="BX59" s="110">
        <v>25032.76</v>
      </c>
      <c r="BY59" s="110">
        <v>6172.3</v>
      </c>
      <c r="BZ59" s="110">
        <v>129843.25</v>
      </c>
      <c r="CA59" s="110">
        <v>30581</v>
      </c>
      <c r="CB59" s="110">
        <v>30146</v>
      </c>
      <c r="CC59" s="110">
        <v>435</v>
      </c>
      <c r="CD59" s="110">
        <v>99262.25</v>
      </c>
      <c r="CE59" s="110">
        <v>84497.25</v>
      </c>
      <c r="CF59" s="110">
        <v>14765</v>
      </c>
      <c r="CG59" s="110">
        <v>142014.29999999999</v>
      </c>
      <c r="CH59" s="110">
        <v>37559.300000000003</v>
      </c>
      <c r="CI59" s="110">
        <v>35370.5</v>
      </c>
      <c r="CJ59" s="110">
        <v>2188.8000000000002</v>
      </c>
      <c r="CK59" s="110">
        <v>104455</v>
      </c>
      <c r="CL59" s="110">
        <v>86542.5</v>
      </c>
      <c r="CM59" s="110">
        <v>17912.5</v>
      </c>
      <c r="CN59" s="110">
        <v>21723.22</v>
      </c>
      <c r="CO59" s="110">
        <v>167366.20000000001</v>
      </c>
      <c r="CP59" s="110">
        <v>1979.27</v>
      </c>
      <c r="CQ59" s="110">
        <v>251717.64</v>
      </c>
      <c r="CR59" s="110">
        <v>873575.74</v>
      </c>
      <c r="CS59" s="110">
        <v>25414</v>
      </c>
      <c r="CT59" s="110">
        <v>5149.08</v>
      </c>
      <c r="CU59" s="110">
        <v>0</v>
      </c>
      <c r="CV59" s="111">
        <v>1164</v>
      </c>
      <c r="CW59" s="111">
        <v>663</v>
      </c>
      <c r="CX59" s="111">
        <v>361</v>
      </c>
      <c r="CY59" s="111">
        <v>302</v>
      </c>
      <c r="CZ59" s="111">
        <v>501</v>
      </c>
      <c r="DA59" s="111">
        <v>38</v>
      </c>
      <c r="DB59" s="111">
        <v>463</v>
      </c>
      <c r="DC59" s="111">
        <v>619</v>
      </c>
      <c r="DD59" s="111">
        <v>0</v>
      </c>
      <c r="DE59" s="111">
        <v>459</v>
      </c>
      <c r="DF59" s="111">
        <v>343</v>
      </c>
      <c r="DG59" s="111">
        <v>116</v>
      </c>
      <c r="DH59" s="111">
        <v>160</v>
      </c>
      <c r="DI59" s="111">
        <v>32</v>
      </c>
      <c r="DJ59" s="111">
        <v>128</v>
      </c>
      <c r="DK59" s="111">
        <v>7</v>
      </c>
      <c r="DL59" s="111">
        <v>4</v>
      </c>
      <c r="DM59" s="111">
        <v>4</v>
      </c>
      <c r="DN59" s="111">
        <v>0</v>
      </c>
      <c r="DO59" s="111">
        <v>3</v>
      </c>
      <c r="DP59" s="111">
        <v>1</v>
      </c>
      <c r="DQ59" s="111">
        <v>2</v>
      </c>
      <c r="DR59" s="111">
        <v>462</v>
      </c>
      <c r="DS59" s="111">
        <v>0</v>
      </c>
      <c r="DT59" s="111">
        <v>157</v>
      </c>
      <c r="DU59" s="111">
        <v>0</v>
      </c>
      <c r="DV59" s="111">
        <v>157</v>
      </c>
      <c r="DW59" s="111">
        <v>305</v>
      </c>
      <c r="DX59" s="111">
        <v>0</v>
      </c>
      <c r="DY59" s="111">
        <v>305</v>
      </c>
      <c r="DZ59" s="111">
        <v>76</v>
      </c>
      <c r="EA59" s="111">
        <v>43</v>
      </c>
      <c r="EB59" s="111">
        <v>14</v>
      </c>
      <c r="EC59" s="111">
        <v>29</v>
      </c>
      <c r="ED59" s="111">
        <v>33</v>
      </c>
      <c r="EE59" s="111">
        <v>5</v>
      </c>
      <c r="EF59" s="111">
        <v>28</v>
      </c>
      <c r="EG59" s="111">
        <v>32</v>
      </c>
      <c r="EH59" s="111">
        <v>8</v>
      </c>
      <c r="EI59" s="111">
        <v>7</v>
      </c>
      <c r="EJ59" s="111">
        <v>1</v>
      </c>
      <c r="EK59" s="111">
        <v>24</v>
      </c>
      <c r="EL59" s="111">
        <v>20</v>
      </c>
      <c r="EM59" s="111">
        <v>4</v>
      </c>
      <c r="EN59" s="111">
        <v>36</v>
      </c>
      <c r="EO59" s="111">
        <v>17</v>
      </c>
      <c r="EP59" s="111">
        <v>0</v>
      </c>
      <c r="EQ59" s="111">
        <v>19</v>
      </c>
      <c r="ER59" s="111">
        <v>2</v>
      </c>
      <c r="ES59" s="111">
        <v>0</v>
      </c>
      <c r="ET59" s="111">
        <v>0</v>
      </c>
      <c r="EU59" s="111">
        <v>1</v>
      </c>
      <c r="EV59" s="111">
        <v>0</v>
      </c>
      <c r="EW59" s="111">
        <v>0</v>
      </c>
      <c r="EX59" s="111">
        <v>1</v>
      </c>
      <c r="EY59" s="111">
        <v>0</v>
      </c>
      <c r="EZ59" s="111">
        <v>0</v>
      </c>
      <c r="FA59" s="111">
        <v>0</v>
      </c>
      <c r="FB59" s="111">
        <v>0</v>
      </c>
    </row>
    <row r="60" spans="1:158" ht="19.5" customHeight="1">
      <c r="A60" s="107">
        <v>57</v>
      </c>
      <c r="B60" s="107" t="s">
        <v>401</v>
      </c>
      <c r="C60" s="107" t="s">
        <v>413</v>
      </c>
      <c r="D60" s="110">
        <v>2063048</v>
      </c>
      <c r="E60" s="110">
        <v>2063048</v>
      </c>
      <c r="F60" s="110">
        <v>0</v>
      </c>
      <c r="G60" s="110">
        <v>3155</v>
      </c>
      <c r="H60" s="110">
        <v>0</v>
      </c>
      <c r="I60" s="110">
        <v>-272</v>
      </c>
      <c r="J60" s="110">
        <v>1712256</v>
      </c>
      <c r="K60" s="110">
        <v>0</v>
      </c>
      <c r="L60" s="110">
        <v>0</v>
      </c>
      <c r="M60" s="110">
        <v>0</v>
      </c>
      <c r="N60" s="110">
        <v>0</v>
      </c>
      <c r="O60" s="110">
        <v>2988208.44</v>
      </c>
      <c r="P60" s="110">
        <v>2435775.6800000002</v>
      </c>
      <c r="Q60" s="110">
        <v>2259349.15</v>
      </c>
      <c r="R60" s="110">
        <v>176426.53</v>
      </c>
      <c r="S60" s="110">
        <v>552432.76</v>
      </c>
      <c r="T60" s="110">
        <v>294597.96000000002</v>
      </c>
      <c r="U60" s="110">
        <v>257834.8</v>
      </c>
      <c r="V60" s="110">
        <v>2988208.44</v>
      </c>
      <c r="W60" s="110">
        <v>2435775.6800000002</v>
      </c>
      <c r="X60" s="110">
        <v>2259349.15</v>
      </c>
      <c r="Y60" s="110">
        <v>176426.53</v>
      </c>
      <c r="Z60" s="110">
        <v>552432.76</v>
      </c>
      <c r="AA60" s="110">
        <v>294597.96000000002</v>
      </c>
      <c r="AB60" s="110">
        <v>257834.8</v>
      </c>
      <c r="AC60" s="110">
        <v>241300.86</v>
      </c>
      <c r="AD60" s="110">
        <v>199696.48</v>
      </c>
      <c r="AE60" s="110">
        <v>192399.29</v>
      </c>
      <c r="AF60" s="110">
        <v>7297.19</v>
      </c>
      <c r="AG60" s="110">
        <v>41604.379999999997</v>
      </c>
      <c r="AH60" s="110">
        <v>24327.52</v>
      </c>
      <c r="AI60" s="110">
        <v>17276.86</v>
      </c>
      <c r="AJ60" s="110">
        <v>683859.58</v>
      </c>
      <c r="AK60" s="110">
        <v>562836.19999999995</v>
      </c>
      <c r="AL60" s="110">
        <v>542177.86</v>
      </c>
      <c r="AM60" s="110">
        <v>20658.34</v>
      </c>
      <c r="AN60" s="110">
        <v>121023.38</v>
      </c>
      <c r="AO60" s="110">
        <v>70954.44</v>
      </c>
      <c r="AP60" s="110">
        <v>50068.94</v>
      </c>
      <c r="AQ60" s="110">
        <v>75</v>
      </c>
      <c r="AR60" s="110">
        <v>35</v>
      </c>
      <c r="AS60" s="110">
        <v>35</v>
      </c>
      <c r="AT60" s="110">
        <v>0</v>
      </c>
      <c r="AU60" s="110">
        <v>40</v>
      </c>
      <c r="AV60" s="110">
        <v>40</v>
      </c>
      <c r="AW60" s="110">
        <v>0</v>
      </c>
      <c r="AX60" s="110">
        <v>2062973</v>
      </c>
      <c r="AY60" s="110">
        <v>1673208</v>
      </c>
      <c r="AZ60" s="110">
        <v>1524737</v>
      </c>
      <c r="BA60" s="110">
        <v>148471</v>
      </c>
      <c r="BB60" s="110">
        <v>389765</v>
      </c>
      <c r="BC60" s="110">
        <v>199276</v>
      </c>
      <c r="BD60" s="110">
        <v>190489</v>
      </c>
      <c r="BE60" s="110">
        <v>0</v>
      </c>
      <c r="BF60" s="110">
        <v>0</v>
      </c>
      <c r="BG60" s="110">
        <v>0</v>
      </c>
      <c r="BH60" s="110">
        <v>0</v>
      </c>
      <c r="BI60" s="110">
        <v>0</v>
      </c>
      <c r="BJ60" s="110">
        <v>0</v>
      </c>
      <c r="BK60" s="110">
        <v>0</v>
      </c>
      <c r="BL60" s="110">
        <v>0</v>
      </c>
      <c r="BM60" s="110">
        <v>0</v>
      </c>
      <c r="BN60" s="110">
        <v>0</v>
      </c>
      <c r="BO60" s="110">
        <v>0</v>
      </c>
      <c r="BP60" s="110">
        <v>0</v>
      </c>
      <c r="BQ60" s="110">
        <v>0</v>
      </c>
      <c r="BR60" s="110">
        <v>0</v>
      </c>
      <c r="BS60" s="110">
        <v>0</v>
      </c>
      <c r="BT60" s="110">
        <v>0</v>
      </c>
      <c r="BU60" s="110">
        <v>0</v>
      </c>
      <c r="BV60" s="110">
        <v>0</v>
      </c>
      <c r="BW60" s="110">
        <v>0</v>
      </c>
      <c r="BX60" s="110">
        <v>0</v>
      </c>
      <c r="BY60" s="110">
        <v>0</v>
      </c>
      <c r="BZ60" s="110">
        <v>0</v>
      </c>
      <c r="CA60" s="110">
        <v>0</v>
      </c>
      <c r="CB60" s="110">
        <v>0</v>
      </c>
      <c r="CC60" s="110">
        <v>0</v>
      </c>
      <c r="CD60" s="110">
        <v>0</v>
      </c>
      <c r="CE60" s="110">
        <v>0</v>
      </c>
      <c r="CF60" s="110">
        <v>0</v>
      </c>
      <c r="CG60" s="110">
        <v>0</v>
      </c>
      <c r="CH60" s="110">
        <v>0</v>
      </c>
      <c r="CI60" s="110">
        <v>0</v>
      </c>
      <c r="CJ60" s="110">
        <v>0</v>
      </c>
      <c r="CK60" s="110">
        <v>0</v>
      </c>
      <c r="CL60" s="110">
        <v>0</v>
      </c>
      <c r="CM60" s="110">
        <v>0</v>
      </c>
      <c r="CN60" s="110">
        <v>0</v>
      </c>
      <c r="CO60" s="110">
        <v>0</v>
      </c>
      <c r="CP60" s="110">
        <v>0</v>
      </c>
      <c r="CQ60" s="110">
        <v>2338380.69</v>
      </c>
      <c r="CR60" s="110">
        <v>649827.75</v>
      </c>
      <c r="CS60" s="110">
        <v>0</v>
      </c>
      <c r="CT60" s="110">
        <v>0</v>
      </c>
      <c r="CU60" s="110">
        <v>0</v>
      </c>
      <c r="CV60" s="111">
        <v>3155</v>
      </c>
      <c r="CW60" s="111">
        <v>2573</v>
      </c>
      <c r="CX60" s="111">
        <v>2318</v>
      </c>
      <c r="CY60" s="111">
        <v>255</v>
      </c>
      <c r="CZ60" s="111">
        <v>582</v>
      </c>
      <c r="DA60" s="111">
        <v>299</v>
      </c>
      <c r="DB60" s="111">
        <v>283</v>
      </c>
      <c r="DC60" s="111">
        <v>2552</v>
      </c>
      <c r="DD60" s="111">
        <v>0</v>
      </c>
      <c r="DE60" s="111">
        <v>2131</v>
      </c>
      <c r="DF60" s="111">
        <v>2048</v>
      </c>
      <c r="DG60" s="111">
        <v>83</v>
      </c>
      <c r="DH60" s="111">
        <v>421</v>
      </c>
      <c r="DI60" s="111">
        <v>258</v>
      </c>
      <c r="DJ60" s="111">
        <v>163</v>
      </c>
      <c r="DK60" s="111">
        <v>0</v>
      </c>
      <c r="DL60" s="111">
        <v>0</v>
      </c>
      <c r="DM60" s="111">
        <v>0</v>
      </c>
      <c r="DN60" s="111">
        <v>0</v>
      </c>
      <c r="DO60" s="111">
        <v>0</v>
      </c>
      <c r="DP60" s="111">
        <v>0</v>
      </c>
      <c r="DQ60" s="111">
        <v>0</v>
      </c>
      <c r="DR60" s="111">
        <v>603</v>
      </c>
      <c r="DS60" s="111">
        <v>0</v>
      </c>
      <c r="DT60" s="111">
        <v>442</v>
      </c>
      <c r="DU60" s="111">
        <v>270</v>
      </c>
      <c r="DV60" s="111">
        <v>172</v>
      </c>
      <c r="DW60" s="111">
        <v>161</v>
      </c>
      <c r="DX60" s="111">
        <v>41</v>
      </c>
      <c r="DY60" s="111">
        <v>120</v>
      </c>
      <c r="DZ60" s="111">
        <v>0</v>
      </c>
      <c r="EA60" s="111">
        <v>0</v>
      </c>
      <c r="EB60" s="111">
        <v>0</v>
      </c>
      <c r="EC60" s="111">
        <v>0</v>
      </c>
      <c r="ED60" s="111">
        <v>0</v>
      </c>
      <c r="EE60" s="111">
        <v>0</v>
      </c>
      <c r="EF60" s="111">
        <v>0</v>
      </c>
      <c r="EG60" s="111">
        <v>0</v>
      </c>
      <c r="EH60" s="111">
        <v>0</v>
      </c>
      <c r="EI60" s="111">
        <v>0</v>
      </c>
      <c r="EJ60" s="111">
        <v>0</v>
      </c>
      <c r="EK60" s="111">
        <v>0</v>
      </c>
      <c r="EL60" s="111">
        <v>0</v>
      </c>
      <c r="EM60" s="111">
        <v>0</v>
      </c>
      <c r="EN60" s="111">
        <v>2</v>
      </c>
      <c r="EO60" s="111">
        <v>0</v>
      </c>
      <c r="EP60" s="111">
        <v>0</v>
      </c>
      <c r="EQ60" s="111">
        <v>2</v>
      </c>
      <c r="ER60" s="111">
        <v>0</v>
      </c>
      <c r="ES60" s="111">
        <v>0</v>
      </c>
      <c r="ET60" s="111">
        <v>0</v>
      </c>
      <c r="EU60" s="111">
        <v>0</v>
      </c>
      <c r="EV60" s="111">
        <v>0</v>
      </c>
      <c r="EW60" s="111">
        <v>0</v>
      </c>
      <c r="EX60" s="111">
        <v>0</v>
      </c>
      <c r="EY60" s="111">
        <v>0</v>
      </c>
      <c r="EZ60" s="111">
        <v>0</v>
      </c>
      <c r="FA60" s="111">
        <v>0</v>
      </c>
      <c r="FB60" s="111">
        <v>0</v>
      </c>
    </row>
    <row r="61" spans="1:158" ht="19.5" customHeight="1">
      <c r="A61" s="107">
        <v>58</v>
      </c>
      <c r="B61" s="107" t="s">
        <v>350</v>
      </c>
      <c r="C61" s="107" t="s">
        <v>414</v>
      </c>
      <c r="D61" s="110">
        <v>8817279.5</v>
      </c>
      <c r="E61" s="110">
        <v>5016011</v>
      </c>
      <c r="F61" s="110">
        <v>3801268.5</v>
      </c>
      <c r="G61" s="110">
        <v>1618</v>
      </c>
      <c r="H61" s="110">
        <v>331</v>
      </c>
      <c r="I61" s="110">
        <v>4633166</v>
      </c>
      <c r="J61" s="110">
        <v>0</v>
      </c>
      <c r="K61" s="110">
        <v>0</v>
      </c>
      <c r="L61" s="110">
        <v>3153056</v>
      </c>
      <c r="M61" s="110">
        <v>4779</v>
      </c>
      <c r="N61" s="110">
        <v>3325.63</v>
      </c>
      <c r="O61" s="110">
        <v>12088713.609999999</v>
      </c>
      <c r="P61" s="110">
        <v>4451584.21</v>
      </c>
      <c r="Q61" s="110">
        <v>4397836.3099999996</v>
      </c>
      <c r="R61" s="110">
        <v>53747.9</v>
      </c>
      <c r="S61" s="110">
        <v>7637129.4000000004</v>
      </c>
      <c r="T61" s="110">
        <v>7386461.6100000003</v>
      </c>
      <c r="U61" s="110">
        <v>250667.79</v>
      </c>
      <c r="V61" s="110">
        <v>5960802.0300000003</v>
      </c>
      <c r="W61" s="110">
        <v>2971651.46</v>
      </c>
      <c r="X61" s="110">
        <v>2917903.56</v>
      </c>
      <c r="Y61" s="110">
        <v>53747.9</v>
      </c>
      <c r="Z61" s="110">
        <v>2989150.57</v>
      </c>
      <c r="AA61" s="110">
        <v>2749122.53</v>
      </c>
      <c r="AB61" s="110">
        <v>240028.04</v>
      </c>
      <c r="AC61" s="110">
        <v>930802.68</v>
      </c>
      <c r="AD61" s="110">
        <v>602105.72</v>
      </c>
      <c r="AE61" s="110">
        <v>587770.81999999995</v>
      </c>
      <c r="AF61" s="110">
        <v>14334.9</v>
      </c>
      <c r="AG61" s="110">
        <v>328696.96000000002</v>
      </c>
      <c r="AH61" s="110">
        <v>290689.57</v>
      </c>
      <c r="AI61" s="110">
        <v>38007.39</v>
      </c>
      <c r="AJ61" s="110">
        <v>13988.35</v>
      </c>
      <c r="AK61" s="110">
        <v>2292.7399999999998</v>
      </c>
      <c r="AL61" s="110">
        <v>2077.7399999999998</v>
      </c>
      <c r="AM61" s="110">
        <v>215</v>
      </c>
      <c r="AN61" s="110">
        <v>11695.61</v>
      </c>
      <c r="AO61" s="110">
        <v>9671.9599999999991</v>
      </c>
      <c r="AP61" s="110">
        <v>2023.65</v>
      </c>
      <c r="AQ61" s="110">
        <v>325293</v>
      </c>
      <c r="AR61" s="110">
        <v>114437</v>
      </c>
      <c r="AS61" s="110">
        <v>108309</v>
      </c>
      <c r="AT61" s="110">
        <v>6128</v>
      </c>
      <c r="AU61" s="110">
        <v>210856</v>
      </c>
      <c r="AV61" s="110">
        <v>153697</v>
      </c>
      <c r="AW61" s="110">
        <v>57159</v>
      </c>
      <c r="AX61" s="110">
        <v>4690718</v>
      </c>
      <c r="AY61" s="110">
        <v>2252816</v>
      </c>
      <c r="AZ61" s="110">
        <v>2219746</v>
      </c>
      <c r="BA61" s="110">
        <v>33070</v>
      </c>
      <c r="BB61" s="110">
        <v>2437902</v>
      </c>
      <c r="BC61" s="110">
        <v>2295064</v>
      </c>
      <c r="BD61" s="110">
        <v>142838</v>
      </c>
      <c r="BE61" s="110">
        <v>6127911.5800000001</v>
      </c>
      <c r="BF61" s="110">
        <v>1479932.75</v>
      </c>
      <c r="BG61" s="110">
        <v>1479932.75</v>
      </c>
      <c r="BH61" s="110">
        <v>0</v>
      </c>
      <c r="BI61" s="110">
        <v>4647978.83</v>
      </c>
      <c r="BJ61" s="110">
        <v>4637339.08</v>
      </c>
      <c r="BK61" s="110">
        <v>10639.75</v>
      </c>
      <c r="BL61" s="110">
        <v>2203750.2999999998</v>
      </c>
      <c r="BM61" s="110">
        <v>972308.11</v>
      </c>
      <c r="BN61" s="110">
        <v>972308.11</v>
      </c>
      <c r="BO61" s="110">
        <v>0</v>
      </c>
      <c r="BP61" s="110">
        <v>1231442.19</v>
      </c>
      <c r="BQ61" s="110">
        <v>1229164.5900000001</v>
      </c>
      <c r="BR61" s="110">
        <v>2277.6</v>
      </c>
      <c r="BS61" s="110">
        <v>122892.78</v>
      </c>
      <c r="BT61" s="110">
        <v>34569.64</v>
      </c>
      <c r="BU61" s="110">
        <v>34569.64</v>
      </c>
      <c r="BV61" s="110">
        <v>0</v>
      </c>
      <c r="BW61" s="110">
        <v>88323.14</v>
      </c>
      <c r="BX61" s="110">
        <v>87844.99</v>
      </c>
      <c r="BY61" s="110">
        <v>478.15</v>
      </c>
      <c r="BZ61" s="110">
        <v>404588</v>
      </c>
      <c r="CA61" s="110">
        <v>130139</v>
      </c>
      <c r="CB61" s="110">
        <v>130139</v>
      </c>
      <c r="CC61" s="110">
        <v>0</v>
      </c>
      <c r="CD61" s="110">
        <v>274449</v>
      </c>
      <c r="CE61" s="110">
        <v>268164</v>
      </c>
      <c r="CF61" s="110">
        <v>6285</v>
      </c>
      <c r="CG61" s="110">
        <v>3396680.5</v>
      </c>
      <c r="CH61" s="110">
        <v>342916</v>
      </c>
      <c r="CI61" s="110">
        <v>342916</v>
      </c>
      <c r="CJ61" s="110">
        <v>0</v>
      </c>
      <c r="CK61" s="110">
        <v>3053764.5</v>
      </c>
      <c r="CL61" s="110">
        <v>3052165.5</v>
      </c>
      <c r="CM61" s="110">
        <v>1599</v>
      </c>
      <c r="CN61" s="110">
        <v>0</v>
      </c>
      <c r="CO61" s="110">
        <v>4172540.44</v>
      </c>
      <c r="CP61" s="110">
        <v>1755313.14</v>
      </c>
      <c r="CQ61" s="110">
        <v>0</v>
      </c>
      <c r="CR61" s="110">
        <v>32948.449999999997</v>
      </c>
      <c r="CS61" s="110">
        <v>0</v>
      </c>
      <c r="CT61" s="110">
        <v>0</v>
      </c>
      <c r="CU61" s="110">
        <v>0</v>
      </c>
      <c r="CV61" s="111">
        <v>1618</v>
      </c>
      <c r="CW61" s="111">
        <v>654</v>
      </c>
      <c r="CX61" s="111">
        <v>623</v>
      </c>
      <c r="CY61" s="111">
        <v>31</v>
      </c>
      <c r="CZ61" s="111">
        <v>964</v>
      </c>
      <c r="DA61" s="111">
        <v>787</v>
      </c>
      <c r="DB61" s="111">
        <v>177</v>
      </c>
      <c r="DC61" s="111">
        <v>1058</v>
      </c>
      <c r="DD61" s="111">
        <v>0</v>
      </c>
      <c r="DE61" s="111">
        <v>386</v>
      </c>
      <c r="DF61" s="111">
        <v>366</v>
      </c>
      <c r="DG61" s="111">
        <v>20</v>
      </c>
      <c r="DH61" s="111">
        <v>672</v>
      </c>
      <c r="DI61" s="111">
        <v>571</v>
      </c>
      <c r="DJ61" s="111">
        <v>101</v>
      </c>
      <c r="DK61" s="111">
        <v>541</v>
      </c>
      <c r="DL61" s="111">
        <v>262</v>
      </c>
      <c r="DM61" s="111">
        <v>251</v>
      </c>
      <c r="DN61" s="111">
        <v>11</v>
      </c>
      <c r="DO61" s="111">
        <v>279</v>
      </c>
      <c r="DP61" s="111">
        <v>207</v>
      </c>
      <c r="DQ61" s="111">
        <v>72</v>
      </c>
      <c r="DR61" s="111">
        <v>19</v>
      </c>
      <c r="DS61" s="111">
        <v>0</v>
      </c>
      <c r="DT61" s="111">
        <v>6</v>
      </c>
      <c r="DU61" s="111">
        <v>6</v>
      </c>
      <c r="DV61" s="111">
        <v>0</v>
      </c>
      <c r="DW61" s="111">
        <v>13</v>
      </c>
      <c r="DX61" s="111">
        <v>9</v>
      </c>
      <c r="DY61" s="111">
        <v>4</v>
      </c>
      <c r="DZ61" s="111">
        <v>0</v>
      </c>
      <c r="EA61" s="111">
        <v>0</v>
      </c>
      <c r="EB61" s="111">
        <v>0</v>
      </c>
      <c r="EC61" s="111">
        <v>0</v>
      </c>
      <c r="ED61" s="111">
        <v>0</v>
      </c>
      <c r="EE61" s="111">
        <v>0</v>
      </c>
      <c r="EF61" s="111">
        <v>0</v>
      </c>
      <c r="EG61" s="111">
        <v>331</v>
      </c>
      <c r="EH61" s="111">
        <v>97</v>
      </c>
      <c r="EI61" s="111">
        <v>97</v>
      </c>
      <c r="EJ61" s="111">
        <v>0</v>
      </c>
      <c r="EK61" s="111">
        <v>234</v>
      </c>
      <c r="EL61" s="111">
        <v>233</v>
      </c>
      <c r="EM61" s="111">
        <v>1</v>
      </c>
      <c r="EN61" s="111">
        <v>348</v>
      </c>
      <c r="EO61" s="111">
        <v>0</v>
      </c>
      <c r="EP61" s="111">
        <v>0</v>
      </c>
      <c r="EQ61" s="111">
        <v>348</v>
      </c>
      <c r="ER61" s="111">
        <v>0</v>
      </c>
      <c r="ES61" s="111">
        <v>0</v>
      </c>
      <c r="ET61" s="111">
        <v>0</v>
      </c>
      <c r="EU61" s="111">
        <v>0</v>
      </c>
      <c r="EV61" s="111">
        <v>0</v>
      </c>
      <c r="EW61" s="111">
        <v>0</v>
      </c>
      <c r="EX61" s="111">
        <v>0</v>
      </c>
      <c r="EY61" s="111">
        <v>0</v>
      </c>
      <c r="EZ61" s="111">
        <v>0</v>
      </c>
      <c r="FA61" s="111">
        <v>0</v>
      </c>
      <c r="FB61" s="111">
        <v>0</v>
      </c>
    </row>
    <row r="62" spans="1:158" ht="19.5" customHeight="1">
      <c r="A62" s="107">
        <v>59</v>
      </c>
      <c r="B62" s="107" t="s">
        <v>407</v>
      </c>
      <c r="C62" s="107" t="s">
        <v>415</v>
      </c>
      <c r="D62" s="110">
        <v>6</v>
      </c>
      <c r="E62" s="110">
        <v>6</v>
      </c>
      <c r="F62" s="110">
        <v>0</v>
      </c>
      <c r="G62" s="110">
        <v>0</v>
      </c>
      <c r="H62" s="110">
        <v>0</v>
      </c>
      <c r="I62" s="110">
        <v>6</v>
      </c>
      <c r="J62" s="110">
        <v>0</v>
      </c>
      <c r="K62" s="110">
        <v>0</v>
      </c>
      <c r="L62" s="110">
        <v>0</v>
      </c>
      <c r="M62" s="110">
        <v>0</v>
      </c>
      <c r="N62" s="110">
        <v>0</v>
      </c>
      <c r="O62" s="110">
        <v>6</v>
      </c>
      <c r="P62" s="110">
        <v>0</v>
      </c>
      <c r="Q62" s="110">
        <v>0</v>
      </c>
      <c r="R62" s="110">
        <v>0</v>
      </c>
      <c r="S62" s="110">
        <v>6</v>
      </c>
      <c r="T62" s="110">
        <v>6</v>
      </c>
      <c r="U62" s="110">
        <v>0</v>
      </c>
      <c r="V62" s="110">
        <v>6</v>
      </c>
      <c r="W62" s="110">
        <v>0</v>
      </c>
      <c r="X62" s="110">
        <v>0</v>
      </c>
      <c r="Y62" s="110">
        <v>0</v>
      </c>
      <c r="Z62" s="110">
        <v>6</v>
      </c>
      <c r="AA62" s="110">
        <v>6</v>
      </c>
      <c r="AB62" s="110">
        <v>0</v>
      </c>
      <c r="AC62" s="110">
        <v>0</v>
      </c>
      <c r="AD62" s="110">
        <v>0</v>
      </c>
      <c r="AE62" s="110">
        <v>0</v>
      </c>
      <c r="AF62" s="110">
        <v>0</v>
      </c>
      <c r="AG62" s="110">
        <v>0</v>
      </c>
      <c r="AH62" s="110">
        <v>0</v>
      </c>
      <c r="AI62" s="110">
        <v>0</v>
      </c>
      <c r="AJ62" s="110">
        <v>0</v>
      </c>
      <c r="AK62" s="110">
        <v>0</v>
      </c>
      <c r="AL62" s="110">
        <v>0</v>
      </c>
      <c r="AM62" s="110">
        <v>0</v>
      </c>
      <c r="AN62" s="110">
        <v>0</v>
      </c>
      <c r="AO62" s="110">
        <v>0</v>
      </c>
      <c r="AP62" s="110">
        <v>0</v>
      </c>
      <c r="AQ62" s="110">
        <v>0</v>
      </c>
      <c r="AR62" s="110">
        <v>0</v>
      </c>
      <c r="AS62" s="110">
        <v>0</v>
      </c>
      <c r="AT62" s="110">
        <v>0</v>
      </c>
      <c r="AU62" s="110">
        <v>0</v>
      </c>
      <c r="AV62" s="110">
        <v>0</v>
      </c>
      <c r="AW62" s="110">
        <v>0</v>
      </c>
      <c r="AX62" s="110">
        <v>6</v>
      </c>
      <c r="AY62" s="110">
        <v>0</v>
      </c>
      <c r="AZ62" s="110">
        <v>0</v>
      </c>
      <c r="BA62" s="110">
        <v>0</v>
      </c>
      <c r="BB62" s="110">
        <v>6</v>
      </c>
      <c r="BC62" s="110">
        <v>6</v>
      </c>
      <c r="BD62" s="110">
        <v>0</v>
      </c>
      <c r="BE62" s="110">
        <v>0</v>
      </c>
      <c r="BF62" s="110">
        <v>0</v>
      </c>
      <c r="BG62" s="110">
        <v>0</v>
      </c>
      <c r="BH62" s="110">
        <v>0</v>
      </c>
      <c r="BI62" s="110">
        <v>0</v>
      </c>
      <c r="BJ62" s="110">
        <v>0</v>
      </c>
      <c r="BK62" s="110">
        <v>0</v>
      </c>
      <c r="BL62" s="110">
        <v>0</v>
      </c>
      <c r="BM62" s="110">
        <v>0</v>
      </c>
      <c r="BN62" s="110">
        <v>0</v>
      </c>
      <c r="BO62" s="110">
        <v>0</v>
      </c>
      <c r="BP62" s="110">
        <v>0</v>
      </c>
      <c r="BQ62" s="110">
        <v>0</v>
      </c>
      <c r="BR62" s="110">
        <v>0</v>
      </c>
      <c r="BS62" s="110">
        <v>0</v>
      </c>
      <c r="BT62" s="110">
        <v>0</v>
      </c>
      <c r="BU62" s="110">
        <v>0</v>
      </c>
      <c r="BV62" s="110">
        <v>0</v>
      </c>
      <c r="BW62" s="110">
        <v>0</v>
      </c>
      <c r="BX62" s="110">
        <v>0</v>
      </c>
      <c r="BY62" s="110">
        <v>0</v>
      </c>
      <c r="BZ62" s="110">
        <v>0</v>
      </c>
      <c r="CA62" s="110">
        <v>0</v>
      </c>
      <c r="CB62" s="110">
        <v>0</v>
      </c>
      <c r="CC62" s="110">
        <v>0</v>
      </c>
      <c r="CD62" s="110">
        <v>0</v>
      </c>
      <c r="CE62" s="110">
        <v>0</v>
      </c>
      <c r="CF62" s="110">
        <v>0</v>
      </c>
      <c r="CG62" s="110">
        <v>0</v>
      </c>
      <c r="CH62" s="110">
        <v>0</v>
      </c>
      <c r="CI62" s="110">
        <v>0</v>
      </c>
      <c r="CJ62" s="110">
        <v>0</v>
      </c>
      <c r="CK62" s="110">
        <v>0</v>
      </c>
      <c r="CL62" s="110">
        <v>0</v>
      </c>
      <c r="CM62" s="110">
        <v>0</v>
      </c>
      <c r="CN62" s="110">
        <v>0</v>
      </c>
      <c r="CO62" s="110">
        <v>0</v>
      </c>
      <c r="CP62" s="110">
        <v>0</v>
      </c>
      <c r="CQ62" s="110">
        <v>0</v>
      </c>
      <c r="CR62" s="110">
        <v>6</v>
      </c>
      <c r="CS62" s="110">
        <v>0</v>
      </c>
      <c r="CT62" s="110">
        <v>0</v>
      </c>
      <c r="CU62" s="110">
        <v>0</v>
      </c>
      <c r="CV62" s="111">
        <v>0</v>
      </c>
      <c r="CW62" s="111">
        <v>0</v>
      </c>
      <c r="CX62" s="111">
        <v>0</v>
      </c>
      <c r="CY62" s="111">
        <v>0</v>
      </c>
      <c r="CZ62" s="111">
        <v>0</v>
      </c>
      <c r="DA62" s="111">
        <v>0</v>
      </c>
      <c r="DB62" s="111">
        <v>0</v>
      </c>
      <c r="DC62" s="111">
        <v>0</v>
      </c>
      <c r="DD62" s="111">
        <v>0</v>
      </c>
      <c r="DE62" s="111">
        <v>0</v>
      </c>
      <c r="DF62" s="111">
        <v>0</v>
      </c>
      <c r="DG62" s="111">
        <v>0</v>
      </c>
      <c r="DH62" s="111">
        <v>0</v>
      </c>
      <c r="DI62" s="111">
        <v>0</v>
      </c>
      <c r="DJ62" s="111">
        <v>0</v>
      </c>
      <c r="DK62" s="111">
        <v>0</v>
      </c>
      <c r="DL62" s="111">
        <v>0</v>
      </c>
      <c r="DM62" s="111">
        <v>0</v>
      </c>
      <c r="DN62" s="111">
        <v>0</v>
      </c>
      <c r="DO62" s="111">
        <v>0</v>
      </c>
      <c r="DP62" s="111">
        <v>0</v>
      </c>
      <c r="DQ62" s="111">
        <v>0</v>
      </c>
      <c r="DR62" s="111">
        <v>0</v>
      </c>
      <c r="DS62" s="111">
        <v>0</v>
      </c>
      <c r="DT62" s="111">
        <v>0</v>
      </c>
      <c r="DU62" s="111">
        <v>0</v>
      </c>
      <c r="DV62" s="111">
        <v>0</v>
      </c>
      <c r="DW62" s="111">
        <v>0</v>
      </c>
      <c r="DX62" s="111">
        <v>0</v>
      </c>
      <c r="DY62" s="111">
        <v>0</v>
      </c>
      <c r="DZ62" s="111">
        <v>0</v>
      </c>
      <c r="EA62" s="111">
        <v>0</v>
      </c>
      <c r="EB62" s="111">
        <v>0</v>
      </c>
      <c r="EC62" s="111">
        <v>0</v>
      </c>
      <c r="ED62" s="111">
        <v>0</v>
      </c>
      <c r="EE62" s="111">
        <v>0</v>
      </c>
      <c r="EF62" s="111">
        <v>0</v>
      </c>
      <c r="EG62" s="111">
        <v>0</v>
      </c>
      <c r="EH62" s="111">
        <v>0</v>
      </c>
      <c r="EI62" s="111">
        <v>0</v>
      </c>
      <c r="EJ62" s="111">
        <v>0</v>
      </c>
      <c r="EK62" s="111">
        <v>0</v>
      </c>
      <c r="EL62" s="111">
        <v>0</v>
      </c>
      <c r="EM62" s="111">
        <v>0</v>
      </c>
      <c r="EN62" s="111">
        <v>0</v>
      </c>
      <c r="EO62" s="111">
        <v>0</v>
      </c>
      <c r="EP62" s="111">
        <v>0</v>
      </c>
      <c r="EQ62" s="111">
        <v>0</v>
      </c>
      <c r="ER62" s="111">
        <v>0</v>
      </c>
      <c r="ES62" s="111">
        <v>0</v>
      </c>
      <c r="ET62" s="111">
        <v>0</v>
      </c>
      <c r="EU62" s="111">
        <v>0</v>
      </c>
      <c r="EV62" s="111">
        <v>0</v>
      </c>
      <c r="EW62" s="111">
        <v>0</v>
      </c>
      <c r="EX62" s="111">
        <v>0</v>
      </c>
      <c r="EY62" s="111">
        <v>0</v>
      </c>
      <c r="EZ62" s="111">
        <v>0</v>
      </c>
      <c r="FA62" s="111">
        <v>0</v>
      </c>
      <c r="FB62" s="111">
        <v>0</v>
      </c>
    </row>
    <row r="63" spans="1:158" ht="19.5" customHeight="1">
      <c r="A63" s="107">
        <v>60</v>
      </c>
      <c r="B63" s="107" t="s">
        <v>401</v>
      </c>
      <c r="C63" s="107" t="s">
        <v>416</v>
      </c>
      <c r="D63" s="110">
        <v>363763</v>
      </c>
      <c r="E63" s="110">
        <v>363763</v>
      </c>
      <c r="F63" s="110">
        <v>0</v>
      </c>
      <c r="G63" s="110">
        <v>338</v>
      </c>
      <c r="H63" s="110">
        <v>0</v>
      </c>
      <c r="I63" s="110">
        <v>0</v>
      </c>
      <c r="J63" s="110">
        <v>0</v>
      </c>
      <c r="K63" s="110">
        <v>0</v>
      </c>
      <c r="L63" s="110">
        <v>0</v>
      </c>
      <c r="M63" s="110">
        <v>0</v>
      </c>
      <c r="N63" s="110">
        <v>0</v>
      </c>
      <c r="O63" s="110">
        <v>363763</v>
      </c>
      <c r="P63" s="110">
        <v>267893</v>
      </c>
      <c r="Q63" s="110">
        <v>233577</v>
      </c>
      <c r="R63" s="110">
        <v>34316</v>
      </c>
      <c r="S63" s="110">
        <v>95870</v>
      </c>
      <c r="T63" s="110">
        <v>62798</v>
      </c>
      <c r="U63" s="110">
        <v>33072</v>
      </c>
      <c r="V63" s="110">
        <v>363763</v>
      </c>
      <c r="W63" s="110">
        <v>267893</v>
      </c>
      <c r="X63" s="110">
        <v>233577</v>
      </c>
      <c r="Y63" s="110">
        <v>34316</v>
      </c>
      <c r="Z63" s="110">
        <v>95870</v>
      </c>
      <c r="AA63" s="110">
        <v>62798</v>
      </c>
      <c r="AB63" s="110">
        <v>33072</v>
      </c>
      <c r="AC63" s="110">
        <v>0</v>
      </c>
      <c r="AD63" s="110">
        <v>0</v>
      </c>
      <c r="AE63" s="110">
        <v>0</v>
      </c>
      <c r="AF63" s="110">
        <v>0</v>
      </c>
      <c r="AG63" s="110">
        <v>0</v>
      </c>
      <c r="AH63" s="110">
        <v>0</v>
      </c>
      <c r="AI63" s="110">
        <v>0</v>
      </c>
      <c r="AJ63" s="110">
        <v>0</v>
      </c>
      <c r="AK63" s="110">
        <v>0</v>
      </c>
      <c r="AL63" s="110">
        <v>0</v>
      </c>
      <c r="AM63" s="110">
        <v>0</v>
      </c>
      <c r="AN63" s="110">
        <v>0</v>
      </c>
      <c r="AO63" s="110">
        <v>0</v>
      </c>
      <c r="AP63" s="110">
        <v>0</v>
      </c>
      <c r="AQ63" s="110">
        <v>349427</v>
      </c>
      <c r="AR63" s="110">
        <v>263285</v>
      </c>
      <c r="AS63" s="110">
        <v>232041</v>
      </c>
      <c r="AT63" s="110">
        <v>31244</v>
      </c>
      <c r="AU63" s="110">
        <v>86142</v>
      </c>
      <c r="AV63" s="110">
        <v>61262</v>
      </c>
      <c r="AW63" s="110">
        <v>24880</v>
      </c>
      <c r="AX63" s="110">
        <v>14336</v>
      </c>
      <c r="AY63" s="110">
        <v>4608</v>
      </c>
      <c r="AZ63" s="110">
        <v>1536</v>
      </c>
      <c r="BA63" s="110">
        <v>3072</v>
      </c>
      <c r="BB63" s="110">
        <v>9728</v>
      </c>
      <c r="BC63" s="110">
        <v>1536</v>
      </c>
      <c r="BD63" s="110">
        <v>8192</v>
      </c>
      <c r="BE63" s="110">
        <v>0</v>
      </c>
      <c r="BF63" s="110">
        <v>0</v>
      </c>
      <c r="BG63" s="110">
        <v>0</v>
      </c>
      <c r="BH63" s="110">
        <v>0</v>
      </c>
      <c r="BI63" s="110">
        <v>0</v>
      </c>
      <c r="BJ63" s="110">
        <v>0</v>
      </c>
      <c r="BK63" s="110">
        <v>0</v>
      </c>
      <c r="BL63" s="110">
        <v>0</v>
      </c>
      <c r="BM63" s="110">
        <v>0</v>
      </c>
      <c r="BN63" s="110">
        <v>0</v>
      </c>
      <c r="BO63" s="110">
        <v>0</v>
      </c>
      <c r="BP63" s="110">
        <v>0</v>
      </c>
      <c r="BQ63" s="110">
        <v>0</v>
      </c>
      <c r="BR63" s="110">
        <v>0</v>
      </c>
      <c r="BS63" s="110">
        <v>0</v>
      </c>
      <c r="BT63" s="110">
        <v>0</v>
      </c>
      <c r="BU63" s="110">
        <v>0</v>
      </c>
      <c r="BV63" s="110">
        <v>0</v>
      </c>
      <c r="BW63" s="110">
        <v>0</v>
      </c>
      <c r="BX63" s="110">
        <v>0</v>
      </c>
      <c r="BY63" s="110">
        <v>0</v>
      </c>
      <c r="BZ63" s="110">
        <v>0</v>
      </c>
      <c r="CA63" s="110">
        <v>0</v>
      </c>
      <c r="CB63" s="110">
        <v>0</v>
      </c>
      <c r="CC63" s="110">
        <v>0</v>
      </c>
      <c r="CD63" s="110">
        <v>0</v>
      </c>
      <c r="CE63" s="110">
        <v>0</v>
      </c>
      <c r="CF63" s="110">
        <v>0</v>
      </c>
      <c r="CG63" s="110">
        <v>0</v>
      </c>
      <c r="CH63" s="110">
        <v>0</v>
      </c>
      <c r="CI63" s="110">
        <v>0</v>
      </c>
      <c r="CJ63" s="110">
        <v>0</v>
      </c>
      <c r="CK63" s="110">
        <v>0</v>
      </c>
      <c r="CL63" s="110">
        <v>0</v>
      </c>
      <c r="CM63" s="110">
        <v>0</v>
      </c>
      <c r="CN63" s="110">
        <v>0</v>
      </c>
      <c r="CO63" s="110">
        <v>0</v>
      </c>
      <c r="CP63" s="110">
        <v>0</v>
      </c>
      <c r="CQ63" s="110">
        <v>333072</v>
      </c>
      <c r="CR63" s="110">
        <v>30691</v>
      </c>
      <c r="CS63" s="110">
        <v>0</v>
      </c>
      <c r="CT63" s="110">
        <v>0</v>
      </c>
      <c r="CU63" s="110">
        <v>0</v>
      </c>
      <c r="CV63" s="111">
        <v>338</v>
      </c>
      <c r="CW63" s="111">
        <v>213</v>
      </c>
      <c r="CX63" s="111">
        <v>175</v>
      </c>
      <c r="CY63" s="111">
        <v>38</v>
      </c>
      <c r="CZ63" s="111">
        <v>125</v>
      </c>
      <c r="DA63" s="111">
        <v>49</v>
      </c>
      <c r="DB63" s="111">
        <v>76</v>
      </c>
      <c r="DC63" s="111">
        <v>282</v>
      </c>
      <c r="DD63" s="111">
        <v>0</v>
      </c>
      <c r="DE63" s="111">
        <v>195</v>
      </c>
      <c r="DF63" s="111">
        <v>169</v>
      </c>
      <c r="DG63" s="111">
        <v>26</v>
      </c>
      <c r="DH63" s="111">
        <v>87</v>
      </c>
      <c r="DI63" s="111">
        <v>43</v>
      </c>
      <c r="DJ63" s="111">
        <v>44</v>
      </c>
      <c r="DK63" s="111">
        <v>0</v>
      </c>
      <c r="DL63" s="111">
        <v>0</v>
      </c>
      <c r="DM63" s="111">
        <v>0</v>
      </c>
      <c r="DN63" s="111">
        <v>0</v>
      </c>
      <c r="DO63" s="111">
        <v>0</v>
      </c>
      <c r="DP63" s="111">
        <v>0</v>
      </c>
      <c r="DQ63" s="111">
        <v>0</v>
      </c>
      <c r="DR63" s="111">
        <v>56</v>
      </c>
      <c r="DS63" s="111">
        <v>0</v>
      </c>
      <c r="DT63" s="111">
        <v>18</v>
      </c>
      <c r="DU63" s="111">
        <v>6</v>
      </c>
      <c r="DV63" s="111">
        <v>12</v>
      </c>
      <c r="DW63" s="111">
        <v>38</v>
      </c>
      <c r="DX63" s="111">
        <v>6</v>
      </c>
      <c r="DY63" s="111">
        <v>32</v>
      </c>
      <c r="DZ63" s="111">
        <v>0</v>
      </c>
      <c r="EA63" s="111">
        <v>0</v>
      </c>
      <c r="EB63" s="111">
        <v>0</v>
      </c>
      <c r="EC63" s="111">
        <v>0</v>
      </c>
      <c r="ED63" s="111">
        <v>0</v>
      </c>
      <c r="EE63" s="111">
        <v>0</v>
      </c>
      <c r="EF63" s="111">
        <v>0</v>
      </c>
      <c r="EG63" s="111">
        <v>0</v>
      </c>
      <c r="EH63" s="111">
        <v>0</v>
      </c>
      <c r="EI63" s="111">
        <v>0</v>
      </c>
      <c r="EJ63" s="111">
        <v>0</v>
      </c>
      <c r="EK63" s="111">
        <v>0</v>
      </c>
      <c r="EL63" s="111">
        <v>0</v>
      </c>
      <c r="EM63" s="111">
        <v>0</v>
      </c>
      <c r="EN63" s="111">
        <v>0</v>
      </c>
      <c r="EO63" s="111">
        <v>0</v>
      </c>
      <c r="EP63" s="111">
        <v>0</v>
      </c>
      <c r="EQ63" s="111">
        <v>0</v>
      </c>
      <c r="ER63" s="111">
        <v>0</v>
      </c>
      <c r="ES63" s="111">
        <v>0</v>
      </c>
      <c r="ET63" s="111">
        <v>0</v>
      </c>
      <c r="EU63" s="111">
        <v>0</v>
      </c>
      <c r="EV63" s="111">
        <v>0</v>
      </c>
      <c r="EW63" s="111">
        <v>0</v>
      </c>
      <c r="EX63" s="111">
        <v>0</v>
      </c>
      <c r="EY63" s="111">
        <v>0</v>
      </c>
      <c r="EZ63" s="111">
        <v>0</v>
      </c>
      <c r="FA63" s="111">
        <v>0</v>
      </c>
      <c r="FB63" s="111">
        <v>0</v>
      </c>
    </row>
    <row r="64" spans="1:158" ht="19.5" customHeight="1">
      <c r="A64" s="107">
        <v>61</v>
      </c>
      <c r="B64" s="107" t="s">
        <v>401</v>
      </c>
      <c r="C64" s="107" t="s">
        <v>417</v>
      </c>
      <c r="D64" s="110">
        <v>365549</v>
      </c>
      <c r="E64" s="110">
        <v>365549</v>
      </c>
      <c r="F64" s="110">
        <v>0</v>
      </c>
      <c r="G64" s="110">
        <v>3604</v>
      </c>
      <c r="H64" s="110">
        <v>0</v>
      </c>
      <c r="I64" s="110">
        <v>72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367248.88</v>
      </c>
      <c r="P64" s="110">
        <v>190885.88</v>
      </c>
      <c r="Q64" s="110">
        <v>140012.88</v>
      </c>
      <c r="R64" s="110">
        <v>50873</v>
      </c>
      <c r="S64" s="110">
        <v>176363</v>
      </c>
      <c r="T64" s="110">
        <v>52331</v>
      </c>
      <c r="U64" s="110">
        <v>124032</v>
      </c>
      <c r="V64" s="110">
        <v>367248.88</v>
      </c>
      <c r="W64" s="110">
        <v>190885.88</v>
      </c>
      <c r="X64" s="110">
        <v>140012.88</v>
      </c>
      <c r="Y64" s="110">
        <v>50873</v>
      </c>
      <c r="Z64" s="110">
        <v>176363</v>
      </c>
      <c r="AA64" s="110">
        <v>52331</v>
      </c>
      <c r="AB64" s="110">
        <v>124032</v>
      </c>
      <c r="AC64" s="110">
        <v>26.88</v>
      </c>
      <c r="AD64" s="110">
        <v>26.88</v>
      </c>
      <c r="AE64" s="110">
        <v>26.88</v>
      </c>
      <c r="AF64" s="110">
        <v>0</v>
      </c>
      <c r="AG64" s="110">
        <v>0</v>
      </c>
      <c r="AH64" s="110">
        <v>0</v>
      </c>
      <c r="AI64" s="110">
        <v>0</v>
      </c>
      <c r="AJ64" s="110">
        <v>1673</v>
      </c>
      <c r="AK64" s="110">
        <v>43</v>
      </c>
      <c r="AL64" s="110">
        <v>43</v>
      </c>
      <c r="AM64" s="110">
        <v>0</v>
      </c>
      <c r="AN64" s="110">
        <v>1630</v>
      </c>
      <c r="AO64" s="110">
        <v>1630</v>
      </c>
      <c r="AP64" s="110">
        <v>0</v>
      </c>
      <c r="AQ64" s="110">
        <v>187745</v>
      </c>
      <c r="AR64" s="110">
        <v>133208</v>
      </c>
      <c r="AS64" s="110">
        <v>98819</v>
      </c>
      <c r="AT64" s="110">
        <v>34389</v>
      </c>
      <c r="AU64" s="110">
        <v>54537</v>
      </c>
      <c r="AV64" s="110">
        <v>27753</v>
      </c>
      <c r="AW64" s="110">
        <v>26784</v>
      </c>
      <c r="AX64" s="110">
        <v>177804</v>
      </c>
      <c r="AY64" s="110">
        <v>57608</v>
      </c>
      <c r="AZ64" s="110">
        <v>41124</v>
      </c>
      <c r="BA64" s="110">
        <v>16484</v>
      </c>
      <c r="BB64" s="110">
        <v>120196</v>
      </c>
      <c r="BC64" s="110">
        <v>22948</v>
      </c>
      <c r="BD64" s="110">
        <v>97248</v>
      </c>
      <c r="BE64" s="110">
        <v>0</v>
      </c>
      <c r="BF64" s="110">
        <v>0</v>
      </c>
      <c r="BG64" s="110">
        <v>0</v>
      </c>
      <c r="BH64" s="110">
        <v>0</v>
      </c>
      <c r="BI64" s="110">
        <v>0</v>
      </c>
      <c r="BJ64" s="110">
        <v>0</v>
      </c>
      <c r="BK64" s="110">
        <v>0</v>
      </c>
      <c r="BL64" s="110">
        <v>0</v>
      </c>
      <c r="BM64" s="110">
        <v>0</v>
      </c>
      <c r="BN64" s="110">
        <v>0</v>
      </c>
      <c r="BO64" s="110">
        <v>0</v>
      </c>
      <c r="BP64" s="110">
        <v>0</v>
      </c>
      <c r="BQ64" s="110">
        <v>0</v>
      </c>
      <c r="BR64" s="110">
        <v>0</v>
      </c>
      <c r="BS64" s="110">
        <v>0</v>
      </c>
      <c r="BT64" s="110">
        <v>0</v>
      </c>
      <c r="BU64" s="110">
        <v>0</v>
      </c>
      <c r="BV64" s="110">
        <v>0</v>
      </c>
      <c r="BW64" s="110">
        <v>0</v>
      </c>
      <c r="BX64" s="110">
        <v>0</v>
      </c>
      <c r="BY64" s="110">
        <v>0</v>
      </c>
      <c r="BZ64" s="110">
        <v>0</v>
      </c>
      <c r="CA64" s="110">
        <v>0</v>
      </c>
      <c r="CB64" s="110">
        <v>0</v>
      </c>
      <c r="CC64" s="110">
        <v>0</v>
      </c>
      <c r="CD64" s="110">
        <v>0</v>
      </c>
      <c r="CE64" s="110">
        <v>0</v>
      </c>
      <c r="CF64" s="110">
        <v>0</v>
      </c>
      <c r="CG64" s="110">
        <v>0</v>
      </c>
      <c r="CH64" s="110">
        <v>0</v>
      </c>
      <c r="CI64" s="110">
        <v>0</v>
      </c>
      <c r="CJ64" s="110">
        <v>0</v>
      </c>
      <c r="CK64" s="110">
        <v>0</v>
      </c>
      <c r="CL64" s="110">
        <v>0</v>
      </c>
      <c r="CM64" s="110">
        <v>0</v>
      </c>
      <c r="CN64" s="110">
        <v>80</v>
      </c>
      <c r="CO64" s="110">
        <v>160</v>
      </c>
      <c r="CP64" s="110">
        <v>80</v>
      </c>
      <c r="CQ64" s="110">
        <v>178408</v>
      </c>
      <c r="CR64" s="110">
        <v>188520.88</v>
      </c>
      <c r="CS64" s="110">
        <v>0</v>
      </c>
      <c r="CT64" s="110">
        <v>0</v>
      </c>
      <c r="CU64" s="110">
        <v>0</v>
      </c>
      <c r="CV64" s="111">
        <v>3604</v>
      </c>
      <c r="CW64" s="111">
        <v>2543</v>
      </c>
      <c r="CX64" s="111">
        <v>2004</v>
      </c>
      <c r="CY64" s="111">
        <v>539</v>
      </c>
      <c r="CZ64" s="111">
        <v>1061</v>
      </c>
      <c r="DA64" s="111">
        <v>459</v>
      </c>
      <c r="DB64" s="111">
        <v>602</v>
      </c>
      <c r="DC64" s="111">
        <v>3160</v>
      </c>
      <c r="DD64" s="111">
        <v>32</v>
      </c>
      <c r="DE64" s="111">
        <v>2376</v>
      </c>
      <c r="DF64" s="111">
        <v>1876</v>
      </c>
      <c r="DG64" s="111">
        <v>500</v>
      </c>
      <c r="DH64" s="111">
        <v>784</v>
      </c>
      <c r="DI64" s="111">
        <v>397</v>
      </c>
      <c r="DJ64" s="111">
        <v>387</v>
      </c>
      <c r="DK64" s="111">
        <v>0</v>
      </c>
      <c r="DL64" s="111">
        <v>0</v>
      </c>
      <c r="DM64" s="111">
        <v>0</v>
      </c>
      <c r="DN64" s="111">
        <v>0</v>
      </c>
      <c r="DO64" s="111">
        <v>0</v>
      </c>
      <c r="DP64" s="111">
        <v>0</v>
      </c>
      <c r="DQ64" s="111">
        <v>0</v>
      </c>
      <c r="DR64" s="111">
        <v>412</v>
      </c>
      <c r="DS64" s="111">
        <v>0</v>
      </c>
      <c r="DT64" s="111">
        <v>143</v>
      </c>
      <c r="DU64" s="111">
        <v>109</v>
      </c>
      <c r="DV64" s="111">
        <v>34</v>
      </c>
      <c r="DW64" s="111">
        <v>269</v>
      </c>
      <c r="DX64" s="111">
        <v>61</v>
      </c>
      <c r="DY64" s="111">
        <v>208</v>
      </c>
      <c r="DZ64" s="111">
        <v>0</v>
      </c>
      <c r="EA64" s="111">
        <v>0</v>
      </c>
      <c r="EB64" s="111">
        <v>0</v>
      </c>
      <c r="EC64" s="111">
        <v>0</v>
      </c>
      <c r="ED64" s="111">
        <v>0</v>
      </c>
      <c r="EE64" s="111">
        <v>0</v>
      </c>
      <c r="EF64" s="111">
        <v>0</v>
      </c>
      <c r="EG64" s="111">
        <v>0</v>
      </c>
      <c r="EH64" s="111">
        <v>0</v>
      </c>
      <c r="EI64" s="111">
        <v>0</v>
      </c>
      <c r="EJ64" s="111">
        <v>0</v>
      </c>
      <c r="EK64" s="111">
        <v>0</v>
      </c>
      <c r="EL64" s="111">
        <v>0</v>
      </c>
      <c r="EM64" s="111">
        <v>0</v>
      </c>
      <c r="EN64" s="111">
        <v>11</v>
      </c>
      <c r="EO64" s="111">
        <v>0</v>
      </c>
      <c r="EP64" s="111">
        <v>0</v>
      </c>
      <c r="EQ64" s="111">
        <v>11</v>
      </c>
      <c r="ER64" s="111">
        <v>0</v>
      </c>
      <c r="ES64" s="111">
        <v>0</v>
      </c>
      <c r="ET64" s="111">
        <v>0</v>
      </c>
      <c r="EU64" s="111">
        <v>0</v>
      </c>
      <c r="EV64" s="111">
        <v>0</v>
      </c>
      <c r="EW64" s="111">
        <v>0</v>
      </c>
      <c r="EX64" s="111">
        <v>0</v>
      </c>
      <c r="EY64" s="111">
        <v>0</v>
      </c>
      <c r="EZ64" s="111">
        <v>0</v>
      </c>
      <c r="FA64" s="111">
        <v>0</v>
      </c>
      <c r="FB64" s="111">
        <v>0</v>
      </c>
    </row>
    <row r="65" spans="1:158" ht="19.5" customHeight="1">
      <c r="A65" s="107">
        <v>62</v>
      </c>
      <c r="B65" s="107" t="s">
        <v>401</v>
      </c>
      <c r="C65" s="107" t="s">
        <v>418</v>
      </c>
      <c r="D65" s="110">
        <v>331032</v>
      </c>
      <c r="E65" s="110">
        <v>331032</v>
      </c>
      <c r="F65" s="110">
        <v>0</v>
      </c>
      <c r="G65" s="110">
        <v>1818</v>
      </c>
      <c r="H65" s="110">
        <v>0</v>
      </c>
      <c r="I65" s="110">
        <v>2510</v>
      </c>
      <c r="J65" s="110">
        <v>30224</v>
      </c>
      <c r="K65" s="110">
        <v>0</v>
      </c>
      <c r="L65" s="110">
        <v>0</v>
      </c>
      <c r="M65" s="110">
        <v>0</v>
      </c>
      <c r="N65" s="110">
        <v>0</v>
      </c>
      <c r="O65" s="110">
        <v>424854.17</v>
      </c>
      <c r="P65" s="110">
        <v>339377.89</v>
      </c>
      <c r="Q65" s="110">
        <v>308377.18</v>
      </c>
      <c r="R65" s="110">
        <v>31000.71</v>
      </c>
      <c r="S65" s="110">
        <v>85476.28</v>
      </c>
      <c r="T65" s="110">
        <v>52132.12</v>
      </c>
      <c r="U65" s="110">
        <v>33344.160000000003</v>
      </c>
      <c r="V65" s="110">
        <v>424854.17</v>
      </c>
      <c r="W65" s="110">
        <v>339377.89</v>
      </c>
      <c r="X65" s="110">
        <v>308377.18</v>
      </c>
      <c r="Y65" s="110">
        <v>31000.71</v>
      </c>
      <c r="Z65" s="110">
        <v>85476.28</v>
      </c>
      <c r="AA65" s="110">
        <v>52132.12</v>
      </c>
      <c r="AB65" s="110">
        <v>33344.160000000003</v>
      </c>
      <c r="AC65" s="110">
        <v>65295.77</v>
      </c>
      <c r="AD65" s="110">
        <v>49010.89</v>
      </c>
      <c r="AE65" s="110">
        <v>45423.18</v>
      </c>
      <c r="AF65" s="110">
        <v>3587.71</v>
      </c>
      <c r="AG65" s="110">
        <v>16284.88</v>
      </c>
      <c r="AH65" s="110">
        <v>9941.7199999999993</v>
      </c>
      <c r="AI65" s="110">
        <v>6343.16</v>
      </c>
      <c r="AJ65" s="110">
        <v>28526.400000000001</v>
      </c>
      <c r="AK65" s="110">
        <v>23880</v>
      </c>
      <c r="AL65" s="110">
        <v>22040</v>
      </c>
      <c r="AM65" s="110">
        <v>1840</v>
      </c>
      <c r="AN65" s="110">
        <v>4646.3999999999996</v>
      </c>
      <c r="AO65" s="110">
        <v>3476.4</v>
      </c>
      <c r="AP65" s="110">
        <v>1170</v>
      </c>
      <c r="AQ65" s="110">
        <v>199086</v>
      </c>
      <c r="AR65" s="110">
        <v>162381</v>
      </c>
      <c r="AS65" s="110">
        <v>152833</v>
      </c>
      <c r="AT65" s="110">
        <v>9548</v>
      </c>
      <c r="AU65" s="110">
        <v>36705</v>
      </c>
      <c r="AV65" s="110">
        <v>22865</v>
      </c>
      <c r="AW65" s="110">
        <v>13840</v>
      </c>
      <c r="AX65" s="110">
        <v>131946</v>
      </c>
      <c r="AY65" s="110">
        <v>104106</v>
      </c>
      <c r="AZ65" s="110">
        <v>88081</v>
      </c>
      <c r="BA65" s="110">
        <v>16025</v>
      </c>
      <c r="BB65" s="110">
        <v>27840</v>
      </c>
      <c r="BC65" s="110">
        <v>15849</v>
      </c>
      <c r="BD65" s="110">
        <v>11991</v>
      </c>
      <c r="BE65" s="110">
        <v>0</v>
      </c>
      <c r="BF65" s="110">
        <v>0</v>
      </c>
      <c r="BG65" s="110">
        <v>0</v>
      </c>
      <c r="BH65" s="110">
        <v>0</v>
      </c>
      <c r="BI65" s="110">
        <v>0</v>
      </c>
      <c r="BJ65" s="110">
        <v>0</v>
      </c>
      <c r="BK65" s="110">
        <v>0</v>
      </c>
      <c r="BL65" s="110">
        <v>0</v>
      </c>
      <c r="BM65" s="110">
        <v>0</v>
      </c>
      <c r="BN65" s="110">
        <v>0</v>
      </c>
      <c r="BO65" s="110">
        <v>0</v>
      </c>
      <c r="BP65" s="110">
        <v>0</v>
      </c>
      <c r="BQ65" s="110">
        <v>0</v>
      </c>
      <c r="BR65" s="110">
        <v>0</v>
      </c>
      <c r="BS65" s="110">
        <v>0</v>
      </c>
      <c r="BT65" s="110">
        <v>0</v>
      </c>
      <c r="BU65" s="110">
        <v>0</v>
      </c>
      <c r="BV65" s="110">
        <v>0</v>
      </c>
      <c r="BW65" s="110">
        <v>0</v>
      </c>
      <c r="BX65" s="110">
        <v>0</v>
      </c>
      <c r="BY65" s="110">
        <v>0</v>
      </c>
      <c r="BZ65" s="110">
        <v>0</v>
      </c>
      <c r="CA65" s="110">
        <v>0</v>
      </c>
      <c r="CB65" s="110">
        <v>0</v>
      </c>
      <c r="CC65" s="110">
        <v>0</v>
      </c>
      <c r="CD65" s="110">
        <v>0</v>
      </c>
      <c r="CE65" s="110">
        <v>0</v>
      </c>
      <c r="CF65" s="110">
        <v>0</v>
      </c>
      <c r="CG65" s="110">
        <v>0</v>
      </c>
      <c r="CH65" s="110">
        <v>0</v>
      </c>
      <c r="CI65" s="110">
        <v>0</v>
      </c>
      <c r="CJ65" s="110">
        <v>0</v>
      </c>
      <c r="CK65" s="110">
        <v>0</v>
      </c>
      <c r="CL65" s="110">
        <v>0</v>
      </c>
      <c r="CM65" s="110">
        <v>0</v>
      </c>
      <c r="CN65" s="110">
        <v>0</v>
      </c>
      <c r="CO65" s="110">
        <v>0</v>
      </c>
      <c r="CP65" s="110">
        <v>42640.71</v>
      </c>
      <c r="CQ65" s="110">
        <v>192109.89</v>
      </c>
      <c r="CR65" s="110">
        <v>190103.57</v>
      </c>
      <c r="CS65" s="110">
        <v>0</v>
      </c>
      <c r="CT65" s="110">
        <v>0</v>
      </c>
      <c r="CU65" s="110">
        <v>0</v>
      </c>
      <c r="CV65" s="111">
        <v>1818</v>
      </c>
      <c r="CW65" s="111">
        <v>1495</v>
      </c>
      <c r="CX65" s="111">
        <v>1399</v>
      </c>
      <c r="CY65" s="111">
        <v>96</v>
      </c>
      <c r="CZ65" s="111">
        <v>323</v>
      </c>
      <c r="DA65" s="111">
        <v>174</v>
      </c>
      <c r="DB65" s="111">
        <v>149</v>
      </c>
      <c r="DC65" s="111">
        <v>1408</v>
      </c>
      <c r="DD65" s="111">
        <v>43</v>
      </c>
      <c r="DE65" s="111">
        <v>1150</v>
      </c>
      <c r="DF65" s="111">
        <v>1089</v>
      </c>
      <c r="DG65" s="111">
        <v>61</v>
      </c>
      <c r="DH65" s="111">
        <v>258</v>
      </c>
      <c r="DI65" s="111">
        <v>147</v>
      </c>
      <c r="DJ65" s="111">
        <v>111</v>
      </c>
      <c r="DK65" s="111">
        <v>155</v>
      </c>
      <c r="DL65" s="111">
        <v>147</v>
      </c>
      <c r="DM65" s="111">
        <v>146</v>
      </c>
      <c r="DN65" s="111">
        <v>1</v>
      </c>
      <c r="DO65" s="111">
        <v>8</v>
      </c>
      <c r="DP65" s="111">
        <v>5</v>
      </c>
      <c r="DQ65" s="111">
        <v>3</v>
      </c>
      <c r="DR65" s="111">
        <v>212</v>
      </c>
      <c r="DS65" s="111">
        <v>0</v>
      </c>
      <c r="DT65" s="111">
        <v>163</v>
      </c>
      <c r="DU65" s="111">
        <v>130</v>
      </c>
      <c r="DV65" s="111">
        <v>33</v>
      </c>
      <c r="DW65" s="111">
        <v>49</v>
      </c>
      <c r="DX65" s="111">
        <v>22</v>
      </c>
      <c r="DY65" s="111">
        <v>27</v>
      </c>
      <c r="DZ65" s="111">
        <v>0</v>
      </c>
      <c r="EA65" s="111">
        <v>0</v>
      </c>
      <c r="EB65" s="111">
        <v>0</v>
      </c>
      <c r="EC65" s="111">
        <v>0</v>
      </c>
      <c r="ED65" s="111">
        <v>0</v>
      </c>
      <c r="EE65" s="111">
        <v>0</v>
      </c>
      <c r="EF65" s="111">
        <v>0</v>
      </c>
      <c r="EG65" s="111">
        <v>0</v>
      </c>
      <c r="EH65" s="111">
        <v>0</v>
      </c>
      <c r="EI65" s="111">
        <v>0</v>
      </c>
      <c r="EJ65" s="111">
        <v>0</v>
      </c>
      <c r="EK65" s="111">
        <v>0</v>
      </c>
      <c r="EL65" s="111">
        <v>0</v>
      </c>
      <c r="EM65" s="111">
        <v>0</v>
      </c>
      <c r="EN65" s="111">
        <v>93</v>
      </c>
      <c r="EO65" s="111">
        <v>1</v>
      </c>
      <c r="EP65" s="111">
        <v>0</v>
      </c>
      <c r="EQ65" s="111">
        <v>92</v>
      </c>
      <c r="ER65" s="111">
        <v>0</v>
      </c>
      <c r="ES65" s="111">
        <v>0</v>
      </c>
      <c r="ET65" s="111">
        <v>0</v>
      </c>
      <c r="EU65" s="111">
        <v>0</v>
      </c>
      <c r="EV65" s="111">
        <v>0</v>
      </c>
      <c r="EW65" s="111">
        <v>0</v>
      </c>
      <c r="EX65" s="111">
        <v>0</v>
      </c>
      <c r="EY65" s="111">
        <v>0</v>
      </c>
      <c r="EZ65" s="111">
        <v>0</v>
      </c>
      <c r="FA65" s="111">
        <v>0</v>
      </c>
      <c r="FB65" s="111">
        <v>0</v>
      </c>
    </row>
    <row r="66" spans="1:158" ht="28.5" customHeight="1">
      <c r="A66" s="107">
        <v>63</v>
      </c>
      <c r="B66" s="107" t="s">
        <v>407</v>
      </c>
      <c r="C66" s="107" t="s">
        <v>419</v>
      </c>
      <c r="D66" s="110">
        <v>55044</v>
      </c>
      <c r="E66" s="110">
        <v>55044</v>
      </c>
      <c r="F66" s="110">
        <v>0</v>
      </c>
      <c r="G66" s="110">
        <v>194</v>
      </c>
      <c r="H66" s="110">
        <v>0</v>
      </c>
      <c r="I66" s="110">
        <v>0</v>
      </c>
      <c r="J66" s="110">
        <v>0</v>
      </c>
      <c r="K66" s="110">
        <v>0</v>
      </c>
      <c r="L66" s="110">
        <v>0</v>
      </c>
      <c r="M66" s="110">
        <v>0</v>
      </c>
      <c r="N66" s="110">
        <v>0</v>
      </c>
      <c r="O66" s="110">
        <v>57314.82</v>
      </c>
      <c r="P66" s="110">
        <v>33600.79</v>
      </c>
      <c r="Q66" s="110">
        <v>0</v>
      </c>
      <c r="R66" s="110">
        <v>33600.79</v>
      </c>
      <c r="S66" s="110">
        <v>23714.03</v>
      </c>
      <c r="T66" s="110">
        <v>0</v>
      </c>
      <c r="U66" s="110">
        <v>23714.03</v>
      </c>
      <c r="V66" s="110">
        <v>57314.82</v>
      </c>
      <c r="W66" s="110">
        <v>33600.79</v>
      </c>
      <c r="X66" s="110">
        <v>0</v>
      </c>
      <c r="Y66" s="110">
        <v>33600.79</v>
      </c>
      <c r="Z66" s="110">
        <v>23714.03</v>
      </c>
      <c r="AA66" s="110">
        <v>0</v>
      </c>
      <c r="AB66" s="110">
        <v>23714.03</v>
      </c>
      <c r="AC66" s="110">
        <v>2232.8200000000002</v>
      </c>
      <c r="AD66" s="110">
        <v>434.79</v>
      </c>
      <c r="AE66" s="110">
        <v>0</v>
      </c>
      <c r="AF66" s="110">
        <v>434.79</v>
      </c>
      <c r="AG66" s="110">
        <v>1798.03</v>
      </c>
      <c r="AH66" s="110">
        <v>0</v>
      </c>
      <c r="AI66" s="110">
        <v>1798.03</v>
      </c>
      <c r="AJ66" s="110">
        <v>38</v>
      </c>
      <c r="AK66" s="110">
        <v>38</v>
      </c>
      <c r="AL66" s="110">
        <v>0</v>
      </c>
      <c r="AM66" s="110">
        <v>38</v>
      </c>
      <c r="AN66" s="110">
        <v>0</v>
      </c>
      <c r="AO66" s="110">
        <v>0</v>
      </c>
      <c r="AP66" s="110">
        <v>0</v>
      </c>
      <c r="AQ66" s="110">
        <v>50194</v>
      </c>
      <c r="AR66" s="110">
        <v>30253</v>
      </c>
      <c r="AS66" s="110">
        <v>0</v>
      </c>
      <c r="AT66" s="110">
        <v>30253</v>
      </c>
      <c r="AU66" s="110">
        <v>19941</v>
      </c>
      <c r="AV66" s="110">
        <v>0</v>
      </c>
      <c r="AW66" s="110">
        <v>19941</v>
      </c>
      <c r="AX66" s="110">
        <v>4850</v>
      </c>
      <c r="AY66" s="110">
        <v>2875</v>
      </c>
      <c r="AZ66" s="110">
        <v>0</v>
      </c>
      <c r="BA66" s="110">
        <v>2875</v>
      </c>
      <c r="BB66" s="110">
        <v>1975</v>
      </c>
      <c r="BC66" s="110">
        <v>0</v>
      </c>
      <c r="BD66" s="110">
        <v>1975</v>
      </c>
      <c r="BE66" s="110">
        <v>0</v>
      </c>
      <c r="BF66" s="110">
        <v>0</v>
      </c>
      <c r="BG66" s="110">
        <v>0</v>
      </c>
      <c r="BH66" s="110">
        <v>0</v>
      </c>
      <c r="BI66" s="110">
        <v>0</v>
      </c>
      <c r="BJ66" s="110">
        <v>0</v>
      </c>
      <c r="BK66" s="110">
        <v>0</v>
      </c>
      <c r="BL66" s="110">
        <v>0</v>
      </c>
      <c r="BM66" s="110">
        <v>0</v>
      </c>
      <c r="BN66" s="110">
        <v>0</v>
      </c>
      <c r="BO66" s="110">
        <v>0</v>
      </c>
      <c r="BP66" s="110">
        <v>0</v>
      </c>
      <c r="BQ66" s="110">
        <v>0</v>
      </c>
      <c r="BR66" s="110">
        <v>0</v>
      </c>
      <c r="BS66" s="110">
        <v>0</v>
      </c>
      <c r="BT66" s="110">
        <v>0</v>
      </c>
      <c r="BU66" s="110">
        <v>0</v>
      </c>
      <c r="BV66" s="110">
        <v>0</v>
      </c>
      <c r="BW66" s="110">
        <v>0</v>
      </c>
      <c r="BX66" s="110">
        <v>0</v>
      </c>
      <c r="BY66" s="110">
        <v>0</v>
      </c>
      <c r="BZ66" s="110">
        <v>0</v>
      </c>
      <c r="CA66" s="110">
        <v>0</v>
      </c>
      <c r="CB66" s="110">
        <v>0</v>
      </c>
      <c r="CC66" s="110">
        <v>0</v>
      </c>
      <c r="CD66" s="110">
        <v>0</v>
      </c>
      <c r="CE66" s="110">
        <v>0</v>
      </c>
      <c r="CF66" s="110">
        <v>0</v>
      </c>
      <c r="CG66" s="110">
        <v>0</v>
      </c>
      <c r="CH66" s="110">
        <v>0</v>
      </c>
      <c r="CI66" s="110">
        <v>0</v>
      </c>
      <c r="CJ66" s="110">
        <v>0</v>
      </c>
      <c r="CK66" s="110">
        <v>0</v>
      </c>
      <c r="CL66" s="110">
        <v>0</v>
      </c>
      <c r="CM66" s="110">
        <v>0</v>
      </c>
      <c r="CN66" s="110">
        <v>0</v>
      </c>
      <c r="CO66" s="110">
        <v>0</v>
      </c>
      <c r="CP66" s="110">
        <v>0</v>
      </c>
      <c r="CQ66" s="110">
        <v>57314.82</v>
      </c>
      <c r="CR66" s="110">
        <v>0</v>
      </c>
      <c r="CS66" s="110">
        <v>0</v>
      </c>
      <c r="CT66" s="110">
        <v>0</v>
      </c>
      <c r="CU66" s="110">
        <v>0</v>
      </c>
      <c r="CV66" s="111">
        <v>194</v>
      </c>
      <c r="CW66" s="111">
        <v>115</v>
      </c>
      <c r="CX66" s="111">
        <v>0</v>
      </c>
      <c r="CY66" s="111">
        <v>115</v>
      </c>
      <c r="CZ66" s="111">
        <v>79</v>
      </c>
      <c r="DA66" s="111">
        <v>0</v>
      </c>
      <c r="DB66" s="111">
        <v>79</v>
      </c>
      <c r="DC66" s="111">
        <v>194</v>
      </c>
      <c r="DD66" s="111">
        <v>0</v>
      </c>
      <c r="DE66" s="111">
        <v>115</v>
      </c>
      <c r="DF66" s="111">
        <v>0</v>
      </c>
      <c r="DG66" s="111">
        <v>115</v>
      </c>
      <c r="DH66" s="111">
        <v>79</v>
      </c>
      <c r="DI66" s="111">
        <v>0</v>
      </c>
      <c r="DJ66" s="111">
        <v>79</v>
      </c>
      <c r="DK66" s="111">
        <v>0</v>
      </c>
      <c r="DL66" s="111">
        <v>0</v>
      </c>
      <c r="DM66" s="111">
        <v>0</v>
      </c>
      <c r="DN66" s="111">
        <v>0</v>
      </c>
      <c r="DO66" s="111">
        <v>0</v>
      </c>
      <c r="DP66" s="111">
        <v>0</v>
      </c>
      <c r="DQ66" s="111">
        <v>0</v>
      </c>
      <c r="DR66" s="111">
        <v>0</v>
      </c>
      <c r="DS66" s="111">
        <v>0</v>
      </c>
      <c r="DT66" s="111">
        <v>0</v>
      </c>
      <c r="DU66" s="111">
        <v>0</v>
      </c>
      <c r="DV66" s="111">
        <v>0</v>
      </c>
      <c r="DW66" s="111">
        <v>0</v>
      </c>
      <c r="DX66" s="111">
        <v>0</v>
      </c>
      <c r="DY66" s="111">
        <v>0</v>
      </c>
      <c r="DZ66" s="111">
        <v>0</v>
      </c>
      <c r="EA66" s="111">
        <v>0</v>
      </c>
      <c r="EB66" s="111">
        <v>0</v>
      </c>
      <c r="EC66" s="111">
        <v>0</v>
      </c>
      <c r="ED66" s="111">
        <v>0</v>
      </c>
      <c r="EE66" s="111">
        <v>0</v>
      </c>
      <c r="EF66" s="111">
        <v>0</v>
      </c>
      <c r="EG66" s="111">
        <v>0</v>
      </c>
      <c r="EH66" s="111">
        <v>0</v>
      </c>
      <c r="EI66" s="111">
        <v>0</v>
      </c>
      <c r="EJ66" s="111">
        <v>0</v>
      </c>
      <c r="EK66" s="111">
        <v>0</v>
      </c>
      <c r="EL66" s="111">
        <v>0</v>
      </c>
      <c r="EM66" s="111">
        <v>0</v>
      </c>
      <c r="EN66" s="111">
        <v>0</v>
      </c>
      <c r="EO66" s="111">
        <v>0</v>
      </c>
      <c r="EP66" s="111">
        <v>0</v>
      </c>
      <c r="EQ66" s="111">
        <v>0</v>
      </c>
      <c r="ER66" s="111">
        <v>0</v>
      </c>
      <c r="ES66" s="111">
        <v>0</v>
      </c>
      <c r="ET66" s="111">
        <v>0</v>
      </c>
      <c r="EU66" s="111">
        <v>0</v>
      </c>
      <c r="EV66" s="111">
        <v>0</v>
      </c>
      <c r="EW66" s="111">
        <v>0</v>
      </c>
      <c r="EX66" s="111">
        <v>0</v>
      </c>
      <c r="EY66" s="111">
        <v>0</v>
      </c>
      <c r="EZ66" s="111">
        <v>0</v>
      </c>
      <c r="FA66" s="111">
        <v>0</v>
      </c>
      <c r="FB66" s="111">
        <v>0</v>
      </c>
    </row>
    <row r="67" spans="1:158" ht="19.5" customHeight="1">
      <c r="A67" s="107">
        <v>64</v>
      </c>
      <c r="B67" s="107"/>
      <c r="C67" s="107" t="s">
        <v>420</v>
      </c>
      <c r="D67" s="110">
        <v>67.5</v>
      </c>
      <c r="E67" s="110">
        <v>0</v>
      </c>
      <c r="F67" s="110">
        <v>67.5</v>
      </c>
      <c r="G67" s="110">
        <v>188</v>
      </c>
      <c r="H67" s="110">
        <v>74</v>
      </c>
      <c r="I67" s="110">
        <v>0</v>
      </c>
      <c r="J67" s="110">
        <v>0</v>
      </c>
      <c r="K67" s="110">
        <v>0</v>
      </c>
      <c r="L67" s="110">
        <v>0</v>
      </c>
      <c r="M67" s="110">
        <v>0</v>
      </c>
      <c r="N67" s="110">
        <v>0</v>
      </c>
      <c r="O67" s="110">
        <v>67.5</v>
      </c>
      <c r="P67" s="110">
        <v>0</v>
      </c>
      <c r="Q67" s="110">
        <v>0</v>
      </c>
      <c r="R67" s="110">
        <v>0</v>
      </c>
      <c r="S67" s="110">
        <v>67.5</v>
      </c>
      <c r="T67" s="110">
        <v>0</v>
      </c>
      <c r="U67" s="110">
        <v>67.5</v>
      </c>
      <c r="V67" s="110">
        <v>0</v>
      </c>
      <c r="W67" s="110">
        <v>0</v>
      </c>
      <c r="X67" s="110">
        <v>0</v>
      </c>
      <c r="Y67" s="110">
        <v>0</v>
      </c>
      <c r="Z67" s="110">
        <v>0</v>
      </c>
      <c r="AA67" s="110">
        <v>0</v>
      </c>
      <c r="AB67" s="110">
        <v>0</v>
      </c>
      <c r="AC67" s="110">
        <v>0</v>
      </c>
      <c r="AD67" s="110">
        <v>0</v>
      </c>
      <c r="AE67" s="110">
        <v>0</v>
      </c>
      <c r="AF67" s="110">
        <v>0</v>
      </c>
      <c r="AG67" s="110">
        <v>0</v>
      </c>
      <c r="AH67" s="110">
        <v>0</v>
      </c>
      <c r="AI67" s="110">
        <v>0</v>
      </c>
      <c r="AJ67" s="110">
        <v>0</v>
      </c>
      <c r="AK67" s="110">
        <v>0</v>
      </c>
      <c r="AL67" s="110">
        <v>0</v>
      </c>
      <c r="AM67" s="110">
        <v>0</v>
      </c>
      <c r="AN67" s="110">
        <v>0</v>
      </c>
      <c r="AO67" s="110">
        <v>0</v>
      </c>
      <c r="AP67" s="110">
        <v>0</v>
      </c>
      <c r="AQ67" s="110">
        <v>0</v>
      </c>
      <c r="AR67" s="110">
        <v>0</v>
      </c>
      <c r="AS67" s="110">
        <v>0</v>
      </c>
      <c r="AT67" s="110">
        <v>0</v>
      </c>
      <c r="AU67" s="110">
        <v>0</v>
      </c>
      <c r="AV67" s="110">
        <v>0</v>
      </c>
      <c r="AW67" s="110">
        <v>0</v>
      </c>
      <c r="AX67" s="110">
        <v>0</v>
      </c>
      <c r="AY67" s="110">
        <v>0</v>
      </c>
      <c r="AZ67" s="110">
        <v>0</v>
      </c>
      <c r="BA67" s="110">
        <v>0</v>
      </c>
      <c r="BB67" s="110">
        <v>0</v>
      </c>
      <c r="BC67" s="110">
        <v>0</v>
      </c>
      <c r="BD67" s="110">
        <v>0</v>
      </c>
      <c r="BE67" s="110">
        <v>67.5</v>
      </c>
      <c r="BF67" s="110">
        <v>0</v>
      </c>
      <c r="BG67" s="110">
        <v>0</v>
      </c>
      <c r="BH67" s="110">
        <v>0</v>
      </c>
      <c r="BI67" s="110">
        <v>67.5</v>
      </c>
      <c r="BJ67" s="110">
        <v>0</v>
      </c>
      <c r="BK67" s="110">
        <v>67.5</v>
      </c>
      <c r="BL67" s="110">
        <v>0</v>
      </c>
      <c r="BM67" s="110">
        <v>0</v>
      </c>
      <c r="BN67" s="110">
        <v>0</v>
      </c>
      <c r="BO67" s="110">
        <v>0</v>
      </c>
      <c r="BP67" s="110">
        <v>0</v>
      </c>
      <c r="BQ67" s="110">
        <v>0</v>
      </c>
      <c r="BR67" s="110">
        <v>0</v>
      </c>
      <c r="BS67" s="110">
        <v>0</v>
      </c>
      <c r="BT67" s="110">
        <v>0</v>
      </c>
      <c r="BU67" s="110">
        <v>0</v>
      </c>
      <c r="BV67" s="110">
        <v>0</v>
      </c>
      <c r="BW67" s="110">
        <v>0</v>
      </c>
      <c r="BX67" s="110">
        <v>0</v>
      </c>
      <c r="BY67" s="110">
        <v>0</v>
      </c>
      <c r="BZ67" s="110">
        <v>0</v>
      </c>
      <c r="CA67" s="110">
        <v>0</v>
      </c>
      <c r="CB67" s="110">
        <v>0</v>
      </c>
      <c r="CC67" s="110">
        <v>0</v>
      </c>
      <c r="CD67" s="110">
        <v>0</v>
      </c>
      <c r="CE67" s="110">
        <v>0</v>
      </c>
      <c r="CF67" s="110">
        <v>0</v>
      </c>
      <c r="CG67" s="110">
        <v>67.5</v>
      </c>
      <c r="CH67" s="110">
        <v>0</v>
      </c>
      <c r="CI67" s="110">
        <v>0</v>
      </c>
      <c r="CJ67" s="110">
        <v>0</v>
      </c>
      <c r="CK67" s="110">
        <v>67.5</v>
      </c>
      <c r="CL67" s="110">
        <v>0</v>
      </c>
      <c r="CM67" s="110">
        <v>67.5</v>
      </c>
      <c r="CN67" s="110">
        <v>0</v>
      </c>
      <c r="CO67" s="110">
        <v>0</v>
      </c>
      <c r="CP67" s="110">
        <v>0</v>
      </c>
      <c r="CQ67" s="110">
        <v>250</v>
      </c>
      <c r="CR67" s="110">
        <v>0</v>
      </c>
      <c r="CS67" s="110">
        <v>0</v>
      </c>
      <c r="CT67" s="110">
        <v>0</v>
      </c>
      <c r="CU67" s="110">
        <v>0</v>
      </c>
      <c r="CV67" s="111">
        <v>188</v>
      </c>
      <c r="CW67" s="111">
        <v>60</v>
      </c>
      <c r="CX67" s="111">
        <v>9</v>
      </c>
      <c r="CY67" s="111">
        <v>51</v>
      </c>
      <c r="CZ67" s="111">
        <v>128</v>
      </c>
      <c r="DA67" s="111">
        <v>0</v>
      </c>
      <c r="DB67" s="111">
        <v>128</v>
      </c>
      <c r="DC67" s="111">
        <v>188</v>
      </c>
      <c r="DD67" s="111">
        <v>0</v>
      </c>
      <c r="DE67" s="111">
        <v>60</v>
      </c>
      <c r="DF67" s="111">
        <v>9</v>
      </c>
      <c r="DG67" s="111">
        <v>51</v>
      </c>
      <c r="DH67" s="111">
        <v>128</v>
      </c>
      <c r="DI67" s="111">
        <v>0</v>
      </c>
      <c r="DJ67" s="111">
        <v>128</v>
      </c>
      <c r="DK67" s="111">
        <v>0</v>
      </c>
      <c r="DL67" s="111">
        <v>0</v>
      </c>
      <c r="DM67" s="111">
        <v>0</v>
      </c>
      <c r="DN67" s="111">
        <v>0</v>
      </c>
      <c r="DO67" s="111">
        <v>0</v>
      </c>
      <c r="DP67" s="111">
        <v>0</v>
      </c>
      <c r="DQ67" s="111">
        <v>0</v>
      </c>
      <c r="DR67" s="111">
        <v>0</v>
      </c>
      <c r="DS67" s="111">
        <v>0</v>
      </c>
      <c r="DT67" s="111">
        <v>0</v>
      </c>
      <c r="DU67" s="111">
        <v>0</v>
      </c>
      <c r="DV67" s="111">
        <v>0</v>
      </c>
      <c r="DW67" s="111">
        <v>0</v>
      </c>
      <c r="DX67" s="111">
        <v>0</v>
      </c>
      <c r="DY67" s="111">
        <v>0</v>
      </c>
      <c r="DZ67" s="111">
        <v>0</v>
      </c>
      <c r="EA67" s="111">
        <v>0</v>
      </c>
      <c r="EB67" s="111">
        <v>0</v>
      </c>
      <c r="EC67" s="111">
        <v>0</v>
      </c>
      <c r="ED67" s="111">
        <v>0</v>
      </c>
      <c r="EE67" s="111">
        <v>0</v>
      </c>
      <c r="EF67" s="111">
        <v>0</v>
      </c>
      <c r="EG67" s="111">
        <v>74</v>
      </c>
      <c r="EH67" s="111">
        <v>50</v>
      </c>
      <c r="EI67" s="111">
        <v>48</v>
      </c>
      <c r="EJ67" s="111">
        <v>2</v>
      </c>
      <c r="EK67" s="111">
        <v>24</v>
      </c>
      <c r="EL67" s="111">
        <v>23</v>
      </c>
      <c r="EM67" s="111">
        <v>1</v>
      </c>
      <c r="EN67" s="111">
        <v>0</v>
      </c>
      <c r="EO67" s="111">
        <v>0</v>
      </c>
      <c r="EP67" s="111">
        <v>0</v>
      </c>
      <c r="EQ67" s="111">
        <v>0</v>
      </c>
      <c r="ER67" s="111">
        <v>0</v>
      </c>
      <c r="ES67" s="111">
        <v>0</v>
      </c>
      <c r="ET67" s="111">
        <v>0</v>
      </c>
      <c r="EU67" s="111">
        <v>0</v>
      </c>
      <c r="EV67" s="111">
        <v>0</v>
      </c>
      <c r="EW67" s="111">
        <v>0</v>
      </c>
      <c r="EX67" s="111">
        <v>0</v>
      </c>
      <c r="EY67" s="111">
        <v>0</v>
      </c>
      <c r="EZ67" s="111">
        <v>0</v>
      </c>
      <c r="FA67" s="111">
        <v>0</v>
      </c>
      <c r="FB67" s="111">
        <v>0</v>
      </c>
    </row>
  </sheetData>
  <mergeCells count="2">
    <mergeCell ref="A1:C1"/>
    <mergeCell ref="A3:C3"/>
  </mergeCells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B59"/>
  <sheetViews>
    <sheetView workbookViewId="0">
      <selection activeCell="G28" sqref="G28"/>
    </sheetView>
  </sheetViews>
  <sheetFormatPr defaultColWidth="10" defaultRowHeight="14.25"/>
  <cols>
    <col min="1" max="1" width="7.75" customWidth="1"/>
    <col min="2" max="2" width="12.875" customWidth="1"/>
    <col min="3" max="3" width="18" customWidth="1"/>
    <col min="4" max="99" width="15.375" customWidth="1"/>
    <col min="100" max="100" width="16.125" customWidth="1"/>
    <col min="101" max="158" width="15.375" customWidth="1"/>
    <col min="159" max="161" width="9.75" customWidth="1"/>
  </cols>
  <sheetData>
    <row r="1" spans="1:158" ht="43.9" customHeight="1">
      <c r="A1" s="211" t="s">
        <v>580</v>
      </c>
      <c r="B1" s="211"/>
      <c r="C1" s="211"/>
      <c r="D1" s="144">
        <v>25</v>
      </c>
      <c r="E1" s="144"/>
      <c r="F1" s="105"/>
      <c r="G1" s="106"/>
      <c r="H1" s="106"/>
      <c r="I1" s="106"/>
      <c r="J1" s="106"/>
      <c r="K1" s="106"/>
      <c r="L1" s="106"/>
      <c r="M1" s="106"/>
      <c r="N1" s="106"/>
      <c r="O1" s="106" t="s">
        <v>232</v>
      </c>
      <c r="P1" s="106" t="s">
        <v>233</v>
      </c>
      <c r="Q1" s="106">
        <v>3</v>
      </c>
      <c r="R1" s="106">
        <v>4</v>
      </c>
      <c r="S1" s="106" t="s">
        <v>234</v>
      </c>
      <c r="T1" s="106">
        <v>6</v>
      </c>
      <c r="U1" s="106">
        <v>7</v>
      </c>
      <c r="V1" s="106" t="s">
        <v>235</v>
      </c>
      <c r="W1" s="106" t="s">
        <v>236</v>
      </c>
      <c r="X1" s="106">
        <v>10</v>
      </c>
      <c r="Y1" s="106">
        <v>11</v>
      </c>
      <c r="Z1" s="106" t="s">
        <v>237</v>
      </c>
      <c r="AA1" s="106">
        <v>13</v>
      </c>
      <c r="AB1" s="106">
        <v>14</v>
      </c>
      <c r="AC1" s="106" t="s">
        <v>238</v>
      </c>
      <c r="AD1" s="106" t="s">
        <v>239</v>
      </c>
      <c r="AE1" s="106">
        <v>17</v>
      </c>
      <c r="AF1" s="106">
        <v>18</v>
      </c>
      <c r="AG1" s="106" t="s">
        <v>240</v>
      </c>
      <c r="AH1" s="106">
        <v>20</v>
      </c>
      <c r="AI1" s="106">
        <v>21</v>
      </c>
      <c r="AJ1" s="106" t="s">
        <v>241</v>
      </c>
      <c r="AK1" s="106" t="s">
        <v>242</v>
      </c>
      <c r="AL1" s="106">
        <v>24</v>
      </c>
      <c r="AM1" s="106">
        <v>25</v>
      </c>
      <c r="AN1" s="106" t="s">
        <v>243</v>
      </c>
      <c r="AO1" s="106">
        <v>27</v>
      </c>
      <c r="AP1" s="106">
        <v>28</v>
      </c>
      <c r="AQ1" s="106" t="s">
        <v>244</v>
      </c>
      <c r="AR1" s="106" t="s">
        <v>245</v>
      </c>
      <c r="AS1" s="106">
        <v>31</v>
      </c>
      <c r="AT1" s="106">
        <v>32</v>
      </c>
      <c r="AU1" s="106" t="s">
        <v>246</v>
      </c>
      <c r="AV1" s="106">
        <v>34</v>
      </c>
      <c r="AW1" s="106">
        <v>35</v>
      </c>
      <c r="AX1" s="106" t="s">
        <v>247</v>
      </c>
      <c r="AY1" s="106" t="s">
        <v>248</v>
      </c>
      <c r="AZ1" s="106">
        <v>38</v>
      </c>
      <c r="BA1" s="106">
        <v>39</v>
      </c>
      <c r="BB1" s="106" t="s">
        <v>249</v>
      </c>
      <c r="BC1" s="106">
        <v>41</v>
      </c>
      <c r="BD1" s="106">
        <v>42</v>
      </c>
      <c r="BE1" s="106" t="s">
        <v>250</v>
      </c>
      <c r="BF1" s="106" t="s">
        <v>251</v>
      </c>
      <c r="BG1" s="106">
        <v>45</v>
      </c>
      <c r="BH1" s="106">
        <v>46</v>
      </c>
      <c r="BI1" s="106" t="s">
        <v>252</v>
      </c>
      <c r="BJ1" s="106">
        <v>48</v>
      </c>
      <c r="BK1" s="106">
        <v>49</v>
      </c>
      <c r="BL1" s="106" t="s">
        <v>253</v>
      </c>
      <c r="BM1" s="106" t="s">
        <v>254</v>
      </c>
      <c r="BN1" s="106">
        <v>52</v>
      </c>
      <c r="BO1" s="106">
        <v>53</v>
      </c>
      <c r="BP1" s="106" t="s">
        <v>255</v>
      </c>
      <c r="BQ1" s="106">
        <v>55</v>
      </c>
      <c r="BR1" s="106">
        <v>56</v>
      </c>
      <c r="BS1" s="106" t="s">
        <v>256</v>
      </c>
      <c r="BT1" s="106" t="s">
        <v>257</v>
      </c>
      <c r="BU1" s="106">
        <v>59</v>
      </c>
      <c r="BV1" s="106">
        <v>60</v>
      </c>
      <c r="BW1" s="106" t="s">
        <v>258</v>
      </c>
      <c r="BX1" s="106">
        <v>62</v>
      </c>
      <c r="BY1" s="106">
        <v>63</v>
      </c>
      <c r="BZ1" s="106" t="s">
        <v>259</v>
      </c>
      <c r="CA1" s="106" t="s">
        <v>260</v>
      </c>
      <c r="CB1" s="106">
        <v>66</v>
      </c>
      <c r="CC1" s="106">
        <v>67</v>
      </c>
      <c r="CD1" s="106" t="s">
        <v>261</v>
      </c>
      <c r="CE1" s="106">
        <v>69</v>
      </c>
      <c r="CF1" s="106">
        <v>70</v>
      </c>
      <c r="CG1" s="106" t="s">
        <v>262</v>
      </c>
      <c r="CH1" s="106" t="s">
        <v>263</v>
      </c>
      <c r="CI1" s="106">
        <v>73</v>
      </c>
      <c r="CJ1" s="106">
        <v>74</v>
      </c>
      <c r="CK1" s="106" t="s">
        <v>264</v>
      </c>
      <c r="CL1" s="106">
        <v>76</v>
      </c>
      <c r="CM1" s="106">
        <v>77</v>
      </c>
      <c r="CN1" s="106"/>
      <c r="CO1" s="106"/>
      <c r="CP1" s="112"/>
      <c r="CQ1" s="112"/>
      <c r="CR1" s="106"/>
      <c r="CS1" s="106"/>
      <c r="CT1" s="106"/>
      <c r="CU1" s="106"/>
      <c r="CV1" s="106" t="s">
        <v>265</v>
      </c>
      <c r="CW1" s="106" t="s">
        <v>266</v>
      </c>
      <c r="CX1" s="106">
        <v>80</v>
      </c>
      <c r="CY1" s="106">
        <v>81</v>
      </c>
      <c r="CZ1" s="106" t="s">
        <v>267</v>
      </c>
      <c r="DA1" s="106">
        <v>83</v>
      </c>
      <c r="DB1" s="106">
        <v>84</v>
      </c>
      <c r="DC1" s="106" t="s">
        <v>268</v>
      </c>
      <c r="DD1" s="106">
        <v>86</v>
      </c>
      <c r="DE1" s="106" t="s">
        <v>269</v>
      </c>
      <c r="DF1" s="106">
        <v>88</v>
      </c>
      <c r="DG1" s="106">
        <v>89</v>
      </c>
      <c r="DH1" s="106" t="s">
        <v>270</v>
      </c>
      <c r="DI1" s="106">
        <v>91</v>
      </c>
      <c r="DJ1" s="106">
        <v>92</v>
      </c>
      <c r="DK1" s="106" t="s">
        <v>271</v>
      </c>
      <c r="DL1" s="106" t="s">
        <v>272</v>
      </c>
      <c r="DM1" s="106">
        <v>95</v>
      </c>
      <c r="DN1" s="106">
        <v>96</v>
      </c>
      <c r="DO1" s="106" t="s">
        <v>273</v>
      </c>
      <c r="DP1" s="106">
        <v>98</v>
      </c>
      <c r="DQ1" s="106">
        <v>99</v>
      </c>
      <c r="DR1" s="106" t="s">
        <v>274</v>
      </c>
      <c r="DS1" s="106">
        <v>101</v>
      </c>
      <c r="DT1" s="106" t="s">
        <v>275</v>
      </c>
      <c r="DU1" s="106">
        <v>103</v>
      </c>
      <c r="DV1" s="106">
        <v>104</v>
      </c>
      <c r="DW1" s="106" t="s">
        <v>276</v>
      </c>
      <c r="DX1" s="106">
        <v>106</v>
      </c>
      <c r="DY1" s="106">
        <v>107</v>
      </c>
      <c r="DZ1" s="106" t="s">
        <v>277</v>
      </c>
      <c r="EA1" s="106" t="s">
        <v>278</v>
      </c>
      <c r="EB1" s="106">
        <v>110</v>
      </c>
      <c r="EC1" s="106">
        <v>111</v>
      </c>
      <c r="ED1" s="106" t="s">
        <v>279</v>
      </c>
      <c r="EE1" s="106">
        <v>113</v>
      </c>
      <c r="EF1" s="106">
        <v>114</v>
      </c>
      <c r="EG1" s="106" t="s">
        <v>280</v>
      </c>
      <c r="EH1" s="106" t="s">
        <v>281</v>
      </c>
      <c r="EI1" s="106">
        <v>117</v>
      </c>
      <c r="EJ1" s="106">
        <v>118</v>
      </c>
      <c r="EK1" s="106" t="s">
        <v>282</v>
      </c>
      <c r="EL1" s="106">
        <v>120</v>
      </c>
      <c r="EM1" s="106">
        <v>121</v>
      </c>
      <c r="EN1" s="106" t="s">
        <v>283</v>
      </c>
      <c r="EO1" s="106">
        <v>123</v>
      </c>
      <c r="EP1" s="106">
        <v>124</v>
      </c>
      <c r="EQ1" s="106">
        <v>125</v>
      </c>
      <c r="ER1" s="106"/>
      <c r="ES1" s="106"/>
      <c r="ET1" s="106"/>
      <c r="EU1" s="106" t="s">
        <v>284</v>
      </c>
      <c r="EV1" s="106">
        <v>127</v>
      </c>
      <c r="EW1" s="106">
        <v>128</v>
      </c>
      <c r="EX1" s="106">
        <v>129</v>
      </c>
      <c r="EY1" s="106" t="s">
        <v>285</v>
      </c>
      <c r="EZ1" s="106">
        <v>131</v>
      </c>
      <c r="FA1" s="106">
        <v>132</v>
      </c>
      <c r="FB1" s="106">
        <v>133</v>
      </c>
    </row>
    <row r="2" spans="1:158" ht="29.25" customHeight="1">
      <c r="A2" s="107" t="s">
        <v>286</v>
      </c>
      <c r="B2" s="107" t="s">
        <v>287</v>
      </c>
      <c r="C2" s="107" t="s">
        <v>288</v>
      </c>
      <c r="D2" s="107" t="s">
        <v>289</v>
      </c>
      <c r="E2" s="107" t="s">
        <v>290</v>
      </c>
      <c r="F2" s="107" t="s">
        <v>291</v>
      </c>
      <c r="G2" s="107" t="s">
        <v>144</v>
      </c>
      <c r="H2" s="107" t="s">
        <v>145</v>
      </c>
      <c r="I2" s="108" t="s">
        <v>292</v>
      </c>
      <c r="J2" s="108" t="s">
        <v>293</v>
      </c>
      <c r="K2" s="108" t="s">
        <v>294</v>
      </c>
      <c r="L2" s="108" t="s">
        <v>295</v>
      </c>
      <c r="M2" s="108" t="s">
        <v>296</v>
      </c>
      <c r="N2" s="108" t="s">
        <v>297</v>
      </c>
      <c r="O2" s="108" t="s">
        <v>194</v>
      </c>
      <c r="P2" s="107" t="s">
        <v>298</v>
      </c>
      <c r="Q2" s="107" t="s">
        <v>299</v>
      </c>
      <c r="R2" s="107" t="s">
        <v>300</v>
      </c>
      <c r="S2" s="107" t="s">
        <v>301</v>
      </c>
      <c r="T2" s="107" t="s">
        <v>302</v>
      </c>
      <c r="U2" s="107" t="s">
        <v>303</v>
      </c>
      <c r="V2" s="108" t="s">
        <v>304</v>
      </c>
      <c r="W2" s="107" t="s">
        <v>298</v>
      </c>
      <c r="X2" s="107" t="s">
        <v>299</v>
      </c>
      <c r="Y2" s="107" t="s">
        <v>300</v>
      </c>
      <c r="Z2" s="107" t="s">
        <v>301</v>
      </c>
      <c r="AA2" s="107" t="s">
        <v>302</v>
      </c>
      <c r="AB2" s="107" t="s">
        <v>303</v>
      </c>
      <c r="AC2" s="108" t="s">
        <v>305</v>
      </c>
      <c r="AD2" s="107" t="s">
        <v>298</v>
      </c>
      <c r="AE2" s="107" t="s">
        <v>299</v>
      </c>
      <c r="AF2" s="107" t="s">
        <v>300</v>
      </c>
      <c r="AG2" s="107" t="s">
        <v>301</v>
      </c>
      <c r="AH2" s="107" t="s">
        <v>302</v>
      </c>
      <c r="AI2" s="107" t="s">
        <v>303</v>
      </c>
      <c r="AJ2" s="108" t="s">
        <v>306</v>
      </c>
      <c r="AK2" s="107" t="s">
        <v>298</v>
      </c>
      <c r="AL2" s="107" t="s">
        <v>299</v>
      </c>
      <c r="AM2" s="107" t="s">
        <v>300</v>
      </c>
      <c r="AN2" s="107" t="s">
        <v>301</v>
      </c>
      <c r="AO2" s="107" t="s">
        <v>302</v>
      </c>
      <c r="AP2" s="107" t="s">
        <v>303</v>
      </c>
      <c r="AQ2" s="108" t="s">
        <v>307</v>
      </c>
      <c r="AR2" s="107" t="s">
        <v>298</v>
      </c>
      <c r="AS2" s="107" t="s">
        <v>299</v>
      </c>
      <c r="AT2" s="107" t="s">
        <v>300</v>
      </c>
      <c r="AU2" s="107" t="s">
        <v>301</v>
      </c>
      <c r="AV2" s="107" t="s">
        <v>302</v>
      </c>
      <c r="AW2" s="107" t="s">
        <v>303</v>
      </c>
      <c r="AX2" s="108" t="s">
        <v>308</v>
      </c>
      <c r="AY2" s="107" t="s">
        <v>298</v>
      </c>
      <c r="AZ2" s="107" t="s">
        <v>299</v>
      </c>
      <c r="BA2" s="107" t="s">
        <v>300</v>
      </c>
      <c r="BB2" s="107" t="s">
        <v>301</v>
      </c>
      <c r="BC2" s="107" t="s">
        <v>302</v>
      </c>
      <c r="BD2" s="107" t="s">
        <v>303</v>
      </c>
      <c r="BE2" s="108" t="s">
        <v>309</v>
      </c>
      <c r="BF2" s="107" t="s">
        <v>298</v>
      </c>
      <c r="BG2" s="107" t="s">
        <v>299</v>
      </c>
      <c r="BH2" s="107" t="s">
        <v>300</v>
      </c>
      <c r="BI2" s="107" t="s">
        <v>301</v>
      </c>
      <c r="BJ2" s="107" t="s">
        <v>302</v>
      </c>
      <c r="BK2" s="107" t="s">
        <v>303</v>
      </c>
      <c r="BL2" s="108" t="s">
        <v>310</v>
      </c>
      <c r="BM2" s="107" t="s">
        <v>298</v>
      </c>
      <c r="BN2" s="107" t="s">
        <v>299</v>
      </c>
      <c r="BO2" s="107" t="s">
        <v>300</v>
      </c>
      <c r="BP2" s="107" t="s">
        <v>301</v>
      </c>
      <c r="BQ2" s="107" t="s">
        <v>302</v>
      </c>
      <c r="BR2" s="107" t="s">
        <v>303</v>
      </c>
      <c r="BS2" s="108" t="s">
        <v>311</v>
      </c>
      <c r="BT2" s="107" t="s">
        <v>298</v>
      </c>
      <c r="BU2" s="107" t="s">
        <v>299</v>
      </c>
      <c r="BV2" s="107" t="s">
        <v>300</v>
      </c>
      <c r="BW2" s="107" t="s">
        <v>301</v>
      </c>
      <c r="BX2" s="107" t="s">
        <v>302</v>
      </c>
      <c r="BY2" s="107" t="s">
        <v>303</v>
      </c>
      <c r="BZ2" s="108" t="s">
        <v>312</v>
      </c>
      <c r="CA2" s="107" t="s">
        <v>298</v>
      </c>
      <c r="CB2" s="107" t="s">
        <v>299</v>
      </c>
      <c r="CC2" s="107" t="s">
        <v>300</v>
      </c>
      <c r="CD2" s="107" t="s">
        <v>301</v>
      </c>
      <c r="CE2" s="107" t="s">
        <v>302</v>
      </c>
      <c r="CF2" s="107" t="s">
        <v>303</v>
      </c>
      <c r="CG2" s="108" t="s">
        <v>313</v>
      </c>
      <c r="CH2" s="107" t="s">
        <v>298</v>
      </c>
      <c r="CI2" s="107" t="s">
        <v>299</v>
      </c>
      <c r="CJ2" s="107" t="s">
        <v>300</v>
      </c>
      <c r="CK2" s="107" t="s">
        <v>301</v>
      </c>
      <c r="CL2" s="107" t="s">
        <v>302</v>
      </c>
      <c r="CM2" s="107" t="s">
        <v>303</v>
      </c>
      <c r="CN2" s="108" t="s">
        <v>314</v>
      </c>
      <c r="CO2" s="108" t="s">
        <v>315</v>
      </c>
      <c r="CP2" s="108" t="s">
        <v>316</v>
      </c>
      <c r="CQ2" s="108" t="s">
        <v>317</v>
      </c>
      <c r="CR2" s="108" t="s">
        <v>318</v>
      </c>
      <c r="CS2" s="108" t="s">
        <v>319</v>
      </c>
      <c r="CT2" s="108" t="s">
        <v>320</v>
      </c>
      <c r="CU2" s="108" t="s">
        <v>321</v>
      </c>
      <c r="CV2" s="108" t="s">
        <v>144</v>
      </c>
      <c r="CW2" s="107" t="s">
        <v>322</v>
      </c>
      <c r="CX2" s="107" t="s">
        <v>323</v>
      </c>
      <c r="CY2" s="107" t="s">
        <v>324</v>
      </c>
      <c r="CZ2" s="107" t="s">
        <v>325</v>
      </c>
      <c r="DA2" s="107" t="s">
        <v>326</v>
      </c>
      <c r="DB2" s="107" t="s">
        <v>327</v>
      </c>
      <c r="DC2" s="108" t="s">
        <v>328</v>
      </c>
      <c r="DD2" s="108" t="s">
        <v>329</v>
      </c>
      <c r="DE2" s="107" t="s">
        <v>322</v>
      </c>
      <c r="DF2" s="107" t="s">
        <v>323</v>
      </c>
      <c r="DG2" s="107" t="s">
        <v>324</v>
      </c>
      <c r="DH2" s="107" t="s">
        <v>325</v>
      </c>
      <c r="DI2" s="107" t="s">
        <v>326</v>
      </c>
      <c r="DJ2" s="107" t="s">
        <v>327</v>
      </c>
      <c r="DK2" s="108" t="s">
        <v>330</v>
      </c>
      <c r="DL2" s="107" t="s">
        <v>322</v>
      </c>
      <c r="DM2" s="107" t="s">
        <v>323</v>
      </c>
      <c r="DN2" s="107" t="s">
        <v>324</v>
      </c>
      <c r="DO2" s="107" t="s">
        <v>325</v>
      </c>
      <c r="DP2" s="107" t="s">
        <v>326</v>
      </c>
      <c r="DQ2" s="107" t="s">
        <v>327</v>
      </c>
      <c r="DR2" s="108" t="s">
        <v>331</v>
      </c>
      <c r="DS2" s="108" t="s">
        <v>332</v>
      </c>
      <c r="DT2" s="107" t="s">
        <v>322</v>
      </c>
      <c r="DU2" s="107" t="s">
        <v>323</v>
      </c>
      <c r="DV2" s="107" t="s">
        <v>324</v>
      </c>
      <c r="DW2" s="107" t="s">
        <v>325</v>
      </c>
      <c r="DX2" s="107" t="s">
        <v>326</v>
      </c>
      <c r="DY2" s="107" t="s">
        <v>327</v>
      </c>
      <c r="DZ2" s="108" t="s">
        <v>333</v>
      </c>
      <c r="EA2" s="107" t="s">
        <v>322</v>
      </c>
      <c r="EB2" s="107" t="s">
        <v>323</v>
      </c>
      <c r="EC2" s="107" t="s">
        <v>324</v>
      </c>
      <c r="ED2" s="107" t="s">
        <v>325</v>
      </c>
      <c r="EE2" s="107" t="s">
        <v>326</v>
      </c>
      <c r="EF2" s="107" t="s">
        <v>327</v>
      </c>
      <c r="EG2" s="108" t="s">
        <v>145</v>
      </c>
      <c r="EH2" s="107" t="s">
        <v>322</v>
      </c>
      <c r="EI2" s="107" t="s">
        <v>323</v>
      </c>
      <c r="EJ2" s="107" t="s">
        <v>324</v>
      </c>
      <c r="EK2" s="107" t="s">
        <v>325</v>
      </c>
      <c r="EL2" s="107" t="s">
        <v>326</v>
      </c>
      <c r="EM2" s="107" t="s">
        <v>327</v>
      </c>
      <c r="EN2" s="108" t="s">
        <v>334</v>
      </c>
      <c r="EO2" s="108" t="s">
        <v>335</v>
      </c>
      <c r="EP2" s="108" t="s">
        <v>336</v>
      </c>
      <c r="EQ2" s="108" t="s">
        <v>337</v>
      </c>
      <c r="ER2" s="108" t="s">
        <v>338</v>
      </c>
      <c r="ES2" s="108" t="s">
        <v>339</v>
      </c>
      <c r="ET2" s="108" t="s">
        <v>340</v>
      </c>
      <c r="EU2" s="108" t="s">
        <v>341</v>
      </c>
      <c r="EV2" s="108" t="s">
        <v>342</v>
      </c>
      <c r="EW2" s="108" t="s">
        <v>343</v>
      </c>
      <c r="EX2" s="108" t="s">
        <v>344</v>
      </c>
      <c r="EY2" s="108" t="s">
        <v>345</v>
      </c>
      <c r="EZ2" s="108" t="s">
        <v>346</v>
      </c>
      <c r="FA2" s="108" t="s">
        <v>347</v>
      </c>
      <c r="FB2" s="109" t="s">
        <v>348</v>
      </c>
    </row>
    <row r="3" spans="1:158" ht="19.5" customHeight="1">
      <c r="A3" s="212" t="s">
        <v>349</v>
      </c>
      <c r="B3" s="212"/>
      <c r="C3" s="212"/>
      <c r="D3" s="110">
        <v>63035641.25</v>
      </c>
      <c r="E3" s="110">
        <v>26460445.75</v>
      </c>
      <c r="F3" s="110">
        <v>36575195.5</v>
      </c>
      <c r="G3" s="110">
        <v>96874</v>
      </c>
      <c r="H3" s="110">
        <v>3626</v>
      </c>
      <c r="I3" s="110">
        <v>3975904.1</v>
      </c>
      <c r="J3" s="110">
        <v>1220362.2</v>
      </c>
      <c r="K3" s="110">
        <v>449634.74</v>
      </c>
      <c r="L3" s="110">
        <v>2637791.4</v>
      </c>
      <c r="M3" s="110">
        <v>11101800.6</v>
      </c>
      <c r="N3" s="110">
        <v>3234.33</v>
      </c>
      <c r="O3" s="110">
        <v>145953934.21000001</v>
      </c>
      <c r="P3" s="110">
        <v>107997133.34999999</v>
      </c>
      <c r="Q3" s="110">
        <v>99873531.900000006</v>
      </c>
      <c r="R3" s="110">
        <v>8123601.4500000002</v>
      </c>
      <c r="S3" s="110">
        <v>37956800.859999999</v>
      </c>
      <c r="T3" s="110">
        <v>33982810.43</v>
      </c>
      <c r="U3" s="110">
        <v>3973990.43</v>
      </c>
      <c r="V3" s="110">
        <v>44517237.170000002</v>
      </c>
      <c r="W3" s="110">
        <v>38292509.32</v>
      </c>
      <c r="X3" s="110">
        <v>34983353.759999998</v>
      </c>
      <c r="Y3" s="110">
        <v>3309155.56</v>
      </c>
      <c r="Z3" s="110">
        <v>6224727.8499999996</v>
      </c>
      <c r="AA3" s="110">
        <v>3987539.77</v>
      </c>
      <c r="AB3" s="110">
        <v>2237188.08</v>
      </c>
      <c r="AC3" s="110">
        <v>16038422.73</v>
      </c>
      <c r="AD3" s="110">
        <v>14065900.529999999</v>
      </c>
      <c r="AE3" s="110">
        <v>13302764.83</v>
      </c>
      <c r="AF3" s="110">
        <v>763135.7</v>
      </c>
      <c r="AG3" s="110">
        <v>1972522.2</v>
      </c>
      <c r="AH3" s="110">
        <v>1430608.05</v>
      </c>
      <c r="AI3" s="110">
        <v>541914.15</v>
      </c>
      <c r="AJ3" s="110">
        <v>2018368.69</v>
      </c>
      <c r="AK3" s="110">
        <v>1794913.05</v>
      </c>
      <c r="AL3" s="110">
        <v>1466583.18</v>
      </c>
      <c r="AM3" s="110">
        <v>328329.87</v>
      </c>
      <c r="AN3" s="110">
        <v>223455.64</v>
      </c>
      <c r="AO3" s="110">
        <v>140656.47</v>
      </c>
      <c r="AP3" s="110">
        <v>82799.17</v>
      </c>
      <c r="AQ3" s="110">
        <v>17326586.5</v>
      </c>
      <c r="AR3" s="110">
        <v>14770406.5</v>
      </c>
      <c r="AS3" s="110">
        <v>13462756.5</v>
      </c>
      <c r="AT3" s="110">
        <v>1307650</v>
      </c>
      <c r="AU3" s="110">
        <v>2556180</v>
      </c>
      <c r="AV3" s="110">
        <v>1577459</v>
      </c>
      <c r="AW3" s="110">
        <v>978721</v>
      </c>
      <c r="AX3" s="110">
        <v>9133859.25</v>
      </c>
      <c r="AY3" s="110">
        <v>7661289.2400000002</v>
      </c>
      <c r="AZ3" s="110">
        <v>6751249.25</v>
      </c>
      <c r="BA3" s="110">
        <v>910039.99</v>
      </c>
      <c r="BB3" s="110">
        <v>1472570.01</v>
      </c>
      <c r="BC3" s="110">
        <v>838816.25</v>
      </c>
      <c r="BD3" s="110">
        <v>633753.76</v>
      </c>
      <c r="BE3" s="110">
        <v>101436697.04000001</v>
      </c>
      <c r="BF3" s="110">
        <v>69704624.030000001</v>
      </c>
      <c r="BG3" s="110">
        <v>64890178.140000001</v>
      </c>
      <c r="BH3" s="110">
        <v>4814445.8899999997</v>
      </c>
      <c r="BI3" s="110">
        <v>31732073.010000002</v>
      </c>
      <c r="BJ3" s="110">
        <v>29995270.66</v>
      </c>
      <c r="BK3" s="110">
        <v>1736802.35</v>
      </c>
      <c r="BL3" s="110">
        <v>11351019.9</v>
      </c>
      <c r="BM3" s="110">
        <v>6961777.4299999997</v>
      </c>
      <c r="BN3" s="110">
        <v>6515567.6200000001</v>
      </c>
      <c r="BO3" s="110">
        <v>446209.81</v>
      </c>
      <c r="BP3" s="110">
        <v>4389242.47</v>
      </c>
      <c r="BQ3" s="110">
        <v>4155953.75</v>
      </c>
      <c r="BR3" s="110">
        <v>233288.72</v>
      </c>
      <c r="BS3" s="110">
        <v>53510481.640000001</v>
      </c>
      <c r="BT3" s="110">
        <v>37626985.399999999</v>
      </c>
      <c r="BU3" s="110">
        <v>34846188.969999999</v>
      </c>
      <c r="BV3" s="110">
        <v>2780796.43</v>
      </c>
      <c r="BW3" s="110">
        <v>15883496.24</v>
      </c>
      <c r="BX3" s="110">
        <v>14961162.710000001</v>
      </c>
      <c r="BY3" s="110">
        <v>922333.53</v>
      </c>
      <c r="BZ3" s="110">
        <v>14330608.5</v>
      </c>
      <c r="CA3" s="110">
        <v>9832429</v>
      </c>
      <c r="CB3" s="110">
        <v>9381494</v>
      </c>
      <c r="CC3" s="110">
        <v>450935</v>
      </c>
      <c r="CD3" s="110">
        <v>4498179.5</v>
      </c>
      <c r="CE3" s="110">
        <v>4285196.5</v>
      </c>
      <c r="CF3" s="110">
        <v>212983</v>
      </c>
      <c r="CG3" s="110">
        <v>22244587</v>
      </c>
      <c r="CH3" s="110">
        <v>15283432.199999999</v>
      </c>
      <c r="CI3" s="110">
        <v>14146927.550000001</v>
      </c>
      <c r="CJ3" s="110">
        <v>1136504.6499999999</v>
      </c>
      <c r="CK3" s="110">
        <v>6961154.7999999998</v>
      </c>
      <c r="CL3" s="110">
        <v>6592957.7000000002</v>
      </c>
      <c r="CM3" s="110">
        <v>368197.1</v>
      </c>
      <c r="CN3" s="110">
        <v>8821136.1999999993</v>
      </c>
      <c r="CO3" s="110">
        <v>15814905.119999999</v>
      </c>
      <c r="CP3" s="110">
        <v>13122984.859999999</v>
      </c>
      <c r="CQ3" s="110">
        <v>4866573.91</v>
      </c>
      <c r="CR3" s="110">
        <v>1891036.08</v>
      </c>
      <c r="CS3" s="110">
        <v>516</v>
      </c>
      <c r="CT3" s="110">
        <v>384522.6</v>
      </c>
      <c r="CU3" s="110">
        <v>0</v>
      </c>
      <c r="CV3" s="111">
        <v>96874</v>
      </c>
      <c r="CW3" s="111">
        <v>83352</v>
      </c>
      <c r="CX3" s="111">
        <v>74886</v>
      </c>
      <c r="CY3" s="111">
        <v>8466</v>
      </c>
      <c r="CZ3" s="111">
        <v>13522</v>
      </c>
      <c r="DA3" s="111">
        <v>7980</v>
      </c>
      <c r="DB3" s="111">
        <v>5542</v>
      </c>
      <c r="DC3" s="111">
        <v>49568</v>
      </c>
      <c r="DD3" s="111">
        <v>0</v>
      </c>
      <c r="DE3" s="111">
        <v>43086</v>
      </c>
      <c r="DF3" s="111">
        <v>39214</v>
      </c>
      <c r="DG3" s="111">
        <v>3872</v>
      </c>
      <c r="DH3" s="111">
        <v>6482</v>
      </c>
      <c r="DI3" s="111">
        <v>3708</v>
      </c>
      <c r="DJ3" s="111">
        <v>2774</v>
      </c>
      <c r="DK3" s="111">
        <v>27179</v>
      </c>
      <c r="DL3" s="111">
        <v>22567</v>
      </c>
      <c r="DM3" s="111">
        <v>20273</v>
      </c>
      <c r="DN3" s="111">
        <v>2294</v>
      </c>
      <c r="DO3" s="111">
        <v>4612</v>
      </c>
      <c r="DP3" s="111">
        <v>2842</v>
      </c>
      <c r="DQ3" s="111">
        <v>1770</v>
      </c>
      <c r="DR3" s="111">
        <v>2458</v>
      </c>
      <c r="DS3" s="111">
        <v>0</v>
      </c>
      <c r="DT3" s="111">
        <v>1894</v>
      </c>
      <c r="DU3" s="111">
        <v>1679</v>
      </c>
      <c r="DV3" s="111">
        <v>215</v>
      </c>
      <c r="DW3" s="111">
        <v>564</v>
      </c>
      <c r="DX3" s="111">
        <v>272</v>
      </c>
      <c r="DY3" s="111">
        <v>292</v>
      </c>
      <c r="DZ3" s="111">
        <v>17669</v>
      </c>
      <c r="EA3" s="111">
        <v>15805</v>
      </c>
      <c r="EB3" s="111">
        <v>13720</v>
      </c>
      <c r="EC3" s="111">
        <v>2085</v>
      </c>
      <c r="ED3" s="111">
        <v>1864</v>
      </c>
      <c r="EE3" s="111">
        <v>1158</v>
      </c>
      <c r="EF3" s="111">
        <v>706</v>
      </c>
      <c r="EG3" s="111">
        <v>3626</v>
      </c>
      <c r="EH3" s="111">
        <v>2561</v>
      </c>
      <c r="EI3" s="111">
        <v>2408</v>
      </c>
      <c r="EJ3" s="111">
        <v>153</v>
      </c>
      <c r="EK3" s="111">
        <v>1065</v>
      </c>
      <c r="EL3" s="111">
        <v>1013</v>
      </c>
      <c r="EM3" s="111">
        <v>52</v>
      </c>
      <c r="EN3" s="111">
        <v>3022</v>
      </c>
      <c r="EO3" s="111">
        <v>1849</v>
      </c>
      <c r="EP3" s="111">
        <v>283</v>
      </c>
      <c r="EQ3" s="111">
        <v>890</v>
      </c>
      <c r="ER3" s="111">
        <v>578</v>
      </c>
      <c r="ES3" s="111">
        <v>0</v>
      </c>
      <c r="ET3" s="111">
        <v>56</v>
      </c>
      <c r="EU3" s="111">
        <v>945</v>
      </c>
      <c r="EV3" s="111">
        <v>759</v>
      </c>
      <c r="EW3" s="111">
        <v>132</v>
      </c>
      <c r="EX3" s="111">
        <v>54</v>
      </c>
      <c r="EY3" s="111">
        <v>675</v>
      </c>
      <c r="EZ3" s="111">
        <v>581</v>
      </c>
      <c r="FA3" s="111">
        <v>94</v>
      </c>
      <c r="FB3" s="111">
        <v>1237</v>
      </c>
    </row>
    <row r="4" spans="1:158" ht="19.5" customHeight="1">
      <c r="A4" s="107">
        <v>1</v>
      </c>
      <c r="B4" s="107" t="s">
        <v>350</v>
      </c>
      <c r="C4" s="107" t="s">
        <v>351</v>
      </c>
      <c r="D4" s="110">
        <v>0</v>
      </c>
      <c r="E4" s="110">
        <v>0</v>
      </c>
      <c r="F4" s="110">
        <v>0</v>
      </c>
      <c r="G4" s="110">
        <v>48</v>
      </c>
      <c r="H4" s="110">
        <v>0</v>
      </c>
      <c r="I4" s="110">
        <v>0</v>
      </c>
      <c r="J4" s="110">
        <v>0</v>
      </c>
      <c r="K4" s="110">
        <v>0</v>
      </c>
      <c r="L4" s="110">
        <v>0</v>
      </c>
      <c r="M4" s="110">
        <v>0</v>
      </c>
      <c r="N4" s="110">
        <v>0</v>
      </c>
      <c r="O4" s="110">
        <v>0</v>
      </c>
      <c r="P4" s="110">
        <v>0</v>
      </c>
      <c r="Q4" s="110">
        <v>0</v>
      </c>
      <c r="R4" s="110">
        <v>0</v>
      </c>
      <c r="S4" s="110">
        <v>0</v>
      </c>
      <c r="T4" s="110">
        <v>0</v>
      </c>
      <c r="U4" s="110">
        <v>0</v>
      </c>
      <c r="V4" s="110">
        <v>0</v>
      </c>
      <c r="W4" s="110">
        <v>0</v>
      </c>
      <c r="X4" s="110">
        <v>0</v>
      </c>
      <c r="Y4" s="110">
        <v>0</v>
      </c>
      <c r="Z4" s="110">
        <v>0</v>
      </c>
      <c r="AA4" s="110">
        <v>0</v>
      </c>
      <c r="AB4" s="110">
        <v>0</v>
      </c>
      <c r="AC4" s="110">
        <v>0</v>
      </c>
      <c r="AD4" s="110">
        <v>0</v>
      </c>
      <c r="AE4" s="110">
        <v>0</v>
      </c>
      <c r="AF4" s="110">
        <v>0</v>
      </c>
      <c r="AG4" s="110">
        <v>0</v>
      </c>
      <c r="AH4" s="110">
        <v>0</v>
      </c>
      <c r="AI4" s="110">
        <v>0</v>
      </c>
      <c r="AJ4" s="110">
        <v>0</v>
      </c>
      <c r="AK4" s="110">
        <v>0</v>
      </c>
      <c r="AL4" s="110">
        <v>0</v>
      </c>
      <c r="AM4" s="110">
        <v>0</v>
      </c>
      <c r="AN4" s="110">
        <v>0</v>
      </c>
      <c r="AO4" s="110">
        <v>0</v>
      </c>
      <c r="AP4" s="110">
        <v>0</v>
      </c>
      <c r="AQ4" s="110">
        <v>0</v>
      </c>
      <c r="AR4" s="110">
        <v>0</v>
      </c>
      <c r="AS4" s="110">
        <v>0</v>
      </c>
      <c r="AT4" s="110">
        <v>0</v>
      </c>
      <c r="AU4" s="110">
        <v>0</v>
      </c>
      <c r="AV4" s="110">
        <v>0</v>
      </c>
      <c r="AW4" s="110">
        <v>0</v>
      </c>
      <c r="AX4" s="110">
        <v>0</v>
      </c>
      <c r="AY4" s="110">
        <v>0</v>
      </c>
      <c r="AZ4" s="110">
        <v>0</v>
      </c>
      <c r="BA4" s="110">
        <v>0</v>
      </c>
      <c r="BB4" s="110">
        <v>0</v>
      </c>
      <c r="BC4" s="110">
        <v>0</v>
      </c>
      <c r="BD4" s="110">
        <v>0</v>
      </c>
      <c r="BE4" s="110">
        <v>0</v>
      </c>
      <c r="BF4" s="110">
        <v>0</v>
      </c>
      <c r="BG4" s="110">
        <v>0</v>
      </c>
      <c r="BH4" s="110">
        <v>0</v>
      </c>
      <c r="BI4" s="110">
        <v>0</v>
      </c>
      <c r="BJ4" s="110">
        <v>0</v>
      </c>
      <c r="BK4" s="110">
        <v>0</v>
      </c>
      <c r="BL4" s="110">
        <v>0</v>
      </c>
      <c r="BM4" s="110">
        <v>0</v>
      </c>
      <c r="BN4" s="110">
        <v>0</v>
      </c>
      <c r="BO4" s="110">
        <v>0</v>
      </c>
      <c r="BP4" s="110">
        <v>0</v>
      </c>
      <c r="BQ4" s="110">
        <v>0</v>
      </c>
      <c r="BR4" s="110">
        <v>0</v>
      </c>
      <c r="BS4" s="110">
        <v>0</v>
      </c>
      <c r="BT4" s="110">
        <v>0</v>
      </c>
      <c r="BU4" s="110">
        <v>0</v>
      </c>
      <c r="BV4" s="110">
        <v>0</v>
      </c>
      <c r="BW4" s="110">
        <v>0</v>
      </c>
      <c r="BX4" s="110">
        <v>0</v>
      </c>
      <c r="BY4" s="110">
        <v>0</v>
      </c>
      <c r="BZ4" s="110">
        <v>0</v>
      </c>
      <c r="CA4" s="110">
        <v>0</v>
      </c>
      <c r="CB4" s="110">
        <v>0</v>
      </c>
      <c r="CC4" s="110">
        <v>0</v>
      </c>
      <c r="CD4" s="110">
        <v>0</v>
      </c>
      <c r="CE4" s="110">
        <v>0</v>
      </c>
      <c r="CF4" s="110">
        <v>0</v>
      </c>
      <c r="CG4" s="110">
        <v>0</v>
      </c>
      <c r="CH4" s="110">
        <v>0</v>
      </c>
      <c r="CI4" s="110">
        <v>0</v>
      </c>
      <c r="CJ4" s="110">
        <v>0</v>
      </c>
      <c r="CK4" s="110">
        <v>0</v>
      </c>
      <c r="CL4" s="110">
        <v>0</v>
      </c>
      <c r="CM4" s="110">
        <v>0</v>
      </c>
      <c r="CN4" s="110">
        <v>0</v>
      </c>
      <c r="CO4" s="110">
        <v>0</v>
      </c>
      <c r="CP4" s="110">
        <v>0</v>
      </c>
      <c r="CQ4" s="110">
        <v>0</v>
      </c>
      <c r="CR4" s="110">
        <v>0</v>
      </c>
      <c r="CS4" s="110">
        <v>0</v>
      </c>
      <c r="CT4" s="110">
        <v>0</v>
      </c>
      <c r="CU4" s="110">
        <v>0</v>
      </c>
      <c r="CV4" s="111">
        <v>48</v>
      </c>
      <c r="CW4" s="111">
        <v>40</v>
      </c>
      <c r="CX4" s="111">
        <v>36</v>
      </c>
      <c r="CY4" s="111">
        <v>4</v>
      </c>
      <c r="CZ4" s="111">
        <v>8</v>
      </c>
      <c r="DA4" s="111">
        <v>7</v>
      </c>
      <c r="DB4" s="111">
        <v>1</v>
      </c>
      <c r="DC4" s="111">
        <v>48</v>
      </c>
      <c r="DD4" s="111">
        <v>0</v>
      </c>
      <c r="DE4" s="111">
        <v>40</v>
      </c>
      <c r="DF4" s="111">
        <v>36</v>
      </c>
      <c r="DG4" s="111">
        <v>4</v>
      </c>
      <c r="DH4" s="111">
        <v>8</v>
      </c>
      <c r="DI4" s="111">
        <v>7</v>
      </c>
      <c r="DJ4" s="111">
        <v>1</v>
      </c>
      <c r="DK4" s="111">
        <v>0</v>
      </c>
      <c r="DL4" s="111">
        <v>0</v>
      </c>
      <c r="DM4" s="111">
        <v>0</v>
      </c>
      <c r="DN4" s="111">
        <v>0</v>
      </c>
      <c r="DO4" s="111">
        <v>0</v>
      </c>
      <c r="DP4" s="111">
        <v>0</v>
      </c>
      <c r="DQ4" s="111">
        <v>0</v>
      </c>
      <c r="DR4" s="111">
        <v>0</v>
      </c>
      <c r="DS4" s="111">
        <v>0</v>
      </c>
      <c r="DT4" s="111">
        <v>0</v>
      </c>
      <c r="DU4" s="111">
        <v>0</v>
      </c>
      <c r="DV4" s="111">
        <v>0</v>
      </c>
      <c r="DW4" s="111">
        <v>0</v>
      </c>
      <c r="DX4" s="111">
        <v>0</v>
      </c>
      <c r="DY4" s="111">
        <v>0</v>
      </c>
      <c r="DZ4" s="111">
        <v>0</v>
      </c>
      <c r="EA4" s="111">
        <v>0</v>
      </c>
      <c r="EB4" s="111">
        <v>0</v>
      </c>
      <c r="EC4" s="111">
        <v>0</v>
      </c>
      <c r="ED4" s="111">
        <v>0</v>
      </c>
      <c r="EE4" s="111">
        <v>0</v>
      </c>
      <c r="EF4" s="111">
        <v>0</v>
      </c>
      <c r="EG4" s="111">
        <v>0</v>
      </c>
      <c r="EH4" s="111">
        <v>0</v>
      </c>
      <c r="EI4" s="111">
        <v>0</v>
      </c>
      <c r="EJ4" s="111">
        <v>0</v>
      </c>
      <c r="EK4" s="111">
        <v>0</v>
      </c>
      <c r="EL4" s="111">
        <v>0</v>
      </c>
      <c r="EM4" s="111">
        <v>0</v>
      </c>
      <c r="EN4" s="111">
        <v>0</v>
      </c>
      <c r="EO4" s="111">
        <v>0</v>
      </c>
      <c r="EP4" s="111">
        <v>0</v>
      </c>
      <c r="EQ4" s="111">
        <v>0</v>
      </c>
      <c r="ER4" s="111">
        <v>0</v>
      </c>
      <c r="ES4" s="111">
        <v>0</v>
      </c>
      <c r="ET4" s="111">
        <v>0</v>
      </c>
      <c r="EU4" s="111">
        <v>0</v>
      </c>
      <c r="EV4" s="111">
        <v>0</v>
      </c>
      <c r="EW4" s="111">
        <v>0</v>
      </c>
      <c r="EX4" s="111">
        <v>0</v>
      </c>
      <c r="EY4" s="111">
        <v>0</v>
      </c>
      <c r="EZ4" s="111">
        <v>0</v>
      </c>
      <c r="FA4" s="111">
        <v>0</v>
      </c>
      <c r="FB4" s="111">
        <v>0</v>
      </c>
    </row>
    <row r="5" spans="1:158" ht="19.5" customHeight="1">
      <c r="A5" s="107">
        <v>2</v>
      </c>
      <c r="B5" s="107" t="s">
        <v>350</v>
      </c>
      <c r="C5" s="107" t="s">
        <v>352</v>
      </c>
      <c r="D5" s="110">
        <v>1609046.5</v>
      </c>
      <c r="E5" s="110">
        <v>845153</v>
      </c>
      <c r="F5" s="110">
        <v>763893.5</v>
      </c>
      <c r="G5" s="110">
        <v>3260</v>
      </c>
      <c r="H5" s="110">
        <v>72</v>
      </c>
      <c r="I5" s="110">
        <v>114</v>
      </c>
      <c r="J5" s="110">
        <v>0</v>
      </c>
      <c r="K5" s="110">
        <v>0</v>
      </c>
      <c r="L5" s="110">
        <v>34479.5</v>
      </c>
      <c r="M5" s="110">
        <v>324</v>
      </c>
      <c r="N5" s="110">
        <v>0</v>
      </c>
      <c r="O5" s="110">
        <v>2697115.55</v>
      </c>
      <c r="P5" s="110">
        <v>2201713.63</v>
      </c>
      <c r="Q5" s="110">
        <v>2130532.4</v>
      </c>
      <c r="R5" s="110">
        <v>71181.23</v>
      </c>
      <c r="S5" s="110">
        <v>495401.92</v>
      </c>
      <c r="T5" s="110">
        <v>421775.21</v>
      </c>
      <c r="U5" s="110">
        <v>73626.710000000006</v>
      </c>
      <c r="V5" s="110">
        <v>1516627.97</v>
      </c>
      <c r="W5" s="110">
        <v>1338243.6100000001</v>
      </c>
      <c r="X5" s="110">
        <v>1277637.07</v>
      </c>
      <c r="Y5" s="110">
        <v>60606.54</v>
      </c>
      <c r="Z5" s="110">
        <v>178384.36</v>
      </c>
      <c r="AA5" s="110">
        <v>121163.32</v>
      </c>
      <c r="AB5" s="110">
        <v>57221.04</v>
      </c>
      <c r="AC5" s="110">
        <v>649678.97</v>
      </c>
      <c r="AD5" s="110">
        <v>580867.61</v>
      </c>
      <c r="AE5" s="110">
        <v>561373.06999999995</v>
      </c>
      <c r="AF5" s="110">
        <v>19494.54</v>
      </c>
      <c r="AG5" s="110">
        <v>68811.360000000001</v>
      </c>
      <c r="AH5" s="110">
        <v>48778.32</v>
      </c>
      <c r="AI5" s="110">
        <v>20033.04</v>
      </c>
      <c r="AJ5" s="110">
        <v>21796</v>
      </c>
      <c r="AK5" s="110">
        <v>18599</v>
      </c>
      <c r="AL5" s="110">
        <v>17915</v>
      </c>
      <c r="AM5" s="110">
        <v>684</v>
      </c>
      <c r="AN5" s="110">
        <v>3197</v>
      </c>
      <c r="AO5" s="110">
        <v>1981</v>
      </c>
      <c r="AP5" s="110">
        <v>1216</v>
      </c>
      <c r="AQ5" s="110">
        <v>743087</v>
      </c>
      <c r="AR5" s="110">
        <v>650008</v>
      </c>
      <c r="AS5" s="110">
        <v>614453</v>
      </c>
      <c r="AT5" s="110">
        <v>35555</v>
      </c>
      <c r="AU5" s="110">
        <v>93079</v>
      </c>
      <c r="AV5" s="110">
        <v>61637</v>
      </c>
      <c r="AW5" s="110">
        <v>31442</v>
      </c>
      <c r="AX5" s="110">
        <v>102066</v>
      </c>
      <c r="AY5" s="110">
        <v>88769</v>
      </c>
      <c r="AZ5" s="110">
        <v>83896</v>
      </c>
      <c r="BA5" s="110">
        <v>4873</v>
      </c>
      <c r="BB5" s="110">
        <v>13297</v>
      </c>
      <c r="BC5" s="110">
        <v>8767</v>
      </c>
      <c r="BD5" s="110">
        <v>4530</v>
      </c>
      <c r="BE5" s="110">
        <v>1180487.58</v>
      </c>
      <c r="BF5" s="110">
        <v>863470.02</v>
      </c>
      <c r="BG5" s="110">
        <v>852895.33</v>
      </c>
      <c r="BH5" s="110">
        <v>10574.69</v>
      </c>
      <c r="BI5" s="110">
        <v>317017.56</v>
      </c>
      <c r="BJ5" s="110">
        <v>300611.89</v>
      </c>
      <c r="BK5" s="110">
        <v>16405.669999999998</v>
      </c>
      <c r="BL5" s="110">
        <v>377462.85</v>
      </c>
      <c r="BM5" s="110">
        <v>282954.13</v>
      </c>
      <c r="BN5" s="110">
        <v>281529.13</v>
      </c>
      <c r="BO5" s="110">
        <v>1425</v>
      </c>
      <c r="BP5" s="110">
        <v>94508.72</v>
      </c>
      <c r="BQ5" s="110">
        <v>93913.75</v>
      </c>
      <c r="BR5" s="110">
        <v>594.97</v>
      </c>
      <c r="BS5" s="110">
        <v>39131.230000000003</v>
      </c>
      <c r="BT5" s="110">
        <v>26438.89</v>
      </c>
      <c r="BU5" s="110">
        <v>26228.2</v>
      </c>
      <c r="BV5" s="110">
        <v>210.69</v>
      </c>
      <c r="BW5" s="110">
        <v>12692.34</v>
      </c>
      <c r="BX5" s="110">
        <v>11418.64</v>
      </c>
      <c r="BY5" s="110">
        <v>1273.7</v>
      </c>
      <c r="BZ5" s="110">
        <v>549007</v>
      </c>
      <c r="CA5" s="110">
        <v>384092</v>
      </c>
      <c r="CB5" s="110">
        <v>376715</v>
      </c>
      <c r="CC5" s="110">
        <v>7377</v>
      </c>
      <c r="CD5" s="110">
        <v>164915</v>
      </c>
      <c r="CE5" s="110">
        <v>151762</v>
      </c>
      <c r="CF5" s="110">
        <v>13153</v>
      </c>
      <c r="CG5" s="110">
        <v>214886.5</v>
      </c>
      <c r="CH5" s="110">
        <v>169985</v>
      </c>
      <c r="CI5" s="110">
        <v>168423</v>
      </c>
      <c r="CJ5" s="110">
        <v>1562</v>
      </c>
      <c r="CK5" s="110">
        <v>44901.5</v>
      </c>
      <c r="CL5" s="110">
        <v>43517.5</v>
      </c>
      <c r="CM5" s="110">
        <v>1384</v>
      </c>
      <c r="CN5" s="110">
        <v>50</v>
      </c>
      <c r="CO5" s="110">
        <v>1155937.02</v>
      </c>
      <c r="CP5" s="110">
        <v>335952.15</v>
      </c>
      <c r="CQ5" s="110">
        <v>0</v>
      </c>
      <c r="CR5" s="110">
        <v>24738.799999999999</v>
      </c>
      <c r="CS5" s="110">
        <v>0</v>
      </c>
      <c r="CT5" s="110">
        <v>0</v>
      </c>
      <c r="CU5" s="110">
        <v>0</v>
      </c>
      <c r="CV5" s="111">
        <v>3260</v>
      </c>
      <c r="CW5" s="111">
        <v>2840</v>
      </c>
      <c r="CX5" s="111">
        <v>2691</v>
      </c>
      <c r="CY5" s="111">
        <v>149</v>
      </c>
      <c r="CZ5" s="111">
        <v>420</v>
      </c>
      <c r="DA5" s="111">
        <v>277</v>
      </c>
      <c r="DB5" s="111">
        <v>143</v>
      </c>
      <c r="DC5" s="111">
        <v>2537</v>
      </c>
      <c r="DD5" s="111">
        <v>0</v>
      </c>
      <c r="DE5" s="111">
        <v>2218</v>
      </c>
      <c r="DF5" s="111">
        <v>2109</v>
      </c>
      <c r="DG5" s="111">
        <v>109</v>
      </c>
      <c r="DH5" s="111">
        <v>319</v>
      </c>
      <c r="DI5" s="111">
        <v>207</v>
      </c>
      <c r="DJ5" s="111">
        <v>112</v>
      </c>
      <c r="DK5" s="111">
        <v>676</v>
      </c>
      <c r="DL5" s="111">
        <v>580</v>
      </c>
      <c r="DM5" s="111">
        <v>543</v>
      </c>
      <c r="DN5" s="111">
        <v>37</v>
      </c>
      <c r="DO5" s="111">
        <v>96</v>
      </c>
      <c r="DP5" s="111">
        <v>68</v>
      </c>
      <c r="DQ5" s="111">
        <v>28</v>
      </c>
      <c r="DR5" s="111">
        <v>47</v>
      </c>
      <c r="DS5" s="111">
        <v>0</v>
      </c>
      <c r="DT5" s="111">
        <v>42</v>
      </c>
      <c r="DU5" s="111">
        <v>39</v>
      </c>
      <c r="DV5" s="111">
        <v>3</v>
      </c>
      <c r="DW5" s="111">
        <v>5</v>
      </c>
      <c r="DX5" s="111">
        <v>2</v>
      </c>
      <c r="DY5" s="111">
        <v>3</v>
      </c>
      <c r="DZ5" s="111">
        <v>0</v>
      </c>
      <c r="EA5" s="111">
        <v>0</v>
      </c>
      <c r="EB5" s="111">
        <v>0</v>
      </c>
      <c r="EC5" s="111">
        <v>0</v>
      </c>
      <c r="ED5" s="111">
        <v>0</v>
      </c>
      <c r="EE5" s="111">
        <v>0</v>
      </c>
      <c r="EF5" s="111">
        <v>0</v>
      </c>
      <c r="EG5" s="111">
        <v>72</v>
      </c>
      <c r="EH5" s="111">
        <v>53</v>
      </c>
      <c r="EI5" s="111">
        <v>52</v>
      </c>
      <c r="EJ5" s="111">
        <v>1</v>
      </c>
      <c r="EK5" s="111">
        <v>19</v>
      </c>
      <c r="EL5" s="111">
        <v>18</v>
      </c>
      <c r="EM5" s="111">
        <v>1</v>
      </c>
      <c r="EN5" s="111">
        <v>43</v>
      </c>
      <c r="EO5" s="111">
        <v>0</v>
      </c>
      <c r="EP5" s="111">
        <v>0</v>
      </c>
      <c r="EQ5" s="111">
        <v>43</v>
      </c>
      <c r="ER5" s="111">
        <v>0</v>
      </c>
      <c r="ES5" s="111">
        <v>0</v>
      </c>
      <c r="ET5" s="111">
        <v>0</v>
      </c>
      <c r="EU5" s="111">
        <v>0</v>
      </c>
      <c r="EV5" s="111">
        <v>0</v>
      </c>
      <c r="EW5" s="111">
        <v>0</v>
      </c>
      <c r="EX5" s="111">
        <v>0</v>
      </c>
      <c r="EY5" s="111">
        <v>0</v>
      </c>
      <c r="EZ5" s="111">
        <v>0</v>
      </c>
      <c r="FA5" s="111">
        <v>0</v>
      </c>
      <c r="FB5" s="111">
        <v>33</v>
      </c>
    </row>
    <row r="6" spans="1:158" ht="28.5" customHeight="1">
      <c r="A6" s="107">
        <v>3</v>
      </c>
      <c r="B6" s="107" t="s">
        <v>350</v>
      </c>
      <c r="C6" s="107" t="s">
        <v>353</v>
      </c>
      <c r="D6" s="110">
        <v>3786873</v>
      </c>
      <c r="E6" s="110">
        <v>2296995</v>
      </c>
      <c r="F6" s="110">
        <v>1489878</v>
      </c>
      <c r="G6" s="110">
        <v>7264</v>
      </c>
      <c r="H6" s="110">
        <v>242</v>
      </c>
      <c r="I6" s="110">
        <v>165668</v>
      </c>
      <c r="J6" s="110">
        <v>8400</v>
      </c>
      <c r="K6" s="110">
        <v>0</v>
      </c>
      <c r="L6" s="110">
        <v>158184</v>
      </c>
      <c r="M6" s="110">
        <v>179651</v>
      </c>
      <c r="N6" s="110">
        <v>693</v>
      </c>
      <c r="O6" s="110">
        <v>6721784.4800000004</v>
      </c>
      <c r="P6" s="110">
        <v>5734804.79</v>
      </c>
      <c r="Q6" s="110">
        <v>5551091.2400000002</v>
      </c>
      <c r="R6" s="110">
        <v>183713.55</v>
      </c>
      <c r="S6" s="110">
        <v>986979.69</v>
      </c>
      <c r="T6" s="110">
        <v>813870.73</v>
      </c>
      <c r="U6" s="110">
        <v>173108.96</v>
      </c>
      <c r="V6" s="110">
        <v>3869968.72</v>
      </c>
      <c r="W6" s="110">
        <v>3383876.49</v>
      </c>
      <c r="X6" s="110">
        <v>3209098.56</v>
      </c>
      <c r="Y6" s="110">
        <v>174777.93</v>
      </c>
      <c r="Z6" s="110">
        <v>486092.23</v>
      </c>
      <c r="AA6" s="110">
        <v>332607.77</v>
      </c>
      <c r="AB6" s="110">
        <v>153484.46</v>
      </c>
      <c r="AC6" s="110">
        <v>1343633.72</v>
      </c>
      <c r="AD6" s="110">
        <v>1198305.49</v>
      </c>
      <c r="AE6" s="110">
        <v>1144632.56</v>
      </c>
      <c r="AF6" s="110">
        <v>53672.93</v>
      </c>
      <c r="AG6" s="110">
        <v>145328.23000000001</v>
      </c>
      <c r="AH6" s="110">
        <v>98055.77</v>
      </c>
      <c r="AI6" s="110">
        <v>47272.46</v>
      </c>
      <c r="AJ6" s="110">
        <v>229340</v>
      </c>
      <c r="AK6" s="110">
        <v>196832</v>
      </c>
      <c r="AL6" s="110">
        <v>184080</v>
      </c>
      <c r="AM6" s="110">
        <v>12752</v>
      </c>
      <c r="AN6" s="110">
        <v>32508</v>
      </c>
      <c r="AO6" s="110">
        <v>25951</v>
      </c>
      <c r="AP6" s="110">
        <v>6557</v>
      </c>
      <c r="AQ6" s="110">
        <v>1891258</v>
      </c>
      <c r="AR6" s="110">
        <v>1636069</v>
      </c>
      <c r="AS6" s="110">
        <v>1547657</v>
      </c>
      <c r="AT6" s="110">
        <v>88412</v>
      </c>
      <c r="AU6" s="110">
        <v>255189</v>
      </c>
      <c r="AV6" s="110">
        <v>170559</v>
      </c>
      <c r="AW6" s="110">
        <v>84630</v>
      </c>
      <c r="AX6" s="110">
        <v>405737</v>
      </c>
      <c r="AY6" s="110">
        <v>352670</v>
      </c>
      <c r="AZ6" s="110">
        <v>332729</v>
      </c>
      <c r="BA6" s="110">
        <v>19941</v>
      </c>
      <c r="BB6" s="110">
        <v>53067</v>
      </c>
      <c r="BC6" s="110">
        <v>38042</v>
      </c>
      <c r="BD6" s="110">
        <v>15025</v>
      </c>
      <c r="BE6" s="110">
        <v>2851815.76</v>
      </c>
      <c r="BF6" s="110">
        <v>2350928.2999999998</v>
      </c>
      <c r="BG6" s="110">
        <v>2341992.6800000002</v>
      </c>
      <c r="BH6" s="110">
        <v>8935.6200000000008</v>
      </c>
      <c r="BI6" s="110">
        <v>500887.46</v>
      </c>
      <c r="BJ6" s="110">
        <v>481262.96</v>
      </c>
      <c r="BK6" s="110">
        <v>19624.5</v>
      </c>
      <c r="BL6" s="110">
        <v>397804.6</v>
      </c>
      <c r="BM6" s="110">
        <v>326410.05</v>
      </c>
      <c r="BN6" s="110">
        <v>325217.42</v>
      </c>
      <c r="BO6" s="110">
        <v>1192.6300000000001</v>
      </c>
      <c r="BP6" s="110">
        <v>71394.55</v>
      </c>
      <c r="BQ6" s="110">
        <v>68969.55</v>
      </c>
      <c r="BR6" s="110">
        <v>2425</v>
      </c>
      <c r="BS6" s="110">
        <v>964133.16</v>
      </c>
      <c r="BT6" s="110">
        <v>809389.25</v>
      </c>
      <c r="BU6" s="110">
        <v>807536.26</v>
      </c>
      <c r="BV6" s="110">
        <v>1852.99</v>
      </c>
      <c r="BW6" s="110">
        <v>154743.91</v>
      </c>
      <c r="BX6" s="110">
        <v>146673.41</v>
      </c>
      <c r="BY6" s="110">
        <v>8070.5</v>
      </c>
      <c r="BZ6" s="110">
        <v>777726</v>
      </c>
      <c r="CA6" s="110">
        <v>625760</v>
      </c>
      <c r="CB6" s="110">
        <v>621384</v>
      </c>
      <c r="CC6" s="110">
        <v>4376</v>
      </c>
      <c r="CD6" s="110">
        <v>151966</v>
      </c>
      <c r="CE6" s="110">
        <v>146771</v>
      </c>
      <c r="CF6" s="110">
        <v>5195</v>
      </c>
      <c r="CG6" s="110">
        <v>712152</v>
      </c>
      <c r="CH6" s="110">
        <v>589369</v>
      </c>
      <c r="CI6" s="110">
        <v>587855</v>
      </c>
      <c r="CJ6" s="110">
        <v>1514</v>
      </c>
      <c r="CK6" s="110">
        <v>122783</v>
      </c>
      <c r="CL6" s="110">
        <v>118849</v>
      </c>
      <c r="CM6" s="110">
        <v>3934</v>
      </c>
      <c r="CN6" s="110">
        <v>-50</v>
      </c>
      <c r="CO6" s="110">
        <v>2463388.69</v>
      </c>
      <c r="CP6" s="110">
        <v>642607.71</v>
      </c>
      <c r="CQ6" s="110">
        <v>641381.61</v>
      </c>
      <c r="CR6" s="110">
        <v>122590.71</v>
      </c>
      <c r="CS6" s="110">
        <v>0</v>
      </c>
      <c r="CT6" s="110">
        <v>68170.350000000006</v>
      </c>
      <c r="CU6" s="110">
        <v>0</v>
      </c>
      <c r="CV6" s="111">
        <v>7264</v>
      </c>
      <c r="CW6" s="111">
        <v>6332</v>
      </c>
      <c r="CX6" s="111">
        <v>5987</v>
      </c>
      <c r="CY6" s="111">
        <v>345</v>
      </c>
      <c r="CZ6" s="111">
        <v>932</v>
      </c>
      <c r="DA6" s="111">
        <v>602</v>
      </c>
      <c r="DB6" s="111">
        <v>330</v>
      </c>
      <c r="DC6" s="111">
        <v>5907</v>
      </c>
      <c r="DD6" s="111">
        <v>0</v>
      </c>
      <c r="DE6" s="111">
        <v>5112</v>
      </c>
      <c r="DF6" s="111">
        <v>4848</v>
      </c>
      <c r="DG6" s="111">
        <v>264</v>
      </c>
      <c r="DH6" s="111">
        <v>795</v>
      </c>
      <c r="DI6" s="111">
        <v>498</v>
      </c>
      <c r="DJ6" s="111">
        <v>297</v>
      </c>
      <c r="DK6" s="111">
        <v>1198</v>
      </c>
      <c r="DL6" s="111">
        <v>1082</v>
      </c>
      <c r="DM6" s="111">
        <v>1012</v>
      </c>
      <c r="DN6" s="111">
        <v>70</v>
      </c>
      <c r="DO6" s="111">
        <v>116</v>
      </c>
      <c r="DP6" s="111">
        <v>92</v>
      </c>
      <c r="DQ6" s="111">
        <v>24</v>
      </c>
      <c r="DR6" s="111">
        <v>159</v>
      </c>
      <c r="DS6" s="111">
        <v>0</v>
      </c>
      <c r="DT6" s="111">
        <v>138</v>
      </c>
      <c r="DU6" s="111">
        <v>127</v>
      </c>
      <c r="DV6" s="111">
        <v>11</v>
      </c>
      <c r="DW6" s="111">
        <v>21</v>
      </c>
      <c r="DX6" s="111">
        <v>12</v>
      </c>
      <c r="DY6" s="111">
        <v>9</v>
      </c>
      <c r="DZ6" s="111">
        <v>0</v>
      </c>
      <c r="EA6" s="111">
        <v>0</v>
      </c>
      <c r="EB6" s="111">
        <v>0</v>
      </c>
      <c r="EC6" s="111">
        <v>0</v>
      </c>
      <c r="ED6" s="111">
        <v>0</v>
      </c>
      <c r="EE6" s="111">
        <v>0</v>
      </c>
      <c r="EF6" s="111">
        <v>0</v>
      </c>
      <c r="EG6" s="111">
        <v>242</v>
      </c>
      <c r="EH6" s="111">
        <v>196</v>
      </c>
      <c r="EI6" s="111">
        <v>195</v>
      </c>
      <c r="EJ6" s="111">
        <v>1</v>
      </c>
      <c r="EK6" s="111">
        <v>46</v>
      </c>
      <c r="EL6" s="111">
        <v>44</v>
      </c>
      <c r="EM6" s="111">
        <v>2</v>
      </c>
      <c r="EN6" s="111">
        <v>237</v>
      </c>
      <c r="EO6" s="111">
        <v>0</v>
      </c>
      <c r="EP6" s="111">
        <v>0</v>
      </c>
      <c r="EQ6" s="111">
        <v>237</v>
      </c>
      <c r="ER6" s="111">
        <v>0</v>
      </c>
      <c r="ES6" s="111">
        <v>0</v>
      </c>
      <c r="ET6" s="111">
        <v>55</v>
      </c>
      <c r="EU6" s="111">
        <v>39</v>
      </c>
      <c r="EV6" s="111">
        <v>0</v>
      </c>
      <c r="EW6" s="111">
        <v>0</v>
      </c>
      <c r="EX6" s="111">
        <v>39</v>
      </c>
      <c r="EY6" s="111">
        <v>0</v>
      </c>
      <c r="EZ6" s="111">
        <v>0</v>
      </c>
      <c r="FA6" s="111">
        <v>0</v>
      </c>
      <c r="FB6" s="111">
        <v>7</v>
      </c>
    </row>
    <row r="7" spans="1:158" ht="19.5" customHeight="1">
      <c r="A7" s="107">
        <v>4</v>
      </c>
      <c r="B7" s="107" t="s">
        <v>350</v>
      </c>
      <c r="C7" s="107" t="s">
        <v>354</v>
      </c>
      <c r="D7" s="110">
        <v>2184103</v>
      </c>
      <c r="E7" s="110">
        <v>1089818</v>
      </c>
      <c r="F7" s="110">
        <v>1094285</v>
      </c>
      <c r="G7" s="110">
        <v>3050</v>
      </c>
      <c r="H7" s="110">
        <v>100</v>
      </c>
      <c r="I7" s="110">
        <v>84</v>
      </c>
      <c r="J7" s="110">
        <v>0</v>
      </c>
      <c r="K7" s="110">
        <v>1911.63</v>
      </c>
      <c r="L7" s="110">
        <v>37990.5</v>
      </c>
      <c r="M7" s="110">
        <v>13398</v>
      </c>
      <c r="N7" s="110">
        <v>0</v>
      </c>
      <c r="O7" s="110">
        <v>4249541.75</v>
      </c>
      <c r="P7" s="110">
        <v>3617359.59</v>
      </c>
      <c r="Q7" s="110">
        <v>3482214.75</v>
      </c>
      <c r="R7" s="110">
        <v>135144.84</v>
      </c>
      <c r="S7" s="110">
        <v>632182.16</v>
      </c>
      <c r="T7" s="110">
        <v>522272.36</v>
      </c>
      <c r="U7" s="110">
        <v>109909.8</v>
      </c>
      <c r="V7" s="110">
        <v>1972862.86</v>
      </c>
      <c r="W7" s="110">
        <v>1663756.2</v>
      </c>
      <c r="X7" s="110">
        <v>1565804.42</v>
      </c>
      <c r="Y7" s="110">
        <v>97951.78</v>
      </c>
      <c r="Z7" s="110">
        <v>309106.65999999997</v>
      </c>
      <c r="AA7" s="110">
        <v>213095.81</v>
      </c>
      <c r="AB7" s="110">
        <v>96010.85</v>
      </c>
      <c r="AC7" s="110">
        <v>877841.86</v>
      </c>
      <c r="AD7" s="110">
        <v>766925.2</v>
      </c>
      <c r="AE7" s="110">
        <v>726402.42</v>
      </c>
      <c r="AF7" s="110">
        <v>40522.78</v>
      </c>
      <c r="AG7" s="110">
        <v>110916.66</v>
      </c>
      <c r="AH7" s="110">
        <v>80184.81</v>
      </c>
      <c r="AI7" s="110">
        <v>30731.85</v>
      </c>
      <c r="AJ7" s="110">
        <v>5203</v>
      </c>
      <c r="AK7" s="110">
        <v>3999</v>
      </c>
      <c r="AL7" s="110">
        <v>3440</v>
      </c>
      <c r="AM7" s="110">
        <v>559</v>
      </c>
      <c r="AN7" s="110">
        <v>1204</v>
      </c>
      <c r="AO7" s="110">
        <v>817</v>
      </c>
      <c r="AP7" s="110">
        <v>387</v>
      </c>
      <c r="AQ7" s="110">
        <v>922475</v>
      </c>
      <c r="AR7" s="110">
        <v>752934</v>
      </c>
      <c r="AS7" s="110">
        <v>705575</v>
      </c>
      <c r="AT7" s="110">
        <v>47359</v>
      </c>
      <c r="AU7" s="110">
        <v>169541</v>
      </c>
      <c r="AV7" s="110">
        <v>113994</v>
      </c>
      <c r="AW7" s="110">
        <v>55547</v>
      </c>
      <c r="AX7" s="110">
        <v>167343</v>
      </c>
      <c r="AY7" s="110">
        <v>139898</v>
      </c>
      <c r="AZ7" s="110">
        <v>130387</v>
      </c>
      <c r="BA7" s="110">
        <v>9511</v>
      </c>
      <c r="BB7" s="110">
        <v>27445</v>
      </c>
      <c r="BC7" s="110">
        <v>18100</v>
      </c>
      <c r="BD7" s="110">
        <v>9345</v>
      </c>
      <c r="BE7" s="110">
        <v>2276678.89</v>
      </c>
      <c r="BF7" s="110">
        <v>1953603.39</v>
      </c>
      <c r="BG7" s="110">
        <v>1916410.33</v>
      </c>
      <c r="BH7" s="110">
        <v>37193.06</v>
      </c>
      <c r="BI7" s="110">
        <v>323075.5</v>
      </c>
      <c r="BJ7" s="110">
        <v>309176.55</v>
      </c>
      <c r="BK7" s="110">
        <v>13898.95</v>
      </c>
      <c r="BL7" s="110">
        <v>410668.61</v>
      </c>
      <c r="BM7" s="110">
        <v>345223.11</v>
      </c>
      <c r="BN7" s="110">
        <v>338051.5</v>
      </c>
      <c r="BO7" s="110">
        <v>7171.61</v>
      </c>
      <c r="BP7" s="110">
        <v>65445.5</v>
      </c>
      <c r="BQ7" s="110">
        <v>63453.73</v>
      </c>
      <c r="BR7" s="110">
        <v>1991.77</v>
      </c>
      <c r="BS7" s="110">
        <v>771725.28</v>
      </c>
      <c r="BT7" s="110">
        <v>736029.28</v>
      </c>
      <c r="BU7" s="110">
        <v>732175.33</v>
      </c>
      <c r="BV7" s="110">
        <v>3853.95</v>
      </c>
      <c r="BW7" s="110">
        <v>35696</v>
      </c>
      <c r="BX7" s="110">
        <v>33446.82</v>
      </c>
      <c r="BY7" s="110">
        <v>2249.1799999999998</v>
      </c>
      <c r="BZ7" s="110">
        <v>791411</v>
      </c>
      <c r="CA7" s="110">
        <v>616991</v>
      </c>
      <c r="CB7" s="110">
        <v>599337</v>
      </c>
      <c r="CC7" s="110">
        <v>17654</v>
      </c>
      <c r="CD7" s="110">
        <v>174420</v>
      </c>
      <c r="CE7" s="110">
        <v>166314</v>
      </c>
      <c r="CF7" s="110">
        <v>8106</v>
      </c>
      <c r="CG7" s="110">
        <v>302874</v>
      </c>
      <c r="CH7" s="110">
        <v>255360</v>
      </c>
      <c r="CI7" s="110">
        <v>246846.5</v>
      </c>
      <c r="CJ7" s="110">
        <v>8513.5</v>
      </c>
      <c r="CK7" s="110">
        <v>47514</v>
      </c>
      <c r="CL7" s="110">
        <v>45962</v>
      </c>
      <c r="CM7" s="110">
        <v>1552</v>
      </c>
      <c r="CN7" s="110">
        <v>40</v>
      </c>
      <c r="CO7" s="110">
        <v>799274.67</v>
      </c>
      <c r="CP7" s="110">
        <v>500683.78</v>
      </c>
      <c r="CQ7" s="110">
        <v>313700.13</v>
      </c>
      <c r="CR7" s="110">
        <v>359204.28</v>
      </c>
      <c r="CS7" s="110">
        <v>0</v>
      </c>
      <c r="CT7" s="110">
        <v>0</v>
      </c>
      <c r="CU7" s="110">
        <v>0</v>
      </c>
      <c r="CV7" s="111">
        <v>3050</v>
      </c>
      <c r="CW7" s="111">
        <v>2599</v>
      </c>
      <c r="CX7" s="111">
        <v>2430</v>
      </c>
      <c r="CY7" s="111">
        <v>169</v>
      </c>
      <c r="CZ7" s="111">
        <v>451</v>
      </c>
      <c r="DA7" s="111">
        <v>304</v>
      </c>
      <c r="DB7" s="111">
        <v>147</v>
      </c>
      <c r="DC7" s="111">
        <v>1867</v>
      </c>
      <c r="DD7" s="111">
        <v>0</v>
      </c>
      <c r="DE7" s="111">
        <v>1620</v>
      </c>
      <c r="DF7" s="111">
        <v>1517</v>
      </c>
      <c r="DG7" s="111">
        <v>103</v>
      </c>
      <c r="DH7" s="111">
        <v>247</v>
      </c>
      <c r="DI7" s="111">
        <v>166</v>
      </c>
      <c r="DJ7" s="111">
        <v>81</v>
      </c>
      <c r="DK7" s="111">
        <v>814</v>
      </c>
      <c r="DL7" s="111">
        <v>674</v>
      </c>
      <c r="DM7" s="111">
        <v>629</v>
      </c>
      <c r="DN7" s="111">
        <v>45</v>
      </c>
      <c r="DO7" s="111">
        <v>140</v>
      </c>
      <c r="DP7" s="111">
        <v>94</v>
      </c>
      <c r="DQ7" s="111">
        <v>46</v>
      </c>
      <c r="DR7" s="111">
        <v>369</v>
      </c>
      <c r="DS7" s="111">
        <v>0</v>
      </c>
      <c r="DT7" s="111">
        <v>305</v>
      </c>
      <c r="DU7" s="111">
        <v>284</v>
      </c>
      <c r="DV7" s="111">
        <v>21</v>
      </c>
      <c r="DW7" s="111">
        <v>64</v>
      </c>
      <c r="DX7" s="111">
        <v>44</v>
      </c>
      <c r="DY7" s="111">
        <v>20</v>
      </c>
      <c r="DZ7" s="111">
        <v>0</v>
      </c>
      <c r="EA7" s="111">
        <v>0</v>
      </c>
      <c r="EB7" s="111">
        <v>0</v>
      </c>
      <c r="EC7" s="111">
        <v>0</v>
      </c>
      <c r="ED7" s="111">
        <v>0</v>
      </c>
      <c r="EE7" s="111">
        <v>0</v>
      </c>
      <c r="EF7" s="111">
        <v>0</v>
      </c>
      <c r="EG7" s="111">
        <v>100</v>
      </c>
      <c r="EH7" s="111">
        <v>77</v>
      </c>
      <c r="EI7" s="111">
        <v>74</v>
      </c>
      <c r="EJ7" s="111">
        <v>3</v>
      </c>
      <c r="EK7" s="111">
        <v>23</v>
      </c>
      <c r="EL7" s="111">
        <v>22</v>
      </c>
      <c r="EM7" s="111">
        <v>1</v>
      </c>
      <c r="EN7" s="111">
        <v>46</v>
      </c>
      <c r="EO7" s="111">
        <v>0</v>
      </c>
      <c r="EP7" s="111">
        <v>7</v>
      </c>
      <c r="EQ7" s="111">
        <v>39</v>
      </c>
      <c r="ER7" s="111">
        <v>0</v>
      </c>
      <c r="ES7" s="111">
        <v>0</v>
      </c>
      <c r="ET7" s="111">
        <v>0</v>
      </c>
      <c r="EU7" s="111">
        <v>2</v>
      </c>
      <c r="EV7" s="111">
        <v>0</v>
      </c>
      <c r="EW7" s="111">
        <v>2</v>
      </c>
      <c r="EX7" s="111">
        <v>0</v>
      </c>
      <c r="EY7" s="111">
        <v>5</v>
      </c>
      <c r="EZ7" s="111">
        <v>0</v>
      </c>
      <c r="FA7" s="111">
        <v>5</v>
      </c>
      <c r="FB7" s="111">
        <v>30</v>
      </c>
    </row>
    <row r="8" spans="1:158" ht="19.5" customHeight="1">
      <c r="A8" s="107">
        <v>5</v>
      </c>
      <c r="B8" s="107" t="s">
        <v>350</v>
      </c>
      <c r="C8" s="107" t="s">
        <v>355</v>
      </c>
      <c r="D8" s="110">
        <v>4850815.5</v>
      </c>
      <c r="E8" s="110">
        <v>1172058</v>
      </c>
      <c r="F8" s="110">
        <v>3678757.5</v>
      </c>
      <c r="G8" s="110">
        <v>6934</v>
      </c>
      <c r="H8" s="110">
        <v>289</v>
      </c>
      <c r="I8" s="110">
        <v>992</v>
      </c>
      <c r="J8" s="110">
        <v>0</v>
      </c>
      <c r="K8" s="110">
        <v>0</v>
      </c>
      <c r="L8" s="110">
        <v>34579</v>
      </c>
      <c r="M8" s="110">
        <v>747076.5</v>
      </c>
      <c r="N8" s="110">
        <v>37.5</v>
      </c>
      <c r="O8" s="110">
        <v>16956628.559999999</v>
      </c>
      <c r="P8" s="110">
        <v>12358020.220000001</v>
      </c>
      <c r="Q8" s="110">
        <v>12202150.17</v>
      </c>
      <c r="R8" s="110">
        <v>155870.04999999999</v>
      </c>
      <c r="S8" s="110">
        <v>4598608.34</v>
      </c>
      <c r="T8" s="110">
        <v>4421296.68</v>
      </c>
      <c r="U8" s="110">
        <v>177311.66</v>
      </c>
      <c r="V8" s="110">
        <v>3116542.79</v>
      </c>
      <c r="W8" s="110">
        <v>2786885.45</v>
      </c>
      <c r="X8" s="110">
        <v>2704974.12</v>
      </c>
      <c r="Y8" s="110">
        <v>81911.33</v>
      </c>
      <c r="Z8" s="110">
        <v>329657.34000000003</v>
      </c>
      <c r="AA8" s="110">
        <v>253833.95</v>
      </c>
      <c r="AB8" s="110">
        <v>75823.39</v>
      </c>
      <c r="AC8" s="110">
        <v>1924812.79</v>
      </c>
      <c r="AD8" s="110">
        <v>1743694.45</v>
      </c>
      <c r="AE8" s="110">
        <v>1708786.12</v>
      </c>
      <c r="AF8" s="110">
        <v>34908.33</v>
      </c>
      <c r="AG8" s="110">
        <v>181118.34</v>
      </c>
      <c r="AH8" s="110">
        <v>149688.95000000001</v>
      </c>
      <c r="AI8" s="110">
        <v>31429.39</v>
      </c>
      <c r="AJ8" s="110">
        <v>19672</v>
      </c>
      <c r="AK8" s="110">
        <v>16973</v>
      </c>
      <c r="AL8" s="110">
        <v>16290</v>
      </c>
      <c r="AM8" s="110">
        <v>683</v>
      </c>
      <c r="AN8" s="110">
        <v>2699</v>
      </c>
      <c r="AO8" s="110">
        <v>1710</v>
      </c>
      <c r="AP8" s="110">
        <v>989</v>
      </c>
      <c r="AQ8" s="110">
        <v>934816</v>
      </c>
      <c r="AR8" s="110">
        <v>818174</v>
      </c>
      <c r="AS8" s="110">
        <v>780777</v>
      </c>
      <c r="AT8" s="110">
        <v>37397</v>
      </c>
      <c r="AU8" s="110">
        <v>116642</v>
      </c>
      <c r="AV8" s="110">
        <v>80955</v>
      </c>
      <c r="AW8" s="110">
        <v>35687</v>
      </c>
      <c r="AX8" s="110">
        <v>237242</v>
      </c>
      <c r="AY8" s="110">
        <v>208044</v>
      </c>
      <c r="AZ8" s="110">
        <v>199121</v>
      </c>
      <c r="BA8" s="110">
        <v>8923</v>
      </c>
      <c r="BB8" s="110">
        <v>29198</v>
      </c>
      <c r="BC8" s="110">
        <v>21480</v>
      </c>
      <c r="BD8" s="110">
        <v>7718</v>
      </c>
      <c r="BE8" s="110">
        <v>13840085.77</v>
      </c>
      <c r="BF8" s="110">
        <v>9571134.7699999996</v>
      </c>
      <c r="BG8" s="110">
        <v>9497176.0500000007</v>
      </c>
      <c r="BH8" s="110">
        <v>73958.720000000001</v>
      </c>
      <c r="BI8" s="110">
        <v>4268951</v>
      </c>
      <c r="BJ8" s="110">
        <v>4167462.73</v>
      </c>
      <c r="BK8" s="110">
        <v>101488.27</v>
      </c>
      <c r="BL8" s="110">
        <v>854353.33</v>
      </c>
      <c r="BM8" s="110">
        <v>603734.19999999995</v>
      </c>
      <c r="BN8" s="110">
        <v>595538.32999999996</v>
      </c>
      <c r="BO8" s="110">
        <v>8195.8700000000008</v>
      </c>
      <c r="BP8" s="110">
        <v>250619.13</v>
      </c>
      <c r="BQ8" s="110">
        <v>244673.1</v>
      </c>
      <c r="BR8" s="110">
        <v>5946.03</v>
      </c>
      <c r="BS8" s="110">
        <v>9306974.9399999995</v>
      </c>
      <c r="BT8" s="110">
        <v>6405604.8200000003</v>
      </c>
      <c r="BU8" s="110">
        <v>6369171.4699999997</v>
      </c>
      <c r="BV8" s="110">
        <v>36433.35</v>
      </c>
      <c r="BW8" s="110">
        <v>2901370.12</v>
      </c>
      <c r="BX8" s="110">
        <v>2844255.88</v>
      </c>
      <c r="BY8" s="110">
        <v>57114.239999999998</v>
      </c>
      <c r="BZ8" s="110">
        <v>2192369</v>
      </c>
      <c r="CA8" s="110">
        <v>1551787</v>
      </c>
      <c r="CB8" s="110">
        <v>1536960</v>
      </c>
      <c r="CC8" s="110">
        <v>14827</v>
      </c>
      <c r="CD8" s="110">
        <v>640582</v>
      </c>
      <c r="CE8" s="110">
        <v>618900</v>
      </c>
      <c r="CF8" s="110">
        <v>21682</v>
      </c>
      <c r="CG8" s="110">
        <v>1486388.5</v>
      </c>
      <c r="CH8" s="110">
        <v>1010008.75</v>
      </c>
      <c r="CI8" s="110">
        <v>995506.25</v>
      </c>
      <c r="CJ8" s="110">
        <v>14502.5</v>
      </c>
      <c r="CK8" s="110">
        <v>476379.75</v>
      </c>
      <c r="CL8" s="110">
        <v>459633.75</v>
      </c>
      <c r="CM8" s="110">
        <v>16746</v>
      </c>
      <c r="CN8" s="110">
        <v>0</v>
      </c>
      <c r="CO8" s="110">
        <v>1648009.8</v>
      </c>
      <c r="CP8" s="110">
        <v>1349781.6</v>
      </c>
      <c r="CQ8" s="110">
        <v>70660</v>
      </c>
      <c r="CR8" s="110">
        <v>48091.39</v>
      </c>
      <c r="CS8" s="110">
        <v>0</v>
      </c>
      <c r="CT8" s="110">
        <v>0</v>
      </c>
      <c r="CU8" s="110">
        <v>0</v>
      </c>
      <c r="CV8" s="111">
        <v>6934</v>
      </c>
      <c r="CW8" s="111">
        <v>6138</v>
      </c>
      <c r="CX8" s="111">
        <v>5888</v>
      </c>
      <c r="CY8" s="111">
        <v>250</v>
      </c>
      <c r="CZ8" s="111">
        <v>796</v>
      </c>
      <c r="DA8" s="111">
        <v>579</v>
      </c>
      <c r="DB8" s="111">
        <v>217</v>
      </c>
      <c r="DC8" s="111">
        <v>4233</v>
      </c>
      <c r="DD8" s="111">
        <v>0</v>
      </c>
      <c r="DE8" s="111">
        <v>3801</v>
      </c>
      <c r="DF8" s="111">
        <v>3657</v>
      </c>
      <c r="DG8" s="111">
        <v>144</v>
      </c>
      <c r="DH8" s="111">
        <v>432</v>
      </c>
      <c r="DI8" s="111">
        <v>300</v>
      </c>
      <c r="DJ8" s="111">
        <v>132</v>
      </c>
      <c r="DK8" s="111">
        <v>2646</v>
      </c>
      <c r="DL8" s="111">
        <v>2292</v>
      </c>
      <c r="DM8" s="111">
        <v>2189</v>
      </c>
      <c r="DN8" s="111">
        <v>103</v>
      </c>
      <c r="DO8" s="111">
        <v>354</v>
      </c>
      <c r="DP8" s="111">
        <v>272</v>
      </c>
      <c r="DQ8" s="111">
        <v>82</v>
      </c>
      <c r="DR8" s="111">
        <v>55</v>
      </c>
      <c r="DS8" s="111">
        <v>0</v>
      </c>
      <c r="DT8" s="111">
        <v>45</v>
      </c>
      <c r="DU8" s="111">
        <v>42</v>
      </c>
      <c r="DV8" s="111">
        <v>3</v>
      </c>
      <c r="DW8" s="111">
        <v>10</v>
      </c>
      <c r="DX8" s="111">
        <v>7</v>
      </c>
      <c r="DY8" s="111">
        <v>3</v>
      </c>
      <c r="DZ8" s="111">
        <v>0</v>
      </c>
      <c r="EA8" s="111">
        <v>0</v>
      </c>
      <c r="EB8" s="111">
        <v>0</v>
      </c>
      <c r="EC8" s="111">
        <v>0</v>
      </c>
      <c r="ED8" s="111">
        <v>0</v>
      </c>
      <c r="EE8" s="111">
        <v>0</v>
      </c>
      <c r="EF8" s="111">
        <v>0</v>
      </c>
      <c r="EG8" s="111">
        <v>289</v>
      </c>
      <c r="EH8" s="111">
        <v>213</v>
      </c>
      <c r="EI8" s="111">
        <v>213</v>
      </c>
      <c r="EJ8" s="111">
        <v>0</v>
      </c>
      <c r="EK8" s="111">
        <v>76</v>
      </c>
      <c r="EL8" s="111">
        <v>75</v>
      </c>
      <c r="EM8" s="111">
        <v>1</v>
      </c>
      <c r="EN8" s="111">
        <v>314</v>
      </c>
      <c r="EO8" s="111">
        <v>36</v>
      </c>
      <c r="EP8" s="111">
        <v>162</v>
      </c>
      <c r="EQ8" s="111">
        <v>116</v>
      </c>
      <c r="ER8" s="111">
        <v>0</v>
      </c>
      <c r="ES8" s="111">
        <v>0</v>
      </c>
      <c r="ET8" s="111">
        <v>0</v>
      </c>
      <c r="EU8" s="111">
        <v>143</v>
      </c>
      <c r="EV8" s="111">
        <v>36</v>
      </c>
      <c r="EW8" s="111">
        <v>107</v>
      </c>
      <c r="EX8" s="111">
        <v>0</v>
      </c>
      <c r="EY8" s="111">
        <v>7</v>
      </c>
      <c r="EZ8" s="111">
        <v>0</v>
      </c>
      <c r="FA8" s="111">
        <v>7</v>
      </c>
      <c r="FB8" s="111">
        <v>33</v>
      </c>
    </row>
    <row r="9" spans="1:158" ht="19.5" customHeight="1">
      <c r="A9" s="107">
        <v>6</v>
      </c>
      <c r="B9" s="107" t="s">
        <v>350</v>
      </c>
      <c r="C9" s="107" t="s">
        <v>356</v>
      </c>
      <c r="D9" s="110">
        <v>40850</v>
      </c>
      <c r="E9" s="110">
        <v>40850</v>
      </c>
      <c r="F9" s="110">
        <v>0</v>
      </c>
      <c r="G9" s="110">
        <v>192</v>
      </c>
      <c r="H9" s="110">
        <v>0</v>
      </c>
      <c r="I9" s="110">
        <v>66</v>
      </c>
      <c r="J9" s="110">
        <v>0</v>
      </c>
      <c r="K9" s="110">
        <v>0</v>
      </c>
      <c r="L9" s="110">
        <v>0</v>
      </c>
      <c r="M9" s="110">
        <v>0</v>
      </c>
      <c r="N9" s="110">
        <v>0</v>
      </c>
      <c r="O9" s="110">
        <v>119309.91</v>
      </c>
      <c r="P9" s="110">
        <v>113825.53</v>
      </c>
      <c r="Q9" s="110">
        <v>110624.96000000001</v>
      </c>
      <c r="R9" s="110">
        <v>3200.57</v>
      </c>
      <c r="S9" s="110">
        <v>5484.38</v>
      </c>
      <c r="T9" s="110">
        <v>4133.38</v>
      </c>
      <c r="U9" s="110">
        <v>1351</v>
      </c>
      <c r="V9" s="110">
        <v>119309.91</v>
      </c>
      <c r="W9" s="110">
        <v>113825.53</v>
      </c>
      <c r="X9" s="110">
        <v>110624.96000000001</v>
      </c>
      <c r="Y9" s="110">
        <v>3200.57</v>
      </c>
      <c r="Z9" s="110">
        <v>5484.38</v>
      </c>
      <c r="AA9" s="110">
        <v>4133.38</v>
      </c>
      <c r="AB9" s="110">
        <v>1351</v>
      </c>
      <c r="AC9" s="110">
        <v>78459.91</v>
      </c>
      <c r="AD9" s="110">
        <v>75974.53</v>
      </c>
      <c r="AE9" s="110">
        <v>75568.960000000006</v>
      </c>
      <c r="AF9" s="110">
        <v>405.57</v>
      </c>
      <c r="AG9" s="110">
        <v>2485.38</v>
      </c>
      <c r="AH9" s="110">
        <v>2485.38</v>
      </c>
      <c r="AI9" s="110">
        <v>0</v>
      </c>
      <c r="AJ9" s="110">
        <v>0</v>
      </c>
      <c r="AK9" s="110">
        <v>0</v>
      </c>
      <c r="AL9" s="110">
        <v>0</v>
      </c>
      <c r="AM9" s="110">
        <v>0</v>
      </c>
      <c r="AN9" s="110">
        <v>0</v>
      </c>
      <c r="AO9" s="110">
        <v>0</v>
      </c>
      <c r="AP9" s="110">
        <v>0</v>
      </c>
      <c r="AQ9" s="110">
        <v>33559</v>
      </c>
      <c r="AR9" s="110">
        <v>31153</v>
      </c>
      <c r="AS9" s="110">
        <v>28908</v>
      </c>
      <c r="AT9" s="110">
        <v>2245</v>
      </c>
      <c r="AU9" s="110">
        <v>2406</v>
      </c>
      <c r="AV9" s="110">
        <v>1205</v>
      </c>
      <c r="AW9" s="110">
        <v>1201</v>
      </c>
      <c r="AX9" s="110">
        <v>7291</v>
      </c>
      <c r="AY9" s="110">
        <v>6698</v>
      </c>
      <c r="AZ9" s="110">
        <v>6148</v>
      </c>
      <c r="BA9" s="110">
        <v>550</v>
      </c>
      <c r="BB9" s="110">
        <v>593</v>
      </c>
      <c r="BC9" s="110">
        <v>443</v>
      </c>
      <c r="BD9" s="110">
        <v>150</v>
      </c>
      <c r="BE9" s="110">
        <v>0</v>
      </c>
      <c r="BF9" s="110">
        <v>0</v>
      </c>
      <c r="BG9" s="110">
        <v>0</v>
      </c>
      <c r="BH9" s="110">
        <v>0</v>
      </c>
      <c r="BI9" s="110">
        <v>0</v>
      </c>
      <c r="BJ9" s="110">
        <v>0</v>
      </c>
      <c r="BK9" s="110">
        <v>0</v>
      </c>
      <c r="BL9" s="110">
        <v>0</v>
      </c>
      <c r="BM9" s="110">
        <v>0</v>
      </c>
      <c r="BN9" s="110">
        <v>0</v>
      </c>
      <c r="BO9" s="110">
        <v>0</v>
      </c>
      <c r="BP9" s="110">
        <v>0</v>
      </c>
      <c r="BQ9" s="110">
        <v>0</v>
      </c>
      <c r="BR9" s="110">
        <v>0</v>
      </c>
      <c r="BS9" s="110">
        <v>0</v>
      </c>
      <c r="BT9" s="110">
        <v>0</v>
      </c>
      <c r="BU9" s="110">
        <v>0</v>
      </c>
      <c r="BV9" s="110">
        <v>0</v>
      </c>
      <c r="BW9" s="110">
        <v>0</v>
      </c>
      <c r="BX9" s="110">
        <v>0</v>
      </c>
      <c r="BY9" s="110">
        <v>0</v>
      </c>
      <c r="BZ9" s="110">
        <v>0</v>
      </c>
      <c r="CA9" s="110">
        <v>0</v>
      </c>
      <c r="CB9" s="110">
        <v>0</v>
      </c>
      <c r="CC9" s="110">
        <v>0</v>
      </c>
      <c r="CD9" s="110">
        <v>0</v>
      </c>
      <c r="CE9" s="110">
        <v>0</v>
      </c>
      <c r="CF9" s="110">
        <v>0</v>
      </c>
      <c r="CG9" s="110">
        <v>0</v>
      </c>
      <c r="CH9" s="110">
        <v>0</v>
      </c>
      <c r="CI9" s="110">
        <v>0</v>
      </c>
      <c r="CJ9" s="110">
        <v>0</v>
      </c>
      <c r="CK9" s="110">
        <v>0</v>
      </c>
      <c r="CL9" s="110">
        <v>0</v>
      </c>
      <c r="CM9" s="110">
        <v>0</v>
      </c>
      <c r="CN9" s="110">
        <v>0</v>
      </c>
      <c r="CO9" s="110">
        <v>27975.63</v>
      </c>
      <c r="CP9" s="110">
        <v>91334.28</v>
      </c>
      <c r="CQ9" s="110">
        <v>0</v>
      </c>
      <c r="CR9" s="110">
        <v>0</v>
      </c>
      <c r="CS9" s="110">
        <v>0</v>
      </c>
      <c r="CT9" s="110">
        <v>0</v>
      </c>
      <c r="CU9" s="110">
        <v>0</v>
      </c>
      <c r="CV9" s="111">
        <v>192</v>
      </c>
      <c r="CW9" s="111">
        <v>178</v>
      </c>
      <c r="CX9" s="111">
        <v>164</v>
      </c>
      <c r="CY9" s="111">
        <v>14</v>
      </c>
      <c r="CZ9" s="111">
        <v>14</v>
      </c>
      <c r="DA9" s="111">
        <v>10</v>
      </c>
      <c r="DB9" s="111">
        <v>4</v>
      </c>
      <c r="DC9" s="111">
        <v>95</v>
      </c>
      <c r="DD9" s="111">
        <v>0</v>
      </c>
      <c r="DE9" s="111">
        <v>90</v>
      </c>
      <c r="DF9" s="111">
        <v>84</v>
      </c>
      <c r="DG9" s="111">
        <v>6</v>
      </c>
      <c r="DH9" s="111">
        <v>5</v>
      </c>
      <c r="DI9" s="111">
        <v>3</v>
      </c>
      <c r="DJ9" s="111">
        <v>2</v>
      </c>
      <c r="DK9" s="111">
        <v>97</v>
      </c>
      <c r="DL9" s="111">
        <v>88</v>
      </c>
      <c r="DM9" s="111">
        <v>80</v>
      </c>
      <c r="DN9" s="111">
        <v>8</v>
      </c>
      <c r="DO9" s="111">
        <v>9</v>
      </c>
      <c r="DP9" s="111">
        <v>7</v>
      </c>
      <c r="DQ9" s="111">
        <v>2</v>
      </c>
      <c r="DR9" s="111">
        <v>0</v>
      </c>
      <c r="DS9" s="111">
        <v>0</v>
      </c>
      <c r="DT9" s="111">
        <v>0</v>
      </c>
      <c r="DU9" s="111">
        <v>0</v>
      </c>
      <c r="DV9" s="111">
        <v>0</v>
      </c>
      <c r="DW9" s="111">
        <v>0</v>
      </c>
      <c r="DX9" s="111">
        <v>0</v>
      </c>
      <c r="DY9" s="111">
        <v>0</v>
      </c>
      <c r="DZ9" s="111">
        <v>0</v>
      </c>
      <c r="EA9" s="111">
        <v>0</v>
      </c>
      <c r="EB9" s="111">
        <v>0</v>
      </c>
      <c r="EC9" s="111">
        <v>0</v>
      </c>
      <c r="ED9" s="111">
        <v>0</v>
      </c>
      <c r="EE9" s="111">
        <v>0</v>
      </c>
      <c r="EF9" s="111">
        <v>0</v>
      </c>
      <c r="EG9" s="111">
        <v>0</v>
      </c>
      <c r="EH9" s="111">
        <v>0</v>
      </c>
      <c r="EI9" s="111">
        <v>0</v>
      </c>
      <c r="EJ9" s="111">
        <v>0</v>
      </c>
      <c r="EK9" s="111">
        <v>0</v>
      </c>
      <c r="EL9" s="111">
        <v>0</v>
      </c>
      <c r="EM9" s="111">
        <v>0</v>
      </c>
      <c r="EN9" s="111">
        <v>0</v>
      </c>
      <c r="EO9" s="111">
        <v>0</v>
      </c>
      <c r="EP9" s="111">
        <v>0</v>
      </c>
      <c r="EQ9" s="111">
        <v>0</v>
      </c>
      <c r="ER9" s="111">
        <v>0</v>
      </c>
      <c r="ES9" s="111">
        <v>0</v>
      </c>
      <c r="ET9" s="111">
        <v>0</v>
      </c>
      <c r="EU9" s="111">
        <v>0</v>
      </c>
      <c r="EV9" s="111">
        <v>0</v>
      </c>
      <c r="EW9" s="111">
        <v>0</v>
      </c>
      <c r="EX9" s="111">
        <v>0</v>
      </c>
      <c r="EY9" s="111">
        <v>0</v>
      </c>
      <c r="EZ9" s="111">
        <v>0</v>
      </c>
      <c r="FA9" s="111">
        <v>0</v>
      </c>
      <c r="FB9" s="111">
        <v>0</v>
      </c>
    </row>
    <row r="10" spans="1:158" ht="19.5" customHeight="1">
      <c r="A10" s="107">
        <v>7</v>
      </c>
      <c r="B10" s="107" t="s">
        <v>350</v>
      </c>
      <c r="C10" s="107" t="s">
        <v>357</v>
      </c>
      <c r="D10" s="110">
        <v>1448921</v>
      </c>
      <c r="E10" s="110">
        <v>1091491</v>
      </c>
      <c r="F10" s="110">
        <v>357430</v>
      </c>
      <c r="G10" s="110">
        <v>1972</v>
      </c>
      <c r="H10" s="110">
        <v>45</v>
      </c>
      <c r="I10" s="110">
        <v>587069</v>
      </c>
      <c r="J10" s="110">
        <v>0</v>
      </c>
      <c r="K10" s="110">
        <v>0</v>
      </c>
      <c r="L10" s="110">
        <v>16669</v>
      </c>
      <c r="M10" s="110">
        <v>14556</v>
      </c>
      <c r="N10" s="110">
        <v>0</v>
      </c>
      <c r="O10" s="110">
        <v>2330696.0099999998</v>
      </c>
      <c r="P10" s="110">
        <v>1968697.85</v>
      </c>
      <c r="Q10" s="110">
        <v>1937822.83</v>
      </c>
      <c r="R10" s="110">
        <v>30875.02</v>
      </c>
      <c r="S10" s="110">
        <v>361998.16</v>
      </c>
      <c r="T10" s="110">
        <v>323627.01</v>
      </c>
      <c r="U10" s="110">
        <v>38371.15</v>
      </c>
      <c r="V10" s="110">
        <v>1862990.47</v>
      </c>
      <c r="W10" s="110">
        <v>1673561.78</v>
      </c>
      <c r="X10" s="110">
        <v>1642686.76</v>
      </c>
      <c r="Y10" s="110">
        <v>30875.02</v>
      </c>
      <c r="Z10" s="110">
        <v>189428.69</v>
      </c>
      <c r="AA10" s="110">
        <v>161197.56</v>
      </c>
      <c r="AB10" s="110">
        <v>28231.13</v>
      </c>
      <c r="AC10" s="110">
        <v>687721.47</v>
      </c>
      <c r="AD10" s="110">
        <v>625272.78</v>
      </c>
      <c r="AE10" s="110">
        <v>615376.76</v>
      </c>
      <c r="AF10" s="110">
        <v>9896.02</v>
      </c>
      <c r="AG10" s="110">
        <v>62448.69</v>
      </c>
      <c r="AH10" s="110">
        <v>52595.56</v>
      </c>
      <c r="AI10" s="110">
        <v>9853.1299999999992</v>
      </c>
      <c r="AJ10" s="110">
        <v>83778</v>
      </c>
      <c r="AK10" s="110">
        <v>81549</v>
      </c>
      <c r="AL10" s="110">
        <v>81549</v>
      </c>
      <c r="AM10" s="110">
        <v>0</v>
      </c>
      <c r="AN10" s="110">
        <v>2229</v>
      </c>
      <c r="AO10" s="110">
        <v>2229</v>
      </c>
      <c r="AP10" s="110">
        <v>0</v>
      </c>
      <c r="AQ10" s="110">
        <v>436927</v>
      </c>
      <c r="AR10" s="110">
        <v>377076</v>
      </c>
      <c r="AS10" s="110">
        <v>358575</v>
      </c>
      <c r="AT10" s="110">
        <v>18501</v>
      </c>
      <c r="AU10" s="110">
        <v>59851</v>
      </c>
      <c r="AV10" s="110">
        <v>44210</v>
      </c>
      <c r="AW10" s="110">
        <v>15641</v>
      </c>
      <c r="AX10" s="110">
        <v>654564</v>
      </c>
      <c r="AY10" s="110">
        <v>589664</v>
      </c>
      <c r="AZ10" s="110">
        <v>587186</v>
      </c>
      <c r="BA10" s="110">
        <v>2478</v>
      </c>
      <c r="BB10" s="110">
        <v>64900</v>
      </c>
      <c r="BC10" s="110">
        <v>62163</v>
      </c>
      <c r="BD10" s="110">
        <v>2737</v>
      </c>
      <c r="BE10" s="110">
        <v>467705.54</v>
      </c>
      <c r="BF10" s="110">
        <v>295136.07</v>
      </c>
      <c r="BG10" s="110">
        <v>295136.07</v>
      </c>
      <c r="BH10" s="110">
        <v>0</v>
      </c>
      <c r="BI10" s="110">
        <v>172569.47</v>
      </c>
      <c r="BJ10" s="110">
        <v>162429.45000000001</v>
      </c>
      <c r="BK10" s="110">
        <v>10140.02</v>
      </c>
      <c r="BL10" s="110">
        <v>97103.41</v>
      </c>
      <c r="BM10" s="110">
        <v>59107.89</v>
      </c>
      <c r="BN10" s="110">
        <v>59107.89</v>
      </c>
      <c r="BO10" s="110">
        <v>0</v>
      </c>
      <c r="BP10" s="110">
        <v>37995.519999999997</v>
      </c>
      <c r="BQ10" s="110">
        <v>36598.89</v>
      </c>
      <c r="BR10" s="110">
        <v>1396.63</v>
      </c>
      <c r="BS10" s="110">
        <v>13172.13</v>
      </c>
      <c r="BT10" s="110">
        <v>7331.18</v>
      </c>
      <c r="BU10" s="110">
        <v>7331.18</v>
      </c>
      <c r="BV10" s="110">
        <v>0</v>
      </c>
      <c r="BW10" s="110">
        <v>5840.95</v>
      </c>
      <c r="BX10" s="110">
        <v>5567.56</v>
      </c>
      <c r="BY10" s="110">
        <v>273.39</v>
      </c>
      <c r="BZ10" s="110">
        <v>266476</v>
      </c>
      <c r="CA10" s="110">
        <v>176337</v>
      </c>
      <c r="CB10" s="110">
        <v>176337</v>
      </c>
      <c r="CC10" s="110">
        <v>0</v>
      </c>
      <c r="CD10" s="110">
        <v>90139</v>
      </c>
      <c r="CE10" s="110">
        <v>83162</v>
      </c>
      <c r="CF10" s="110">
        <v>6977</v>
      </c>
      <c r="CG10" s="110">
        <v>90954</v>
      </c>
      <c r="CH10" s="110">
        <v>52360</v>
      </c>
      <c r="CI10" s="110">
        <v>52360</v>
      </c>
      <c r="CJ10" s="110">
        <v>0</v>
      </c>
      <c r="CK10" s="110">
        <v>38594</v>
      </c>
      <c r="CL10" s="110">
        <v>37101</v>
      </c>
      <c r="CM10" s="110">
        <v>1493</v>
      </c>
      <c r="CN10" s="110">
        <v>0</v>
      </c>
      <c r="CO10" s="110">
        <v>508718.1</v>
      </c>
      <c r="CP10" s="110">
        <v>347728.78</v>
      </c>
      <c r="CQ10" s="110">
        <v>953451.1</v>
      </c>
      <c r="CR10" s="110">
        <v>53092.49</v>
      </c>
      <c r="CS10" s="110">
        <v>0</v>
      </c>
      <c r="CT10" s="110">
        <v>0</v>
      </c>
      <c r="CU10" s="110">
        <v>0</v>
      </c>
      <c r="CV10" s="111">
        <v>1972</v>
      </c>
      <c r="CW10" s="111">
        <v>1710</v>
      </c>
      <c r="CX10" s="111">
        <v>1634</v>
      </c>
      <c r="CY10" s="111">
        <v>76</v>
      </c>
      <c r="CZ10" s="111">
        <v>262</v>
      </c>
      <c r="DA10" s="111">
        <v>181</v>
      </c>
      <c r="DB10" s="111">
        <v>81</v>
      </c>
      <c r="DC10" s="111">
        <v>1467</v>
      </c>
      <c r="DD10" s="111">
        <v>0</v>
      </c>
      <c r="DE10" s="111">
        <v>1274</v>
      </c>
      <c r="DF10" s="111">
        <v>1214</v>
      </c>
      <c r="DG10" s="111">
        <v>60</v>
      </c>
      <c r="DH10" s="111">
        <v>193</v>
      </c>
      <c r="DI10" s="111">
        <v>134</v>
      </c>
      <c r="DJ10" s="111">
        <v>59</v>
      </c>
      <c r="DK10" s="111">
        <v>458</v>
      </c>
      <c r="DL10" s="111">
        <v>396</v>
      </c>
      <c r="DM10" s="111">
        <v>382</v>
      </c>
      <c r="DN10" s="111">
        <v>14</v>
      </c>
      <c r="DO10" s="111">
        <v>62</v>
      </c>
      <c r="DP10" s="111">
        <v>42</v>
      </c>
      <c r="DQ10" s="111">
        <v>20</v>
      </c>
      <c r="DR10" s="111">
        <v>47</v>
      </c>
      <c r="DS10" s="111">
        <v>0</v>
      </c>
      <c r="DT10" s="111">
        <v>40</v>
      </c>
      <c r="DU10" s="111">
        <v>38</v>
      </c>
      <c r="DV10" s="111">
        <v>2</v>
      </c>
      <c r="DW10" s="111">
        <v>7</v>
      </c>
      <c r="DX10" s="111">
        <v>5</v>
      </c>
      <c r="DY10" s="111">
        <v>2</v>
      </c>
      <c r="DZ10" s="111">
        <v>0</v>
      </c>
      <c r="EA10" s="111">
        <v>0</v>
      </c>
      <c r="EB10" s="111">
        <v>0</v>
      </c>
      <c r="EC10" s="111">
        <v>0</v>
      </c>
      <c r="ED10" s="111">
        <v>0</v>
      </c>
      <c r="EE10" s="111">
        <v>0</v>
      </c>
      <c r="EF10" s="111">
        <v>0</v>
      </c>
      <c r="EG10" s="111">
        <v>45</v>
      </c>
      <c r="EH10" s="111">
        <v>31</v>
      </c>
      <c r="EI10" s="111">
        <v>31</v>
      </c>
      <c r="EJ10" s="111">
        <v>0</v>
      </c>
      <c r="EK10" s="111">
        <v>14</v>
      </c>
      <c r="EL10" s="111">
        <v>13</v>
      </c>
      <c r="EM10" s="111">
        <v>1</v>
      </c>
      <c r="EN10" s="111">
        <v>16</v>
      </c>
      <c r="EO10" s="111">
        <v>7</v>
      </c>
      <c r="EP10" s="111">
        <v>0</v>
      </c>
      <c r="EQ10" s="111">
        <v>9</v>
      </c>
      <c r="ER10" s="111">
        <v>0</v>
      </c>
      <c r="ES10" s="111">
        <v>0</v>
      </c>
      <c r="ET10" s="111">
        <v>0</v>
      </c>
      <c r="EU10" s="111">
        <v>0</v>
      </c>
      <c r="EV10" s="111">
        <v>0</v>
      </c>
      <c r="EW10" s="111">
        <v>0</v>
      </c>
      <c r="EX10" s="111">
        <v>0</v>
      </c>
      <c r="EY10" s="111">
        <v>0</v>
      </c>
      <c r="EZ10" s="111">
        <v>0</v>
      </c>
      <c r="FA10" s="111">
        <v>0</v>
      </c>
      <c r="FB10" s="111">
        <v>37</v>
      </c>
    </row>
    <row r="11" spans="1:158" ht="19.5" customHeight="1">
      <c r="A11" s="107">
        <v>8</v>
      </c>
      <c r="B11" s="107" t="s">
        <v>350</v>
      </c>
      <c r="C11" s="107" t="s">
        <v>358</v>
      </c>
      <c r="D11" s="110">
        <v>1038748</v>
      </c>
      <c r="E11" s="110">
        <v>1038748</v>
      </c>
      <c r="F11" s="110">
        <v>0</v>
      </c>
      <c r="G11" s="110">
        <v>3391</v>
      </c>
      <c r="H11" s="110">
        <v>0</v>
      </c>
      <c r="I11" s="110">
        <v>84</v>
      </c>
      <c r="J11" s="110">
        <v>1148</v>
      </c>
      <c r="K11" s="110">
        <v>0</v>
      </c>
      <c r="L11" s="110">
        <v>0</v>
      </c>
      <c r="M11" s="110">
        <v>0</v>
      </c>
      <c r="N11" s="110">
        <v>0</v>
      </c>
      <c r="O11" s="110">
        <v>1778621.8</v>
      </c>
      <c r="P11" s="110">
        <v>1590060.77</v>
      </c>
      <c r="Q11" s="110">
        <v>1526237.94</v>
      </c>
      <c r="R11" s="110">
        <v>63822.83</v>
      </c>
      <c r="S11" s="110">
        <v>188561.03</v>
      </c>
      <c r="T11" s="110">
        <v>148973.41</v>
      </c>
      <c r="U11" s="110">
        <v>39587.620000000003</v>
      </c>
      <c r="V11" s="110">
        <v>1778621.8</v>
      </c>
      <c r="W11" s="110">
        <v>1590060.77</v>
      </c>
      <c r="X11" s="110">
        <v>1526237.94</v>
      </c>
      <c r="Y11" s="110">
        <v>63822.83</v>
      </c>
      <c r="Z11" s="110">
        <v>188561.03</v>
      </c>
      <c r="AA11" s="110">
        <v>148973.41</v>
      </c>
      <c r="AB11" s="110">
        <v>39587.620000000003</v>
      </c>
      <c r="AC11" s="110">
        <v>727098.8</v>
      </c>
      <c r="AD11" s="110">
        <v>653391.97</v>
      </c>
      <c r="AE11" s="110">
        <v>629854.14</v>
      </c>
      <c r="AF11" s="110">
        <v>23537.83</v>
      </c>
      <c r="AG11" s="110">
        <v>73706.83</v>
      </c>
      <c r="AH11" s="110">
        <v>60930.21</v>
      </c>
      <c r="AI11" s="110">
        <v>12776.62</v>
      </c>
      <c r="AJ11" s="110">
        <v>12775</v>
      </c>
      <c r="AK11" s="110">
        <v>10506.8</v>
      </c>
      <c r="AL11" s="110">
        <v>10079.799999999999</v>
      </c>
      <c r="AM11" s="110">
        <v>427</v>
      </c>
      <c r="AN11" s="110">
        <v>2268.1999999999998</v>
      </c>
      <c r="AO11" s="110">
        <v>1878.2</v>
      </c>
      <c r="AP11" s="110">
        <v>390</v>
      </c>
      <c r="AQ11" s="110">
        <v>914491</v>
      </c>
      <c r="AR11" s="110">
        <v>816534</v>
      </c>
      <c r="AS11" s="110">
        <v>782077</v>
      </c>
      <c r="AT11" s="110">
        <v>34457</v>
      </c>
      <c r="AU11" s="110">
        <v>97957</v>
      </c>
      <c r="AV11" s="110">
        <v>74924</v>
      </c>
      <c r="AW11" s="110">
        <v>23033</v>
      </c>
      <c r="AX11" s="110">
        <v>124257</v>
      </c>
      <c r="AY11" s="110">
        <v>109628</v>
      </c>
      <c r="AZ11" s="110">
        <v>104227</v>
      </c>
      <c r="BA11" s="110">
        <v>5401</v>
      </c>
      <c r="BB11" s="110">
        <v>14629</v>
      </c>
      <c r="BC11" s="110">
        <v>11241</v>
      </c>
      <c r="BD11" s="110">
        <v>3388</v>
      </c>
      <c r="BE11" s="110">
        <v>0</v>
      </c>
      <c r="BF11" s="110">
        <v>0</v>
      </c>
      <c r="BG11" s="110">
        <v>0</v>
      </c>
      <c r="BH11" s="110">
        <v>0</v>
      </c>
      <c r="BI11" s="110">
        <v>0</v>
      </c>
      <c r="BJ11" s="110">
        <v>0</v>
      </c>
      <c r="BK11" s="110">
        <v>0</v>
      </c>
      <c r="BL11" s="110">
        <v>0</v>
      </c>
      <c r="BM11" s="110">
        <v>0</v>
      </c>
      <c r="BN11" s="110">
        <v>0</v>
      </c>
      <c r="BO11" s="110">
        <v>0</v>
      </c>
      <c r="BP11" s="110">
        <v>0</v>
      </c>
      <c r="BQ11" s="110">
        <v>0</v>
      </c>
      <c r="BR11" s="110">
        <v>0</v>
      </c>
      <c r="BS11" s="110">
        <v>0</v>
      </c>
      <c r="BT11" s="110">
        <v>0</v>
      </c>
      <c r="BU11" s="110">
        <v>0</v>
      </c>
      <c r="BV11" s="110">
        <v>0</v>
      </c>
      <c r="BW11" s="110">
        <v>0</v>
      </c>
      <c r="BX11" s="110">
        <v>0</v>
      </c>
      <c r="BY11" s="110">
        <v>0</v>
      </c>
      <c r="BZ11" s="110">
        <v>0</v>
      </c>
      <c r="CA11" s="110">
        <v>0</v>
      </c>
      <c r="CB11" s="110">
        <v>0</v>
      </c>
      <c r="CC11" s="110">
        <v>0</v>
      </c>
      <c r="CD11" s="110">
        <v>0</v>
      </c>
      <c r="CE11" s="110">
        <v>0</v>
      </c>
      <c r="CF11" s="110">
        <v>0</v>
      </c>
      <c r="CG11" s="110">
        <v>0</v>
      </c>
      <c r="CH11" s="110">
        <v>0</v>
      </c>
      <c r="CI11" s="110">
        <v>0</v>
      </c>
      <c r="CJ11" s="110">
        <v>0</v>
      </c>
      <c r="CK11" s="110">
        <v>0</v>
      </c>
      <c r="CL11" s="110">
        <v>0</v>
      </c>
      <c r="CM11" s="110">
        <v>0</v>
      </c>
      <c r="CN11" s="110">
        <v>0</v>
      </c>
      <c r="CO11" s="110">
        <v>849688.14</v>
      </c>
      <c r="CP11" s="110">
        <v>898135.62</v>
      </c>
      <c r="CQ11" s="110">
        <v>0</v>
      </c>
      <c r="CR11" s="110">
        <v>30798.04</v>
      </c>
      <c r="CS11" s="110">
        <v>0</v>
      </c>
      <c r="CT11" s="110">
        <v>0</v>
      </c>
      <c r="CU11" s="110">
        <v>0</v>
      </c>
      <c r="CV11" s="111">
        <v>3391</v>
      </c>
      <c r="CW11" s="111">
        <v>3000</v>
      </c>
      <c r="CX11" s="111">
        <v>2848</v>
      </c>
      <c r="CY11" s="111">
        <v>152</v>
      </c>
      <c r="CZ11" s="111">
        <v>391</v>
      </c>
      <c r="DA11" s="111">
        <v>299</v>
      </c>
      <c r="DB11" s="111">
        <v>92</v>
      </c>
      <c r="DC11" s="111">
        <v>1650</v>
      </c>
      <c r="DD11" s="111">
        <v>0</v>
      </c>
      <c r="DE11" s="111">
        <v>1448</v>
      </c>
      <c r="DF11" s="111">
        <v>1379</v>
      </c>
      <c r="DG11" s="111">
        <v>69</v>
      </c>
      <c r="DH11" s="111">
        <v>202</v>
      </c>
      <c r="DI11" s="111">
        <v>150</v>
      </c>
      <c r="DJ11" s="111">
        <v>52</v>
      </c>
      <c r="DK11" s="111">
        <v>1701</v>
      </c>
      <c r="DL11" s="111">
        <v>1517</v>
      </c>
      <c r="DM11" s="111">
        <v>1434</v>
      </c>
      <c r="DN11" s="111">
        <v>83</v>
      </c>
      <c r="DO11" s="111">
        <v>184</v>
      </c>
      <c r="DP11" s="111">
        <v>147</v>
      </c>
      <c r="DQ11" s="111">
        <v>37</v>
      </c>
      <c r="DR11" s="111">
        <v>40</v>
      </c>
      <c r="DS11" s="111">
        <v>0</v>
      </c>
      <c r="DT11" s="111">
        <v>35</v>
      </c>
      <c r="DU11" s="111">
        <v>35</v>
      </c>
      <c r="DV11" s="111">
        <v>0</v>
      </c>
      <c r="DW11" s="111">
        <v>5</v>
      </c>
      <c r="DX11" s="111">
        <v>2</v>
      </c>
      <c r="DY11" s="111">
        <v>3</v>
      </c>
      <c r="DZ11" s="111">
        <v>0</v>
      </c>
      <c r="EA11" s="111">
        <v>0</v>
      </c>
      <c r="EB11" s="111">
        <v>0</v>
      </c>
      <c r="EC11" s="111">
        <v>0</v>
      </c>
      <c r="ED11" s="111">
        <v>0</v>
      </c>
      <c r="EE11" s="111">
        <v>0</v>
      </c>
      <c r="EF11" s="111">
        <v>0</v>
      </c>
      <c r="EG11" s="111">
        <v>0</v>
      </c>
      <c r="EH11" s="111">
        <v>0</v>
      </c>
      <c r="EI11" s="111">
        <v>0</v>
      </c>
      <c r="EJ11" s="111">
        <v>0</v>
      </c>
      <c r="EK11" s="111">
        <v>0</v>
      </c>
      <c r="EL11" s="111">
        <v>0</v>
      </c>
      <c r="EM11" s="111">
        <v>0</v>
      </c>
      <c r="EN11" s="111">
        <v>0</v>
      </c>
      <c r="EO11" s="111">
        <v>0</v>
      </c>
      <c r="EP11" s="111">
        <v>0</v>
      </c>
      <c r="EQ11" s="111">
        <v>0</v>
      </c>
      <c r="ER11" s="111">
        <v>0</v>
      </c>
      <c r="ES11" s="111">
        <v>0</v>
      </c>
      <c r="ET11" s="111">
        <v>0</v>
      </c>
      <c r="EU11" s="111">
        <v>0</v>
      </c>
      <c r="EV11" s="111">
        <v>0</v>
      </c>
      <c r="EW11" s="111">
        <v>0</v>
      </c>
      <c r="EX11" s="111">
        <v>0</v>
      </c>
      <c r="EY11" s="111">
        <v>0</v>
      </c>
      <c r="EZ11" s="111">
        <v>0</v>
      </c>
      <c r="FA11" s="111">
        <v>0</v>
      </c>
      <c r="FB11" s="111">
        <v>0</v>
      </c>
    </row>
    <row r="12" spans="1:158" ht="19.5" customHeight="1">
      <c r="A12" s="107">
        <v>9</v>
      </c>
      <c r="B12" s="107" t="s">
        <v>361</v>
      </c>
      <c r="C12" s="107" t="s">
        <v>362</v>
      </c>
      <c r="D12" s="110">
        <v>3744259.25</v>
      </c>
      <c r="E12" s="110">
        <v>823869.5</v>
      </c>
      <c r="F12" s="110">
        <v>2920389.75</v>
      </c>
      <c r="G12" s="110">
        <v>3249</v>
      </c>
      <c r="H12" s="110">
        <v>305</v>
      </c>
      <c r="I12" s="110">
        <v>33274.5</v>
      </c>
      <c r="J12" s="110">
        <v>23324</v>
      </c>
      <c r="K12" s="110">
        <v>0</v>
      </c>
      <c r="L12" s="110">
        <v>235637.25</v>
      </c>
      <c r="M12" s="110">
        <v>953861.5</v>
      </c>
      <c r="N12" s="110">
        <v>787.5</v>
      </c>
      <c r="O12" s="110">
        <v>7521415.9900000002</v>
      </c>
      <c r="P12" s="110">
        <v>5612862.9100000001</v>
      </c>
      <c r="Q12" s="110">
        <v>5561287.6200000001</v>
      </c>
      <c r="R12" s="110">
        <v>51575.29</v>
      </c>
      <c r="S12" s="110">
        <v>1908553.08</v>
      </c>
      <c r="T12" s="110">
        <v>1834176.37</v>
      </c>
      <c r="U12" s="110">
        <v>74376.710000000006</v>
      </c>
      <c r="V12" s="110">
        <v>1113523</v>
      </c>
      <c r="W12" s="110">
        <v>964776.82</v>
      </c>
      <c r="X12" s="110">
        <v>913201.53</v>
      </c>
      <c r="Y12" s="110">
        <v>51575.29</v>
      </c>
      <c r="Z12" s="110">
        <v>148746.18</v>
      </c>
      <c r="AA12" s="110">
        <v>107601.48</v>
      </c>
      <c r="AB12" s="110">
        <v>41144.699999999997</v>
      </c>
      <c r="AC12" s="110">
        <v>217812.53</v>
      </c>
      <c r="AD12" s="110">
        <v>192572.1</v>
      </c>
      <c r="AE12" s="110">
        <v>187019.33</v>
      </c>
      <c r="AF12" s="110">
        <v>5552.77</v>
      </c>
      <c r="AG12" s="110">
        <v>25240.43</v>
      </c>
      <c r="AH12" s="110">
        <v>19824.52</v>
      </c>
      <c r="AI12" s="110">
        <v>5415.91</v>
      </c>
      <c r="AJ12" s="110">
        <v>71840.97</v>
      </c>
      <c r="AK12" s="110">
        <v>65503.22</v>
      </c>
      <c r="AL12" s="110">
        <v>63871.7</v>
      </c>
      <c r="AM12" s="110">
        <v>1631.52</v>
      </c>
      <c r="AN12" s="110">
        <v>6337.75</v>
      </c>
      <c r="AO12" s="110">
        <v>4436.96</v>
      </c>
      <c r="AP12" s="110">
        <v>1900.79</v>
      </c>
      <c r="AQ12" s="110">
        <v>657992</v>
      </c>
      <c r="AR12" s="110">
        <v>562783</v>
      </c>
      <c r="AS12" s="110">
        <v>529592</v>
      </c>
      <c r="AT12" s="110">
        <v>33191</v>
      </c>
      <c r="AU12" s="110">
        <v>95209</v>
      </c>
      <c r="AV12" s="110">
        <v>67456</v>
      </c>
      <c r="AW12" s="110">
        <v>27753</v>
      </c>
      <c r="AX12" s="110">
        <v>165877.5</v>
      </c>
      <c r="AY12" s="110">
        <v>143918.5</v>
      </c>
      <c r="AZ12" s="110">
        <v>132718.5</v>
      </c>
      <c r="BA12" s="110">
        <v>11200</v>
      </c>
      <c r="BB12" s="110">
        <v>21959</v>
      </c>
      <c r="BC12" s="110">
        <v>15884</v>
      </c>
      <c r="BD12" s="110">
        <v>6075</v>
      </c>
      <c r="BE12" s="110">
        <v>6407892.9900000002</v>
      </c>
      <c r="BF12" s="110">
        <v>4648086.09</v>
      </c>
      <c r="BG12" s="110">
        <v>4648086.09</v>
      </c>
      <c r="BH12" s="110">
        <v>0</v>
      </c>
      <c r="BI12" s="110">
        <v>1759806.9</v>
      </c>
      <c r="BJ12" s="110">
        <v>1726574.89</v>
      </c>
      <c r="BK12" s="110">
        <v>33232.01</v>
      </c>
      <c r="BL12" s="110">
        <v>1002076.89</v>
      </c>
      <c r="BM12" s="110">
        <v>715989.54</v>
      </c>
      <c r="BN12" s="110">
        <v>715989.54</v>
      </c>
      <c r="BO12" s="110">
        <v>0</v>
      </c>
      <c r="BP12" s="110">
        <v>286087.34999999998</v>
      </c>
      <c r="BQ12" s="110">
        <v>279981.21000000002</v>
      </c>
      <c r="BR12" s="110">
        <v>6106.14</v>
      </c>
      <c r="BS12" s="110">
        <v>2485426.35</v>
      </c>
      <c r="BT12" s="110">
        <v>1761401.8</v>
      </c>
      <c r="BU12" s="110">
        <v>1761401.8</v>
      </c>
      <c r="BV12" s="110">
        <v>0</v>
      </c>
      <c r="BW12" s="110">
        <v>724024.55</v>
      </c>
      <c r="BX12" s="110">
        <v>714205.68</v>
      </c>
      <c r="BY12" s="110">
        <v>9818.8700000000008</v>
      </c>
      <c r="BZ12" s="110">
        <v>953667</v>
      </c>
      <c r="CA12" s="110">
        <v>697268</v>
      </c>
      <c r="CB12" s="110">
        <v>697268</v>
      </c>
      <c r="CC12" s="110">
        <v>0</v>
      </c>
      <c r="CD12" s="110">
        <v>256399</v>
      </c>
      <c r="CE12" s="110">
        <v>249640</v>
      </c>
      <c r="CF12" s="110">
        <v>6759</v>
      </c>
      <c r="CG12" s="110">
        <v>1966722.75</v>
      </c>
      <c r="CH12" s="110">
        <v>1473426.75</v>
      </c>
      <c r="CI12" s="110">
        <v>1473426.75</v>
      </c>
      <c r="CJ12" s="110">
        <v>0</v>
      </c>
      <c r="CK12" s="110">
        <v>493296</v>
      </c>
      <c r="CL12" s="110">
        <v>482748</v>
      </c>
      <c r="CM12" s="110">
        <v>10548</v>
      </c>
      <c r="CN12" s="110">
        <v>479016.15</v>
      </c>
      <c r="CO12" s="110">
        <v>248461.54</v>
      </c>
      <c r="CP12" s="110">
        <v>285717.34999999998</v>
      </c>
      <c r="CQ12" s="110">
        <v>94373.67</v>
      </c>
      <c r="CR12" s="110">
        <v>5914.29</v>
      </c>
      <c r="CS12" s="110">
        <v>0</v>
      </c>
      <c r="CT12" s="110">
        <v>0</v>
      </c>
      <c r="CU12" s="110">
        <v>0</v>
      </c>
      <c r="CV12" s="111">
        <v>3249</v>
      </c>
      <c r="CW12" s="111">
        <v>2766</v>
      </c>
      <c r="CX12" s="111">
        <v>2570</v>
      </c>
      <c r="CY12" s="111">
        <v>196</v>
      </c>
      <c r="CZ12" s="111">
        <v>483</v>
      </c>
      <c r="DA12" s="111">
        <v>338</v>
      </c>
      <c r="DB12" s="111">
        <v>145</v>
      </c>
      <c r="DC12" s="111">
        <v>1331</v>
      </c>
      <c r="DD12" s="111">
        <v>0</v>
      </c>
      <c r="DE12" s="111">
        <v>1124</v>
      </c>
      <c r="DF12" s="111">
        <v>1038</v>
      </c>
      <c r="DG12" s="111">
        <v>86</v>
      </c>
      <c r="DH12" s="111">
        <v>207</v>
      </c>
      <c r="DI12" s="111">
        <v>140</v>
      </c>
      <c r="DJ12" s="111">
        <v>67</v>
      </c>
      <c r="DK12" s="111">
        <v>991</v>
      </c>
      <c r="DL12" s="111">
        <v>849</v>
      </c>
      <c r="DM12" s="111">
        <v>793</v>
      </c>
      <c r="DN12" s="111">
        <v>56</v>
      </c>
      <c r="DO12" s="111">
        <v>142</v>
      </c>
      <c r="DP12" s="111">
        <v>96</v>
      </c>
      <c r="DQ12" s="111">
        <v>46</v>
      </c>
      <c r="DR12" s="111">
        <v>17</v>
      </c>
      <c r="DS12" s="111">
        <v>0</v>
      </c>
      <c r="DT12" s="111">
        <v>13</v>
      </c>
      <c r="DU12" s="111">
        <v>13</v>
      </c>
      <c r="DV12" s="111">
        <v>0</v>
      </c>
      <c r="DW12" s="111">
        <v>4</v>
      </c>
      <c r="DX12" s="111">
        <v>3</v>
      </c>
      <c r="DY12" s="111">
        <v>1</v>
      </c>
      <c r="DZ12" s="111">
        <v>910</v>
      </c>
      <c r="EA12" s="111">
        <v>780</v>
      </c>
      <c r="EB12" s="111">
        <v>726</v>
      </c>
      <c r="EC12" s="111">
        <v>54</v>
      </c>
      <c r="ED12" s="111">
        <v>130</v>
      </c>
      <c r="EE12" s="111">
        <v>99</v>
      </c>
      <c r="EF12" s="111">
        <v>31</v>
      </c>
      <c r="EG12" s="111">
        <v>305</v>
      </c>
      <c r="EH12" s="111">
        <v>241</v>
      </c>
      <c r="EI12" s="111">
        <v>241</v>
      </c>
      <c r="EJ12" s="111">
        <v>0</v>
      </c>
      <c r="EK12" s="111">
        <v>64</v>
      </c>
      <c r="EL12" s="111">
        <v>62</v>
      </c>
      <c r="EM12" s="111">
        <v>2</v>
      </c>
      <c r="EN12" s="111">
        <v>252</v>
      </c>
      <c r="EO12" s="111">
        <v>194</v>
      </c>
      <c r="EP12" s="111">
        <v>0</v>
      </c>
      <c r="EQ12" s="111">
        <v>58</v>
      </c>
      <c r="ER12" s="111">
        <v>127</v>
      </c>
      <c r="ES12" s="111">
        <v>0</v>
      </c>
      <c r="ET12" s="111">
        <v>0</v>
      </c>
      <c r="EU12" s="111">
        <v>83</v>
      </c>
      <c r="EV12" s="111">
        <v>69</v>
      </c>
      <c r="EW12" s="111">
        <v>0</v>
      </c>
      <c r="EX12" s="111">
        <v>14</v>
      </c>
      <c r="EY12" s="111">
        <v>35</v>
      </c>
      <c r="EZ12" s="111">
        <v>35</v>
      </c>
      <c r="FA12" s="111">
        <v>0</v>
      </c>
      <c r="FB12" s="111">
        <v>113</v>
      </c>
    </row>
    <row r="13" spans="1:158" ht="19.5" customHeight="1">
      <c r="A13" s="107">
        <v>10</v>
      </c>
      <c r="B13" s="107" t="s">
        <v>361</v>
      </c>
      <c r="C13" s="107" t="s">
        <v>363</v>
      </c>
      <c r="D13" s="110">
        <v>3315823.25</v>
      </c>
      <c r="E13" s="110">
        <v>306679</v>
      </c>
      <c r="F13" s="110">
        <v>3009144.25</v>
      </c>
      <c r="G13" s="110">
        <v>1466</v>
      </c>
      <c r="H13" s="110">
        <v>231</v>
      </c>
      <c r="I13" s="110">
        <v>333</v>
      </c>
      <c r="J13" s="110">
        <v>0</v>
      </c>
      <c r="K13" s="110">
        <v>0</v>
      </c>
      <c r="L13" s="110">
        <v>186796.25</v>
      </c>
      <c r="M13" s="110">
        <v>950743.5</v>
      </c>
      <c r="N13" s="110">
        <v>0</v>
      </c>
      <c r="O13" s="110">
        <v>15521798.779999999</v>
      </c>
      <c r="P13" s="110">
        <v>9691912.1699999999</v>
      </c>
      <c r="Q13" s="110">
        <v>9579381.4299999997</v>
      </c>
      <c r="R13" s="110">
        <v>112530.74</v>
      </c>
      <c r="S13" s="110">
        <v>5829886.6100000003</v>
      </c>
      <c r="T13" s="110">
        <v>5721711.4800000004</v>
      </c>
      <c r="U13" s="110">
        <v>108175.13</v>
      </c>
      <c r="V13" s="110">
        <v>491626.85</v>
      </c>
      <c r="W13" s="110">
        <v>401884.15999999997</v>
      </c>
      <c r="X13" s="110">
        <v>371287.56</v>
      </c>
      <c r="Y13" s="110">
        <v>30596.6</v>
      </c>
      <c r="Z13" s="110">
        <v>89742.69</v>
      </c>
      <c r="AA13" s="110">
        <v>61043.06</v>
      </c>
      <c r="AB13" s="110">
        <v>28699.63</v>
      </c>
      <c r="AC13" s="110">
        <v>179013.85</v>
      </c>
      <c r="AD13" s="110">
        <v>150866.16</v>
      </c>
      <c r="AE13" s="110">
        <v>146563.56</v>
      </c>
      <c r="AF13" s="110">
        <v>4302.6000000000004</v>
      </c>
      <c r="AG13" s="110">
        <v>28147.69</v>
      </c>
      <c r="AH13" s="110">
        <v>20839.060000000001</v>
      </c>
      <c r="AI13" s="110">
        <v>7308.63</v>
      </c>
      <c r="AJ13" s="110">
        <v>5934</v>
      </c>
      <c r="AK13" s="110">
        <v>4859</v>
      </c>
      <c r="AL13" s="110">
        <v>4558</v>
      </c>
      <c r="AM13" s="110">
        <v>301</v>
      </c>
      <c r="AN13" s="110">
        <v>1075</v>
      </c>
      <c r="AO13" s="110">
        <v>688</v>
      </c>
      <c r="AP13" s="110">
        <v>387</v>
      </c>
      <c r="AQ13" s="110">
        <v>259511</v>
      </c>
      <c r="AR13" s="110">
        <v>209621</v>
      </c>
      <c r="AS13" s="110">
        <v>187451</v>
      </c>
      <c r="AT13" s="110">
        <v>22170</v>
      </c>
      <c r="AU13" s="110">
        <v>49890</v>
      </c>
      <c r="AV13" s="110">
        <v>32976</v>
      </c>
      <c r="AW13" s="110">
        <v>16914</v>
      </c>
      <c r="AX13" s="110">
        <v>47168</v>
      </c>
      <c r="AY13" s="110">
        <v>36538</v>
      </c>
      <c r="AZ13" s="110">
        <v>32715</v>
      </c>
      <c r="BA13" s="110">
        <v>3823</v>
      </c>
      <c r="BB13" s="110">
        <v>10630</v>
      </c>
      <c r="BC13" s="110">
        <v>6540</v>
      </c>
      <c r="BD13" s="110">
        <v>4090</v>
      </c>
      <c r="BE13" s="110">
        <v>15030171.93</v>
      </c>
      <c r="BF13" s="110">
        <v>9290028.0099999998</v>
      </c>
      <c r="BG13" s="110">
        <v>9208093.8699999992</v>
      </c>
      <c r="BH13" s="110">
        <v>81934.14</v>
      </c>
      <c r="BI13" s="110">
        <v>5740143.9199999999</v>
      </c>
      <c r="BJ13" s="110">
        <v>5660668.4199999999</v>
      </c>
      <c r="BK13" s="110">
        <v>79475.5</v>
      </c>
      <c r="BL13" s="110">
        <v>1135116.55</v>
      </c>
      <c r="BM13" s="110">
        <v>735135.51</v>
      </c>
      <c r="BN13" s="110">
        <v>714218.71</v>
      </c>
      <c r="BO13" s="110">
        <v>20916.8</v>
      </c>
      <c r="BP13" s="110">
        <v>399981.04</v>
      </c>
      <c r="BQ13" s="110">
        <v>393191.66</v>
      </c>
      <c r="BR13" s="110">
        <v>6789.38</v>
      </c>
      <c r="BS13" s="110">
        <v>10885911.130000001</v>
      </c>
      <c r="BT13" s="110">
        <v>6809134</v>
      </c>
      <c r="BU13" s="110">
        <v>6789175.1600000001</v>
      </c>
      <c r="BV13" s="110">
        <v>19958.84</v>
      </c>
      <c r="BW13" s="110">
        <v>4076777.13</v>
      </c>
      <c r="BX13" s="110">
        <v>4037866.01</v>
      </c>
      <c r="BY13" s="110">
        <v>38911.120000000003</v>
      </c>
      <c r="BZ13" s="110">
        <v>1158446</v>
      </c>
      <c r="CA13" s="110">
        <v>684634</v>
      </c>
      <c r="CB13" s="110">
        <v>665569</v>
      </c>
      <c r="CC13" s="110">
        <v>19065</v>
      </c>
      <c r="CD13" s="110">
        <v>473812</v>
      </c>
      <c r="CE13" s="110">
        <v>458748</v>
      </c>
      <c r="CF13" s="110">
        <v>15064</v>
      </c>
      <c r="CG13" s="110">
        <v>1850698.25</v>
      </c>
      <c r="CH13" s="110">
        <v>1061124.5</v>
      </c>
      <c r="CI13" s="110">
        <v>1039131</v>
      </c>
      <c r="CJ13" s="110">
        <v>21993.5</v>
      </c>
      <c r="CK13" s="110">
        <v>789573.75</v>
      </c>
      <c r="CL13" s="110">
        <v>770862.75</v>
      </c>
      <c r="CM13" s="110">
        <v>18711</v>
      </c>
      <c r="CN13" s="110">
        <v>-50</v>
      </c>
      <c r="CO13" s="110">
        <v>314358.88</v>
      </c>
      <c r="CP13" s="110">
        <v>152801.25</v>
      </c>
      <c r="CQ13" s="110">
        <v>24466.720000000001</v>
      </c>
      <c r="CR13" s="110">
        <v>0</v>
      </c>
      <c r="CS13" s="110">
        <v>0</v>
      </c>
      <c r="CT13" s="110">
        <v>77447.78</v>
      </c>
      <c r="CU13" s="110">
        <v>0</v>
      </c>
      <c r="CV13" s="111">
        <v>1466</v>
      </c>
      <c r="CW13" s="111">
        <v>1161</v>
      </c>
      <c r="CX13" s="111">
        <v>1045</v>
      </c>
      <c r="CY13" s="111">
        <v>116</v>
      </c>
      <c r="CZ13" s="111">
        <v>305</v>
      </c>
      <c r="DA13" s="111">
        <v>185</v>
      </c>
      <c r="DB13" s="111">
        <v>120</v>
      </c>
      <c r="DC13" s="111">
        <v>1001</v>
      </c>
      <c r="DD13" s="111">
        <v>0</v>
      </c>
      <c r="DE13" s="111">
        <v>828</v>
      </c>
      <c r="DF13" s="111">
        <v>747</v>
      </c>
      <c r="DG13" s="111">
        <v>81</v>
      </c>
      <c r="DH13" s="111">
        <v>173</v>
      </c>
      <c r="DI13" s="111">
        <v>102</v>
      </c>
      <c r="DJ13" s="111">
        <v>71</v>
      </c>
      <c r="DK13" s="111">
        <v>465</v>
      </c>
      <c r="DL13" s="111">
        <v>333</v>
      </c>
      <c r="DM13" s="111">
        <v>298</v>
      </c>
      <c r="DN13" s="111">
        <v>35</v>
      </c>
      <c r="DO13" s="111">
        <v>132</v>
      </c>
      <c r="DP13" s="111">
        <v>83</v>
      </c>
      <c r="DQ13" s="111">
        <v>49</v>
      </c>
      <c r="DR13" s="111">
        <v>0</v>
      </c>
      <c r="DS13" s="111">
        <v>0</v>
      </c>
      <c r="DT13" s="111">
        <v>0</v>
      </c>
      <c r="DU13" s="111">
        <v>0</v>
      </c>
      <c r="DV13" s="111">
        <v>0</v>
      </c>
      <c r="DW13" s="111">
        <v>0</v>
      </c>
      <c r="DX13" s="111">
        <v>0</v>
      </c>
      <c r="DY13" s="111">
        <v>0</v>
      </c>
      <c r="DZ13" s="111">
        <v>0</v>
      </c>
      <c r="EA13" s="111">
        <v>0</v>
      </c>
      <c r="EB13" s="111">
        <v>0</v>
      </c>
      <c r="EC13" s="111">
        <v>0</v>
      </c>
      <c r="ED13" s="111">
        <v>0</v>
      </c>
      <c r="EE13" s="111">
        <v>0</v>
      </c>
      <c r="EF13" s="111">
        <v>0</v>
      </c>
      <c r="EG13" s="111">
        <v>231</v>
      </c>
      <c r="EH13" s="111">
        <v>150</v>
      </c>
      <c r="EI13" s="111">
        <v>141</v>
      </c>
      <c r="EJ13" s="111">
        <v>9</v>
      </c>
      <c r="EK13" s="111">
        <v>81</v>
      </c>
      <c r="EL13" s="111">
        <v>79</v>
      </c>
      <c r="EM13" s="111">
        <v>2</v>
      </c>
      <c r="EN13" s="111">
        <v>200</v>
      </c>
      <c r="EO13" s="111">
        <v>81</v>
      </c>
      <c r="EP13" s="111">
        <v>75</v>
      </c>
      <c r="EQ13" s="111">
        <v>44</v>
      </c>
      <c r="ER13" s="111">
        <v>38</v>
      </c>
      <c r="ES13" s="111">
        <v>0</v>
      </c>
      <c r="ET13" s="111">
        <v>0</v>
      </c>
      <c r="EU13" s="111">
        <v>32</v>
      </c>
      <c r="EV13" s="111">
        <v>28</v>
      </c>
      <c r="EW13" s="111">
        <v>4</v>
      </c>
      <c r="EX13" s="111">
        <v>0</v>
      </c>
      <c r="EY13" s="111">
        <v>107</v>
      </c>
      <c r="EZ13" s="111">
        <v>36</v>
      </c>
      <c r="FA13" s="111">
        <v>71</v>
      </c>
      <c r="FB13" s="111">
        <v>94</v>
      </c>
    </row>
    <row r="14" spans="1:158" ht="19.5" customHeight="1">
      <c r="A14" s="107">
        <v>11</v>
      </c>
      <c r="B14" s="107" t="s">
        <v>361</v>
      </c>
      <c r="C14" s="107" t="s">
        <v>364</v>
      </c>
      <c r="D14" s="110">
        <v>6639662.25</v>
      </c>
      <c r="E14" s="110">
        <v>1454944</v>
      </c>
      <c r="F14" s="110">
        <v>5184718.25</v>
      </c>
      <c r="G14" s="110">
        <v>7324</v>
      </c>
      <c r="H14" s="110">
        <v>433</v>
      </c>
      <c r="I14" s="110">
        <v>44349</v>
      </c>
      <c r="J14" s="110">
        <v>21078</v>
      </c>
      <c r="K14" s="110">
        <v>0</v>
      </c>
      <c r="L14" s="110">
        <v>398391.75</v>
      </c>
      <c r="M14" s="110">
        <v>2561946</v>
      </c>
      <c r="N14" s="110">
        <v>0</v>
      </c>
      <c r="O14" s="110">
        <v>20597727.629999999</v>
      </c>
      <c r="P14" s="110">
        <v>16475874.289999999</v>
      </c>
      <c r="Q14" s="110">
        <v>11919863.75</v>
      </c>
      <c r="R14" s="110">
        <v>4556010.54</v>
      </c>
      <c r="S14" s="110">
        <v>4121853.34</v>
      </c>
      <c r="T14" s="110">
        <v>3027103.86</v>
      </c>
      <c r="U14" s="110">
        <v>1094749.48</v>
      </c>
      <c r="V14" s="110">
        <v>2737284.72</v>
      </c>
      <c r="W14" s="110">
        <v>2382048.75</v>
      </c>
      <c r="X14" s="110">
        <v>1669652.48</v>
      </c>
      <c r="Y14" s="110">
        <v>712396.27</v>
      </c>
      <c r="Z14" s="110">
        <v>355235.97</v>
      </c>
      <c r="AA14" s="110">
        <v>159444.29999999999</v>
      </c>
      <c r="AB14" s="110">
        <v>195791.67</v>
      </c>
      <c r="AC14" s="110">
        <v>705067.41</v>
      </c>
      <c r="AD14" s="110">
        <v>611873.24</v>
      </c>
      <c r="AE14" s="110">
        <v>478969.17</v>
      </c>
      <c r="AF14" s="110">
        <v>132904.07</v>
      </c>
      <c r="AG14" s="110">
        <v>93194.17</v>
      </c>
      <c r="AH14" s="110">
        <v>45980.97</v>
      </c>
      <c r="AI14" s="110">
        <v>47213.2</v>
      </c>
      <c r="AJ14" s="110">
        <v>577273.31000000006</v>
      </c>
      <c r="AK14" s="110">
        <v>523013.51</v>
      </c>
      <c r="AL14" s="110">
        <v>289450.81</v>
      </c>
      <c r="AM14" s="110">
        <v>233562.7</v>
      </c>
      <c r="AN14" s="110">
        <v>54259.8</v>
      </c>
      <c r="AO14" s="110">
        <v>19806.330000000002</v>
      </c>
      <c r="AP14" s="110">
        <v>34453.47</v>
      </c>
      <c r="AQ14" s="110">
        <v>1136513</v>
      </c>
      <c r="AR14" s="110">
        <v>977214</v>
      </c>
      <c r="AS14" s="110">
        <v>699941</v>
      </c>
      <c r="AT14" s="110">
        <v>277273</v>
      </c>
      <c r="AU14" s="110">
        <v>159299</v>
      </c>
      <c r="AV14" s="110">
        <v>68551</v>
      </c>
      <c r="AW14" s="110">
        <v>90748</v>
      </c>
      <c r="AX14" s="110">
        <v>318431</v>
      </c>
      <c r="AY14" s="110">
        <v>269948</v>
      </c>
      <c r="AZ14" s="110">
        <v>201291.5</v>
      </c>
      <c r="BA14" s="110">
        <v>68656.5</v>
      </c>
      <c r="BB14" s="110">
        <v>48483</v>
      </c>
      <c r="BC14" s="110">
        <v>25106</v>
      </c>
      <c r="BD14" s="110">
        <v>23377</v>
      </c>
      <c r="BE14" s="110">
        <v>17860442.91</v>
      </c>
      <c r="BF14" s="110">
        <v>14093825.539999999</v>
      </c>
      <c r="BG14" s="110">
        <v>10250211.27</v>
      </c>
      <c r="BH14" s="110">
        <v>3843614.27</v>
      </c>
      <c r="BI14" s="110">
        <v>3766617.37</v>
      </c>
      <c r="BJ14" s="110">
        <v>2867659.56</v>
      </c>
      <c r="BK14" s="110">
        <v>898957.81</v>
      </c>
      <c r="BL14" s="110">
        <v>1416648.45</v>
      </c>
      <c r="BM14" s="110">
        <v>1120132.2</v>
      </c>
      <c r="BN14" s="110">
        <v>810421.57</v>
      </c>
      <c r="BO14" s="110">
        <v>309710.63</v>
      </c>
      <c r="BP14" s="110">
        <v>296516.25</v>
      </c>
      <c r="BQ14" s="110">
        <v>227742.92</v>
      </c>
      <c r="BR14" s="110">
        <v>68773.33</v>
      </c>
      <c r="BS14" s="110">
        <v>11259076.210000001</v>
      </c>
      <c r="BT14" s="110">
        <v>8817847.3399999999</v>
      </c>
      <c r="BU14" s="110">
        <v>6289627.7000000002</v>
      </c>
      <c r="BV14" s="110">
        <v>2528219.64</v>
      </c>
      <c r="BW14" s="110">
        <v>2441228.87</v>
      </c>
      <c r="BX14" s="110">
        <v>1809954.89</v>
      </c>
      <c r="BY14" s="110">
        <v>631273.98</v>
      </c>
      <c r="BZ14" s="110">
        <v>941721</v>
      </c>
      <c r="CA14" s="110">
        <v>740007</v>
      </c>
      <c r="CB14" s="110">
        <v>560507</v>
      </c>
      <c r="CC14" s="110">
        <v>179500</v>
      </c>
      <c r="CD14" s="110">
        <v>201714</v>
      </c>
      <c r="CE14" s="110">
        <v>166983</v>
      </c>
      <c r="CF14" s="110">
        <v>34731</v>
      </c>
      <c r="CG14" s="110">
        <v>4242997.25</v>
      </c>
      <c r="CH14" s="110">
        <v>3415839</v>
      </c>
      <c r="CI14" s="110">
        <v>2589655</v>
      </c>
      <c r="CJ14" s="110">
        <v>826184</v>
      </c>
      <c r="CK14" s="110">
        <v>827158.25</v>
      </c>
      <c r="CL14" s="110">
        <v>662978.75</v>
      </c>
      <c r="CM14" s="110">
        <v>164179.5</v>
      </c>
      <c r="CN14" s="110">
        <v>1130682.5</v>
      </c>
      <c r="CO14" s="110">
        <v>805741.93</v>
      </c>
      <c r="CP14" s="110">
        <v>773152.46</v>
      </c>
      <c r="CQ14" s="110">
        <v>0</v>
      </c>
      <c r="CR14" s="110">
        <v>27677.83</v>
      </c>
      <c r="CS14" s="110">
        <v>0</v>
      </c>
      <c r="CT14" s="110">
        <v>78908.800000000003</v>
      </c>
      <c r="CU14" s="110">
        <v>0</v>
      </c>
      <c r="CV14" s="111">
        <v>7324</v>
      </c>
      <c r="CW14" s="111">
        <v>6216</v>
      </c>
      <c r="CX14" s="111">
        <v>4830</v>
      </c>
      <c r="CY14" s="111">
        <v>1386</v>
      </c>
      <c r="CZ14" s="111">
        <v>1108</v>
      </c>
      <c r="DA14" s="111">
        <v>533</v>
      </c>
      <c r="DB14" s="111">
        <v>575</v>
      </c>
      <c r="DC14" s="111">
        <v>2814</v>
      </c>
      <c r="DD14" s="111">
        <v>0</v>
      </c>
      <c r="DE14" s="111">
        <v>2410</v>
      </c>
      <c r="DF14" s="111">
        <v>1971</v>
      </c>
      <c r="DG14" s="111">
        <v>439</v>
      </c>
      <c r="DH14" s="111">
        <v>404</v>
      </c>
      <c r="DI14" s="111">
        <v>175</v>
      </c>
      <c r="DJ14" s="111">
        <v>229</v>
      </c>
      <c r="DK14" s="111">
        <v>2893</v>
      </c>
      <c r="DL14" s="111">
        <v>2436</v>
      </c>
      <c r="DM14" s="111">
        <v>2087</v>
      </c>
      <c r="DN14" s="111">
        <v>349</v>
      </c>
      <c r="DO14" s="111">
        <v>457</v>
      </c>
      <c r="DP14" s="111">
        <v>266</v>
      </c>
      <c r="DQ14" s="111">
        <v>191</v>
      </c>
      <c r="DR14" s="111">
        <v>70</v>
      </c>
      <c r="DS14" s="111">
        <v>0</v>
      </c>
      <c r="DT14" s="111">
        <v>60</v>
      </c>
      <c r="DU14" s="111">
        <v>46</v>
      </c>
      <c r="DV14" s="111">
        <v>14</v>
      </c>
      <c r="DW14" s="111">
        <v>10</v>
      </c>
      <c r="DX14" s="111">
        <v>8</v>
      </c>
      <c r="DY14" s="111">
        <v>2</v>
      </c>
      <c r="DZ14" s="111">
        <v>1547</v>
      </c>
      <c r="EA14" s="111">
        <v>1310</v>
      </c>
      <c r="EB14" s="111">
        <v>726</v>
      </c>
      <c r="EC14" s="111">
        <v>584</v>
      </c>
      <c r="ED14" s="111">
        <v>237</v>
      </c>
      <c r="EE14" s="111">
        <v>84</v>
      </c>
      <c r="EF14" s="111">
        <v>153</v>
      </c>
      <c r="EG14" s="111">
        <v>433</v>
      </c>
      <c r="EH14" s="111">
        <v>349</v>
      </c>
      <c r="EI14" s="111">
        <v>264</v>
      </c>
      <c r="EJ14" s="111">
        <v>85</v>
      </c>
      <c r="EK14" s="111">
        <v>84</v>
      </c>
      <c r="EL14" s="111">
        <v>67</v>
      </c>
      <c r="EM14" s="111">
        <v>17</v>
      </c>
      <c r="EN14" s="111">
        <v>400</v>
      </c>
      <c r="EO14" s="111">
        <v>387</v>
      </c>
      <c r="EP14" s="111">
        <v>0</v>
      </c>
      <c r="EQ14" s="111">
        <v>13</v>
      </c>
      <c r="ER14" s="111">
        <v>162</v>
      </c>
      <c r="ES14" s="111">
        <v>0</v>
      </c>
      <c r="ET14" s="111">
        <v>0</v>
      </c>
      <c r="EU14" s="111">
        <v>156</v>
      </c>
      <c r="EV14" s="111">
        <v>156</v>
      </c>
      <c r="EW14" s="111">
        <v>0</v>
      </c>
      <c r="EX14" s="111">
        <v>0</v>
      </c>
      <c r="EY14" s="111">
        <v>96</v>
      </c>
      <c r="EZ14" s="111">
        <v>96</v>
      </c>
      <c r="FA14" s="111">
        <v>0</v>
      </c>
      <c r="FB14" s="111">
        <v>193</v>
      </c>
    </row>
    <row r="15" spans="1:158" ht="19.5" customHeight="1">
      <c r="A15" s="107">
        <v>12</v>
      </c>
      <c r="B15" s="107" t="s">
        <v>361</v>
      </c>
      <c r="C15" s="107" t="s">
        <v>365</v>
      </c>
      <c r="D15" s="110">
        <v>3460769.4</v>
      </c>
      <c r="E15" s="110">
        <v>571053</v>
      </c>
      <c r="F15" s="110">
        <v>2889716.4</v>
      </c>
      <c r="G15" s="110">
        <v>3382</v>
      </c>
      <c r="H15" s="110">
        <v>296</v>
      </c>
      <c r="I15" s="110">
        <v>55539</v>
      </c>
      <c r="J15" s="110">
        <v>3105</v>
      </c>
      <c r="K15" s="110">
        <v>0</v>
      </c>
      <c r="L15" s="110">
        <v>603662.4</v>
      </c>
      <c r="M15" s="110">
        <v>742647.5</v>
      </c>
      <c r="N15" s="110">
        <v>0</v>
      </c>
      <c r="O15" s="110">
        <v>7243229.8099999996</v>
      </c>
      <c r="P15" s="110">
        <v>5503262.4299999997</v>
      </c>
      <c r="Q15" s="110">
        <v>5420321.6100000003</v>
      </c>
      <c r="R15" s="110">
        <v>82940.820000000007</v>
      </c>
      <c r="S15" s="110">
        <v>1739967.38</v>
      </c>
      <c r="T15" s="110">
        <v>1672563.95</v>
      </c>
      <c r="U15" s="110">
        <v>67403.429999999993</v>
      </c>
      <c r="V15" s="110">
        <v>1442083.3</v>
      </c>
      <c r="W15" s="110">
        <v>1230392.02</v>
      </c>
      <c r="X15" s="110">
        <v>1174692.07</v>
      </c>
      <c r="Y15" s="110">
        <v>55699.95</v>
      </c>
      <c r="Z15" s="110">
        <v>211691.28</v>
      </c>
      <c r="AA15" s="110">
        <v>162645.51</v>
      </c>
      <c r="AB15" s="110">
        <v>49045.77</v>
      </c>
      <c r="AC15" s="110">
        <v>745013.44</v>
      </c>
      <c r="AD15" s="110">
        <v>631963.14</v>
      </c>
      <c r="AE15" s="110">
        <v>610611.71</v>
      </c>
      <c r="AF15" s="110">
        <v>21351.43</v>
      </c>
      <c r="AG15" s="110">
        <v>113050.3</v>
      </c>
      <c r="AH15" s="110">
        <v>96180.91</v>
      </c>
      <c r="AI15" s="110">
        <v>16869.39</v>
      </c>
      <c r="AJ15" s="110">
        <v>126016.86</v>
      </c>
      <c r="AK15" s="110">
        <v>109859.88</v>
      </c>
      <c r="AL15" s="110">
        <v>103426.36</v>
      </c>
      <c r="AM15" s="110">
        <v>6433.52</v>
      </c>
      <c r="AN15" s="110">
        <v>16156.98</v>
      </c>
      <c r="AO15" s="110">
        <v>11545.6</v>
      </c>
      <c r="AP15" s="110">
        <v>4611.38</v>
      </c>
      <c r="AQ15" s="110">
        <v>393724</v>
      </c>
      <c r="AR15" s="110">
        <v>335957</v>
      </c>
      <c r="AS15" s="110">
        <v>317746</v>
      </c>
      <c r="AT15" s="110">
        <v>18211</v>
      </c>
      <c r="AU15" s="110">
        <v>57767</v>
      </c>
      <c r="AV15" s="110">
        <v>37742</v>
      </c>
      <c r="AW15" s="110">
        <v>20025</v>
      </c>
      <c r="AX15" s="110">
        <v>177329</v>
      </c>
      <c r="AY15" s="110">
        <v>152612</v>
      </c>
      <c r="AZ15" s="110">
        <v>142908</v>
      </c>
      <c r="BA15" s="110">
        <v>9704</v>
      </c>
      <c r="BB15" s="110">
        <v>24717</v>
      </c>
      <c r="BC15" s="110">
        <v>17177</v>
      </c>
      <c r="BD15" s="110">
        <v>7540</v>
      </c>
      <c r="BE15" s="110">
        <v>5801146.5099999998</v>
      </c>
      <c r="BF15" s="110">
        <v>4272870.41</v>
      </c>
      <c r="BG15" s="110">
        <v>4245629.54</v>
      </c>
      <c r="BH15" s="110">
        <v>27240.87</v>
      </c>
      <c r="BI15" s="110">
        <v>1528276.1</v>
      </c>
      <c r="BJ15" s="110">
        <v>1509918.44</v>
      </c>
      <c r="BK15" s="110">
        <v>18357.66</v>
      </c>
      <c r="BL15" s="110">
        <v>673819.6</v>
      </c>
      <c r="BM15" s="110">
        <v>487995.91</v>
      </c>
      <c r="BN15" s="110">
        <v>485137.72</v>
      </c>
      <c r="BO15" s="110">
        <v>2858.19</v>
      </c>
      <c r="BP15" s="110">
        <v>185823.69</v>
      </c>
      <c r="BQ15" s="110">
        <v>183634.52</v>
      </c>
      <c r="BR15" s="110">
        <v>2189.17</v>
      </c>
      <c r="BS15" s="110">
        <v>2237610.5099999998</v>
      </c>
      <c r="BT15" s="110">
        <v>1693862.75</v>
      </c>
      <c r="BU15" s="110">
        <v>1679520.07</v>
      </c>
      <c r="BV15" s="110">
        <v>14342.68</v>
      </c>
      <c r="BW15" s="110">
        <v>543747.76</v>
      </c>
      <c r="BX15" s="110">
        <v>536000.27</v>
      </c>
      <c r="BY15" s="110">
        <v>7747.49</v>
      </c>
      <c r="BZ15" s="110">
        <v>952918</v>
      </c>
      <c r="CA15" s="110">
        <v>694070</v>
      </c>
      <c r="CB15" s="110">
        <v>692724</v>
      </c>
      <c r="CC15" s="110">
        <v>1346</v>
      </c>
      <c r="CD15" s="110">
        <v>258848</v>
      </c>
      <c r="CE15" s="110">
        <v>257317</v>
      </c>
      <c r="CF15" s="110">
        <v>1531</v>
      </c>
      <c r="CG15" s="110">
        <v>1936798.4</v>
      </c>
      <c r="CH15" s="110">
        <v>1396941.75</v>
      </c>
      <c r="CI15" s="110">
        <v>1388247.75</v>
      </c>
      <c r="CJ15" s="110">
        <v>8694</v>
      </c>
      <c r="CK15" s="110">
        <v>539856.65</v>
      </c>
      <c r="CL15" s="110">
        <v>532966.65</v>
      </c>
      <c r="CM15" s="110">
        <v>6890</v>
      </c>
      <c r="CN15" s="110">
        <v>203824.37</v>
      </c>
      <c r="CO15" s="110">
        <v>534402.48</v>
      </c>
      <c r="CP15" s="110">
        <v>694039.56</v>
      </c>
      <c r="CQ15" s="110">
        <v>0</v>
      </c>
      <c r="CR15" s="110">
        <v>9816.89</v>
      </c>
      <c r="CS15" s="110">
        <v>0</v>
      </c>
      <c r="CT15" s="110">
        <v>84655.13</v>
      </c>
      <c r="CU15" s="110">
        <v>0</v>
      </c>
      <c r="CV15" s="111">
        <v>3382</v>
      </c>
      <c r="CW15" s="111">
        <v>2901</v>
      </c>
      <c r="CX15" s="111">
        <v>2709</v>
      </c>
      <c r="CY15" s="111">
        <v>192</v>
      </c>
      <c r="CZ15" s="111">
        <v>481</v>
      </c>
      <c r="DA15" s="111">
        <v>298</v>
      </c>
      <c r="DB15" s="111">
        <v>183</v>
      </c>
      <c r="DC15" s="111">
        <v>1543</v>
      </c>
      <c r="DD15" s="111">
        <v>0</v>
      </c>
      <c r="DE15" s="111">
        <v>1312</v>
      </c>
      <c r="DF15" s="111">
        <v>1235</v>
      </c>
      <c r="DG15" s="111">
        <v>77</v>
      </c>
      <c r="DH15" s="111">
        <v>231</v>
      </c>
      <c r="DI15" s="111">
        <v>139</v>
      </c>
      <c r="DJ15" s="111">
        <v>92</v>
      </c>
      <c r="DK15" s="111">
        <v>1248</v>
      </c>
      <c r="DL15" s="111">
        <v>1090</v>
      </c>
      <c r="DM15" s="111">
        <v>1031</v>
      </c>
      <c r="DN15" s="111">
        <v>59</v>
      </c>
      <c r="DO15" s="111">
        <v>158</v>
      </c>
      <c r="DP15" s="111">
        <v>108</v>
      </c>
      <c r="DQ15" s="111">
        <v>50</v>
      </c>
      <c r="DR15" s="111">
        <v>20</v>
      </c>
      <c r="DS15" s="111">
        <v>0</v>
      </c>
      <c r="DT15" s="111">
        <v>12</v>
      </c>
      <c r="DU15" s="111">
        <v>10</v>
      </c>
      <c r="DV15" s="111">
        <v>2</v>
      </c>
      <c r="DW15" s="111">
        <v>8</v>
      </c>
      <c r="DX15" s="111">
        <v>7</v>
      </c>
      <c r="DY15" s="111">
        <v>1</v>
      </c>
      <c r="DZ15" s="111">
        <v>571</v>
      </c>
      <c r="EA15" s="111">
        <v>487</v>
      </c>
      <c r="EB15" s="111">
        <v>433</v>
      </c>
      <c r="EC15" s="111">
        <v>54</v>
      </c>
      <c r="ED15" s="111">
        <v>84</v>
      </c>
      <c r="EE15" s="111">
        <v>44</v>
      </c>
      <c r="EF15" s="111">
        <v>40</v>
      </c>
      <c r="EG15" s="111">
        <v>296</v>
      </c>
      <c r="EH15" s="111">
        <v>227</v>
      </c>
      <c r="EI15" s="111">
        <v>225</v>
      </c>
      <c r="EJ15" s="111">
        <v>2</v>
      </c>
      <c r="EK15" s="111">
        <v>69</v>
      </c>
      <c r="EL15" s="111">
        <v>67</v>
      </c>
      <c r="EM15" s="111">
        <v>2</v>
      </c>
      <c r="EN15" s="111">
        <v>273</v>
      </c>
      <c r="EO15" s="111">
        <v>213</v>
      </c>
      <c r="EP15" s="111">
        <v>0</v>
      </c>
      <c r="EQ15" s="111">
        <v>60</v>
      </c>
      <c r="ER15" s="111">
        <v>34</v>
      </c>
      <c r="ES15" s="111">
        <v>0</v>
      </c>
      <c r="ET15" s="111">
        <v>0</v>
      </c>
      <c r="EU15" s="111">
        <v>130</v>
      </c>
      <c r="EV15" s="111">
        <v>130</v>
      </c>
      <c r="EW15" s="111">
        <v>0</v>
      </c>
      <c r="EX15" s="111">
        <v>0</v>
      </c>
      <c r="EY15" s="111">
        <v>50</v>
      </c>
      <c r="EZ15" s="111">
        <v>50</v>
      </c>
      <c r="FA15" s="111">
        <v>0</v>
      </c>
      <c r="FB15" s="111">
        <v>83</v>
      </c>
    </row>
    <row r="16" spans="1:158" ht="19.5" customHeight="1">
      <c r="A16" s="107">
        <v>13</v>
      </c>
      <c r="B16" s="107" t="s">
        <v>361</v>
      </c>
      <c r="C16" s="107" t="s">
        <v>366</v>
      </c>
      <c r="D16" s="110">
        <v>1595413.6</v>
      </c>
      <c r="E16" s="110">
        <v>198685</v>
      </c>
      <c r="F16" s="110">
        <v>1396728.6</v>
      </c>
      <c r="G16" s="110">
        <v>842</v>
      </c>
      <c r="H16" s="110">
        <v>65</v>
      </c>
      <c r="I16" s="110">
        <v>419</v>
      </c>
      <c r="J16" s="110">
        <v>574</v>
      </c>
      <c r="K16" s="110">
        <v>0</v>
      </c>
      <c r="L16" s="110">
        <v>94101.25</v>
      </c>
      <c r="M16" s="110">
        <v>375493.35</v>
      </c>
      <c r="N16" s="110">
        <v>60</v>
      </c>
      <c r="O16" s="110">
        <v>3408914.62</v>
      </c>
      <c r="P16" s="110">
        <v>2027217</v>
      </c>
      <c r="Q16" s="110">
        <v>1897351.74</v>
      </c>
      <c r="R16" s="110">
        <v>129865.26</v>
      </c>
      <c r="S16" s="110">
        <v>1381697.62</v>
      </c>
      <c r="T16" s="110">
        <v>1291635.54</v>
      </c>
      <c r="U16" s="110">
        <v>90062.080000000002</v>
      </c>
      <c r="V16" s="110">
        <v>236391.61</v>
      </c>
      <c r="W16" s="110">
        <v>182007.25</v>
      </c>
      <c r="X16" s="110">
        <v>156417.29</v>
      </c>
      <c r="Y16" s="110">
        <v>25589.96</v>
      </c>
      <c r="Z16" s="110">
        <v>54384.36</v>
      </c>
      <c r="AA16" s="110">
        <v>36263.1</v>
      </c>
      <c r="AB16" s="110">
        <v>18121.259999999998</v>
      </c>
      <c r="AC16" s="110">
        <v>36446.61</v>
      </c>
      <c r="AD16" s="110">
        <v>29888.25</v>
      </c>
      <c r="AE16" s="110">
        <v>24787.29</v>
      </c>
      <c r="AF16" s="110">
        <v>5100.96</v>
      </c>
      <c r="AG16" s="110">
        <v>6558.36</v>
      </c>
      <c r="AH16" s="110">
        <v>5198.1000000000004</v>
      </c>
      <c r="AI16" s="110">
        <v>1360.26</v>
      </c>
      <c r="AJ16" s="110">
        <v>1260</v>
      </c>
      <c r="AK16" s="110">
        <v>855</v>
      </c>
      <c r="AL16" s="110">
        <v>726</v>
      </c>
      <c r="AM16" s="110">
        <v>129</v>
      </c>
      <c r="AN16" s="110">
        <v>405</v>
      </c>
      <c r="AO16" s="110">
        <v>319</v>
      </c>
      <c r="AP16" s="110">
        <v>86</v>
      </c>
      <c r="AQ16" s="110">
        <v>160447</v>
      </c>
      <c r="AR16" s="110">
        <v>121637</v>
      </c>
      <c r="AS16" s="110">
        <v>105317</v>
      </c>
      <c r="AT16" s="110">
        <v>16320</v>
      </c>
      <c r="AU16" s="110">
        <v>38810</v>
      </c>
      <c r="AV16" s="110">
        <v>25555</v>
      </c>
      <c r="AW16" s="110">
        <v>13255</v>
      </c>
      <c r="AX16" s="110">
        <v>38238</v>
      </c>
      <c r="AY16" s="110">
        <v>29627</v>
      </c>
      <c r="AZ16" s="110">
        <v>25587</v>
      </c>
      <c r="BA16" s="110">
        <v>4040</v>
      </c>
      <c r="BB16" s="110">
        <v>8611</v>
      </c>
      <c r="BC16" s="110">
        <v>5191</v>
      </c>
      <c r="BD16" s="110">
        <v>3420</v>
      </c>
      <c r="BE16" s="110">
        <v>3172523.01</v>
      </c>
      <c r="BF16" s="110">
        <v>1845209.75</v>
      </c>
      <c r="BG16" s="110">
        <v>1740934.45</v>
      </c>
      <c r="BH16" s="110">
        <v>104275.3</v>
      </c>
      <c r="BI16" s="110">
        <v>1327313.26</v>
      </c>
      <c r="BJ16" s="110">
        <v>1255372.44</v>
      </c>
      <c r="BK16" s="110">
        <v>71940.820000000007</v>
      </c>
      <c r="BL16" s="110">
        <v>424787.62</v>
      </c>
      <c r="BM16" s="110">
        <v>224941.27</v>
      </c>
      <c r="BN16" s="110">
        <v>211497.64</v>
      </c>
      <c r="BO16" s="110">
        <v>13443.63</v>
      </c>
      <c r="BP16" s="110">
        <v>199846.35</v>
      </c>
      <c r="BQ16" s="110">
        <v>186617.88</v>
      </c>
      <c r="BR16" s="110">
        <v>13228.47</v>
      </c>
      <c r="BS16" s="110">
        <v>1351006.79</v>
      </c>
      <c r="BT16" s="110">
        <v>808014.28</v>
      </c>
      <c r="BU16" s="110">
        <v>766109.01</v>
      </c>
      <c r="BV16" s="110">
        <v>41905.269999999997</v>
      </c>
      <c r="BW16" s="110">
        <v>542992.51</v>
      </c>
      <c r="BX16" s="110">
        <v>510403.76</v>
      </c>
      <c r="BY16" s="110">
        <v>32588.75</v>
      </c>
      <c r="BZ16" s="110">
        <v>532162</v>
      </c>
      <c r="CA16" s="110">
        <v>315326</v>
      </c>
      <c r="CB16" s="110">
        <v>294005</v>
      </c>
      <c r="CC16" s="110">
        <v>21321</v>
      </c>
      <c r="CD16" s="110">
        <v>216836</v>
      </c>
      <c r="CE16" s="110">
        <v>209878</v>
      </c>
      <c r="CF16" s="110">
        <v>6958</v>
      </c>
      <c r="CG16" s="110">
        <v>864566.6</v>
      </c>
      <c r="CH16" s="110">
        <v>496928.2</v>
      </c>
      <c r="CI16" s="110">
        <v>469322.8</v>
      </c>
      <c r="CJ16" s="110">
        <v>27605.4</v>
      </c>
      <c r="CK16" s="110">
        <v>367638.4</v>
      </c>
      <c r="CL16" s="110">
        <v>348472.8</v>
      </c>
      <c r="CM16" s="110">
        <v>19165.599999999999</v>
      </c>
      <c r="CN16" s="110">
        <v>0</v>
      </c>
      <c r="CO16" s="110">
        <v>18678.509999999998</v>
      </c>
      <c r="CP16" s="110">
        <v>217713.1</v>
      </c>
      <c r="CQ16" s="110">
        <v>0</v>
      </c>
      <c r="CR16" s="110">
        <v>0</v>
      </c>
      <c r="CS16" s="110">
        <v>0</v>
      </c>
      <c r="CT16" s="110">
        <v>0</v>
      </c>
      <c r="CU16" s="110">
        <v>0</v>
      </c>
      <c r="CV16" s="111">
        <v>842</v>
      </c>
      <c r="CW16" s="111">
        <v>665</v>
      </c>
      <c r="CX16" s="111">
        <v>572</v>
      </c>
      <c r="CY16" s="111">
        <v>93</v>
      </c>
      <c r="CZ16" s="111">
        <v>177</v>
      </c>
      <c r="DA16" s="111">
        <v>100</v>
      </c>
      <c r="DB16" s="111">
        <v>77</v>
      </c>
      <c r="DC16" s="111">
        <v>88</v>
      </c>
      <c r="DD16" s="111">
        <v>0</v>
      </c>
      <c r="DE16" s="111">
        <v>73</v>
      </c>
      <c r="DF16" s="111">
        <v>59</v>
      </c>
      <c r="DG16" s="111">
        <v>14</v>
      </c>
      <c r="DH16" s="111">
        <v>15</v>
      </c>
      <c r="DI16" s="111">
        <v>9</v>
      </c>
      <c r="DJ16" s="111">
        <v>6</v>
      </c>
      <c r="DK16" s="111">
        <v>754</v>
      </c>
      <c r="DL16" s="111">
        <v>592</v>
      </c>
      <c r="DM16" s="111">
        <v>513</v>
      </c>
      <c r="DN16" s="111">
        <v>79</v>
      </c>
      <c r="DO16" s="111">
        <v>162</v>
      </c>
      <c r="DP16" s="111">
        <v>91</v>
      </c>
      <c r="DQ16" s="111">
        <v>71</v>
      </c>
      <c r="DR16" s="111">
        <v>0</v>
      </c>
      <c r="DS16" s="111">
        <v>0</v>
      </c>
      <c r="DT16" s="111">
        <v>0</v>
      </c>
      <c r="DU16" s="111">
        <v>0</v>
      </c>
      <c r="DV16" s="111">
        <v>0</v>
      </c>
      <c r="DW16" s="111">
        <v>0</v>
      </c>
      <c r="DX16" s="111">
        <v>0</v>
      </c>
      <c r="DY16" s="111">
        <v>0</v>
      </c>
      <c r="DZ16" s="111">
        <v>0</v>
      </c>
      <c r="EA16" s="111">
        <v>0</v>
      </c>
      <c r="EB16" s="111">
        <v>0</v>
      </c>
      <c r="EC16" s="111">
        <v>0</v>
      </c>
      <c r="ED16" s="111">
        <v>0</v>
      </c>
      <c r="EE16" s="111">
        <v>0</v>
      </c>
      <c r="EF16" s="111">
        <v>0</v>
      </c>
      <c r="EG16" s="111">
        <v>65</v>
      </c>
      <c r="EH16" s="111">
        <v>44</v>
      </c>
      <c r="EI16" s="111">
        <v>39</v>
      </c>
      <c r="EJ16" s="111">
        <v>5</v>
      </c>
      <c r="EK16" s="111">
        <v>21</v>
      </c>
      <c r="EL16" s="111">
        <v>20</v>
      </c>
      <c r="EM16" s="111">
        <v>1</v>
      </c>
      <c r="EN16" s="111">
        <v>46</v>
      </c>
      <c r="EO16" s="111">
        <v>42</v>
      </c>
      <c r="EP16" s="111">
        <v>1</v>
      </c>
      <c r="EQ16" s="111">
        <v>3</v>
      </c>
      <c r="ER16" s="111">
        <v>40</v>
      </c>
      <c r="ES16" s="111">
        <v>0</v>
      </c>
      <c r="ET16" s="111">
        <v>0</v>
      </c>
      <c r="EU16" s="111">
        <v>2</v>
      </c>
      <c r="EV16" s="111">
        <v>2</v>
      </c>
      <c r="EW16" s="111">
        <v>0</v>
      </c>
      <c r="EX16" s="111">
        <v>0</v>
      </c>
      <c r="EY16" s="111">
        <v>41</v>
      </c>
      <c r="EZ16" s="111">
        <v>40</v>
      </c>
      <c r="FA16" s="111">
        <v>1</v>
      </c>
      <c r="FB16" s="111">
        <v>37</v>
      </c>
    </row>
    <row r="17" spans="1:158" ht="19.5" customHeight="1">
      <c r="A17" s="107">
        <v>14</v>
      </c>
      <c r="B17" s="107" t="s">
        <v>361</v>
      </c>
      <c r="C17" s="107" t="s">
        <v>367</v>
      </c>
      <c r="D17" s="110">
        <v>60733.45</v>
      </c>
      <c r="E17" s="110">
        <v>60733.45</v>
      </c>
      <c r="F17" s="110">
        <v>0</v>
      </c>
      <c r="G17" s="110">
        <v>62</v>
      </c>
      <c r="H17" s="110">
        <v>0</v>
      </c>
      <c r="I17" s="110">
        <v>1980</v>
      </c>
      <c r="J17" s="110">
        <v>56091.45</v>
      </c>
      <c r="K17" s="110">
        <v>0</v>
      </c>
      <c r="L17" s="110">
        <v>0</v>
      </c>
      <c r="M17" s="110">
        <v>0</v>
      </c>
      <c r="N17" s="110">
        <v>0</v>
      </c>
      <c r="O17" s="110">
        <v>85846.97</v>
      </c>
      <c r="P17" s="110">
        <v>60479.01</v>
      </c>
      <c r="Q17" s="110">
        <v>0</v>
      </c>
      <c r="R17" s="110">
        <v>60479.01</v>
      </c>
      <c r="S17" s="110">
        <v>25367.96</v>
      </c>
      <c r="T17" s="110">
        <v>0</v>
      </c>
      <c r="U17" s="110">
        <v>25367.96</v>
      </c>
      <c r="V17" s="110">
        <v>85846.97</v>
      </c>
      <c r="W17" s="110">
        <v>60479.01</v>
      </c>
      <c r="X17" s="110">
        <v>0</v>
      </c>
      <c r="Y17" s="110">
        <v>60479.01</v>
      </c>
      <c r="Z17" s="110">
        <v>25367.96</v>
      </c>
      <c r="AA17" s="110">
        <v>0</v>
      </c>
      <c r="AB17" s="110">
        <v>25367.96</v>
      </c>
      <c r="AC17" s="110">
        <v>23701.52</v>
      </c>
      <c r="AD17" s="110">
        <v>9419.01</v>
      </c>
      <c r="AE17" s="110">
        <v>0</v>
      </c>
      <c r="AF17" s="110">
        <v>9419.01</v>
      </c>
      <c r="AG17" s="110">
        <v>14282.51</v>
      </c>
      <c r="AH17" s="110">
        <v>0</v>
      </c>
      <c r="AI17" s="110">
        <v>14282.51</v>
      </c>
      <c r="AJ17" s="110">
        <v>1412</v>
      </c>
      <c r="AK17" s="110">
        <v>1412</v>
      </c>
      <c r="AL17" s="110">
        <v>0</v>
      </c>
      <c r="AM17" s="110">
        <v>1412</v>
      </c>
      <c r="AN17" s="110">
        <v>0</v>
      </c>
      <c r="AO17" s="110">
        <v>0</v>
      </c>
      <c r="AP17" s="110">
        <v>0</v>
      </c>
      <c r="AQ17" s="110">
        <v>470</v>
      </c>
      <c r="AR17" s="110">
        <v>470</v>
      </c>
      <c r="AS17" s="110">
        <v>0</v>
      </c>
      <c r="AT17" s="110">
        <v>470</v>
      </c>
      <c r="AU17" s="110">
        <v>0</v>
      </c>
      <c r="AV17" s="110">
        <v>0</v>
      </c>
      <c r="AW17" s="110">
        <v>0</v>
      </c>
      <c r="AX17" s="110">
        <v>60263.45</v>
      </c>
      <c r="AY17" s="110">
        <v>49178</v>
      </c>
      <c r="AZ17" s="110">
        <v>0</v>
      </c>
      <c r="BA17" s="110">
        <v>49178</v>
      </c>
      <c r="BB17" s="110">
        <v>11085.45</v>
      </c>
      <c r="BC17" s="110">
        <v>0</v>
      </c>
      <c r="BD17" s="110">
        <v>11085.45</v>
      </c>
      <c r="BE17" s="110">
        <v>0</v>
      </c>
      <c r="BF17" s="110">
        <v>0</v>
      </c>
      <c r="BG17" s="110">
        <v>0</v>
      </c>
      <c r="BH17" s="110">
        <v>0</v>
      </c>
      <c r="BI17" s="110">
        <v>0</v>
      </c>
      <c r="BJ17" s="110">
        <v>0</v>
      </c>
      <c r="BK17" s="110">
        <v>0</v>
      </c>
      <c r="BL17" s="110">
        <v>0</v>
      </c>
      <c r="BM17" s="110">
        <v>0</v>
      </c>
      <c r="BN17" s="110">
        <v>0</v>
      </c>
      <c r="BO17" s="110">
        <v>0</v>
      </c>
      <c r="BP17" s="110">
        <v>0</v>
      </c>
      <c r="BQ17" s="110">
        <v>0</v>
      </c>
      <c r="BR17" s="110">
        <v>0</v>
      </c>
      <c r="BS17" s="110">
        <v>0</v>
      </c>
      <c r="BT17" s="110">
        <v>0</v>
      </c>
      <c r="BU17" s="110">
        <v>0</v>
      </c>
      <c r="BV17" s="110">
        <v>0</v>
      </c>
      <c r="BW17" s="110">
        <v>0</v>
      </c>
      <c r="BX17" s="110">
        <v>0</v>
      </c>
      <c r="BY17" s="110">
        <v>0</v>
      </c>
      <c r="BZ17" s="110">
        <v>0</v>
      </c>
      <c r="CA17" s="110">
        <v>0</v>
      </c>
      <c r="CB17" s="110">
        <v>0</v>
      </c>
      <c r="CC17" s="110">
        <v>0</v>
      </c>
      <c r="CD17" s="110">
        <v>0</v>
      </c>
      <c r="CE17" s="110">
        <v>0</v>
      </c>
      <c r="CF17" s="110">
        <v>0</v>
      </c>
      <c r="CG17" s="110">
        <v>0</v>
      </c>
      <c r="CH17" s="110">
        <v>0</v>
      </c>
      <c r="CI17" s="110">
        <v>0</v>
      </c>
      <c r="CJ17" s="110">
        <v>0</v>
      </c>
      <c r="CK17" s="110">
        <v>0</v>
      </c>
      <c r="CL17" s="110">
        <v>0</v>
      </c>
      <c r="CM17" s="110">
        <v>0</v>
      </c>
      <c r="CN17" s="110">
        <v>7369.74</v>
      </c>
      <c r="CO17" s="110">
        <v>62185.54</v>
      </c>
      <c r="CP17" s="110">
        <v>16019.69</v>
      </c>
      <c r="CQ17" s="110">
        <v>0</v>
      </c>
      <c r="CR17" s="110">
        <v>272</v>
      </c>
      <c r="CS17" s="110">
        <v>0</v>
      </c>
      <c r="CT17" s="110">
        <v>0</v>
      </c>
      <c r="CU17" s="110">
        <v>0</v>
      </c>
      <c r="CV17" s="111">
        <v>62</v>
      </c>
      <c r="CW17" s="111">
        <v>44</v>
      </c>
      <c r="CX17" s="111">
        <v>0</v>
      </c>
      <c r="CY17" s="111">
        <v>44</v>
      </c>
      <c r="CZ17" s="111">
        <v>18</v>
      </c>
      <c r="DA17" s="111">
        <v>0</v>
      </c>
      <c r="DB17" s="111">
        <v>18</v>
      </c>
      <c r="DC17" s="111">
        <v>30</v>
      </c>
      <c r="DD17" s="111">
        <v>0</v>
      </c>
      <c r="DE17" s="111">
        <v>19</v>
      </c>
      <c r="DF17" s="111">
        <v>0</v>
      </c>
      <c r="DG17" s="111">
        <v>19</v>
      </c>
      <c r="DH17" s="111">
        <v>11</v>
      </c>
      <c r="DI17" s="111">
        <v>0</v>
      </c>
      <c r="DJ17" s="111">
        <v>11</v>
      </c>
      <c r="DK17" s="111">
        <v>27</v>
      </c>
      <c r="DL17" s="111">
        <v>21</v>
      </c>
      <c r="DM17" s="111">
        <v>0</v>
      </c>
      <c r="DN17" s="111">
        <v>21</v>
      </c>
      <c r="DO17" s="111">
        <v>6</v>
      </c>
      <c r="DP17" s="111">
        <v>0</v>
      </c>
      <c r="DQ17" s="111">
        <v>6</v>
      </c>
      <c r="DR17" s="111">
        <v>2</v>
      </c>
      <c r="DS17" s="111">
        <v>0</v>
      </c>
      <c r="DT17" s="111">
        <v>1</v>
      </c>
      <c r="DU17" s="111">
        <v>0</v>
      </c>
      <c r="DV17" s="111">
        <v>1</v>
      </c>
      <c r="DW17" s="111">
        <v>1</v>
      </c>
      <c r="DX17" s="111">
        <v>0</v>
      </c>
      <c r="DY17" s="111">
        <v>1</v>
      </c>
      <c r="DZ17" s="111">
        <v>3</v>
      </c>
      <c r="EA17" s="111">
        <v>3</v>
      </c>
      <c r="EB17" s="111">
        <v>0</v>
      </c>
      <c r="EC17" s="111">
        <v>3</v>
      </c>
      <c r="ED17" s="111">
        <v>0</v>
      </c>
      <c r="EE17" s="111">
        <v>0</v>
      </c>
      <c r="EF17" s="111">
        <v>0</v>
      </c>
      <c r="EG17" s="111">
        <v>0</v>
      </c>
      <c r="EH17" s="111">
        <v>0</v>
      </c>
      <c r="EI17" s="111">
        <v>0</v>
      </c>
      <c r="EJ17" s="111">
        <v>0</v>
      </c>
      <c r="EK17" s="111">
        <v>0</v>
      </c>
      <c r="EL17" s="111">
        <v>0</v>
      </c>
      <c r="EM17" s="111">
        <v>0</v>
      </c>
      <c r="EN17" s="111">
        <v>0</v>
      </c>
      <c r="EO17" s="111">
        <v>0</v>
      </c>
      <c r="EP17" s="111">
        <v>0</v>
      </c>
      <c r="EQ17" s="111">
        <v>0</v>
      </c>
      <c r="ER17" s="111">
        <v>0</v>
      </c>
      <c r="ES17" s="111">
        <v>0</v>
      </c>
      <c r="ET17" s="111">
        <v>0</v>
      </c>
      <c r="EU17" s="111">
        <v>0</v>
      </c>
      <c r="EV17" s="111">
        <v>0</v>
      </c>
      <c r="EW17" s="111">
        <v>0</v>
      </c>
      <c r="EX17" s="111">
        <v>0</v>
      </c>
      <c r="EY17" s="111">
        <v>0</v>
      </c>
      <c r="EZ17" s="111">
        <v>0</v>
      </c>
      <c r="FA17" s="111">
        <v>0</v>
      </c>
      <c r="FB17" s="111">
        <v>0</v>
      </c>
    </row>
    <row r="18" spans="1:158" ht="19.5" customHeight="1">
      <c r="A18" s="107">
        <v>15</v>
      </c>
      <c r="B18" s="107" t="s">
        <v>361</v>
      </c>
      <c r="C18" s="107" t="s">
        <v>368</v>
      </c>
      <c r="D18" s="110">
        <v>1007562.75</v>
      </c>
      <c r="E18" s="110">
        <v>179901</v>
      </c>
      <c r="F18" s="110">
        <v>827661.75</v>
      </c>
      <c r="G18" s="110">
        <v>1089</v>
      </c>
      <c r="H18" s="110">
        <v>89</v>
      </c>
      <c r="I18" s="110">
        <v>13969</v>
      </c>
      <c r="J18" s="110">
        <v>0</v>
      </c>
      <c r="K18" s="110">
        <v>0</v>
      </c>
      <c r="L18" s="110">
        <v>80787.75</v>
      </c>
      <c r="M18" s="110">
        <v>168669.5</v>
      </c>
      <c r="N18" s="110">
        <v>112.5</v>
      </c>
      <c r="O18" s="110">
        <v>2051452.66</v>
      </c>
      <c r="P18" s="110">
        <v>1490956.66</v>
      </c>
      <c r="Q18" s="110">
        <v>1484472.05</v>
      </c>
      <c r="R18" s="110">
        <v>6484.61</v>
      </c>
      <c r="S18" s="110">
        <v>560496</v>
      </c>
      <c r="T18" s="110">
        <v>549804.25</v>
      </c>
      <c r="U18" s="110">
        <v>10691.75</v>
      </c>
      <c r="V18" s="110">
        <v>357811.4</v>
      </c>
      <c r="W18" s="110">
        <v>312809.64</v>
      </c>
      <c r="X18" s="110">
        <v>306325.03000000003</v>
      </c>
      <c r="Y18" s="110">
        <v>6484.61</v>
      </c>
      <c r="Z18" s="110">
        <v>45001.760000000002</v>
      </c>
      <c r="AA18" s="110">
        <v>34310.01</v>
      </c>
      <c r="AB18" s="110">
        <v>10691.75</v>
      </c>
      <c r="AC18" s="110">
        <v>167935.43</v>
      </c>
      <c r="AD18" s="110">
        <v>147019.67000000001</v>
      </c>
      <c r="AE18" s="110">
        <v>143728.06</v>
      </c>
      <c r="AF18" s="110">
        <v>3291.61</v>
      </c>
      <c r="AG18" s="110">
        <v>20915.759999999998</v>
      </c>
      <c r="AH18" s="110">
        <v>15838.01</v>
      </c>
      <c r="AI18" s="110">
        <v>5077.75</v>
      </c>
      <c r="AJ18" s="110">
        <v>9974.9699999999993</v>
      </c>
      <c r="AK18" s="110">
        <v>9624.9699999999993</v>
      </c>
      <c r="AL18" s="110">
        <v>9624.9699999999993</v>
      </c>
      <c r="AM18" s="110">
        <v>0</v>
      </c>
      <c r="AN18" s="110">
        <v>350</v>
      </c>
      <c r="AO18" s="110">
        <v>232</v>
      </c>
      <c r="AP18" s="110">
        <v>118</v>
      </c>
      <c r="AQ18" s="110">
        <v>131544</v>
      </c>
      <c r="AR18" s="110">
        <v>115612</v>
      </c>
      <c r="AS18" s="110">
        <v>113527</v>
      </c>
      <c r="AT18" s="110">
        <v>2085</v>
      </c>
      <c r="AU18" s="110">
        <v>15932</v>
      </c>
      <c r="AV18" s="110">
        <v>13059</v>
      </c>
      <c r="AW18" s="110">
        <v>2873</v>
      </c>
      <c r="AX18" s="110">
        <v>48357</v>
      </c>
      <c r="AY18" s="110">
        <v>40553</v>
      </c>
      <c r="AZ18" s="110">
        <v>39445</v>
      </c>
      <c r="BA18" s="110">
        <v>1108</v>
      </c>
      <c r="BB18" s="110">
        <v>7804</v>
      </c>
      <c r="BC18" s="110">
        <v>5181</v>
      </c>
      <c r="BD18" s="110">
        <v>2623</v>
      </c>
      <c r="BE18" s="110">
        <v>1693641.26</v>
      </c>
      <c r="BF18" s="110">
        <v>1178147.02</v>
      </c>
      <c r="BG18" s="110">
        <v>1178147.02</v>
      </c>
      <c r="BH18" s="110">
        <v>0</v>
      </c>
      <c r="BI18" s="110">
        <v>515494.24</v>
      </c>
      <c r="BJ18" s="110">
        <v>515494.24</v>
      </c>
      <c r="BK18" s="110">
        <v>0</v>
      </c>
      <c r="BL18" s="110">
        <v>287042.11</v>
      </c>
      <c r="BM18" s="110">
        <v>178240.41</v>
      </c>
      <c r="BN18" s="110">
        <v>178240.41</v>
      </c>
      <c r="BO18" s="110">
        <v>0</v>
      </c>
      <c r="BP18" s="110">
        <v>108801.7</v>
      </c>
      <c r="BQ18" s="110">
        <v>108801.7</v>
      </c>
      <c r="BR18" s="110">
        <v>0</v>
      </c>
      <c r="BS18" s="110">
        <v>578937.4</v>
      </c>
      <c r="BT18" s="110">
        <v>427689.36</v>
      </c>
      <c r="BU18" s="110">
        <v>427689.36</v>
      </c>
      <c r="BV18" s="110">
        <v>0</v>
      </c>
      <c r="BW18" s="110">
        <v>151248.04</v>
      </c>
      <c r="BX18" s="110">
        <v>151248.04</v>
      </c>
      <c r="BY18" s="110">
        <v>0</v>
      </c>
      <c r="BZ18" s="110">
        <v>361794</v>
      </c>
      <c r="CA18" s="110">
        <v>237219</v>
      </c>
      <c r="CB18" s="110">
        <v>237219</v>
      </c>
      <c r="CC18" s="110">
        <v>0</v>
      </c>
      <c r="CD18" s="110">
        <v>124575</v>
      </c>
      <c r="CE18" s="110">
        <v>124575</v>
      </c>
      <c r="CF18" s="110">
        <v>0</v>
      </c>
      <c r="CG18" s="110">
        <v>465867.75</v>
      </c>
      <c r="CH18" s="110">
        <v>334998.25</v>
      </c>
      <c r="CI18" s="110">
        <v>334998.25</v>
      </c>
      <c r="CJ18" s="110">
        <v>0</v>
      </c>
      <c r="CK18" s="110">
        <v>130869.5</v>
      </c>
      <c r="CL18" s="110">
        <v>130869.5</v>
      </c>
      <c r="CM18" s="110">
        <v>0</v>
      </c>
      <c r="CN18" s="110">
        <v>82.88</v>
      </c>
      <c r="CO18" s="110">
        <v>256907.11</v>
      </c>
      <c r="CP18" s="110">
        <v>100053.41</v>
      </c>
      <c r="CQ18" s="110">
        <v>0</v>
      </c>
      <c r="CR18" s="110">
        <v>768</v>
      </c>
      <c r="CS18" s="110">
        <v>0</v>
      </c>
      <c r="CT18" s="110">
        <v>0</v>
      </c>
      <c r="CU18" s="110">
        <v>0</v>
      </c>
      <c r="CV18" s="111">
        <v>1089</v>
      </c>
      <c r="CW18" s="111">
        <v>916</v>
      </c>
      <c r="CX18" s="111">
        <v>879</v>
      </c>
      <c r="CY18" s="111">
        <v>37</v>
      </c>
      <c r="CZ18" s="111">
        <v>173</v>
      </c>
      <c r="DA18" s="111">
        <v>124</v>
      </c>
      <c r="DB18" s="111">
        <v>49</v>
      </c>
      <c r="DC18" s="111">
        <v>776</v>
      </c>
      <c r="DD18" s="111">
        <v>0</v>
      </c>
      <c r="DE18" s="111">
        <v>650</v>
      </c>
      <c r="DF18" s="111">
        <v>622</v>
      </c>
      <c r="DG18" s="111">
        <v>28</v>
      </c>
      <c r="DH18" s="111">
        <v>126</v>
      </c>
      <c r="DI18" s="111">
        <v>89</v>
      </c>
      <c r="DJ18" s="111">
        <v>37</v>
      </c>
      <c r="DK18" s="111">
        <v>308</v>
      </c>
      <c r="DL18" s="111">
        <v>262</v>
      </c>
      <c r="DM18" s="111">
        <v>253</v>
      </c>
      <c r="DN18" s="111">
        <v>9</v>
      </c>
      <c r="DO18" s="111">
        <v>46</v>
      </c>
      <c r="DP18" s="111">
        <v>34</v>
      </c>
      <c r="DQ18" s="111">
        <v>12</v>
      </c>
      <c r="DR18" s="111">
        <v>3</v>
      </c>
      <c r="DS18" s="111">
        <v>0</v>
      </c>
      <c r="DT18" s="111">
        <v>2</v>
      </c>
      <c r="DU18" s="111">
        <v>2</v>
      </c>
      <c r="DV18" s="111">
        <v>0</v>
      </c>
      <c r="DW18" s="111">
        <v>1</v>
      </c>
      <c r="DX18" s="111">
        <v>1</v>
      </c>
      <c r="DY18" s="111">
        <v>0</v>
      </c>
      <c r="DZ18" s="111">
        <v>2</v>
      </c>
      <c r="EA18" s="111">
        <v>2</v>
      </c>
      <c r="EB18" s="111">
        <v>2</v>
      </c>
      <c r="EC18" s="111">
        <v>0</v>
      </c>
      <c r="ED18" s="111">
        <v>0</v>
      </c>
      <c r="EE18" s="111">
        <v>0</v>
      </c>
      <c r="EF18" s="111">
        <v>0</v>
      </c>
      <c r="EG18" s="111">
        <v>89</v>
      </c>
      <c r="EH18" s="111">
        <v>62</v>
      </c>
      <c r="EI18" s="111">
        <v>62</v>
      </c>
      <c r="EJ18" s="111">
        <v>0</v>
      </c>
      <c r="EK18" s="111">
        <v>27</v>
      </c>
      <c r="EL18" s="111">
        <v>27</v>
      </c>
      <c r="EM18" s="111">
        <v>0</v>
      </c>
      <c r="EN18" s="111">
        <v>84</v>
      </c>
      <c r="EO18" s="111">
        <v>60</v>
      </c>
      <c r="EP18" s="111">
        <v>0</v>
      </c>
      <c r="EQ18" s="111">
        <v>24</v>
      </c>
      <c r="ER18" s="111">
        <v>11</v>
      </c>
      <c r="ES18" s="111">
        <v>0</v>
      </c>
      <c r="ET18" s="111">
        <v>1</v>
      </c>
      <c r="EU18" s="111">
        <v>11</v>
      </c>
      <c r="EV18" s="111">
        <v>10</v>
      </c>
      <c r="EW18" s="111">
        <v>0</v>
      </c>
      <c r="EX18" s="111">
        <v>1</v>
      </c>
      <c r="EY18" s="111">
        <v>11</v>
      </c>
      <c r="EZ18" s="111">
        <v>11</v>
      </c>
      <c r="FA18" s="111">
        <v>0</v>
      </c>
      <c r="FB18" s="111">
        <v>10</v>
      </c>
    </row>
    <row r="19" spans="1:158" ht="19.5" customHeight="1">
      <c r="A19" s="107">
        <v>16</v>
      </c>
      <c r="B19" s="107" t="s">
        <v>361</v>
      </c>
      <c r="C19" s="107" t="s">
        <v>369</v>
      </c>
      <c r="D19" s="110">
        <v>3590131</v>
      </c>
      <c r="E19" s="110">
        <v>452364</v>
      </c>
      <c r="F19" s="110">
        <v>3137767</v>
      </c>
      <c r="G19" s="110">
        <v>2109</v>
      </c>
      <c r="H19" s="110">
        <v>255</v>
      </c>
      <c r="I19" s="110">
        <v>106</v>
      </c>
      <c r="J19" s="110">
        <v>57</v>
      </c>
      <c r="K19" s="110">
        <v>0</v>
      </c>
      <c r="L19" s="110">
        <v>127581.75</v>
      </c>
      <c r="M19" s="110">
        <v>1415011.25</v>
      </c>
      <c r="N19" s="110">
        <v>0</v>
      </c>
      <c r="O19" s="110">
        <v>10460356.550000001</v>
      </c>
      <c r="P19" s="110">
        <v>8208569.1299999999</v>
      </c>
      <c r="Q19" s="110">
        <v>8130658.0599999996</v>
      </c>
      <c r="R19" s="110">
        <v>77911.070000000007</v>
      </c>
      <c r="S19" s="110">
        <v>2251787.42</v>
      </c>
      <c r="T19" s="110">
        <v>2185977.14</v>
      </c>
      <c r="U19" s="110">
        <v>65810.28</v>
      </c>
      <c r="V19" s="110">
        <v>544297.81000000006</v>
      </c>
      <c r="W19" s="110">
        <v>442909.16</v>
      </c>
      <c r="X19" s="110">
        <v>401639.47</v>
      </c>
      <c r="Y19" s="110">
        <v>41269.69</v>
      </c>
      <c r="Z19" s="110">
        <v>101388.65</v>
      </c>
      <c r="AA19" s="110">
        <v>36518.550000000003</v>
      </c>
      <c r="AB19" s="110">
        <v>64870.1</v>
      </c>
      <c r="AC19" s="110">
        <v>83415.81</v>
      </c>
      <c r="AD19" s="110">
        <v>71326.16</v>
      </c>
      <c r="AE19" s="110">
        <v>66522.47</v>
      </c>
      <c r="AF19" s="110">
        <v>4803.6899999999996</v>
      </c>
      <c r="AG19" s="110">
        <v>12089.65</v>
      </c>
      <c r="AH19" s="110">
        <v>6943.55</v>
      </c>
      <c r="AI19" s="110">
        <v>5146.1000000000004</v>
      </c>
      <c r="AJ19" s="110">
        <v>8518</v>
      </c>
      <c r="AK19" s="110">
        <v>7592</v>
      </c>
      <c r="AL19" s="110">
        <v>7312</v>
      </c>
      <c r="AM19" s="110">
        <v>280</v>
      </c>
      <c r="AN19" s="110">
        <v>926</v>
      </c>
      <c r="AO19" s="110">
        <v>0</v>
      </c>
      <c r="AP19" s="110">
        <v>926</v>
      </c>
      <c r="AQ19" s="110">
        <v>344883</v>
      </c>
      <c r="AR19" s="110">
        <v>288066</v>
      </c>
      <c r="AS19" s="110">
        <v>262179</v>
      </c>
      <c r="AT19" s="110">
        <v>25887</v>
      </c>
      <c r="AU19" s="110">
        <v>56817</v>
      </c>
      <c r="AV19" s="110">
        <v>23050</v>
      </c>
      <c r="AW19" s="110">
        <v>33767</v>
      </c>
      <c r="AX19" s="110">
        <v>107481</v>
      </c>
      <c r="AY19" s="110">
        <v>75925</v>
      </c>
      <c r="AZ19" s="110">
        <v>65626</v>
      </c>
      <c r="BA19" s="110">
        <v>10299</v>
      </c>
      <c r="BB19" s="110">
        <v>31556</v>
      </c>
      <c r="BC19" s="110">
        <v>6525</v>
      </c>
      <c r="BD19" s="110">
        <v>25031</v>
      </c>
      <c r="BE19" s="110">
        <v>9916058.7400000002</v>
      </c>
      <c r="BF19" s="110">
        <v>7765659.9699999997</v>
      </c>
      <c r="BG19" s="110">
        <v>7729018.5899999999</v>
      </c>
      <c r="BH19" s="110">
        <v>36641.379999999997</v>
      </c>
      <c r="BI19" s="110">
        <v>2150398.77</v>
      </c>
      <c r="BJ19" s="110">
        <v>2149458.59</v>
      </c>
      <c r="BK19" s="110">
        <v>940.18</v>
      </c>
      <c r="BL19" s="110">
        <v>515201.25</v>
      </c>
      <c r="BM19" s="110">
        <v>410678.02</v>
      </c>
      <c r="BN19" s="110">
        <v>409923.31</v>
      </c>
      <c r="BO19" s="110">
        <v>754.71</v>
      </c>
      <c r="BP19" s="110">
        <v>104523.23</v>
      </c>
      <c r="BQ19" s="110">
        <v>104433.55</v>
      </c>
      <c r="BR19" s="110">
        <v>89.68</v>
      </c>
      <c r="BS19" s="110">
        <v>6263090.4900000002</v>
      </c>
      <c r="BT19" s="110">
        <v>4919475.45</v>
      </c>
      <c r="BU19" s="110">
        <v>4896610.28</v>
      </c>
      <c r="BV19" s="110">
        <v>22865.17</v>
      </c>
      <c r="BW19" s="110">
        <v>1343615.04</v>
      </c>
      <c r="BX19" s="110">
        <v>1343615.04</v>
      </c>
      <c r="BY19" s="110">
        <v>0</v>
      </c>
      <c r="BZ19" s="110">
        <v>1004210</v>
      </c>
      <c r="CA19" s="110">
        <v>783070</v>
      </c>
      <c r="CB19" s="110">
        <v>781750</v>
      </c>
      <c r="CC19" s="110">
        <v>1320</v>
      </c>
      <c r="CD19" s="110">
        <v>221140</v>
      </c>
      <c r="CE19" s="110">
        <v>221070</v>
      </c>
      <c r="CF19" s="110">
        <v>70</v>
      </c>
      <c r="CG19" s="110">
        <v>2133557</v>
      </c>
      <c r="CH19" s="110">
        <v>1652436.5</v>
      </c>
      <c r="CI19" s="110">
        <v>1640735</v>
      </c>
      <c r="CJ19" s="110">
        <v>11701.5</v>
      </c>
      <c r="CK19" s="110">
        <v>481120.5</v>
      </c>
      <c r="CL19" s="110">
        <v>480340</v>
      </c>
      <c r="CM19" s="110">
        <v>780.5</v>
      </c>
      <c r="CN19" s="110">
        <v>0</v>
      </c>
      <c r="CO19" s="110">
        <v>61877.51</v>
      </c>
      <c r="CP19" s="110">
        <v>425885.01</v>
      </c>
      <c r="CQ19" s="110">
        <v>22247.29</v>
      </c>
      <c r="CR19" s="110">
        <v>34288</v>
      </c>
      <c r="CS19" s="110">
        <v>0</v>
      </c>
      <c r="CT19" s="110">
        <v>96.67</v>
      </c>
      <c r="CU19" s="110">
        <v>0</v>
      </c>
      <c r="CV19" s="111">
        <v>2109</v>
      </c>
      <c r="CW19" s="111">
        <v>1756</v>
      </c>
      <c r="CX19" s="111">
        <v>1594</v>
      </c>
      <c r="CY19" s="111">
        <v>162</v>
      </c>
      <c r="CZ19" s="111">
        <v>353</v>
      </c>
      <c r="DA19" s="111">
        <v>159</v>
      </c>
      <c r="DB19" s="111">
        <v>194</v>
      </c>
      <c r="DC19" s="111">
        <v>367</v>
      </c>
      <c r="DD19" s="111">
        <v>0</v>
      </c>
      <c r="DE19" s="111">
        <v>308</v>
      </c>
      <c r="DF19" s="111">
        <v>285</v>
      </c>
      <c r="DG19" s="111">
        <v>23</v>
      </c>
      <c r="DH19" s="111">
        <v>59</v>
      </c>
      <c r="DI19" s="111">
        <v>28</v>
      </c>
      <c r="DJ19" s="111">
        <v>31</v>
      </c>
      <c r="DK19" s="111">
        <v>1699</v>
      </c>
      <c r="DL19" s="111">
        <v>1441</v>
      </c>
      <c r="DM19" s="111">
        <v>1309</v>
      </c>
      <c r="DN19" s="111">
        <v>132</v>
      </c>
      <c r="DO19" s="111">
        <v>258</v>
      </c>
      <c r="DP19" s="111">
        <v>131</v>
      </c>
      <c r="DQ19" s="111">
        <v>127</v>
      </c>
      <c r="DR19" s="111">
        <v>43</v>
      </c>
      <c r="DS19" s="111">
        <v>0</v>
      </c>
      <c r="DT19" s="111">
        <v>7</v>
      </c>
      <c r="DU19" s="111">
        <v>0</v>
      </c>
      <c r="DV19" s="111">
        <v>7</v>
      </c>
      <c r="DW19" s="111">
        <v>36</v>
      </c>
      <c r="DX19" s="111">
        <v>0</v>
      </c>
      <c r="DY19" s="111">
        <v>36</v>
      </c>
      <c r="DZ19" s="111">
        <v>0</v>
      </c>
      <c r="EA19" s="111">
        <v>0</v>
      </c>
      <c r="EB19" s="111">
        <v>0</v>
      </c>
      <c r="EC19" s="111">
        <v>0</v>
      </c>
      <c r="ED19" s="111">
        <v>0</v>
      </c>
      <c r="EE19" s="111">
        <v>0</v>
      </c>
      <c r="EF19" s="111">
        <v>0</v>
      </c>
      <c r="EG19" s="111">
        <v>255</v>
      </c>
      <c r="EH19" s="111">
        <v>202</v>
      </c>
      <c r="EI19" s="111">
        <v>198</v>
      </c>
      <c r="EJ19" s="111">
        <v>4</v>
      </c>
      <c r="EK19" s="111">
        <v>53</v>
      </c>
      <c r="EL19" s="111">
        <v>51</v>
      </c>
      <c r="EM19" s="111">
        <v>2</v>
      </c>
      <c r="EN19" s="111">
        <v>227</v>
      </c>
      <c r="EO19" s="111">
        <v>222</v>
      </c>
      <c r="EP19" s="111">
        <v>0</v>
      </c>
      <c r="EQ19" s="111">
        <v>5</v>
      </c>
      <c r="ER19" s="111">
        <v>82</v>
      </c>
      <c r="ES19" s="111">
        <v>0</v>
      </c>
      <c r="ET19" s="111">
        <v>0</v>
      </c>
      <c r="EU19" s="111">
        <v>0</v>
      </c>
      <c r="EV19" s="111">
        <v>0</v>
      </c>
      <c r="EW19" s="111">
        <v>0</v>
      </c>
      <c r="EX19" s="111">
        <v>0</v>
      </c>
      <c r="EY19" s="111">
        <v>215</v>
      </c>
      <c r="EZ19" s="111">
        <v>215</v>
      </c>
      <c r="FA19" s="111">
        <v>0</v>
      </c>
      <c r="FB19" s="111">
        <v>202</v>
      </c>
    </row>
    <row r="20" spans="1:158" ht="19.5" customHeight="1">
      <c r="A20" s="107">
        <v>17</v>
      </c>
      <c r="B20" s="107" t="s">
        <v>361</v>
      </c>
      <c r="C20" s="107" t="s">
        <v>371</v>
      </c>
      <c r="D20" s="110">
        <v>277445</v>
      </c>
      <c r="E20" s="110">
        <v>259675</v>
      </c>
      <c r="F20" s="110">
        <v>17770</v>
      </c>
      <c r="G20" s="110">
        <v>713</v>
      </c>
      <c r="H20" s="110">
        <v>4</v>
      </c>
      <c r="I20" s="110">
        <v>747</v>
      </c>
      <c r="J20" s="110">
        <v>1892</v>
      </c>
      <c r="K20" s="110">
        <v>0</v>
      </c>
      <c r="L20" s="110">
        <v>0</v>
      </c>
      <c r="M20" s="110">
        <v>6600</v>
      </c>
      <c r="N20" s="110">
        <v>0</v>
      </c>
      <c r="O20" s="110">
        <v>334909.09000000003</v>
      </c>
      <c r="P20" s="110">
        <v>251640.91</v>
      </c>
      <c r="Q20" s="110">
        <v>234424.87</v>
      </c>
      <c r="R20" s="110">
        <v>17216.04</v>
      </c>
      <c r="S20" s="110">
        <v>83268.179999999993</v>
      </c>
      <c r="T20" s="110">
        <v>58024.95</v>
      </c>
      <c r="U20" s="110">
        <v>25243.23</v>
      </c>
      <c r="V20" s="110">
        <v>312206.58</v>
      </c>
      <c r="W20" s="110">
        <v>240390.7</v>
      </c>
      <c r="X20" s="110">
        <v>223174.66</v>
      </c>
      <c r="Y20" s="110">
        <v>17216.04</v>
      </c>
      <c r="Z20" s="110">
        <v>71815.88</v>
      </c>
      <c r="AA20" s="110">
        <v>46572.65</v>
      </c>
      <c r="AB20" s="110">
        <v>25243.23</v>
      </c>
      <c r="AC20" s="110">
        <v>46337.58</v>
      </c>
      <c r="AD20" s="110">
        <v>35435.699999999997</v>
      </c>
      <c r="AE20" s="110">
        <v>35220.660000000003</v>
      </c>
      <c r="AF20" s="110">
        <v>215.04</v>
      </c>
      <c r="AG20" s="110">
        <v>10901.88</v>
      </c>
      <c r="AH20" s="110">
        <v>8417.65</v>
      </c>
      <c r="AI20" s="110">
        <v>2484.23</v>
      </c>
      <c r="AJ20" s="110">
        <v>6194</v>
      </c>
      <c r="AK20" s="110">
        <v>3888</v>
      </c>
      <c r="AL20" s="110">
        <v>3544</v>
      </c>
      <c r="AM20" s="110">
        <v>344</v>
      </c>
      <c r="AN20" s="110">
        <v>2306</v>
      </c>
      <c r="AO20" s="110">
        <v>1534</v>
      </c>
      <c r="AP20" s="110">
        <v>772</v>
      </c>
      <c r="AQ20" s="110">
        <v>226801</v>
      </c>
      <c r="AR20" s="110">
        <v>174730</v>
      </c>
      <c r="AS20" s="110">
        <v>160283</v>
      </c>
      <c r="AT20" s="110">
        <v>14447</v>
      </c>
      <c r="AU20" s="110">
        <v>52071</v>
      </c>
      <c r="AV20" s="110">
        <v>32320</v>
      </c>
      <c r="AW20" s="110">
        <v>19751</v>
      </c>
      <c r="AX20" s="110">
        <v>32874</v>
      </c>
      <c r="AY20" s="110">
        <v>26337</v>
      </c>
      <c r="AZ20" s="110">
        <v>24127</v>
      </c>
      <c r="BA20" s="110">
        <v>2210</v>
      </c>
      <c r="BB20" s="110">
        <v>6537</v>
      </c>
      <c r="BC20" s="110">
        <v>4301</v>
      </c>
      <c r="BD20" s="110">
        <v>2236</v>
      </c>
      <c r="BE20" s="110">
        <v>22702.51</v>
      </c>
      <c r="BF20" s="110">
        <v>11250.21</v>
      </c>
      <c r="BG20" s="110">
        <v>11250.21</v>
      </c>
      <c r="BH20" s="110">
        <v>0</v>
      </c>
      <c r="BI20" s="110">
        <v>11452.3</v>
      </c>
      <c r="BJ20" s="110">
        <v>11452.3</v>
      </c>
      <c r="BK20" s="110">
        <v>0</v>
      </c>
      <c r="BL20" s="110">
        <v>118.24</v>
      </c>
      <c r="BM20" s="110">
        <v>59.12</v>
      </c>
      <c r="BN20" s="110">
        <v>59.12</v>
      </c>
      <c r="BO20" s="110">
        <v>0</v>
      </c>
      <c r="BP20" s="110">
        <v>59.12</v>
      </c>
      <c r="BQ20" s="110">
        <v>59.12</v>
      </c>
      <c r="BR20" s="110">
        <v>0</v>
      </c>
      <c r="BS20" s="110">
        <v>4814.2700000000004</v>
      </c>
      <c r="BT20" s="110">
        <v>2406.09</v>
      </c>
      <c r="BU20" s="110">
        <v>2406.09</v>
      </c>
      <c r="BV20" s="110">
        <v>0</v>
      </c>
      <c r="BW20" s="110">
        <v>2408.1799999999998</v>
      </c>
      <c r="BX20" s="110">
        <v>2408.1799999999998</v>
      </c>
      <c r="BY20" s="110">
        <v>0</v>
      </c>
      <c r="BZ20" s="110">
        <v>10864</v>
      </c>
      <c r="CA20" s="110">
        <v>5332</v>
      </c>
      <c r="CB20" s="110">
        <v>5332</v>
      </c>
      <c r="CC20" s="110">
        <v>0</v>
      </c>
      <c r="CD20" s="110">
        <v>5532</v>
      </c>
      <c r="CE20" s="110">
        <v>5532</v>
      </c>
      <c r="CF20" s="110">
        <v>0</v>
      </c>
      <c r="CG20" s="110">
        <v>6906</v>
      </c>
      <c r="CH20" s="110">
        <v>3453</v>
      </c>
      <c r="CI20" s="110">
        <v>3453</v>
      </c>
      <c r="CJ20" s="110">
        <v>0</v>
      </c>
      <c r="CK20" s="110">
        <v>3453</v>
      </c>
      <c r="CL20" s="110">
        <v>3453</v>
      </c>
      <c r="CM20" s="110">
        <v>0</v>
      </c>
      <c r="CN20" s="110">
        <v>0</v>
      </c>
      <c r="CO20" s="110">
        <v>0</v>
      </c>
      <c r="CP20" s="110">
        <v>312206.58</v>
      </c>
      <c r="CQ20" s="110">
        <v>0</v>
      </c>
      <c r="CR20" s="110">
        <v>0</v>
      </c>
      <c r="CS20" s="110">
        <v>0</v>
      </c>
      <c r="CT20" s="110">
        <v>0</v>
      </c>
      <c r="CU20" s="110">
        <v>0</v>
      </c>
      <c r="CV20" s="111">
        <v>713</v>
      </c>
      <c r="CW20" s="111">
        <v>586</v>
      </c>
      <c r="CX20" s="111">
        <v>534</v>
      </c>
      <c r="CY20" s="111">
        <v>52</v>
      </c>
      <c r="CZ20" s="111">
        <v>127</v>
      </c>
      <c r="DA20" s="111">
        <v>79</v>
      </c>
      <c r="DB20" s="111">
        <v>48</v>
      </c>
      <c r="DC20" s="111">
        <v>0</v>
      </c>
      <c r="DD20" s="111">
        <v>0</v>
      </c>
      <c r="DE20" s="111">
        <v>0</v>
      </c>
      <c r="DF20" s="111">
        <v>0</v>
      </c>
      <c r="DG20" s="111">
        <v>0</v>
      </c>
      <c r="DH20" s="111">
        <v>0</v>
      </c>
      <c r="DI20" s="111">
        <v>0</v>
      </c>
      <c r="DJ20" s="111">
        <v>0</v>
      </c>
      <c r="DK20" s="111">
        <v>713</v>
      </c>
      <c r="DL20" s="111">
        <v>586</v>
      </c>
      <c r="DM20" s="111">
        <v>534</v>
      </c>
      <c r="DN20" s="111">
        <v>52</v>
      </c>
      <c r="DO20" s="111">
        <v>127</v>
      </c>
      <c r="DP20" s="111">
        <v>79</v>
      </c>
      <c r="DQ20" s="111">
        <v>48</v>
      </c>
      <c r="DR20" s="111">
        <v>0</v>
      </c>
      <c r="DS20" s="111">
        <v>0</v>
      </c>
      <c r="DT20" s="111">
        <v>0</v>
      </c>
      <c r="DU20" s="111">
        <v>0</v>
      </c>
      <c r="DV20" s="111">
        <v>0</v>
      </c>
      <c r="DW20" s="111">
        <v>0</v>
      </c>
      <c r="DX20" s="111">
        <v>0</v>
      </c>
      <c r="DY20" s="111">
        <v>0</v>
      </c>
      <c r="DZ20" s="111">
        <v>0</v>
      </c>
      <c r="EA20" s="111">
        <v>0</v>
      </c>
      <c r="EB20" s="111">
        <v>0</v>
      </c>
      <c r="EC20" s="111">
        <v>0</v>
      </c>
      <c r="ED20" s="111">
        <v>0</v>
      </c>
      <c r="EE20" s="111">
        <v>0</v>
      </c>
      <c r="EF20" s="111">
        <v>0</v>
      </c>
      <c r="EG20" s="111">
        <v>4</v>
      </c>
      <c r="EH20" s="111">
        <v>2</v>
      </c>
      <c r="EI20" s="111">
        <v>2</v>
      </c>
      <c r="EJ20" s="111">
        <v>0</v>
      </c>
      <c r="EK20" s="111">
        <v>2</v>
      </c>
      <c r="EL20" s="111">
        <v>2</v>
      </c>
      <c r="EM20" s="111">
        <v>0</v>
      </c>
      <c r="EN20" s="111">
        <v>4</v>
      </c>
      <c r="EO20" s="111">
        <v>4</v>
      </c>
      <c r="EP20" s="111">
        <v>0</v>
      </c>
      <c r="EQ20" s="111">
        <v>0</v>
      </c>
      <c r="ER20" s="111">
        <v>0</v>
      </c>
      <c r="ES20" s="111">
        <v>0</v>
      </c>
      <c r="ET20" s="111">
        <v>0</v>
      </c>
      <c r="EU20" s="111">
        <v>4</v>
      </c>
      <c r="EV20" s="111">
        <v>4</v>
      </c>
      <c r="EW20" s="111">
        <v>0</v>
      </c>
      <c r="EX20" s="111">
        <v>0</v>
      </c>
      <c r="EY20" s="111">
        <v>0</v>
      </c>
      <c r="EZ20" s="111">
        <v>0</v>
      </c>
      <c r="FA20" s="111">
        <v>0</v>
      </c>
      <c r="FB20" s="111">
        <v>0</v>
      </c>
    </row>
    <row r="21" spans="1:158" ht="19.5" customHeight="1">
      <c r="A21" s="107">
        <v>18</v>
      </c>
      <c r="B21" s="107" t="s">
        <v>361</v>
      </c>
      <c r="C21" s="107" t="s">
        <v>372</v>
      </c>
      <c r="D21" s="110">
        <v>467435.25</v>
      </c>
      <c r="E21" s="110">
        <v>67356</v>
      </c>
      <c r="F21" s="110">
        <v>400079.25</v>
      </c>
      <c r="G21" s="110">
        <v>393</v>
      </c>
      <c r="H21" s="110">
        <v>66</v>
      </c>
      <c r="I21" s="110">
        <v>120</v>
      </c>
      <c r="J21" s="110">
        <v>0</v>
      </c>
      <c r="K21" s="110">
        <v>0</v>
      </c>
      <c r="L21" s="110">
        <v>73749.75</v>
      </c>
      <c r="M21" s="110">
        <v>52734.5</v>
      </c>
      <c r="N21" s="110">
        <v>0</v>
      </c>
      <c r="O21" s="110">
        <v>3081694.48</v>
      </c>
      <c r="P21" s="110">
        <v>2315984.75</v>
      </c>
      <c r="Q21" s="110">
        <v>2292450.7599999998</v>
      </c>
      <c r="R21" s="110">
        <v>23533.99</v>
      </c>
      <c r="S21" s="110">
        <v>765709.73</v>
      </c>
      <c r="T21" s="110">
        <v>755013.58</v>
      </c>
      <c r="U21" s="110">
        <v>10696.15</v>
      </c>
      <c r="V21" s="110">
        <v>130339.65</v>
      </c>
      <c r="W21" s="110">
        <v>108252.19</v>
      </c>
      <c r="X21" s="110">
        <v>101030.33</v>
      </c>
      <c r="Y21" s="110">
        <v>7221.86</v>
      </c>
      <c r="Z21" s="110">
        <v>22087.46</v>
      </c>
      <c r="AA21" s="110">
        <v>11391.31</v>
      </c>
      <c r="AB21" s="110">
        <v>10696.15</v>
      </c>
      <c r="AC21" s="110">
        <v>62639.65</v>
      </c>
      <c r="AD21" s="110">
        <v>54197.19</v>
      </c>
      <c r="AE21" s="110">
        <v>51057.33</v>
      </c>
      <c r="AF21" s="110">
        <v>3139.86</v>
      </c>
      <c r="AG21" s="110">
        <v>8442.4599999999991</v>
      </c>
      <c r="AH21" s="110">
        <v>3293.31</v>
      </c>
      <c r="AI21" s="110">
        <v>5149.1499999999996</v>
      </c>
      <c r="AJ21" s="110">
        <v>344</v>
      </c>
      <c r="AK21" s="110">
        <v>344</v>
      </c>
      <c r="AL21" s="110">
        <v>344</v>
      </c>
      <c r="AM21" s="110">
        <v>0</v>
      </c>
      <c r="AN21" s="110">
        <v>0</v>
      </c>
      <c r="AO21" s="110">
        <v>0</v>
      </c>
      <c r="AP21" s="110">
        <v>0</v>
      </c>
      <c r="AQ21" s="110">
        <v>51091</v>
      </c>
      <c r="AR21" s="110">
        <v>40847</v>
      </c>
      <c r="AS21" s="110">
        <v>37763</v>
      </c>
      <c r="AT21" s="110">
        <v>3084</v>
      </c>
      <c r="AU21" s="110">
        <v>10244</v>
      </c>
      <c r="AV21" s="110">
        <v>5622</v>
      </c>
      <c r="AW21" s="110">
        <v>4622</v>
      </c>
      <c r="AX21" s="110">
        <v>16265</v>
      </c>
      <c r="AY21" s="110">
        <v>12864</v>
      </c>
      <c r="AZ21" s="110">
        <v>11866</v>
      </c>
      <c r="BA21" s="110">
        <v>998</v>
      </c>
      <c r="BB21" s="110">
        <v>3401</v>
      </c>
      <c r="BC21" s="110">
        <v>2476</v>
      </c>
      <c r="BD21" s="110">
        <v>925</v>
      </c>
      <c r="BE21" s="110">
        <v>2951354.83</v>
      </c>
      <c r="BF21" s="110">
        <v>2207732.56</v>
      </c>
      <c r="BG21" s="110">
        <v>2191420.4300000002</v>
      </c>
      <c r="BH21" s="110">
        <v>16312.13</v>
      </c>
      <c r="BI21" s="110">
        <v>743622.27</v>
      </c>
      <c r="BJ21" s="110">
        <v>743622.27</v>
      </c>
      <c r="BK21" s="110">
        <v>0</v>
      </c>
      <c r="BL21" s="110">
        <v>111853.58</v>
      </c>
      <c r="BM21" s="110">
        <v>78499.08</v>
      </c>
      <c r="BN21" s="110">
        <v>77560.039999999994</v>
      </c>
      <c r="BO21" s="110">
        <v>939.04</v>
      </c>
      <c r="BP21" s="110">
        <v>33354.5</v>
      </c>
      <c r="BQ21" s="110">
        <v>33354.5</v>
      </c>
      <c r="BR21" s="110">
        <v>0</v>
      </c>
      <c r="BS21" s="110">
        <v>2439422</v>
      </c>
      <c r="BT21" s="110">
        <v>1850839.48</v>
      </c>
      <c r="BU21" s="110">
        <v>1839792.89</v>
      </c>
      <c r="BV21" s="110">
        <v>11046.59</v>
      </c>
      <c r="BW21" s="110">
        <v>588582.52</v>
      </c>
      <c r="BX21" s="110">
        <v>588582.52</v>
      </c>
      <c r="BY21" s="110">
        <v>0</v>
      </c>
      <c r="BZ21" s="110">
        <v>219061</v>
      </c>
      <c r="CA21" s="110">
        <v>155189</v>
      </c>
      <c r="CB21" s="110">
        <v>151959</v>
      </c>
      <c r="CC21" s="110">
        <v>3230</v>
      </c>
      <c r="CD21" s="110">
        <v>63872</v>
      </c>
      <c r="CE21" s="110">
        <v>63872</v>
      </c>
      <c r="CF21" s="110">
        <v>0</v>
      </c>
      <c r="CG21" s="110">
        <v>181018.25</v>
      </c>
      <c r="CH21" s="110">
        <v>123205</v>
      </c>
      <c r="CI21" s="110">
        <v>122108.5</v>
      </c>
      <c r="CJ21" s="110">
        <v>1096.5</v>
      </c>
      <c r="CK21" s="110">
        <v>57813.25</v>
      </c>
      <c r="CL21" s="110">
        <v>57813.25</v>
      </c>
      <c r="CM21" s="110">
        <v>0</v>
      </c>
      <c r="CN21" s="110">
        <v>0</v>
      </c>
      <c r="CO21" s="110">
        <v>0</v>
      </c>
      <c r="CP21" s="110">
        <v>78600.759999999995</v>
      </c>
      <c r="CQ21" s="110">
        <v>51738.89</v>
      </c>
      <c r="CR21" s="110">
        <v>0</v>
      </c>
      <c r="CS21" s="110">
        <v>0</v>
      </c>
      <c r="CT21" s="110">
        <v>0</v>
      </c>
      <c r="CU21" s="110">
        <v>0</v>
      </c>
      <c r="CV21" s="111">
        <v>393</v>
      </c>
      <c r="CW21" s="111">
        <v>312</v>
      </c>
      <c r="CX21" s="111">
        <v>288</v>
      </c>
      <c r="CY21" s="111">
        <v>24</v>
      </c>
      <c r="CZ21" s="111">
        <v>81</v>
      </c>
      <c r="DA21" s="111">
        <v>56</v>
      </c>
      <c r="DB21" s="111">
        <v>25</v>
      </c>
      <c r="DC21" s="111">
        <v>130</v>
      </c>
      <c r="DD21" s="111">
        <v>0</v>
      </c>
      <c r="DE21" s="111">
        <v>103</v>
      </c>
      <c r="DF21" s="111">
        <v>95</v>
      </c>
      <c r="DG21" s="111">
        <v>8</v>
      </c>
      <c r="DH21" s="111">
        <v>27</v>
      </c>
      <c r="DI21" s="111">
        <v>14</v>
      </c>
      <c r="DJ21" s="111">
        <v>13</v>
      </c>
      <c r="DK21" s="111">
        <v>263</v>
      </c>
      <c r="DL21" s="111">
        <v>209</v>
      </c>
      <c r="DM21" s="111">
        <v>193</v>
      </c>
      <c r="DN21" s="111">
        <v>16</v>
      </c>
      <c r="DO21" s="111">
        <v>54</v>
      </c>
      <c r="DP21" s="111">
        <v>42</v>
      </c>
      <c r="DQ21" s="111">
        <v>12</v>
      </c>
      <c r="DR21" s="111">
        <v>0</v>
      </c>
      <c r="DS21" s="111">
        <v>0</v>
      </c>
      <c r="DT21" s="111">
        <v>0</v>
      </c>
      <c r="DU21" s="111">
        <v>0</v>
      </c>
      <c r="DV21" s="111">
        <v>0</v>
      </c>
      <c r="DW21" s="111">
        <v>0</v>
      </c>
      <c r="DX21" s="111">
        <v>0</v>
      </c>
      <c r="DY21" s="111">
        <v>0</v>
      </c>
      <c r="DZ21" s="111">
        <v>0</v>
      </c>
      <c r="EA21" s="111">
        <v>0</v>
      </c>
      <c r="EB21" s="111">
        <v>0</v>
      </c>
      <c r="EC21" s="111">
        <v>0</v>
      </c>
      <c r="ED21" s="111">
        <v>0</v>
      </c>
      <c r="EE21" s="111">
        <v>0</v>
      </c>
      <c r="EF21" s="111">
        <v>0</v>
      </c>
      <c r="EG21" s="111">
        <v>66</v>
      </c>
      <c r="EH21" s="111">
        <v>45</v>
      </c>
      <c r="EI21" s="111">
        <v>44</v>
      </c>
      <c r="EJ21" s="111">
        <v>1</v>
      </c>
      <c r="EK21" s="111">
        <v>21</v>
      </c>
      <c r="EL21" s="111">
        <v>21</v>
      </c>
      <c r="EM21" s="111">
        <v>0</v>
      </c>
      <c r="EN21" s="111">
        <v>63</v>
      </c>
      <c r="EO21" s="111">
        <v>13</v>
      </c>
      <c r="EP21" s="111">
        <v>38</v>
      </c>
      <c r="EQ21" s="111">
        <v>12</v>
      </c>
      <c r="ER21" s="111">
        <v>0</v>
      </c>
      <c r="ES21" s="111">
        <v>0</v>
      </c>
      <c r="ET21" s="111">
        <v>0</v>
      </c>
      <c r="EU21" s="111">
        <v>19</v>
      </c>
      <c r="EV21" s="111">
        <v>0</v>
      </c>
      <c r="EW21" s="111">
        <v>19</v>
      </c>
      <c r="EX21" s="111">
        <v>0</v>
      </c>
      <c r="EY21" s="111">
        <v>10</v>
      </c>
      <c r="EZ21" s="111">
        <v>0</v>
      </c>
      <c r="FA21" s="111">
        <v>10</v>
      </c>
      <c r="FB21" s="111">
        <v>12</v>
      </c>
    </row>
    <row r="22" spans="1:158" ht="19.5" customHeight="1">
      <c r="A22" s="107">
        <v>19</v>
      </c>
      <c r="B22" s="107" t="s">
        <v>361</v>
      </c>
      <c r="C22" s="107" t="s">
        <v>373</v>
      </c>
      <c r="D22" s="110">
        <v>1924493</v>
      </c>
      <c r="E22" s="110">
        <v>773275.5</v>
      </c>
      <c r="F22" s="110">
        <v>1151217.5</v>
      </c>
      <c r="G22" s="110">
        <v>2671</v>
      </c>
      <c r="H22" s="110">
        <v>183</v>
      </c>
      <c r="I22" s="110">
        <v>13363</v>
      </c>
      <c r="J22" s="110">
        <v>4622</v>
      </c>
      <c r="K22" s="110">
        <v>15226.29</v>
      </c>
      <c r="L22" s="110">
        <v>111361.75</v>
      </c>
      <c r="M22" s="110">
        <v>276899.25</v>
      </c>
      <c r="N22" s="110">
        <v>781.05</v>
      </c>
      <c r="O22" s="110">
        <v>2796104.73</v>
      </c>
      <c r="P22" s="110">
        <v>2114255.31</v>
      </c>
      <c r="Q22" s="110">
        <v>1988211.79</v>
      </c>
      <c r="R22" s="110">
        <v>126043.52</v>
      </c>
      <c r="S22" s="110">
        <v>681849.42</v>
      </c>
      <c r="T22" s="110">
        <v>563650.92000000004</v>
      </c>
      <c r="U22" s="110">
        <v>118198.5</v>
      </c>
      <c r="V22" s="110">
        <v>973538.34</v>
      </c>
      <c r="W22" s="110">
        <v>807394.55</v>
      </c>
      <c r="X22" s="110">
        <v>739696.65</v>
      </c>
      <c r="Y22" s="110">
        <v>67697.899999999994</v>
      </c>
      <c r="Z22" s="110">
        <v>166143.79</v>
      </c>
      <c r="AA22" s="110">
        <v>101084.2</v>
      </c>
      <c r="AB22" s="110">
        <v>65059.59</v>
      </c>
      <c r="AC22" s="110">
        <v>198953.58</v>
      </c>
      <c r="AD22" s="110">
        <v>173484.79</v>
      </c>
      <c r="AE22" s="110">
        <v>162095.89000000001</v>
      </c>
      <c r="AF22" s="110">
        <v>11388.9</v>
      </c>
      <c r="AG22" s="110">
        <v>25468.79</v>
      </c>
      <c r="AH22" s="110">
        <v>15094.2</v>
      </c>
      <c r="AI22" s="110">
        <v>10374.59</v>
      </c>
      <c r="AJ22" s="110">
        <v>1309.26</v>
      </c>
      <c r="AK22" s="110">
        <v>1180.26</v>
      </c>
      <c r="AL22" s="110">
        <v>1137.26</v>
      </c>
      <c r="AM22" s="110">
        <v>43</v>
      </c>
      <c r="AN22" s="110">
        <v>129</v>
      </c>
      <c r="AO22" s="110">
        <v>129</v>
      </c>
      <c r="AP22" s="110">
        <v>0</v>
      </c>
      <c r="AQ22" s="110">
        <v>671855.5</v>
      </c>
      <c r="AR22" s="110">
        <v>550741.5</v>
      </c>
      <c r="AS22" s="110">
        <v>502631.5</v>
      </c>
      <c r="AT22" s="110">
        <v>48110</v>
      </c>
      <c r="AU22" s="110">
        <v>121114</v>
      </c>
      <c r="AV22" s="110">
        <v>74177</v>
      </c>
      <c r="AW22" s="110">
        <v>46937</v>
      </c>
      <c r="AX22" s="110">
        <v>101420</v>
      </c>
      <c r="AY22" s="110">
        <v>81988</v>
      </c>
      <c r="AZ22" s="110">
        <v>73832</v>
      </c>
      <c r="BA22" s="110">
        <v>8156</v>
      </c>
      <c r="BB22" s="110">
        <v>19432</v>
      </c>
      <c r="BC22" s="110">
        <v>11684</v>
      </c>
      <c r="BD22" s="110">
        <v>7748</v>
      </c>
      <c r="BE22" s="110">
        <v>1822566.39</v>
      </c>
      <c r="BF22" s="110">
        <v>1306860.76</v>
      </c>
      <c r="BG22" s="110">
        <v>1248515.1399999999</v>
      </c>
      <c r="BH22" s="110">
        <v>58345.62</v>
      </c>
      <c r="BI22" s="110">
        <v>515705.63</v>
      </c>
      <c r="BJ22" s="110">
        <v>462566.72</v>
      </c>
      <c r="BK22" s="110">
        <v>53138.91</v>
      </c>
      <c r="BL22" s="110">
        <v>201621.66</v>
      </c>
      <c r="BM22" s="110">
        <v>134545.43</v>
      </c>
      <c r="BN22" s="110">
        <v>128973.43</v>
      </c>
      <c r="BO22" s="110">
        <v>5572</v>
      </c>
      <c r="BP22" s="110">
        <v>67076.23</v>
      </c>
      <c r="BQ22" s="110">
        <v>61539.41</v>
      </c>
      <c r="BR22" s="110">
        <v>5536.82</v>
      </c>
      <c r="BS22" s="110">
        <v>469727.23</v>
      </c>
      <c r="BT22" s="110">
        <v>359463.33</v>
      </c>
      <c r="BU22" s="110">
        <v>345334.71</v>
      </c>
      <c r="BV22" s="110">
        <v>14128.62</v>
      </c>
      <c r="BW22" s="110">
        <v>110263.9</v>
      </c>
      <c r="BX22" s="110">
        <v>96019.81</v>
      </c>
      <c r="BY22" s="110">
        <v>14244.09</v>
      </c>
      <c r="BZ22" s="110">
        <v>557637</v>
      </c>
      <c r="CA22" s="110">
        <v>382746</v>
      </c>
      <c r="CB22" s="110">
        <v>365018</v>
      </c>
      <c r="CC22" s="110">
        <v>17728</v>
      </c>
      <c r="CD22" s="110">
        <v>174891</v>
      </c>
      <c r="CE22" s="110">
        <v>158855</v>
      </c>
      <c r="CF22" s="110">
        <v>16036</v>
      </c>
      <c r="CG22" s="110">
        <v>593580.5</v>
      </c>
      <c r="CH22" s="110">
        <v>430106</v>
      </c>
      <c r="CI22" s="110">
        <v>409189</v>
      </c>
      <c r="CJ22" s="110">
        <v>20917</v>
      </c>
      <c r="CK22" s="110">
        <v>163474.5</v>
      </c>
      <c r="CL22" s="110">
        <v>146152.5</v>
      </c>
      <c r="CM22" s="110">
        <v>17322</v>
      </c>
      <c r="CN22" s="110">
        <v>50870.57</v>
      </c>
      <c r="CO22" s="110">
        <v>510489.31</v>
      </c>
      <c r="CP22" s="110">
        <v>304528.84000000003</v>
      </c>
      <c r="CQ22" s="110">
        <v>107624.62</v>
      </c>
      <c r="CR22" s="110">
        <v>0</v>
      </c>
      <c r="CS22" s="110">
        <v>0</v>
      </c>
      <c r="CT22" s="110">
        <v>0</v>
      </c>
      <c r="CU22" s="110">
        <v>0</v>
      </c>
      <c r="CV22" s="111">
        <v>2671</v>
      </c>
      <c r="CW22" s="111">
        <v>2193</v>
      </c>
      <c r="CX22" s="111">
        <v>2000</v>
      </c>
      <c r="CY22" s="111">
        <v>193</v>
      </c>
      <c r="CZ22" s="111">
        <v>478</v>
      </c>
      <c r="DA22" s="111">
        <v>273</v>
      </c>
      <c r="DB22" s="111">
        <v>205</v>
      </c>
      <c r="DC22" s="111">
        <v>1803</v>
      </c>
      <c r="DD22" s="111">
        <v>0</v>
      </c>
      <c r="DE22" s="111">
        <v>1504</v>
      </c>
      <c r="DF22" s="111">
        <v>1375</v>
      </c>
      <c r="DG22" s="111">
        <v>129</v>
      </c>
      <c r="DH22" s="111">
        <v>299</v>
      </c>
      <c r="DI22" s="111">
        <v>151</v>
      </c>
      <c r="DJ22" s="111">
        <v>148</v>
      </c>
      <c r="DK22" s="111">
        <v>760</v>
      </c>
      <c r="DL22" s="111">
        <v>601</v>
      </c>
      <c r="DM22" s="111">
        <v>549</v>
      </c>
      <c r="DN22" s="111">
        <v>52</v>
      </c>
      <c r="DO22" s="111">
        <v>159</v>
      </c>
      <c r="DP22" s="111">
        <v>114</v>
      </c>
      <c r="DQ22" s="111">
        <v>45</v>
      </c>
      <c r="DR22" s="111">
        <v>0</v>
      </c>
      <c r="DS22" s="111">
        <v>0</v>
      </c>
      <c r="DT22" s="111">
        <v>0</v>
      </c>
      <c r="DU22" s="111">
        <v>0</v>
      </c>
      <c r="DV22" s="111">
        <v>0</v>
      </c>
      <c r="DW22" s="111">
        <v>0</v>
      </c>
      <c r="DX22" s="111">
        <v>0</v>
      </c>
      <c r="DY22" s="111">
        <v>0</v>
      </c>
      <c r="DZ22" s="111">
        <v>108</v>
      </c>
      <c r="EA22" s="111">
        <v>88</v>
      </c>
      <c r="EB22" s="111">
        <v>76</v>
      </c>
      <c r="EC22" s="111">
        <v>12</v>
      </c>
      <c r="ED22" s="111">
        <v>20</v>
      </c>
      <c r="EE22" s="111">
        <v>8</v>
      </c>
      <c r="EF22" s="111">
        <v>12</v>
      </c>
      <c r="EG22" s="111">
        <v>183</v>
      </c>
      <c r="EH22" s="111">
        <v>130</v>
      </c>
      <c r="EI22" s="111">
        <v>126</v>
      </c>
      <c r="EJ22" s="111">
        <v>4</v>
      </c>
      <c r="EK22" s="111">
        <v>53</v>
      </c>
      <c r="EL22" s="111">
        <v>48</v>
      </c>
      <c r="EM22" s="111">
        <v>5</v>
      </c>
      <c r="EN22" s="111">
        <v>169</v>
      </c>
      <c r="EO22" s="111">
        <v>121</v>
      </c>
      <c r="EP22" s="111">
        <v>0</v>
      </c>
      <c r="EQ22" s="111">
        <v>48</v>
      </c>
      <c r="ER22" s="111">
        <v>29</v>
      </c>
      <c r="ES22" s="111">
        <v>0</v>
      </c>
      <c r="ET22" s="111">
        <v>0</v>
      </c>
      <c r="EU22" s="111">
        <v>100</v>
      </c>
      <c r="EV22" s="111">
        <v>100</v>
      </c>
      <c r="EW22" s="111">
        <v>0</v>
      </c>
      <c r="EX22" s="111">
        <v>0</v>
      </c>
      <c r="EY22" s="111">
        <v>10</v>
      </c>
      <c r="EZ22" s="111">
        <v>10</v>
      </c>
      <c r="FA22" s="111">
        <v>0</v>
      </c>
      <c r="FB22" s="111">
        <v>27</v>
      </c>
    </row>
    <row r="23" spans="1:158" ht="19.5" customHeight="1">
      <c r="A23" s="107">
        <v>20</v>
      </c>
      <c r="B23" s="107" t="s">
        <v>374</v>
      </c>
      <c r="C23" s="107" t="s">
        <v>375</v>
      </c>
      <c r="D23" s="110">
        <v>95985</v>
      </c>
      <c r="E23" s="110">
        <v>95932</v>
      </c>
      <c r="F23" s="110">
        <v>53</v>
      </c>
      <c r="G23" s="110">
        <v>579</v>
      </c>
      <c r="H23" s="110">
        <v>0</v>
      </c>
      <c r="I23" s="110">
        <v>1148</v>
      </c>
      <c r="J23" s="110">
        <v>0</v>
      </c>
      <c r="K23" s="110">
        <v>0</v>
      </c>
      <c r="L23" s="110">
        <v>8</v>
      </c>
      <c r="M23" s="110">
        <v>0</v>
      </c>
      <c r="N23" s="110">
        <v>0</v>
      </c>
      <c r="O23" s="110">
        <v>198657.78</v>
      </c>
      <c r="P23" s="110">
        <v>184499.81</v>
      </c>
      <c r="Q23" s="110">
        <v>165969.38</v>
      </c>
      <c r="R23" s="110">
        <v>18530.43</v>
      </c>
      <c r="S23" s="110">
        <v>14157.97</v>
      </c>
      <c r="T23" s="110">
        <v>6386.6</v>
      </c>
      <c r="U23" s="110">
        <v>7771.37</v>
      </c>
      <c r="V23" s="110">
        <v>198604.78</v>
      </c>
      <c r="W23" s="110">
        <v>184499.81</v>
      </c>
      <c r="X23" s="110">
        <v>165969.38</v>
      </c>
      <c r="Y23" s="110">
        <v>18530.43</v>
      </c>
      <c r="Z23" s="110">
        <v>14104.97</v>
      </c>
      <c r="AA23" s="110">
        <v>6333.6</v>
      </c>
      <c r="AB23" s="110">
        <v>7771.37</v>
      </c>
      <c r="AC23" s="110">
        <v>100596.23</v>
      </c>
      <c r="AD23" s="110">
        <v>94948.35</v>
      </c>
      <c r="AE23" s="110">
        <v>85887.93</v>
      </c>
      <c r="AF23" s="110">
        <v>9060.42</v>
      </c>
      <c r="AG23" s="110">
        <v>5647.88</v>
      </c>
      <c r="AH23" s="110">
        <v>3122.25</v>
      </c>
      <c r="AI23" s="110">
        <v>2525.63</v>
      </c>
      <c r="AJ23" s="110">
        <v>2076.5500000000002</v>
      </c>
      <c r="AK23" s="110">
        <v>1723.46</v>
      </c>
      <c r="AL23" s="110">
        <v>1383.45</v>
      </c>
      <c r="AM23" s="110">
        <v>340.01</v>
      </c>
      <c r="AN23" s="110">
        <v>353.09</v>
      </c>
      <c r="AO23" s="110">
        <v>171.35</v>
      </c>
      <c r="AP23" s="110">
        <v>181.74</v>
      </c>
      <c r="AQ23" s="110">
        <v>78359</v>
      </c>
      <c r="AR23" s="110">
        <v>71755</v>
      </c>
      <c r="AS23" s="110">
        <v>65103</v>
      </c>
      <c r="AT23" s="110">
        <v>6652</v>
      </c>
      <c r="AU23" s="110">
        <v>6604</v>
      </c>
      <c r="AV23" s="110">
        <v>2170</v>
      </c>
      <c r="AW23" s="110">
        <v>4434</v>
      </c>
      <c r="AX23" s="110">
        <v>17573</v>
      </c>
      <c r="AY23" s="110">
        <v>16073</v>
      </c>
      <c r="AZ23" s="110">
        <v>13595</v>
      </c>
      <c r="BA23" s="110">
        <v>2478</v>
      </c>
      <c r="BB23" s="110">
        <v>1500</v>
      </c>
      <c r="BC23" s="110">
        <v>870</v>
      </c>
      <c r="BD23" s="110">
        <v>630</v>
      </c>
      <c r="BE23" s="110">
        <v>53</v>
      </c>
      <c r="BF23" s="110">
        <v>0</v>
      </c>
      <c r="BG23" s="110">
        <v>0</v>
      </c>
      <c r="BH23" s="110">
        <v>0</v>
      </c>
      <c r="BI23" s="110">
        <v>53</v>
      </c>
      <c r="BJ23" s="110">
        <v>53</v>
      </c>
      <c r="BK23" s="110">
        <v>0</v>
      </c>
      <c r="BL23" s="110">
        <v>0</v>
      </c>
      <c r="BM23" s="110">
        <v>0</v>
      </c>
      <c r="BN23" s="110">
        <v>0</v>
      </c>
      <c r="BO23" s="110">
        <v>0</v>
      </c>
      <c r="BP23" s="110">
        <v>0</v>
      </c>
      <c r="BQ23" s="110">
        <v>0</v>
      </c>
      <c r="BR23" s="110">
        <v>0</v>
      </c>
      <c r="BS23" s="110">
        <v>0</v>
      </c>
      <c r="BT23" s="110">
        <v>0</v>
      </c>
      <c r="BU23" s="110">
        <v>0</v>
      </c>
      <c r="BV23" s="110">
        <v>0</v>
      </c>
      <c r="BW23" s="110">
        <v>0</v>
      </c>
      <c r="BX23" s="110">
        <v>0</v>
      </c>
      <c r="BY23" s="110">
        <v>0</v>
      </c>
      <c r="BZ23" s="110">
        <v>0</v>
      </c>
      <c r="CA23" s="110">
        <v>0</v>
      </c>
      <c r="CB23" s="110">
        <v>0</v>
      </c>
      <c r="CC23" s="110">
        <v>0</v>
      </c>
      <c r="CD23" s="110">
        <v>0</v>
      </c>
      <c r="CE23" s="110">
        <v>0</v>
      </c>
      <c r="CF23" s="110">
        <v>0</v>
      </c>
      <c r="CG23" s="110">
        <v>53</v>
      </c>
      <c r="CH23" s="110">
        <v>0</v>
      </c>
      <c r="CI23" s="110">
        <v>0</v>
      </c>
      <c r="CJ23" s="110">
        <v>0</v>
      </c>
      <c r="CK23" s="110">
        <v>53</v>
      </c>
      <c r="CL23" s="110">
        <v>53</v>
      </c>
      <c r="CM23" s="110">
        <v>0</v>
      </c>
      <c r="CN23" s="110">
        <v>85293.36</v>
      </c>
      <c r="CO23" s="110">
        <v>90278.35</v>
      </c>
      <c r="CP23" s="110">
        <v>22983.07</v>
      </c>
      <c r="CQ23" s="110">
        <v>0</v>
      </c>
      <c r="CR23" s="110">
        <v>0</v>
      </c>
      <c r="CS23" s="110">
        <v>0</v>
      </c>
      <c r="CT23" s="110">
        <v>0</v>
      </c>
      <c r="CU23" s="110">
        <v>0</v>
      </c>
      <c r="CV23" s="111">
        <v>579</v>
      </c>
      <c r="CW23" s="111">
        <v>534</v>
      </c>
      <c r="CX23" s="111">
        <v>458</v>
      </c>
      <c r="CY23" s="111">
        <v>76</v>
      </c>
      <c r="CZ23" s="111">
        <v>45</v>
      </c>
      <c r="DA23" s="111">
        <v>27</v>
      </c>
      <c r="DB23" s="111">
        <v>18</v>
      </c>
      <c r="DC23" s="111">
        <v>292</v>
      </c>
      <c r="DD23" s="111">
        <v>0</v>
      </c>
      <c r="DE23" s="111">
        <v>270</v>
      </c>
      <c r="DF23" s="111">
        <v>235</v>
      </c>
      <c r="DG23" s="111">
        <v>35</v>
      </c>
      <c r="DH23" s="111">
        <v>22</v>
      </c>
      <c r="DI23" s="111">
        <v>14</v>
      </c>
      <c r="DJ23" s="111">
        <v>8</v>
      </c>
      <c r="DK23" s="111">
        <v>47</v>
      </c>
      <c r="DL23" s="111">
        <v>38</v>
      </c>
      <c r="DM23" s="111">
        <v>33</v>
      </c>
      <c r="DN23" s="111">
        <v>5</v>
      </c>
      <c r="DO23" s="111">
        <v>9</v>
      </c>
      <c r="DP23" s="111">
        <v>4</v>
      </c>
      <c r="DQ23" s="111">
        <v>5</v>
      </c>
      <c r="DR23" s="111">
        <v>1</v>
      </c>
      <c r="DS23" s="111">
        <v>0</v>
      </c>
      <c r="DT23" s="111">
        <v>1</v>
      </c>
      <c r="DU23" s="111">
        <v>0</v>
      </c>
      <c r="DV23" s="111">
        <v>1</v>
      </c>
      <c r="DW23" s="111">
        <v>0</v>
      </c>
      <c r="DX23" s="111">
        <v>0</v>
      </c>
      <c r="DY23" s="111">
        <v>0</v>
      </c>
      <c r="DZ23" s="111">
        <v>239</v>
      </c>
      <c r="EA23" s="111">
        <v>225</v>
      </c>
      <c r="EB23" s="111">
        <v>190</v>
      </c>
      <c r="EC23" s="111">
        <v>35</v>
      </c>
      <c r="ED23" s="111">
        <v>14</v>
      </c>
      <c r="EE23" s="111">
        <v>9</v>
      </c>
      <c r="EF23" s="111">
        <v>5</v>
      </c>
      <c r="EG23" s="111">
        <v>0</v>
      </c>
      <c r="EH23" s="111">
        <v>0</v>
      </c>
      <c r="EI23" s="111">
        <v>0</v>
      </c>
      <c r="EJ23" s="111">
        <v>0</v>
      </c>
      <c r="EK23" s="111">
        <v>0</v>
      </c>
      <c r="EL23" s="111">
        <v>0</v>
      </c>
      <c r="EM23" s="111">
        <v>0</v>
      </c>
      <c r="EN23" s="111">
        <v>0</v>
      </c>
      <c r="EO23" s="111">
        <v>0</v>
      </c>
      <c r="EP23" s="111">
        <v>0</v>
      </c>
      <c r="EQ23" s="111">
        <v>0</v>
      </c>
      <c r="ER23" s="111">
        <v>0</v>
      </c>
      <c r="ES23" s="111">
        <v>0</v>
      </c>
      <c r="ET23" s="111">
        <v>0</v>
      </c>
      <c r="EU23" s="111">
        <v>0</v>
      </c>
      <c r="EV23" s="111">
        <v>0</v>
      </c>
      <c r="EW23" s="111">
        <v>0</v>
      </c>
      <c r="EX23" s="111">
        <v>0</v>
      </c>
      <c r="EY23" s="111">
        <v>0</v>
      </c>
      <c r="EZ23" s="111">
        <v>0</v>
      </c>
      <c r="FA23" s="111">
        <v>0</v>
      </c>
      <c r="FB23" s="111">
        <v>0</v>
      </c>
    </row>
    <row r="24" spans="1:158" ht="19.5" customHeight="1">
      <c r="A24" s="107">
        <v>21</v>
      </c>
      <c r="B24" s="107" t="s">
        <v>374</v>
      </c>
      <c r="C24" s="107" t="s">
        <v>376</v>
      </c>
      <c r="D24" s="110">
        <v>157964</v>
      </c>
      <c r="E24" s="110">
        <v>157964</v>
      </c>
      <c r="F24" s="110">
        <v>0</v>
      </c>
      <c r="G24" s="110">
        <v>721</v>
      </c>
      <c r="H24" s="110">
        <v>0</v>
      </c>
      <c r="I24" s="110">
        <v>2460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276580.96000000002</v>
      </c>
      <c r="P24" s="110">
        <v>260752.22</v>
      </c>
      <c r="Q24" s="110">
        <v>236117.83</v>
      </c>
      <c r="R24" s="110">
        <v>24634.39</v>
      </c>
      <c r="S24" s="110">
        <v>15828.74</v>
      </c>
      <c r="T24" s="110">
        <v>6866.13</v>
      </c>
      <c r="U24" s="110">
        <v>8962.61</v>
      </c>
      <c r="V24" s="110">
        <v>276580.96000000002</v>
      </c>
      <c r="W24" s="110">
        <v>260752.22</v>
      </c>
      <c r="X24" s="110">
        <v>236117.83</v>
      </c>
      <c r="Y24" s="110">
        <v>24634.39</v>
      </c>
      <c r="Z24" s="110">
        <v>15828.74</v>
      </c>
      <c r="AA24" s="110">
        <v>6866.13</v>
      </c>
      <c r="AB24" s="110">
        <v>8962.61</v>
      </c>
      <c r="AC24" s="110">
        <v>114141.55</v>
      </c>
      <c r="AD24" s="110">
        <v>107416.93</v>
      </c>
      <c r="AE24" s="110">
        <v>96152.72</v>
      </c>
      <c r="AF24" s="110">
        <v>11264.21</v>
      </c>
      <c r="AG24" s="110">
        <v>6724.62</v>
      </c>
      <c r="AH24" s="110">
        <v>3373.91</v>
      </c>
      <c r="AI24" s="110">
        <v>3350.71</v>
      </c>
      <c r="AJ24" s="110">
        <v>4475.41</v>
      </c>
      <c r="AK24" s="110">
        <v>4093.29</v>
      </c>
      <c r="AL24" s="110">
        <v>3616.11</v>
      </c>
      <c r="AM24" s="110">
        <v>477.18</v>
      </c>
      <c r="AN24" s="110">
        <v>382.12</v>
      </c>
      <c r="AO24" s="110">
        <v>177.22</v>
      </c>
      <c r="AP24" s="110">
        <v>204.9</v>
      </c>
      <c r="AQ24" s="110">
        <v>131940</v>
      </c>
      <c r="AR24" s="110">
        <v>125433</v>
      </c>
      <c r="AS24" s="110">
        <v>115372</v>
      </c>
      <c r="AT24" s="110">
        <v>10061</v>
      </c>
      <c r="AU24" s="110">
        <v>6507</v>
      </c>
      <c r="AV24" s="110">
        <v>2120</v>
      </c>
      <c r="AW24" s="110">
        <v>4387</v>
      </c>
      <c r="AX24" s="110">
        <v>26024</v>
      </c>
      <c r="AY24" s="110">
        <v>23809</v>
      </c>
      <c r="AZ24" s="110">
        <v>20977</v>
      </c>
      <c r="BA24" s="110">
        <v>2832</v>
      </c>
      <c r="BB24" s="110">
        <v>2215</v>
      </c>
      <c r="BC24" s="110">
        <v>1195</v>
      </c>
      <c r="BD24" s="110">
        <v>1020</v>
      </c>
      <c r="BE24" s="110">
        <v>0</v>
      </c>
      <c r="BF24" s="110">
        <v>0</v>
      </c>
      <c r="BG24" s="110">
        <v>0</v>
      </c>
      <c r="BH24" s="110">
        <v>0</v>
      </c>
      <c r="BI24" s="110">
        <v>0</v>
      </c>
      <c r="BJ24" s="110">
        <v>0</v>
      </c>
      <c r="BK24" s="110">
        <v>0</v>
      </c>
      <c r="BL24" s="110">
        <v>0</v>
      </c>
      <c r="BM24" s="110">
        <v>0</v>
      </c>
      <c r="BN24" s="110">
        <v>0</v>
      </c>
      <c r="BO24" s="110">
        <v>0</v>
      </c>
      <c r="BP24" s="110">
        <v>0</v>
      </c>
      <c r="BQ24" s="110">
        <v>0</v>
      </c>
      <c r="BR24" s="110">
        <v>0</v>
      </c>
      <c r="BS24" s="110">
        <v>0</v>
      </c>
      <c r="BT24" s="110">
        <v>0</v>
      </c>
      <c r="BU24" s="110">
        <v>0</v>
      </c>
      <c r="BV24" s="110">
        <v>0</v>
      </c>
      <c r="BW24" s="110">
        <v>0</v>
      </c>
      <c r="BX24" s="110">
        <v>0</v>
      </c>
      <c r="BY24" s="110">
        <v>0</v>
      </c>
      <c r="BZ24" s="110">
        <v>0</v>
      </c>
      <c r="CA24" s="110">
        <v>0</v>
      </c>
      <c r="CB24" s="110">
        <v>0</v>
      </c>
      <c r="CC24" s="110">
        <v>0</v>
      </c>
      <c r="CD24" s="110">
        <v>0</v>
      </c>
      <c r="CE24" s="110">
        <v>0</v>
      </c>
      <c r="CF24" s="110">
        <v>0</v>
      </c>
      <c r="CG24" s="110">
        <v>0</v>
      </c>
      <c r="CH24" s="110">
        <v>0</v>
      </c>
      <c r="CI24" s="110">
        <v>0</v>
      </c>
      <c r="CJ24" s="110">
        <v>0</v>
      </c>
      <c r="CK24" s="110">
        <v>0</v>
      </c>
      <c r="CL24" s="110">
        <v>0</v>
      </c>
      <c r="CM24" s="110">
        <v>0</v>
      </c>
      <c r="CN24" s="110">
        <v>202583.25</v>
      </c>
      <c r="CO24" s="110">
        <v>963.11</v>
      </c>
      <c r="CP24" s="110">
        <v>37582.269999999997</v>
      </c>
      <c r="CQ24" s="110">
        <v>35452.33</v>
      </c>
      <c r="CR24" s="110">
        <v>0</v>
      </c>
      <c r="CS24" s="110">
        <v>0</v>
      </c>
      <c r="CT24" s="110">
        <v>0</v>
      </c>
      <c r="CU24" s="110">
        <v>0</v>
      </c>
      <c r="CV24" s="111">
        <v>721</v>
      </c>
      <c r="CW24" s="111">
        <v>664</v>
      </c>
      <c r="CX24" s="111">
        <v>582</v>
      </c>
      <c r="CY24" s="111">
        <v>82</v>
      </c>
      <c r="CZ24" s="111">
        <v>57</v>
      </c>
      <c r="DA24" s="111">
        <v>30</v>
      </c>
      <c r="DB24" s="111">
        <v>27</v>
      </c>
      <c r="DC24" s="111">
        <v>104</v>
      </c>
      <c r="DD24" s="111">
        <v>0</v>
      </c>
      <c r="DE24" s="111">
        <v>95</v>
      </c>
      <c r="DF24" s="111">
        <v>79</v>
      </c>
      <c r="DG24" s="111">
        <v>16</v>
      </c>
      <c r="DH24" s="111">
        <v>9</v>
      </c>
      <c r="DI24" s="111">
        <v>3</v>
      </c>
      <c r="DJ24" s="111">
        <v>6</v>
      </c>
      <c r="DK24" s="111">
        <v>102</v>
      </c>
      <c r="DL24" s="111">
        <v>85</v>
      </c>
      <c r="DM24" s="111">
        <v>75</v>
      </c>
      <c r="DN24" s="111">
        <v>10</v>
      </c>
      <c r="DO24" s="111">
        <v>17</v>
      </c>
      <c r="DP24" s="111">
        <v>10</v>
      </c>
      <c r="DQ24" s="111">
        <v>7</v>
      </c>
      <c r="DR24" s="111">
        <v>0</v>
      </c>
      <c r="DS24" s="111">
        <v>0</v>
      </c>
      <c r="DT24" s="111">
        <v>0</v>
      </c>
      <c r="DU24" s="111">
        <v>0</v>
      </c>
      <c r="DV24" s="111">
        <v>0</v>
      </c>
      <c r="DW24" s="111">
        <v>0</v>
      </c>
      <c r="DX24" s="111">
        <v>0</v>
      </c>
      <c r="DY24" s="111">
        <v>0</v>
      </c>
      <c r="DZ24" s="111">
        <v>515</v>
      </c>
      <c r="EA24" s="111">
        <v>484</v>
      </c>
      <c r="EB24" s="111">
        <v>428</v>
      </c>
      <c r="EC24" s="111">
        <v>56</v>
      </c>
      <c r="ED24" s="111">
        <v>31</v>
      </c>
      <c r="EE24" s="111">
        <v>17</v>
      </c>
      <c r="EF24" s="111">
        <v>14</v>
      </c>
      <c r="EG24" s="111">
        <v>0</v>
      </c>
      <c r="EH24" s="111">
        <v>0</v>
      </c>
      <c r="EI24" s="111">
        <v>0</v>
      </c>
      <c r="EJ24" s="111">
        <v>0</v>
      </c>
      <c r="EK24" s="111">
        <v>0</v>
      </c>
      <c r="EL24" s="111">
        <v>0</v>
      </c>
      <c r="EM24" s="111">
        <v>0</v>
      </c>
      <c r="EN24" s="111">
        <v>0</v>
      </c>
      <c r="EO24" s="111">
        <v>0</v>
      </c>
      <c r="EP24" s="111">
        <v>0</v>
      </c>
      <c r="EQ24" s="111">
        <v>0</v>
      </c>
      <c r="ER24" s="111">
        <v>0</v>
      </c>
      <c r="ES24" s="111">
        <v>0</v>
      </c>
      <c r="ET24" s="111">
        <v>0</v>
      </c>
      <c r="EU24" s="111">
        <v>0</v>
      </c>
      <c r="EV24" s="111">
        <v>0</v>
      </c>
      <c r="EW24" s="111">
        <v>0</v>
      </c>
      <c r="EX24" s="111">
        <v>0</v>
      </c>
      <c r="EY24" s="111">
        <v>0</v>
      </c>
      <c r="EZ24" s="111">
        <v>0</v>
      </c>
      <c r="FA24" s="111">
        <v>0</v>
      </c>
      <c r="FB24" s="111">
        <v>0</v>
      </c>
    </row>
    <row r="25" spans="1:158" ht="19.5" customHeight="1">
      <c r="A25" s="107">
        <v>22</v>
      </c>
      <c r="B25" s="107" t="s">
        <v>374</v>
      </c>
      <c r="C25" s="107" t="s">
        <v>377</v>
      </c>
      <c r="D25" s="110">
        <v>841735</v>
      </c>
      <c r="E25" s="110">
        <v>301348.5</v>
      </c>
      <c r="F25" s="110">
        <v>540386.5</v>
      </c>
      <c r="G25" s="110">
        <v>1391</v>
      </c>
      <c r="H25" s="110">
        <v>72</v>
      </c>
      <c r="I25" s="110">
        <v>3971.5</v>
      </c>
      <c r="J25" s="110">
        <v>0</v>
      </c>
      <c r="K25" s="110">
        <v>0</v>
      </c>
      <c r="L25" s="110">
        <v>26518</v>
      </c>
      <c r="M25" s="110">
        <v>0</v>
      </c>
      <c r="N25" s="110">
        <v>0</v>
      </c>
      <c r="O25" s="110">
        <v>1223027.0900000001</v>
      </c>
      <c r="P25" s="110">
        <v>1033916.08</v>
      </c>
      <c r="Q25" s="110">
        <v>946420.24</v>
      </c>
      <c r="R25" s="110">
        <v>87495.84</v>
      </c>
      <c r="S25" s="110">
        <v>189111.01</v>
      </c>
      <c r="T25" s="110">
        <v>136629.29999999999</v>
      </c>
      <c r="U25" s="110">
        <v>52481.71</v>
      </c>
      <c r="V25" s="110">
        <v>560842.91</v>
      </c>
      <c r="W25" s="110">
        <v>498355.63</v>
      </c>
      <c r="X25" s="110">
        <v>444493.21</v>
      </c>
      <c r="Y25" s="110">
        <v>53862.42</v>
      </c>
      <c r="Z25" s="110">
        <v>62487.28</v>
      </c>
      <c r="AA25" s="110">
        <v>19206.75</v>
      </c>
      <c r="AB25" s="110">
        <v>43280.53</v>
      </c>
      <c r="AC25" s="110">
        <v>247230.91</v>
      </c>
      <c r="AD25" s="110">
        <v>222299.45</v>
      </c>
      <c r="AE25" s="110">
        <v>201575.01</v>
      </c>
      <c r="AF25" s="110">
        <v>20724.439999999999</v>
      </c>
      <c r="AG25" s="110">
        <v>24931.46</v>
      </c>
      <c r="AH25" s="110">
        <v>8281.51</v>
      </c>
      <c r="AI25" s="110">
        <v>16649.95</v>
      </c>
      <c r="AJ25" s="110">
        <v>12263.5</v>
      </c>
      <c r="AK25" s="110">
        <v>10711.68</v>
      </c>
      <c r="AL25" s="110">
        <v>9563.7000000000007</v>
      </c>
      <c r="AM25" s="110">
        <v>1147.98</v>
      </c>
      <c r="AN25" s="110">
        <v>1551.82</v>
      </c>
      <c r="AO25" s="110">
        <v>648.24</v>
      </c>
      <c r="AP25" s="110">
        <v>903.58</v>
      </c>
      <c r="AQ25" s="110">
        <v>248784</v>
      </c>
      <c r="AR25" s="110">
        <v>217475</v>
      </c>
      <c r="AS25" s="110">
        <v>191180</v>
      </c>
      <c r="AT25" s="110">
        <v>26295</v>
      </c>
      <c r="AU25" s="110">
        <v>31309</v>
      </c>
      <c r="AV25" s="110">
        <v>8222</v>
      </c>
      <c r="AW25" s="110">
        <v>23087</v>
      </c>
      <c r="AX25" s="110">
        <v>52564.5</v>
      </c>
      <c r="AY25" s="110">
        <v>47869.5</v>
      </c>
      <c r="AZ25" s="110">
        <v>42174.5</v>
      </c>
      <c r="BA25" s="110">
        <v>5695</v>
      </c>
      <c r="BB25" s="110">
        <v>4695</v>
      </c>
      <c r="BC25" s="110">
        <v>2055</v>
      </c>
      <c r="BD25" s="110">
        <v>2640</v>
      </c>
      <c r="BE25" s="110">
        <v>662184.18000000005</v>
      </c>
      <c r="BF25" s="110">
        <v>535560.44999999995</v>
      </c>
      <c r="BG25" s="110">
        <v>501927.03</v>
      </c>
      <c r="BH25" s="110">
        <v>33633.42</v>
      </c>
      <c r="BI25" s="110">
        <v>126623.73</v>
      </c>
      <c r="BJ25" s="110">
        <v>117422.55</v>
      </c>
      <c r="BK25" s="110">
        <v>9201.18</v>
      </c>
      <c r="BL25" s="110">
        <v>94370.73</v>
      </c>
      <c r="BM25" s="110">
        <v>73497.429999999993</v>
      </c>
      <c r="BN25" s="110">
        <v>68887.05</v>
      </c>
      <c r="BO25" s="110">
        <v>4610.38</v>
      </c>
      <c r="BP25" s="110">
        <v>20873.3</v>
      </c>
      <c r="BQ25" s="110">
        <v>20142.900000000001</v>
      </c>
      <c r="BR25" s="110">
        <v>730.4</v>
      </c>
      <c r="BS25" s="110">
        <v>27426.95</v>
      </c>
      <c r="BT25" s="110">
        <v>20291.52</v>
      </c>
      <c r="BU25" s="110">
        <v>18997.48</v>
      </c>
      <c r="BV25" s="110">
        <v>1294.04</v>
      </c>
      <c r="BW25" s="110">
        <v>7135.43</v>
      </c>
      <c r="BX25" s="110">
        <v>6740.15</v>
      </c>
      <c r="BY25" s="110">
        <v>395.28</v>
      </c>
      <c r="BZ25" s="110">
        <v>372983</v>
      </c>
      <c r="CA25" s="110">
        <v>305943</v>
      </c>
      <c r="CB25" s="110">
        <v>284945</v>
      </c>
      <c r="CC25" s="110">
        <v>20998</v>
      </c>
      <c r="CD25" s="110">
        <v>67040</v>
      </c>
      <c r="CE25" s="110">
        <v>62526</v>
      </c>
      <c r="CF25" s="110">
        <v>4514</v>
      </c>
      <c r="CG25" s="110">
        <v>167403.5</v>
      </c>
      <c r="CH25" s="110">
        <v>135828.5</v>
      </c>
      <c r="CI25" s="110">
        <v>129097.5</v>
      </c>
      <c r="CJ25" s="110">
        <v>6731</v>
      </c>
      <c r="CK25" s="110">
        <v>31575</v>
      </c>
      <c r="CL25" s="110">
        <v>28013.5</v>
      </c>
      <c r="CM25" s="110">
        <v>3561.5</v>
      </c>
      <c r="CN25" s="110">
        <v>207204.1</v>
      </c>
      <c r="CO25" s="110">
        <v>450.92</v>
      </c>
      <c r="CP25" s="110">
        <v>188835.69</v>
      </c>
      <c r="CQ25" s="110">
        <v>147700.97</v>
      </c>
      <c r="CR25" s="110">
        <v>16691.23</v>
      </c>
      <c r="CS25" s="110">
        <v>0</v>
      </c>
      <c r="CT25" s="110">
        <v>0</v>
      </c>
      <c r="CU25" s="110">
        <v>0</v>
      </c>
      <c r="CV25" s="111">
        <v>1391</v>
      </c>
      <c r="CW25" s="111">
        <v>1263</v>
      </c>
      <c r="CX25" s="111">
        <v>1105</v>
      </c>
      <c r="CY25" s="111">
        <v>158</v>
      </c>
      <c r="CZ25" s="111">
        <v>128</v>
      </c>
      <c r="DA25" s="111">
        <v>57</v>
      </c>
      <c r="DB25" s="111">
        <v>71</v>
      </c>
      <c r="DC25" s="111">
        <v>386</v>
      </c>
      <c r="DD25" s="111">
        <v>0</v>
      </c>
      <c r="DE25" s="111">
        <v>361</v>
      </c>
      <c r="DF25" s="111">
        <v>320</v>
      </c>
      <c r="DG25" s="111">
        <v>41</v>
      </c>
      <c r="DH25" s="111">
        <v>25</v>
      </c>
      <c r="DI25" s="111">
        <v>9</v>
      </c>
      <c r="DJ25" s="111">
        <v>16</v>
      </c>
      <c r="DK25" s="111">
        <v>379</v>
      </c>
      <c r="DL25" s="111">
        <v>324</v>
      </c>
      <c r="DM25" s="111">
        <v>284</v>
      </c>
      <c r="DN25" s="111">
        <v>40</v>
      </c>
      <c r="DO25" s="111">
        <v>55</v>
      </c>
      <c r="DP25" s="111">
        <v>16</v>
      </c>
      <c r="DQ25" s="111">
        <v>39</v>
      </c>
      <c r="DR25" s="111">
        <v>33</v>
      </c>
      <c r="DS25" s="111">
        <v>0</v>
      </c>
      <c r="DT25" s="111">
        <v>33</v>
      </c>
      <c r="DU25" s="111">
        <v>31</v>
      </c>
      <c r="DV25" s="111">
        <v>2</v>
      </c>
      <c r="DW25" s="111">
        <v>0</v>
      </c>
      <c r="DX25" s="111">
        <v>0</v>
      </c>
      <c r="DY25" s="111">
        <v>0</v>
      </c>
      <c r="DZ25" s="111">
        <v>593</v>
      </c>
      <c r="EA25" s="111">
        <v>545</v>
      </c>
      <c r="EB25" s="111">
        <v>470</v>
      </c>
      <c r="EC25" s="111">
        <v>75</v>
      </c>
      <c r="ED25" s="111">
        <v>48</v>
      </c>
      <c r="EE25" s="111">
        <v>32</v>
      </c>
      <c r="EF25" s="111">
        <v>16</v>
      </c>
      <c r="EG25" s="111">
        <v>72</v>
      </c>
      <c r="EH25" s="111">
        <v>56</v>
      </c>
      <c r="EI25" s="111">
        <v>52</v>
      </c>
      <c r="EJ25" s="111">
        <v>4</v>
      </c>
      <c r="EK25" s="111">
        <v>16</v>
      </c>
      <c r="EL25" s="111">
        <v>15</v>
      </c>
      <c r="EM25" s="111">
        <v>1</v>
      </c>
      <c r="EN25" s="111">
        <v>1</v>
      </c>
      <c r="EO25" s="111">
        <v>0</v>
      </c>
      <c r="EP25" s="111">
        <v>0</v>
      </c>
      <c r="EQ25" s="111">
        <v>1</v>
      </c>
      <c r="ER25" s="111">
        <v>0</v>
      </c>
      <c r="ES25" s="111">
        <v>0</v>
      </c>
      <c r="ET25" s="111">
        <v>0</v>
      </c>
      <c r="EU25" s="111">
        <v>0</v>
      </c>
      <c r="EV25" s="111">
        <v>0</v>
      </c>
      <c r="EW25" s="111">
        <v>0</v>
      </c>
      <c r="EX25" s="111">
        <v>0</v>
      </c>
      <c r="EY25" s="111">
        <v>0</v>
      </c>
      <c r="EZ25" s="111">
        <v>0</v>
      </c>
      <c r="FA25" s="111">
        <v>0</v>
      </c>
      <c r="FB25" s="111">
        <v>51</v>
      </c>
    </row>
    <row r="26" spans="1:158" ht="19.5" customHeight="1">
      <c r="A26" s="107">
        <v>23</v>
      </c>
      <c r="B26" s="107" t="s">
        <v>374</v>
      </c>
      <c r="C26" s="107" t="s">
        <v>378</v>
      </c>
      <c r="D26" s="110">
        <v>307692</v>
      </c>
      <c r="E26" s="110">
        <v>307692</v>
      </c>
      <c r="F26" s="110">
        <v>0</v>
      </c>
      <c r="G26" s="110">
        <v>1687</v>
      </c>
      <c r="H26" s="110">
        <v>0</v>
      </c>
      <c r="I26" s="110">
        <v>6262</v>
      </c>
      <c r="J26" s="110">
        <v>0</v>
      </c>
      <c r="K26" s="110">
        <v>0</v>
      </c>
      <c r="L26" s="110">
        <v>0</v>
      </c>
      <c r="M26" s="110">
        <v>0</v>
      </c>
      <c r="N26" s="110">
        <v>0</v>
      </c>
      <c r="O26" s="110">
        <v>542991.01</v>
      </c>
      <c r="P26" s="110">
        <v>481308.07</v>
      </c>
      <c r="Q26" s="110">
        <v>439210.53</v>
      </c>
      <c r="R26" s="110">
        <v>42097.54</v>
      </c>
      <c r="S26" s="110">
        <v>61682.94</v>
      </c>
      <c r="T26" s="110">
        <v>32431.78</v>
      </c>
      <c r="U26" s="110">
        <v>29251.16</v>
      </c>
      <c r="V26" s="110">
        <v>542991.01</v>
      </c>
      <c r="W26" s="110">
        <v>481308.07</v>
      </c>
      <c r="X26" s="110">
        <v>439210.53</v>
      </c>
      <c r="Y26" s="110">
        <v>42097.54</v>
      </c>
      <c r="Z26" s="110">
        <v>61682.94</v>
      </c>
      <c r="AA26" s="110">
        <v>32431.78</v>
      </c>
      <c r="AB26" s="110">
        <v>29251.16</v>
      </c>
      <c r="AC26" s="110">
        <v>222870.42</v>
      </c>
      <c r="AD26" s="110">
        <v>199385.08</v>
      </c>
      <c r="AE26" s="110">
        <v>185296.8</v>
      </c>
      <c r="AF26" s="110">
        <v>14088.28</v>
      </c>
      <c r="AG26" s="110">
        <v>23485.34</v>
      </c>
      <c r="AH26" s="110">
        <v>11237.82</v>
      </c>
      <c r="AI26" s="110">
        <v>12247.52</v>
      </c>
      <c r="AJ26" s="110">
        <v>12428.59</v>
      </c>
      <c r="AK26" s="110">
        <v>11577.99</v>
      </c>
      <c r="AL26" s="110">
        <v>10177.73</v>
      </c>
      <c r="AM26" s="110">
        <v>1400.26</v>
      </c>
      <c r="AN26" s="110">
        <v>850.6</v>
      </c>
      <c r="AO26" s="110">
        <v>490.96</v>
      </c>
      <c r="AP26" s="110">
        <v>359.64</v>
      </c>
      <c r="AQ26" s="110">
        <v>241845</v>
      </c>
      <c r="AR26" s="110">
        <v>212882</v>
      </c>
      <c r="AS26" s="110">
        <v>193693</v>
      </c>
      <c r="AT26" s="110">
        <v>19189</v>
      </c>
      <c r="AU26" s="110">
        <v>28963</v>
      </c>
      <c r="AV26" s="110">
        <v>17155</v>
      </c>
      <c r="AW26" s="110">
        <v>11808</v>
      </c>
      <c r="AX26" s="110">
        <v>65847</v>
      </c>
      <c r="AY26" s="110">
        <v>57463</v>
      </c>
      <c r="AZ26" s="110">
        <v>50043</v>
      </c>
      <c r="BA26" s="110">
        <v>7420</v>
      </c>
      <c r="BB26" s="110">
        <v>8384</v>
      </c>
      <c r="BC26" s="110">
        <v>3548</v>
      </c>
      <c r="BD26" s="110">
        <v>4836</v>
      </c>
      <c r="BE26" s="110">
        <v>0</v>
      </c>
      <c r="BF26" s="110">
        <v>0</v>
      </c>
      <c r="BG26" s="110">
        <v>0</v>
      </c>
      <c r="BH26" s="110">
        <v>0</v>
      </c>
      <c r="BI26" s="110">
        <v>0</v>
      </c>
      <c r="BJ26" s="110">
        <v>0</v>
      </c>
      <c r="BK26" s="110">
        <v>0</v>
      </c>
      <c r="BL26" s="110">
        <v>0</v>
      </c>
      <c r="BM26" s="110">
        <v>0</v>
      </c>
      <c r="BN26" s="110">
        <v>0</v>
      </c>
      <c r="BO26" s="110">
        <v>0</v>
      </c>
      <c r="BP26" s="110">
        <v>0</v>
      </c>
      <c r="BQ26" s="110">
        <v>0</v>
      </c>
      <c r="BR26" s="110">
        <v>0</v>
      </c>
      <c r="BS26" s="110">
        <v>0</v>
      </c>
      <c r="BT26" s="110">
        <v>0</v>
      </c>
      <c r="BU26" s="110">
        <v>0</v>
      </c>
      <c r="BV26" s="110">
        <v>0</v>
      </c>
      <c r="BW26" s="110">
        <v>0</v>
      </c>
      <c r="BX26" s="110">
        <v>0</v>
      </c>
      <c r="BY26" s="110">
        <v>0</v>
      </c>
      <c r="BZ26" s="110">
        <v>0</v>
      </c>
      <c r="CA26" s="110">
        <v>0</v>
      </c>
      <c r="CB26" s="110">
        <v>0</v>
      </c>
      <c r="CC26" s="110">
        <v>0</v>
      </c>
      <c r="CD26" s="110">
        <v>0</v>
      </c>
      <c r="CE26" s="110">
        <v>0</v>
      </c>
      <c r="CF26" s="110">
        <v>0</v>
      </c>
      <c r="CG26" s="110">
        <v>0</v>
      </c>
      <c r="CH26" s="110">
        <v>0</v>
      </c>
      <c r="CI26" s="110">
        <v>0</v>
      </c>
      <c r="CJ26" s="110">
        <v>0</v>
      </c>
      <c r="CK26" s="110">
        <v>0</v>
      </c>
      <c r="CL26" s="110">
        <v>0</v>
      </c>
      <c r="CM26" s="110">
        <v>0</v>
      </c>
      <c r="CN26" s="110">
        <v>411305.18</v>
      </c>
      <c r="CO26" s="110">
        <v>19638.43</v>
      </c>
      <c r="CP26" s="110">
        <v>95403.07</v>
      </c>
      <c r="CQ26" s="110">
        <v>28.47</v>
      </c>
      <c r="CR26" s="110">
        <v>16615.86</v>
      </c>
      <c r="CS26" s="110">
        <v>0</v>
      </c>
      <c r="CT26" s="110">
        <v>0</v>
      </c>
      <c r="CU26" s="110">
        <v>0</v>
      </c>
      <c r="CV26" s="111">
        <v>1687</v>
      </c>
      <c r="CW26" s="111">
        <v>1502</v>
      </c>
      <c r="CX26" s="111">
        <v>1314</v>
      </c>
      <c r="CY26" s="111">
        <v>188</v>
      </c>
      <c r="CZ26" s="111">
        <v>185</v>
      </c>
      <c r="DA26" s="111">
        <v>82</v>
      </c>
      <c r="DB26" s="111">
        <v>103</v>
      </c>
      <c r="DC26" s="111">
        <v>75</v>
      </c>
      <c r="DD26" s="111">
        <v>0</v>
      </c>
      <c r="DE26" s="111">
        <v>73</v>
      </c>
      <c r="DF26" s="111">
        <v>67</v>
      </c>
      <c r="DG26" s="111">
        <v>6</v>
      </c>
      <c r="DH26" s="111">
        <v>2</v>
      </c>
      <c r="DI26" s="111">
        <v>0</v>
      </c>
      <c r="DJ26" s="111">
        <v>2</v>
      </c>
      <c r="DK26" s="111">
        <v>192</v>
      </c>
      <c r="DL26" s="111">
        <v>89</v>
      </c>
      <c r="DM26" s="111">
        <v>81</v>
      </c>
      <c r="DN26" s="111">
        <v>8</v>
      </c>
      <c r="DO26" s="111">
        <v>103</v>
      </c>
      <c r="DP26" s="111">
        <v>35</v>
      </c>
      <c r="DQ26" s="111">
        <v>68</v>
      </c>
      <c r="DR26" s="111">
        <v>41</v>
      </c>
      <c r="DS26" s="111">
        <v>0</v>
      </c>
      <c r="DT26" s="111">
        <v>38</v>
      </c>
      <c r="DU26" s="111">
        <v>32</v>
      </c>
      <c r="DV26" s="111">
        <v>6</v>
      </c>
      <c r="DW26" s="111">
        <v>3</v>
      </c>
      <c r="DX26" s="111">
        <v>1</v>
      </c>
      <c r="DY26" s="111">
        <v>2</v>
      </c>
      <c r="DZ26" s="111">
        <v>1379</v>
      </c>
      <c r="EA26" s="111">
        <v>1302</v>
      </c>
      <c r="EB26" s="111">
        <v>1134</v>
      </c>
      <c r="EC26" s="111">
        <v>168</v>
      </c>
      <c r="ED26" s="111">
        <v>77</v>
      </c>
      <c r="EE26" s="111">
        <v>46</v>
      </c>
      <c r="EF26" s="111">
        <v>31</v>
      </c>
      <c r="EG26" s="111">
        <v>0</v>
      </c>
      <c r="EH26" s="111">
        <v>0</v>
      </c>
      <c r="EI26" s="111">
        <v>0</v>
      </c>
      <c r="EJ26" s="111">
        <v>0</v>
      </c>
      <c r="EK26" s="111">
        <v>0</v>
      </c>
      <c r="EL26" s="111">
        <v>0</v>
      </c>
      <c r="EM26" s="111">
        <v>0</v>
      </c>
      <c r="EN26" s="111">
        <v>0</v>
      </c>
      <c r="EO26" s="111">
        <v>0</v>
      </c>
      <c r="EP26" s="111">
        <v>0</v>
      </c>
      <c r="EQ26" s="111">
        <v>0</v>
      </c>
      <c r="ER26" s="111">
        <v>0</v>
      </c>
      <c r="ES26" s="111">
        <v>0</v>
      </c>
      <c r="ET26" s="111">
        <v>0</v>
      </c>
      <c r="EU26" s="111">
        <v>0</v>
      </c>
      <c r="EV26" s="111">
        <v>0</v>
      </c>
      <c r="EW26" s="111">
        <v>0</v>
      </c>
      <c r="EX26" s="111">
        <v>0</v>
      </c>
      <c r="EY26" s="111">
        <v>0</v>
      </c>
      <c r="EZ26" s="111">
        <v>0</v>
      </c>
      <c r="FA26" s="111">
        <v>0</v>
      </c>
      <c r="FB26" s="111">
        <v>0</v>
      </c>
    </row>
    <row r="27" spans="1:158" ht="19.5" customHeight="1">
      <c r="A27" s="107">
        <v>24</v>
      </c>
      <c r="B27" s="107" t="s">
        <v>374</v>
      </c>
      <c r="C27" s="107" t="s">
        <v>379</v>
      </c>
      <c r="D27" s="110">
        <v>626480.5</v>
      </c>
      <c r="E27" s="110">
        <v>74909</v>
      </c>
      <c r="F27" s="110">
        <v>551571.5</v>
      </c>
      <c r="G27" s="110">
        <v>400</v>
      </c>
      <c r="H27" s="110">
        <v>82</v>
      </c>
      <c r="I27" s="110">
        <v>1288</v>
      </c>
      <c r="J27" s="110">
        <v>0</v>
      </c>
      <c r="K27" s="110">
        <v>0</v>
      </c>
      <c r="L27" s="110">
        <v>16177</v>
      </c>
      <c r="M27" s="110">
        <v>1828</v>
      </c>
      <c r="N27" s="110">
        <v>289.99</v>
      </c>
      <c r="O27" s="110">
        <v>1402222.75</v>
      </c>
      <c r="P27" s="110">
        <v>398508.14</v>
      </c>
      <c r="Q27" s="110">
        <v>390420.96</v>
      </c>
      <c r="R27" s="110">
        <v>8087.18</v>
      </c>
      <c r="S27" s="110">
        <v>1003714.61</v>
      </c>
      <c r="T27" s="110">
        <v>962719.63</v>
      </c>
      <c r="U27" s="110">
        <v>40994.980000000003</v>
      </c>
      <c r="V27" s="110">
        <v>177760.31</v>
      </c>
      <c r="W27" s="110">
        <v>96400.71</v>
      </c>
      <c r="X27" s="110">
        <v>88313.53</v>
      </c>
      <c r="Y27" s="110">
        <v>8087.18</v>
      </c>
      <c r="Z27" s="110">
        <v>81359.600000000006</v>
      </c>
      <c r="AA27" s="110">
        <v>64874.93</v>
      </c>
      <c r="AB27" s="110">
        <v>16484.669999999998</v>
      </c>
      <c r="AC27" s="110">
        <v>100958.42</v>
      </c>
      <c r="AD27" s="110">
        <v>47647.19</v>
      </c>
      <c r="AE27" s="110">
        <v>44462.080000000002</v>
      </c>
      <c r="AF27" s="110">
        <v>3185.11</v>
      </c>
      <c r="AG27" s="110">
        <v>53311.23</v>
      </c>
      <c r="AH27" s="110">
        <v>49227.42</v>
      </c>
      <c r="AI27" s="110">
        <v>4083.81</v>
      </c>
      <c r="AJ27" s="110">
        <v>1892.89</v>
      </c>
      <c r="AK27" s="110">
        <v>1219.52</v>
      </c>
      <c r="AL27" s="110">
        <v>1120.45</v>
      </c>
      <c r="AM27" s="110">
        <v>99.07</v>
      </c>
      <c r="AN27" s="110">
        <v>673.37</v>
      </c>
      <c r="AO27" s="110">
        <v>475.51</v>
      </c>
      <c r="AP27" s="110">
        <v>197.86</v>
      </c>
      <c r="AQ27" s="110">
        <v>60610</v>
      </c>
      <c r="AR27" s="110">
        <v>38210</v>
      </c>
      <c r="AS27" s="110">
        <v>34657</v>
      </c>
      <c r="AT27" s="110">
        <v>3553</v>
      </c>
      <c r="AU27" s="110">
        <v>22400</v>
      </c>
      <c r="AV27" s="110">
        <v>11769</v>
      </c>
      <c r="AW27" s="110">
        <v>10631</v>
      </c>
      <c r="AX27" s="110">
        <v>14299</v>
      </c>
      <c r="AY27" s="110">
        <v>9324</v>
      </c>
      <c r="AZ27" s="110">
        <v>8074</v>
      </c>
      <c r="BA27" s="110">
        <v>1250</v>
      </c>
      <c r="BB27" s="110">
        <v>4975</v>
      </c>
      <c r="BC27" s="110">
        <v>3403</v>
      </c>
      <c r="BD27" s="110">
        <v>1572</v>
      </c>
      <c r="BE27" s="110">
        <v>1224462.44</v>
      </c>
      <c r="BF27" s="110">
        <v>302107.43</v>
      </c>
      <c r="BG27" s="110">
        <v>302107.43</v>
      </c>
      <c r="BH27" s="110">
        <v>0</v>
      </c>
      <c r="BI27" s="110">
        <v>922355.01</v>
      </c>
      <c r="BJ27" s="110">
        <v>897844.7</v>
      </c>
      <c r="BK27" s="110">
        <v>24510.31</v>
      </c>
      <c r="BL27" s="110">
        <v>633786.15</v>
      </c>
      <c r="BM27" s="110">
        <v>160417.51999999999</v>
      </c>
      <c r="BN27" s="110">
        <v>160417.51999999999</v>
      </c>
      <c r="BO27" s="110">
        <v>0</v>
      </c>
      <c r="BP27" s="110">
        <v>473368.63</v>
      </c>
      <c r="BQ27" s="110">
        <v>470799.31</v>
      </c>
      <c r="BR27" s="110">
        <v>2569.3200000000002</v>
      </c>
      <c r="BS27" s="110">
        <v>39104.79</v>
      </c>
      <c r="BT27" s="110">
        <v>6327.91</v>
      </c>
      <c r="BU27" s="110">
        <v>6327.91</v>
      </c>
      <c r="BV27" s="110">
        <v>0</v>
      </c>
      <c r="BW27" s="110">
        <v>32776.879999999997</v>
      </c>
      <c r="BX27" s="110">
        <v>32013.89</v>
      </c>
      <c r="BY27" s="110">
        <v>762.99</v>
      </c>
      <c r="BZ27" s="110">
        <v>331706</v>
      </c>
      <c r="CA27" s="110">
        <v>74341</v>
      </c>
      <c r="CB27" s="110">
        <v>74341</v>
      </c>
      <c r="CC27" s="110">
        <v>0</v>
      </c>
      <c r="CD27" s="110">
        <v>257365</v>
      </c>
      <c r="CE27" s="110">
        <v>246109</v>
      </c>
      <c r="CF27" s="110">
        <v>11256</v>
      </c>
      <c r="CG27" s="110">
        <v>219865.5</v>
      </c>
      <c r="CH27" s="110">
        <v>61021</v>
      </c>
      <c r="CI27" s="110">
        <v>61021</v>
      </c>
      <c r="CJ27" s="110">
        <v>0</v>
      </c>
      <c r="CK27" s="110">
        <v>158844.5</v>
      </c>
      <c r="CL27" s="110">
        <v>148922.5</v>
      </c>
      <c r="CM27" s="110">
        <v>9922</v>
      </c>
      <c r="CN27" s="110">
        <v>36238.550000000003</v>
      </c>
      <c r="CO27" s="110">
        <v>29934.7</v>
      </c>
      <c r="CP27" s="110">
        <v>90085.759999999995</v>
      </c>
      <c r="CQ27" s="110">
        <v>21501.3</v>
      </c>
      <c r="CR27" s="110">
        <v>0</v>
      </c>
      <c r="CS27" s="110">
        <v>0</v>
      </c>
      <c r="CT27" s="110">
        <v>3849.9</v>
      </c>
      <c r="CU27" s="110">
        <v>0</v>
      </c>
      <c r="CV27" s="111">
        <v>400</v>
      </c>
      <c r="CW27" s="111">
        <v>279</v>
      </c>
      <c r="CX27" s="111">
        <v>241</v>
      </c>
      <c r="CY27" s="111">
        <v>38</v>
      </c>
      <c r="CZ27" s="111">
        <v>121</v>
      </c>
      <c r="DA27" s="111">
        <v>85</v>
      </c>
      <c r="DB27" s="111">
        <v>36</v>
      </c>
      <c r="DC27" s="111">
        <v>149</v>
      </c>
      <c r="DD27" s="111">
        <v>0</v>
      </c>
      <c r="DE27" s="111">
        <v>102</v>
      </c>
      <c r="DF27" s="111">
        <v>84</v>
      </c>
      <c r="DG27" s="111">
        <v>18</v>
      </c>
      <c r="DH27" s="111">
        <v>47</v>
      </c>
      <c r="DI27" s="111">
        <v>39</v>
      </c>
      <c r="DJ27" s="111">
        <v>8</v>
      </c>
      <c r="DK27" s="111">
        <v>103</v>
      </c>
      <c r="DL27" s="111">
        <v>42</v>
      </c>
      <c r="DM27" s="111">
        <v>36</v>
      </c>
      <c r="DN27" s="111">
        <v>6</v>
      </c>
      <c r="DO27" s="111">
        <v>61</v>
      </c>
      <c r="DP27" s="111">
        <v>34</v>
      </c>
      <c r="DQ27" s="111">
        <v>27</v>
      </c>
      <c r="DR27" s="111">
        <v>0</v>
      </c>
      <c r="DS27" s="111">
        <v>0</v>
      </c>
      <c r="DT27" s="111">
        <v>0</v>
      </c>
      <c r="DU27" s="111">
        <v>0</v>
      </c>
      <c r="DV27" s="111">
        <v>0</v>
      </c>
      <c r="DW27" s="111">
        <v>0</v>
      </c>
      <c r="DX27" s="111">
        <v>0</v>
      </c>
      <c r="DY27" s="111">
        <v>0</v>
      </c>
      <c r="DZ27" s="111">
        <v>148</v>
      </c>
      <c r="EA27" s="111">
        <v>135</v>
      </c>
      <c r="EB27" s="111">
        <v>121</v>
      </c>
      <c r="EC27" s="111">
        <v>14</v>
      </c>
      <c r="ED27" s="111">
        <v>13</v>
      </c>
      <c r="EE27" s="111">
        <v>12</v>
      </c>
      <c r="EF27" s="111">
        <v>1</v>
      </c>
      <c r="EG27" s="111">
        <v>82</v>
      </c>
      <c r="EH27" s="111">
        <v>17</v>
      </c>
      <c r="EI27" s="111">
        <v>17</v>
      </c>
      <c r="EJ27" s="111">
        <v>0</v>
      </c>
      <c r="EK27" s="111">
        <v>65</v>
      </c>
      <c r="EL27" s="111">
        <v>63</v>
      </c>
      <c r="EM27" s="111">
        <v>2</v>
      </c>
      <c r="EN27" s="111">
        <v>75</v>
      </c>
      <c r="EO27" s="111">
        <v>0</v>
      </c>
      <c r="EP27" s="111">
        <v>0</v>
      </c>
      <c r="EQ27" s="111">
        <v>75</v>
      </c>
      <c r="ER27" s="111">
        <v>0</v>
      </c>
      <c r="ES27" s="111">
        <v>0</v>
      </c>
      <c r="ET27" s="111">
        <v>0</v>
      </c>
      <c r="EU27" s="111">
        <v>0</v>
      </c>
      <c r="EV27" s="111">
        <v>0</v>
      </c>
      <c r="EW27" s="111">
        <v>0</v>
      </c>
      <c r="EX27" s="111">
        <v>0</v>
      </c>
      <c r="EY27" s="111">
        <v>0</v>
      </c>
      <c r="EZ27" s="111">
        <v>0</v>
      </c>
      <c r="FA27" s="111">
        <v>0</v>
      </c>
      <c r="FB27" s="111">
        <v>19</v>
      </c>
    </row>
    <row r="28" spans="1:158" ht="19.5" customHeight="1">
      <c r="A28" s="107">
        <v>25</v>
      </c>
      <c r="B28" s="107" t="s">
        <v>374</v>
      </c>
      <c r="C28" s="107" t="s">
        <v>380</v>
      </c>
      <c r="D28" s="110">
        <v>256484</v>
      </c>
      <c r="E28" s="110">
        <v>256484</v>
      </c>
      <c r="F28" s="110">
        <v>0</v>
      </c>
      <c r="G28" s="110">
        <v>449</v>
      </c>
      <c r="H28" s="110">
        <v>0</v>
      </c>
      <c r="I28" s="110">
        <v>596</v>
      </c>
      <c r="J28" s="110">
        <v>0</v>
      </c>
      <c r="K28" s="110">
        <v>0</v>
      </c>
      <c r="L28" s="110">
        <v>0</v>
      </c>
      <c r="M28" s="110">
        <v>0</v>
      </c>
      <c r="N28" s="110">
        <v>0</v>
      </c>
      <c r="O28" s="110">
        <v>399183.01</v>
      </c>
      <c r="P28" s="110">
        <v>324873.25</v>
      </c>
      <c r="Q28" s="110">
        <v>298195.08</v>
      </c>
      <c r="R28" s="110">
        <v>26678.17</v>
      </c>
      <c r="S28" s="110">
        <v>74309.759999999995</v>
      </c>
      <c r="T28" s="110">
        <v>16560.59</v>
      </c>
      <c r="U28" s="110">
        <v>57749.17</v>
      </c>
      <c r="V28" s="110">
        <v>399183.01</v>
      </c>
      <c r="W28" s="110">
        <v>324873.25</v>
      </c>
      <c r="X28" s="110">
        <v>298195.08</v>
      </c>
      <c r="Y28" s="110">
        <v>26678.17</v>
      </c>
      <c r="Z28" s="110">
        <v>74309.759999999995</v>
      </c>
      <c r="AA28" s="110">
        <v>16560.59</v>
      </c>
      <c r="AB28" s="110">
        <v>57749.17</v>
      </c>
      <c r="AC28" s="110">
        <v>142285.32</v>
      </c>
      <c r="AD28" s="110">
        <v>137494.56</v>
      </c>
      <c r="AE28" s="110">
        <v>135812.97</v>
      </c>
      <c r="AF28" s="110">
        <v>1681.59</v>
      </c>
      <c r="AG28" s="110">
        <v>4790.76</v>
      </c>
      <c r="AH28" s="110">
        <v>405.59</v>
      </c>
      <c r="AI28" s="110">
        <v>4385.17</v>
      </c>
      <c r="AJ28" s="110">
        <v>413.69</v>
      </c>
      <c r="AK28" s="110">
        <v>413.69</v>
      </c>
      <c r="AL28" s="110">
        <v>395.11</v>
      </c>
      <c r="AM28" s="110">
        <v>18.579999999999998</v>
      </c>
      <c r="AN28" s="110">
        <v>0</v>
      </c>
      <c r="AO28" s="110">
        <v>0</v>
      </c>
      <c r="AP28" s="110">
        <v>0</v>
      </c>
      <c r="AQ28" s="110">
        <v>186052</v>
      </c>
      <c r="AR28" s="110">
        <v>139093</v>
      </c>
      <c r="AS28" s="110">
        <v>121346</v>
      </c>
      <c r="AT28" s="110">
        <v>17747</v>
      </c>
      <c r="AU28" s="110">
        <v>46959</v>
      </c>
      <c r="AV28" s="110">
        <v>11151</v>
      </c>
      <c r="AW28" s="110">
        <v>35808</v>
      </c>
      <c r="AX28" s="110">
        <v>70432</v>
      </c>
      <c r="AY28" s="110">
        <v>47872</v>
      </c>
      <c r="AZ28" s="110">
        <v>40641</v>
      </c>
      <c r="BA28" s="110">
        <v>7231</v>
      </c>
      <c r="BB28" s="110">
        <v>22560</v>
      </c>
      <c r="BC28" s="110">
        <v>5004</v>
      </c>
      <c r="BD28" s="110">
        <v>17556</v>
      </c>
      <c r="BE28" s="110">
        <v>0</v>
      </c>
      <c r="BF28" s="110">
        <v>0</v>
      </c>
      <c r="BG28" s="110">
        <v>0</v>
      </c>
      <c r="BH28" s="110">
        <v>0</v>
      </c>
      <c r="BI28" s="110">
        <v>0</v>
      </c>
      <c r="BJ28" s="110">
        <v>0</v>
      </c>
      <c r="BK28" s="110">
        <v>0</v>
      </c>
      <c r="BL28" s="110">
        <v>0</v>
      </c>
      <c r="BM28" s="110">
        <v>0</v>
      </c>
      <c r="BN28" s="110">
        <v>0</v>
      </c>
      <c r="BO28" s="110">
        <v>0</v>
      </c>
      <c r="BP28" s="110">
        <v>0</v>
      </c>
      <c r="BQ28" s="110">
        <v>0</v>
      </c>
      <c r="BR28" s="110">
        <v>0</v>
      </c>
      <c r="BS28" s="110">
        <v>0</v>
      </c>
      <c r="BT28" s="110">
        <v>0</v>
      </c>
      <c r="BU28" s="110">
        <v>0</v>
      </c>
      <c r="BV28" s="110">
        <v>0</v>
      </c>
      <c r="BW28" s="110">
        <v>0</v>
      </c>
      <c r="BX28" s="110">
        <v>0</v>
      </c>
      <c r="BY28" s="110">
        <v>0</v>
      </c>
      <c r="BZ28" s="110">
        <v>0</v>
      </c>
      <c r="CA28" s="110">
        <v>0</v>
      </c>
      <c r="CB28" s="110">
        <v>0</v>
      </c>
      <c r="CC28" s="110">
        <v>0</v>
      </c>
      <c r="CD28" s="110">
        <v>0</v>
      </c>
      <c r="CE28" s="110">
        <v>0</v>
      </c>
      <c r="CF28" s="110">
        <v>0</v>
      </c>
      <c r="CG28" s="110">
        <v>0</v>
      </c>
      <c r="CH28" s="110">
        <v>0</v>
      </c>
      <c r="CI28" s="110">
        <v>0</v>
      </c>
      <c r="CJ28" s="110">
        <v>0</v>
      </c>
      <c r="CK28" s="110">
        <v>0</v>
      </c>
      <c r="CL28" s="110">
        <v>0</v>
      </c>
      <c r="CM28" s="110">
        <v>0</v>
      </c>
      <c r="CN28" s="110">
        <v>30505.75</v>
      </c>
      <c r="CO28" s="110">
        <v>124851.32</v>
      </c>
      <c r="CP28" s="110">
        <v>-592</v>
      </c>
      <c r="CQ28" s="110">
        <v>0</v>
      </c>
      <c r="CR28" s="110">
        <v>244417.94</v>
      </c>
      <c r="CS28" s="110">
        <v>0</v>
      </c>
      <c r="CT28" s="110">
        <v>0</v>
      </c>
      <c r="CU28" s="110">
        <v>0</v>
      </c>
      <c r="CV28" s="111">
        <v>449</v>
      </c>
      <c r="CW28" s="111">
        <v>352</v>
      </c>
      <c r="CX28" s="111">
        <v>307</v>
      </c>
      <c r="CY28" s="111">
        <v>45</v>
      </c>
      <c r="CZ28" s="111">
        <v>97</v>
      </c>
      <c r="DA28" s="111">
        <v>24</v>
      </c>
      <c r="DB28" s="111">
        <v>73</v>
      </c>
      <c r="DC28" s="111">
        <v>122</v>
      </c>
      <c r="DD28" s="111">
        <v>0</v>
      </c>
      <c r="DE28" s="111">
        <v>116</v>
      </c>
      <c r="DF28" s="111">
        <v>107</v>
      </c>
      <c r="DG28" s="111">
        <v>9</v>
      </c>
      <c r="DH28" s="111">
        <v>6</v>
      </c>
      <c r="DI28" s="111">
        <v>2</v>
      </c>
      <c r="DJ28" s="111">
        <v>4</v>
      </c>
      <c r="DK28" s="111">
        <v>0</v>
      </c>
      <c r="DL28" s="111">
        <v>0</v>
      </c>
      <c r="DM28" s="111">
        <v>0</v>
      </c>
      <c r="DN28" s="111">
        <v>0</v>
      </c>
      <c r="DO28" s="111">
        <v>0</v>
      </c>
      <c r="DP28" s="111">
        <v>0</v>
      </c>
      <c r="DQ28" s="111">
        <v>0</v>
      </c>
      <c r="DR28" s="111">
        <v>252</v>
      </c>
      <c r="DS28" s="111">
        <v>0</v>
      </c>
      <c r="DT28" s="111">
        <v>165</v>
      </c>
      <c r="DU28" s="111">
        <v>139</v>
      </c>
      <c r="DV28" s="111">
        <v>26</v>
      </c>
      <c r="DW28" s="111">
        <v>87</v>
      </c>
      <c r="DX28" s="111">
        <v>19</v>
      </c>
      <c r="DY28" s="111">
        <v>68</v>
      </c>
      <c r="DZ28" s="111">
        <v>75</v>
      </c>
      <c r="EA28" s="111">
        <v>71</v>
      </c>
      <c r="EB28" s="111">
        <v>61</v>
      </c>
      <c r="EC28" s="111">
        <v>10</v>
      </c>
      <c r="ED28" s="111">
        <v>4</v>
      </c>
      <c r="EE28" s="111">
        <v>3</v>
      </c>
      <c r="EF28" s="111">
        <v>1</v>
      </c>
      <c r="EG28" s="111">
        <v>0</v>
      </c>
      <c r="EH28" s="111">
        <v>0</v>
      </c>
      <c r="EI28" s="111">
        <v>0</v>
      </c>
      <c r="EJ28" s="111">
        <v>0</v>
      </c>
      <c r="EK28" s="111">
        <v>0</v>
      </c>
      <c r="EL28" s="111">
        <v>0</v>
      </c>
      <c r="EM28" s="111">
        <v>0</v>
      </c>
      <c r="EN28" s="111">
        <v>0</v>
      </c>
      <c r="EO28" s="111">
        <v>0</v>
      </c>
      <c r="EP28" s="111">
        <v>0</v>
      </c>
      <c r="EQ28" s="111">
        <v>0</v>
      </c>
      <c r="ER28" s="111">
        <v>0</v>
      </c>
      <c r="ES28" s="111">
        <v>0</v>
      </c>
      <c r="ET28" s="111">
        <v>0</v>
      </c>
      <c r="EU28" s="111">
        <v>0</v>
      </c>
      <c r="EV28" s="111">
        <v>0</v>
      </c>
      <c r="EW28" s="111">
        <v>0</v>
      </c>
      <c r="EX28" s="111">
        <v>0</v>
      </c>
      <c r="EY28" s="111">
        <v>0</v>
      </c>
      <c r="EZ28" s="111">
        <v>0</v>
      </c>
      <c r="FA28" s="111">
        <v>0</v>
      </c>
      <c r="FB28" s="111">
        <v>0</v>
      </c>
    </row>
    <row r="29" spans="1:158" ht="19.5" customHeight="1">
      <c r="A29" s="107">
        <v>26</v>
      </c>
      <c r="B29" s="107" t="s">
        <v>374</v>
      </c>
      <c r="C29" s="107" t="s">
        <v>381</v>
      </c>
      <c r="D29" s="110">
        <v>621971</v>
      </c>
      <c r="E29" s="110">
        <v>161243</v>
      </c>
      <c r="F29" s="110">
        <v>460728</v>
      </c>
      <c r="G29" s="110">
        <v>855</v>
      </c>
      <c r="H29" s="110">
        <v>46</v>
      </c>
      <c r="I29" s="110">
        <v>2062</v>
      </c>
      <c r="J29" s="110">
        <v>0</v>
      </c>
      <c r="K29" s="110">
        <v>0</v>
      </c>
      <c r="L29" s="110">
        <v>22021</v>
      </c>
      <c r="M29" s="110">
        <v>2678</v>
      </c>
      <c r="N29" s="110">
        <v>0</v>
      </c>
      <c r="O29" s="110">
        <v>782322.06</v>
      </c>
      <c r="P29" s="110">
        <v>678271.75</v>
      </c>
      <c r="Q29" s="110">
        <v>522596.5</v>
      </c>
      <c r="R29" s="110">
        <v>155675.25</v>
      </c>
      <c r="S29" s="110">
        <v>104050.31</v>
      </c>
      <c r="T29" s="110">
        <v>94930.35</v>
      </c>
      <c r="U29" s="110">
        <v>9119.9599999999991</v>
      </c>
      <c r="V29" s="110">
        <v>274600.88</v>
      </c>
      <c r="W29" s="110">
        <v>259184.67</v>
      </c>
      <c r="X29" s="110">
        <v>226703.9</v>
      </c>
      <c r="Y29" s="110">
        <v>32480.77</v>
      </c>
      <c r="Z29" s="110">
        <v>15416.21</v>
      </c>
      <c r="AA29" s="110">
        <v>8701.85</v>
      </c>
      <c r="AB29" s="110">
        <v>6714.36</v>
      </c>
      <c r="AC29" s="110">
        <v>109088.89</v>
      </c>
      <c r="AD29" s="110">
        <v>103930.93</v>
      </c>
      <c r="AE29" s="110">
        <v>95767.92</v>
      </c>
      <c r="AF29" s="110">
        <v>8163.01</v>
      </c>
      <c r="AG29" s="110">
        <v>5157.96</v>
      </c>
      <c r="AH29" s="110">
        <v>2385.9499999999998</v>
      </c>
      <c r="AI29" s="110">
        <v>2772.01</v>
      </c>
      <c r="AJ29" s="110">
        <v>4268.99</v>
      </c>
      <c r="AK29" s="110">
        <v>3919.74</v>
      </c>
      <c r="AL29" s="110">
        <v>3390.98</v>
      </c>
      <c r="AM29" s="110">
        <v>528.76</v>
      </c>
      <c r="AN29" s="110">
        <v>349.25</v>
      </c>
      <c r="AO29" s="110">
        <v>191.9</v>
      </c>
      <c r="AP29" s="110">
        <v>157.35</v>
      </c>
      <c r="AQ29" s="110">
        <v>129017</v>
      </c>
      <c r="AR29" s="110">
        <v>121460</v>
      </c>
      <c r="AS29" s="110">
        <v>102785</v>
      </c>
      <c r="AT29" s="110">
        <v>18675</v>
      </c>
      <c r="AU29" s="110">
        <v>7557</v>
      </c>
      <c r="AV29" s="110">
        <v>4592</v>
      </c>
      <c r="AW29" s="110">
        <v>2965</v>
      </c>
      <c r="AX29" s="110">
        <v>32226</v>
      </c>
      <c r="AY29" s="110">
        <v>29874</v>
      </c>
      <c r="AZ29" s="110">
        <v>24760</v>
      </c>
      <c r="BA29" s="110">
        <v>5114</v>
      </c>
      <c r="BB29" s="110">
        <v>2352</v>
      </c>
      <c r="BC29" s="110">
        <v>1532</v>
      </c>
      <c r="BD29" s="110">
        <v>820</v>
      </c>
      <c r="BE29" s="110">
        <v>507721.18</v>
      </c>
      <c r="BF29" s="110">
        <v>419087.08</v>
      </c>
      <c r="BG29" s="110">
        <v>295892.59999999998</v>
      </c>
      <c r="BH29" s="110">
        <v>123194.48</v>
      </c>
      <c r="BI29" s="110">
        <v>88634.1</v>
      </c>
      <c r="BJ29" s="110">
        <v>86228.5</v>
      </c>
      <c r="BK29" s="110">
        <v>2405.6</v>
      </c>
      <c r="BL29" s="110">
        <v>27820.959999999999</v>
      </c>
      <c r="BM29" s="110">
        <v>23010.5</v>
      </c>
      <c r="BN29" s="110">
        <v>18736.79</v>
      </c>
      <c r="BO29" s="110">
        <v>4273.71</v>
      </c>
      <c r="BP29" s="110">
        <v>4810.46</v>
      </c>
      <c r="BQ29" s="110">
        <v>4773.1499999999996</v>
      </c>
      <c r="BR29" s="110">
        <v>37.31</v>
      </c>
      <c r="BS29" s="110">
        <v>19172.22</v>
      </c>
      <c r="BT29" s="110">
        <v>17374.080000000002</v>
      </c>
      <c r="BU29" s="110">
        <v>13814.31</v>
      </c>
      <c r="BV29" s="110">
        <v>3559.77</v>
      </c>
      <c r="BW29" s="110">
        <v>1798.14</v>
      </c>
      <c r="BX29" s="110">
        <v>1795.85</v>
      </c>
      <c r="BY29" s="110">
        <v>2.29</v>
      </c>
      <c r="BZ29" s="110">
        <v>237362</v>
      </c>
      <c r="CA29" s="110">
        <v>196328</v>
      </c>
      <c r="CB29" s="110">
        <v>133448</v>
      </c>
      <c r="CC29" s="110">
        <v>62880</v>
      </c>
      <c r="CD29" s="110">
        <v>41034</v>
      </c>
      <c r="CE29" s="110">
        <v>40740</v>
      </c>
      <c r="CF29" s="110">
        <v>294</v>
      </c>
      <c r="CG29" s="110">
        <v>223366</v>
      </c>
      <c r="CH29" s="110">
        <v>182374.5</v>
      </c>
      <c r="CI29" s="110">
        <v>129893.5</v>
      </c>
      <c r="CJ29" s="110">
        <v>52481</v>
      </c>
      <c r="CK29" s="110">
        <v>40991.5</v>
      </c>
      <c r="CL29" s="110">
        <v>38919.5</v>
      </c>
      <c r="CM29" s="110">
        <v>2072</v>
      </c>
      <c r="CN29" s="110">
        <v>170726.66</v>
      </c>
      <c r="CO29" s="110">
        <v>0</v>
      </c>
      <c r="CP29" s="110">
        <v>103874.22</v>
      </c>
      <c r="CQ29" s="110">
        <v>0</v>
      </c>
      <c r="CR29" s="110">
        <v>0</v>
      </c>
      <c r="CS29" s="110">
        <v>0</v>
      </c>
      <c r="CT29" s="110">
        <v>0</v>
      </c>
      <c r="CU29" s="110">
        <v>0</v>
      </c>
      <c r="CV29" s="111">
        <v>855</v>
      </c>
      <c r="CW29" s="111">
        <v>796</v>
      </c>
      <c r="CX29" s="111">
        <v>670</v>
      </c>
      <c r="CY29" s="111">
        <v>126</v>
      </c>
      <c r="CZ29" s="111">
        <v>59</v>
      </c>
      <c r="DA29" s="111">
        <v>39</v>
      </c>
      <c r="DB29" s="111">
        <v>20</v>
      </c>
      <c r="DC29" s="111">
        <v>0</v>
      </c>
      <c r="DD29" s="111">
        <v>0</v>
      </c>
      <c r="DE29" s="111">
        <v>0</v>
      </c>
      <c r="DF29" s="111">
        <v>0</v>
      </c>
      <c r="DG29" s="111">
        <v>0</v>
      </c>
      <c r="DH29" s="111">
        <v>0</v>
      </c>
      <c r="DI29" s="111">
        <v>0</v>
      </c>
      <c r="DJ29" s="111">
        <v>0</v>
      </c>
      <c r="DK29" s="111">
        <v>368</v>
      </c>
      <c r="DL29" s="111">
        <v>335</v>
      </c>
      <c r="DM29" s="111">
        <v>261</v>
      </c>
      <c r="DN29" s="111">
        <v>74</v>
      </c>
      <c r="DO29" s="111">
        <v>33</v>
      </c>
      <c r="DP29" s="111">
        <v>22</v>
      </c>
      <c r="DQ29" s="111">
        <v>11</v>
      </c>
      <c r="DR29" s="111">
        <v>0</v>
      </c>
      <c r="DS29" s="111">
        <v>0</v>
      </c>
      <c r="DT29" s="111">
        <v>0</v>
      </c>
      <c r="DU29" s="111">
        <v>0</v>
      </c>
      <c r="DV29" s="111">
        <v>0</v>
      </c>
      <c r="DW29" s="111">
        <v>0</v>
      </c>
      <c r="DX29" s="111">
        <v>0</v>
      </c>
      <c r="DY29" s="111">
        <v>0</v>
      </c>
      <c r="DZ29" s="111">
        <v>487</v>
      </c>
      <c r="EA29" s="111">
        <v>461</v>
      </c>
      <c r="EB29" s="111">
        <v>409</v>
      </c>
      <c r="EC29" s="111">
        <v>52</v>
      </c>
      <c r="ED29" s="111">
        <v>26</v>
      </c>
      <c r="EE29" s="111">
        <v>17</v>
      </c>
      <c r="EF29" s="111">
        <v>9</v>
      </c>
      <c r="EG29" s="111">
        <v>46</v>
      </c>
      <c r="EH29" s="111">
        <v>36</v>
      </c>
      <c r="EI29" s="111">
        <v>22</v>
      </c>
      <c r="EJ29" s="111">
        <v>14</v>
      </c>
      <c r="EK29" s="111">
        <v>10</v>
      </c>
      <c r="EL29" s="111">
        <v>9</v>
      </c>
      <c r="EM29" s="111">
        <v>1</v>
      </c>
      <c r="EN29" s="111">
        <v>18</v>
      </c>
      <c r="EO29" s="111">
        <v>0</v>
      </c>
      <c r="EP29" s="111">
        <v>0</v>
      </c>
      <c r="EQ29" s="111">
        <v>18</v>
      </c>
      <c r="ER29" s="111">
        <v>0</v>
      </c>
      <c r="ES29" s="111">
        <v>0</v>
      </c>
      <c r="ET29" s="111">
        <v>0</v>
      </c>
      <c r="EU29" s="111">
        <v>0</v>
      </c>
      <c r="EV29" s="111">
        <v>0</v>
      </c>
      <c r="EW29" s="111">
        <v>0</v>
      </c>
      <c r="EX29" s="111">
        <v>0</v>
      </c>
      <c r="EY29" s="111">
        <v>0</v>
      </c>
      <c r="EZ29" s="111">
        <v>0</v>
      </c>
      <c r="FA29" s="111">
        <v>0</v>
      </c>
      <c r="FB29" s="111">
        <v>23</v>
      </c>
    </row>
    <row r="30" spans="1:158" ht="19.5" customHeight="1">
      <c r="A30" s="107">
        <v>27</v>
      </c>
      <c r="B30" s="107" t="s">
        <v>382</v>
      </c>
      <c r="C30" s="107" t="s">
        <v>383</v>
      </c>
      <c r="D30" s="110">
        <v>31262</v>
      </c>
      <c r="E30" s="110">
        <v>31262</v>
      </c>
      <c r="F30" s="110">
        <v>0</v>
      </c>
      <c r="G30" s="110">
        <v>147</v>
      </c>
      <c r="H30" s="110">
        <v>0</v>
      </c>
      <c r="I30" s="110">
        <v>328</v>
      </c>
      <c r="J30" s="110">
        <v>0</v>
      </c>
      <c r="K30" s="110">
        <v>0</v>
      </c>
      <c r="L30" s="110">
        <v>0</v>
      </c>
      <c r="M30" s="110">
        <v>0</v>
      </c>
      <c r="N30" s="110">
        <v>0</v>
      </c>
      <c r="O30" s="110">
        <v>39077.519999999997</v>
      </c>
      <c r="P30" s="110">
        <v>36545.08</v>
      </c>
      <c r="Q30" s="110">
        <v>30091.16</v>
      </c>
      <c r="R30" s="110">
        <v>6453.92</v>
      </c>
      <c r="S30" s="110">
        <v>2532.44</v>
      </c>
      <c r="T30" s="110">
        <v>1201.44</v>
      </c>
      <c r="U30" s="110">
        <v>1331</v>
      </c>
      <c r="V30" s="110">
        <v>39077.519999999997</v>
      </c>
      <c r="W30" s="110">
        <v>36545.08</v>
      </c>
      <c r="X30" s="110">
        <v>30091.16</v>
      </c>
      <c r="Y30" s="110">
        <v>6453.92</v>
      </c>
      <c r="Z30" s="110">
        <v>2532.44</v>
      </c>
      <c r="AA30" s="110">
        <v>1201.44</v>
      </c>
      <c r="AB30" s="110">
        <v>1331</v>
      </c>
      <c r="AC30" s="110">
        <v>6955.56</v>
      </c>
      <c r="AD30" s="110">
        <v>6662.12</v>
      </c>
      <c r="AE30" s="110">
        <v>5694.32</v>
      </c>
      <c r="AF30" s="110">
        <v>967.8</v>
      </c>
      <c r="AG30" s="110">
        <v>293.44</v>
      </c>
      <c r="AH30" s="110">
        <v>293.44</v>
      </c>
      <c r="AI30" s="110">
        <v>0</v>
      </c>
      <c r="AJ30" s="110">
        <v>859.96</v>
      </c>
      <c r="AK30" s="110">
        <v>859.96</v>
      </c>
      <c r="AL30" s="110">
        <v>607.84</v>
      </c>
      <c r="AM30" s="110">
        <v>252.12</v>
      </c>
      <c r="AN30" s="110">
        <v>0</v>
      </c>
      <c r="AO30" s="110">
        <v>0</v>
      </c>
      <c r="AP30" s="110">
        <v>0</v>
      </c>
      <c r="AQ30" s="110">
        <v>24586</v>
      </c>
      <c r="AR30" s="110">
        <v>22777</v>
      </c>
      <c r="AS30" s="110">
        <v>19205</v>
      </c>
      <c r="AT30" s="110">
        <v>3572</v>
      </c>
      <c r="AU30" s="110">
        <v>1809</v>
      </c>
      <c r="AV30" s="110">
        <v>668</v>
      </c>
      <c r="AW30" s="110">
        <v>1141</v>
      </c>
      <c r="AX30" s="110">
        <v>6676</v>
      </c>
      <c r="AY30" s="110">
        <v>6246</v>
      </c>
      <c r="AZ30" s="110">
        <v>4584</v>
      </c>
      <c r="BA30" s="110">
        <v>1662</v>
      </c>
      <c r="BB30" s="110">
        <v>430</v>
      </c>
      <c r="BC30" s="110">
        <v>240</v>
      </c>
      <c r="BD30" s="110">
        <v>190</v>
      </c>
      <c r="BE30" s="110">
        <v>0</v>
      </c>
      <c r="BF30" s="110">
        <v>0</v>
      </c>
      <c r="BG30" s="110">
        <v>0</v>
      </c>
      <c r="BH30" s="110">
        <v>0</v>
      </c>
      <c r="BI30" s="110">
        <v>0</v>
      </c>
      <c r="BJ30" s="110">
        <v>0</v>
      </c>
      <c r="BK30" s="110">
        <v>0</v>
      </c>
      <c r="BL30" s="110">
        <v>0</v>
      </c>
      <c r="BM30" s="110">
        <v>0</v>
      </c>
      <c r="BN30" s="110">
        <v>0</v>
      </c>
      <c r="BO30" s="110">
        <v>0</v>
      </c>
      <c r="BP30" s="110">
        <v>0</v>
      </c>
      <c r="BQ30" s="110">
        <v>0</v>
      </c>
      <c r="BR30" s="110">
        <v>0</v>
      </c>
      <c r="BS30" s="110">
        <v>0</v>
      </c>
      <c r="BT30" s="110">
        <v>0</v>
      </c>
      <c r="BU30" s="110">
        <v>0</v>
      </c>
      <c r="BV30" s="110">
        <v>0</v>
      </c>
      <c r="BW30" s="110">
        <v>0</v>
      </c>
      <c r="BX30" s="110">
        <v>0</v>
      </c>
      <c r="BY30" s="110">
        <v>0</v>
      </c>
      <c r="BZ30" s="110">
        <v>0</v>
      </c>
      <c r="CA30" s="110">
        <v>0</v>
      </c>
      <c r="CB30" s="110">
        <v>0</v>
      </c>
      <c r="CC30" s="110">
        <v>0</v>
      </c>
      <c r="CD30" s="110">
        <v>0</v>
      </c>
      <c r="CE30" s="110">
        <v>0</v>
      </c>
      <c r="CF30" s="110">
        <v>0</v>
      </c>
      <c r="CG30" s="110">
        <v>0</v>
      </c>
      <c r="CH30" s="110">
        <v>0</v>
      </c>
      <c r="CI30" s="110">
        <v>0</v>
      </c>
      <c r="CJ30" s="110">
        <v>0</v>
      </c>
      <c r="CK30" s="110">
        <v>0</v>
      </c>
      <c r="CL30" s="110">
        <v>0</v>
      </c>
      <c r="CM30" s="110">
        <v>0</v>
      </c>
      <c r="CN30" s="110">
        <v>22834.560000000001</v>
      </c>
      <c r="CO30" s="110">
        <v>0</v>
      </c>
      <c r="CP30" s="110">
        <v>13477.96</v>
      </c>
      <c r="CQ30" s="110">
        <v>0</v>
      </c>
      <c r="CR30" s="110">
        <v>2765</v>
      </c>
      <c r="CS30" s="110">
        <v>0</v>
      </c>
      <c r="CT30" s="110">
        <v>0</v>
      </c>
      <c r="CU30" s="110">
        <v>0</v>
      </c>
      <c r="CV30" s="111">
        <v>147</v>
      </c>
      <c r="CW30" s="111">
        <v>135</v>
      </c>
      <c r="CX30" s="111">
        <v>104</v>
      </c>
      <c r="CY30" s="111">
        <v>31</v>
      </c>
      <c r="CZ30" s="111">
        <v>12</v>
      </c>
      <c r="DA30" s="111">
        <v>7</v>
      </c>
      <c r="DB30" s="111">
        <v>5</v>
      </c>
      <c r="DC30" s="111">
        <v>0</v>
      </c>
      <c r="DD30" s="111">
        <v>0</v>
      </c>
      <c r="DE30" s="111">
        <v>0</v>
      </c>
      <c r="DF30" s="111">
        <v>0</v>
      </c>
      <c r="DG30" s="111">
        <v>0</v>
      </c>
      <c r="DH30" s="111">
        <v>0</v>
      </c>
      <c r="DI30" s="111">
        <v>0</v>
      </c>
      <c r="DJ30" s="111">
        <v>0</v>
      </c>
      <c r="DK30" s="111">
        <v>56</v>
      </c>
      <c r="DL30" s="111">
        <v>51</v>
      </c>
      <c r="DM30" s="111">
        <v>38</v>
      </c>
      <c r="DN30" s="111">
        <v>13</v>
      </c>
      <c r="DO30" s="111">
        <v>5</v>
      </c>
      <c r="DP30" s="111">
        <v>2</v>
      </c>
      <c r="DQ30" s="111">
        <v>3</v>
      </c>
      <c r="DR30" s="111">
        <v>5</v>
      </c>
      <c r="DS30" s="111">
        <v>0</v>
      </c>
      <c r="DT30" s="111">
        <v>5</v>
      </c>
      <c r="DU30" s="111">
        <v>3</v>
      </c>
      <c r="DV30" s="111">
        <v>2</v>
      </c>
      <c r="DW30" s="111">
        <v>0</v>
      </c>
      <c r="DX30" s="111">
        <v>0</v>
      </c>
      <c r="DY30" s="111">
        <v>0</v>
      </c>
      <c r="DZ30" s="111">
        <v>86</v>
      </c>
      <c r="EA30" s="111">
        <v>79</v>
      </c>
      <c r="EB30" s="111">
        <v>63</v>
      </c>
      <c r="EC30" s="111">
        <v>16</v>
      </c>
      <c r="ED30" s="111">
        <v>7</v>
      </c>
      <c r="EE30" s="111">
        <v>5</v>
      </c>
      <c r="EF30" s="111">
        <v>2</v>
      </c>
      <c r="EG30" s="111">
        <v>0</v>
      </c>
      <c r="EH30" s="111">
        <v>0</v>
      </c>
      <c r="EI30" s="111">
        <v>0</v>
      </c>
      <c r="EJ30" s="111">
        <v>0</v>
      </c>
      <c r="EK30" s="111">
        <v>0</v>
      </c>
      <c r="EL30" s="111">
        <v>0</v>
      </c>
      <c r="EM30" s="111">
        <v>0</v>
      </c>
      <c r="EN30" s="111">
        <v>0</v>
      </c>
      <c r="EO30" s="111">
        <v>0</v>
      </c>
      <c r="EP30" s="111">
        <v>0</v>
      </c>
      <c r="EQ30" s="111">
        <v>0</v>
      </c>
      <c r="ER30" s="111">
        <v>0</v>
      </c>
      <c r="ES30" s="111">
        <v>0</v>
      </c>
      <c r="ET30" s="111">
        <v>0</v>
      </c>
      <c r="EU30" s="111">
        <v>0</v>
      </c>
      <c r="EV30" s="111">
        <v>0</v>
      </c>
      <c r="EW30" s="111">
        <v>0</v>
      </c>
      <c r="EX30" s="111">
        <v>0</v>
      </c>
      <c r="EY30" s="111">
        <v>0</v>
      </c>
      <c r="EZ30" s="111">
        <v>0</v>
      </c>
      <c r="FA30" s="111">
        <v>0</v>
      </c>
      <c r="FB30" s="111">
        <v>0</v>
      </c>
    </row>
    <row r="31" spans="1:158" ht="19.5" customHeight="1">
      <c r="A31" s="107">
        <v>28</v>
      </c>
      <c r="B31" s="107" t="s">
        <v>374</v>
      </c>
      <c r="C31" s="107" t="s">
        <v>384</v>
      </c>
      <c r="D31" s="110">
        <v>346700</v>
      </c>
      <c r="E31" s="110">
        <v>62635</v>
      </c>
      <c r="F31" s="110">
        <v>284065</v>
      </c>
      <c r="G31" s="110">
        <v>354</v>
      </c>
      <c r="H31" s="110">
        <v>97</v>
      </c>
      <c r="I31" s="110">
        <v>364</v>
      </c>
      <c r="J31" s="110">
        <v>0</v>
      </c>
      <c r="K31" s="110">
        <v>0</v>
      </c>
      <c r="L31" s="110">
        <v>3169</v>
      </c>
      <c r="M31" s="110">
        <v>0</v>
      </c>
      <c r="N31" s="110">
        <v>0</v>
      </c>
      <c r="O31" s="110">
        <v>1567854.11</v>
      </c>
      <c r="P31" s="110">
        <v>336297.25</v>
      </c>
      <c r="Q31" s="110">
        <v>327046.55</v>
      </c>
      <c r="R31" s="110">
        <v>9250.7000000000007</v>
      </c>
      <c r="S31" s="110">
        <v>1231556.8600000001</v>
      </c>
      <c r="T31" s="110">
        <v>1198502.6200000001</v>
      </c>
      <c r="U31" s="110">
        <v>33054.239999999998</v>
      </c>
      <c r="V31" s="110">
        <v>118662.98</v>
      </c>
      <c r="W31" s="110">
        <v>92615.29</v>
      </c>
      <c r="X31" s="110">
        <v>83364.59</v>
      </c>
      <c r="Y31" s="110">
        <v>9250.7000000000007</v>
      </c>
      <c r="Z31" s="110">
        <v>26047.69</v>
      </c>
      <c r="AA31" s="110">
        <v>12707.41</v>
      </c>
      <c r="AB31" s="110">
        <v>13340.28</v>
      </c>
      <c r="AC31" s="110">
        <v>55305.04</v>
      </c>
      <c r="AD31" s="110">
        <v>42126.35</v>
      </c>
      <c r="AE31" s="110">
        <v>38457.42</v>
      </c>
      <c r="AF31" s="110">
        <v>3668.93</v>
      </c>
      <c r="AG31" s="110">
        <v>13178.69</v>
      </c>
      <c r="AH31" s="110">
        <v>7993.41</v>
      </c>
      <c r="AI31" s="110">
        <v>5185.28</v>
      </c>
      <c r="AJ31" s="110">
        <v>722.94</v>
      </c>
      <c r="AK31" s="110">
        <v>722.94</v>
      </c>
      <c r="AL31" s="110">
        <v>612.16999999999996</v>
      </c>
      <c r="AM31" s="110">
        <v>110.77</v>
      </c>
      <c r="AN31" s="110">
        <v>0</v>
      </c>
      <c r="AO31" s="110">
        <v>0</v>
      </c>
      <c r="AP31" s="110">
        <v>0</v>
      </c>
      <c r="AQ31" s="110">
        <v>49144</v>
      </c>
      <c r="AR31" s="110">
        <v>40665</v>
      </c>
      <c r="AS31" s="110">
        <v>36569</v>
      </c>
      <c r="AT31" s="110">
        <v>4096</v>
      </c>
      <c r="AU31" s="110">
        <v>8479</v>
      </c>
      <c r="AV31" s="110">
        <v>2534</v>
      </c>
      <c r="AW31" s="110">
        <v>5945</v>
      </c>
      <c r="AX31" s="110">
        <v>13491</v>
      </c>
      <c r="AY31" s="110">
        <v>9101</v>
      </c>
      <c r="AZ31" s="110">
        <v>7726</v>
      </c>
      <c r="BA31" s="110">
        <v>1375</v>
      </c>
      <c r="BB31" s="110">
        <v>4390</v>
      </c>
      <c r="BC31" s="110">
        <v>2180</v>
      </c>
      <c r="BD31" s="110">
        <v>2210</v>
      </c>
      <c r="BE31" s="110">
        <v>1449191.13</v>
      </c>
      <c r="BF31" s="110">
        <v>243681.96</v>
      </c>
      <c r="BG31" s="110">
        <v>243681.96</v>
      </c>
      <c r="BH31" s="110">
        <v>0</v>
      </c>
      <c r="BI31" s="110">
        <v>1205509.17</v>
      </c>
      <c r="BJ31" s="110">
        <v>1185795.21</v>
      </c>
      <c r="BK31" s="110">
        <v>19713.96</v>
      </c>
      <c r="BL31" s="110">
        <v>1155383.95</v>
      </c>
      <c r="BM31" s="110">
        <v>190664.36</v>
      </c>
      <c r="BN31" s="110">
        <v>190664.36</v>
      </c>
      <c r="BO31" s="110">
        <v>0</v>
      </c>
      <c r="BP31" s="110">
        <v>964719.59</v>
      </c>
      <c r="BQ31" s="110">
        <v>951170.09</v>
      </c>
      <c r="BR31" s="110">
        <v>13549.5</v>
      </c>
      <c r="BS31" s="110">
        <v>9742.18</v>
      </c>
      <c r="BT31" s="110">
        <v>1708.6</v>
      </c>
      <c r="BU31" s="110">
        <v>1708.6</v>
      </c>
      <c r="BV31" s="110">
        <v>0</v>
      </c>
      <c r="BW31" s="110">
        <v>8033.58</v>
      </c>
      <c r="BX31" s="110">
        <v>7833.12</v>
      </c>
      <c r="BY31" s="110">
        <v>200.46</v>
      </c>
      <c r="BZ31" s="110">
        <v>173180</v>
      </c>
      <c r="CA31" s="110">
        <v>29500</v>
      </c>
      <c r="CB31" s="110">
        <v>29500</v>
      </c>
      <c r="CC31" s="110">
        <v>0</v>
      </c>
      <c r="CD31" s="110">
        <v>143680</v>
      </c>
      <c r="CE31" s="110">
        <v>140338</v>
      </c>
      <c r="CF31" s="110">
        <v>3342</v>
      </c>
      <c r="CG31" s="110">
        <v>110885</v>
      </c>
      <c r="CH31" s="110">
        <v>21809</v>
      </c>
      <c r="CI31" s="110">
        <v>21809</v>
      </c>
      <c r="CJ31" s="110">
        <v>0</v>
      </c>
      <c r="CK31" s="110">
        <v>89076</v>
      </c>
      <c r="CL31" s="110">
        <v>86454</v>
      </c>
      <c r="CM31" s="110">
        <v>2622</v>
      </c>
      <c r="CN31" s="110">
        <v>38651.56</v>
      </c>
      <c r="CO31" s="110">
        <v>90</v>
      </c>
      <c r="CP31" s="110">
        <v>56527.32</v>
      </c>
      <c r="CQ31" s="110">
        <v>23434.1</v>
      </c>
      <c r="CR31" s="110">
        <v>0</v>
      </c>
      <c r="CS31" s="110">
        <v>0</v>
      </c>
      <c r="CT31" s="110">
        <v>0</v>
      </c>
      <c r="CU31" s="110">
        <v>0</v>
      </c>
      <c r="CV31" s="111">
        <v>354</v>
      </c>
      <c r="CW31" s="111">
        <v>254</v>
      </c>
      <c r="CX31" s="111">
        <v>216</v>
      </c>
      <c r="CY31" s="111">
        <v>38</v>
      </c>
      <c r="CZ31" s="111">
        <v>100</v>
      </c>
      <c r="DA31" s="111">
        <v>51</v>
      </c>
      <c r="DB31" s="111">
        <v>49</v>
      </c>
      <c r="DC31" s="111">
        <v>59</v>
      </c>
      <c r="DD31" s="111">
        <v>0</v>
      </c>
      <c r="DE31" s="111">
        <v>47</v>
      </c>
      <c r="DF31" s="111">
        <v>40</v>
      </c>
      <c r="DG31" s="111">
        <v>7</v>
      </c>
      <c r="DH31" s="111">
        <v>12</v>
      </c>
      <c r="DI31" s="111">
        <v>6</v>
      </c>
      <c r="DJ31" s="111">
        <v>6</v>
      </c>
      <c r="DK31" s="111">
        <v>159</v>
      </c>
      <c r="DL31" s="111">
        <v>83</v>
      </c>
      <c r="DM31" s="111">
        <v>70</v>
      </c>
      <c r="DN31" s="111">
        <v>13</v>
      </c>
      <c r="DO31" s="111">
        <v>76</v>
      </c>
      <c r="DP31" s="111">
        <v>36</v>
      </c>
      <c r="DQ31" s="111">
        <v>40</v>
      </c>
      <c r="DR31" s="111">
        <v>0</v>
      </c>
      <c r="DS31" s="111">
        <v>0</v>
      </c>
      <c r="DT31" s="111">
        <v>0</v>
      </c>
      <c r="DU31" s="111">
        <v>0</v>
      </c>
      <c r="DV31" s="111">
        <v>0</v>
      </c>
      <c r="DW31" s="111">
        <v>0</v>
      </c>
      <c r="DX31" s="111">
        <v>0</v>
      </c>
      <c r="DY31" s="111">
        <v>0</v>
      </c>
      <c r="DZ31" s="111">
        <v>136</v>
      </c>
      <c r="EA31" s="111">
        <v>124</v>
      </c>
      <c r="EB31" s="111">
        <v>106</v>
      </c>
      <c r="EC31" s="111">
        <v>18</v>
      </c>
      <c r="ED31" s="111">
        <v>12</v>
      </c>
      <c r="EE31" s="111">
        <v>9</v>
      </c>
      <c r="EF31" s="111">
        <v>3</v>
      </c>
      <c r="EG31" s="111">
        <v>97</v>
      </c>
      <c r="EH31" s="111">
        <v>21</v>
      </c>
      <c r="EI31" s="111">
        <v>21</v>
      </c>
      <c r="EJ31" s="111">
        <v>0</v>
      </c>
      <c r="EK31" s="111">
        <v>76</v>
      </c>
      <c r="EL31" s="111">
        <v>73</v>
      </c>
      <c r="EM31" s="111">
        <v>3</v>
      </c>
      <c r="EN31" s="111">
        <v>24</v>
      </c>
      <c r="EO31" s="111">
        <v>0</v>
      </c>
      <c r="EP31" s="111">
        <v>0</v>
      </c>
      <c r="EQ31" s="111">
        <v>24</v>
      </c>
      <c r="ER31" s="111">
        <v>0</v>
      </c>
      <c r="ES31" s="111">
        <v>0</v>
      </c>
      <c r="ET31" s="111">
        <v>0</v>
      </c>
      <c r="EU31" s="111">
        <v>0</v>
      </c>
      <c r="EV31" s="111">
        <v>0</v>
      </c>
      <c r="EW31" s="111">
        <v>0</v>
      </c>
      <c r="EX31" s="111">
        <v>0</v>
      </c>
      <c r="EY31" s="111">
        <v>0</v>
      </c>
      <c r="EZ31" s="111">
        <v>0</v>
      </c>
      <c r="FA31" s="111">
        <v>0</v>
      </c>
      <c r="FB31" s="111">
        <v>93</v>
      </c>
    </row>
    <row r="32" spans="1:158" ht="19.5" customHeight="1">
      <c r="A32" s="107">
        <v>29</v>
      </c>
      <c r="B32" s="107" t="s">
        <v>374</v>
      </c>
      <c r="C32" s="107" t="s">
        <v>385</v>
      </c>
      <c r="D32" s="110">
        <v>397286</v>
      </c>
      <c r="E32" s="110">
        <v>397286</v>
      </c>
      <c r="F32" s="110">
        <v>0</v>
      </c>
      <c r="G32" s="110">
        <v>2639</v>
      </c>
      <c r="H32" s="110">
        <v>0</v>
      </c>
      <c r="I32" s="110">
        <v>6150</v>
      </c>
      <c r="J32" s="110">
        <v>0</v>
      </c>
      <c r="K32" s="110">
        <v>0</v>
      </c>
      <c r="L32" s="110">
        <v>0</v>
      </c>
      <c r="M32" s="110">
        <v>0</v>
      </c>
      <c r="N32" s="110">
        <v>0</v>
      </c>
      <c r="O32" s="110">
        <v>873738.99</v>
      </c>
      <c r="P32" s="110">
        <v>827344.87</v>
      </c>
      <c r="Q32" s="110">
        <v>737095.83</v>
      </c>
      <c r="R32" s="110">
        <v>90249.04</v>
      </c>
      <c r="S32" s="110">
        <v>46394.12</v>
      </c>
      <c r="T32" s="110">
        <v>20563.23</v>
      </c>
      <c r="U32" s="110">
        <v>25830.89</v>
      </c>
      <c r="V32" s="110">
        <v>873738.99</v>
      </c>
      <c r="W32" s="110">
        <v>827344.87</v>
      </c>
      <c r="X32" s="110">
        <v>737095.83</v>
      </c>
      <c r="Y32" s="110">
        <v>90249.04</v>
      </c>
      <c r="Z32" s="110">
        <v>46394.12</v>
      </c>
      <c r="AA32" s="110">
        <v>20563.23</v>
      </c>
      <c r="AB32" s="110">
        <v>25830.89</v>
      </c>
      <c r="AC32" s="110">
        <v>463305.72</v>
      </c>
      <c r="AD32" s="110">
        <v>437485.48</v>
      </c>
      <c r="AE32" s="110">
        <v>393853.19</v>
      </c>
      <c r="AF32" s="110">
        <v>43632.29</v>
      </c>
      <c r="AG32" s="110">
        <v>25820.240000000002</v>
      </c>
      <c r="AH32" s="110">
        <v>11352.69</v>
      </c>
      <c r="AI32" s="110">
        <v>14467.55</v>
      </c>
      <c r="AJ32" s="110">
        <v>13147.27</v>
      </c>
      <c r="AK32" s="110">
        <v>12522.39</v>
      </c>
      <c r="AL32" s="110">
        <v>10901.64</v>
      </c>
      <c r="AM32" s="110">
        <v>1620.75</v>
      </c>
      <c r="AN32" s="110">
        <v>624.88</v>
      </c>
      <c r="AO32" s="110">
        <v>265.54000000000002</v>
      </c>
      <c r="AP32" s="110">
        <v>359.34</v>
      </c>
      <c r="AQ32" s="110">
        <v>309215</v>
      </c>
      <c r="AR32" s="110">
        <v>294965</v>
      </c>
      <c r="AS32" s="110">
        <v>260884</v>
      </c>
      <c r="AT32" s="110">
        <v>34081</v>
      </c>
      <c r="AU32" s="110">
        <v>14250</v>
      </c>
      <c r="AV32" s="110">
        <v>6341</v>
      </c>
      <c r="AW32" s="110">
        <v>7909</v>
      </c>
      <c r="AX32" s="110">
        <v>88071</v>
      </c>
      <c r="AY32" s="110">
        <v>82372</v>
      </c>
      <c r="AZ32" s="110">
        <v>71457</v>
      </c>
      <c r="BA32" s="110">
        <v>10915</v>
      </c>
      <c r="BB32" s="110">
        <v>5699</v>
      </c>
      <c r="BC32" s="110">
        <v>2604</v>
      </c>
      <c r="BD32" s="110">
        <v>3095</v>
      </c>
      <c r="BE32" s="110">
        <v>0</v>
      </c>
      <c r="BF32" s="110">
        <v>0</v>
      </c>
      <c r="BG32" s="110">
        <v>0</v>
      </c>
      <c r="BH32" s="110">
        <v>0</v>
      </c>
      <c r="BI32" s="110">
        <v>0</v>
      </c>
      <c r="BJ32" s="110">
        <v>0</v>
      </c>
      <c r="BK32" s="110">
        <v>0</v>
      </c>
      <c r="BL32" s="110">
        <v>0</v>
      </c>
      <c r="BM32" s="110">
        <v>0</v>
      </c>
      <c r="BN32" s="110">
        <v>0</v>
      </c>
      <c r="BO32" s="110">
        <v>0</v>
      </c>
      <c r="BP32" s="110">
        <v>0</v>
      </c>
      <c r="BQ32" s="110">
        <v>0</v>
      </c>
      <c r="BR32" s="110">
        <v>0</v>
      </c>
      <c r="BS32" s="110">
        <v>0</v>
      </c>
      <c r="BT32" s="110">
        <v>0</v>
      </c>
      <c r="BU32" s="110">
        <v>0</v>
      </c>
      <c r="BV32" s="110">
        <v>0</v>
      </c>
      <c r="BW32" s="110">
        <v>0</v>
      </c>
      <c r="BX32" s="110">
        <v>0</v>
      </c>
      <c r="BY32" s="110">
        <v>0</v>
      </c>
      <c r="BZ32" s="110">
        <v>0</v>
      </c>
      <c r="CA32" s="110">
        <v>0</v>
      </c>
      <c r="CB32" s="110">
        <v>0</v>
      </c>
      <c r="CC32" s="110">
        <v>0</v>
      </c>
      <c r="CD32" s="110">
        <v>0</v>
      </c>
      <c r="CE32" s="110">
        <v>0</v>
      </c>
      <c r="CF32" s="110">
        <v>0</v>
      </c>
      <c r="CG32" s="110">
        <v>0</v>
      </c>
      <c r="CH32" s="110">
        <v>0</v>
      </c>
      <c r="CI32" s="110">
        <v>0</v>
      </c>
      <c r="CJ32" s="110">
        <v>0</v>
      </c>
      <c r="CK32" s="110">
        <v>0</v>
      </c>
      <c r="CL32" s="110">
        <v>0</v>
      </c>
      <c r="CM32" s="110">
        <v>0</v>
      </c>
      <c r="CN32" s="110">
        <v>352753.74</v>
      </c>
      <c r="CO32" s="110">
        <v>371014.12</v>
      </c>
      <c r="CP32" s="110">
        <v>133777.31</v>
      </c>
      <c r="CQ32" s="110">
        <v>1541</v>
      </c>
      <c r="CR32" s="110">
        <v>14652.82</v>
      </c>
      <c r="CS32" s="110">
        <v>0</v>
      </c>
      <c r="CT32" s="110">
        <v>0</v>
      </c>
      <c r="CU32" s="110">
        <v>0</v>
      </c>
      <c r="CV32" s="111">
        <v>2639</v>
      </c>
      <c r="CW32" s="111">
        <v>2463</v>
      </c>
      <c r="CX32" s="111">
        <v>2124</v>
      </c>
      <c r="CY32" s="111">
        <v>339</v>
      </c>
      <c r="CZ32" s="111">
        <v>176</v>
      </c>
      <c r="DA32" s="111">
        <v>80</v>
      </c>
      <c r="DB32" s="111">
        <v>96</v>
      </c>
      <c r="DC32" s="111">
        <v>1193</v>
      </c>
      <c r="DD32" s="111">
        <v>0</v>
      </c>
      <c r="DE32" s="111">
        <v>1094</v>
      </c>
      <c r="DF32" s="111">
        <v>931</v>
      </c>
      <c r="DG32" s="111">
        <v>163</v>
      </c>
      <c r="DH32" s="111">
        <v>99</v>
      </c>
      <c r="DI32" s="111">
        <v>40</v>
      </c>
      <c r="DJ32" s="111">
        <v>59</v>
      </c>
      <c r="DK32" s="111">
        <v>389</v>
      </c>
      <c r="DL32" s="111">
        <v>358</v>
      </c>
      <c r="DM32" s="111">
        <v>302</v>
      </c>
      <c r="DN32" s="111">
        <v>56</v>
      </c>
      <c r="DO32" s="111">
        <v>31</v>
      </c>
      <c r="DP32" s="111">
        <v>11</v>
      </c>
      <c r="DQ32" s="111">
        <v>20</v>
      </c>
      <c r="DR32" s="111">
        <v>33</v>
      </c>
      <c r="DS32" s="111">
        <v>0</v>
      </c>
      <c r="DT32" s="111">
        <v>31</v>
      </c>
      <c r="DU32" s="111">
        <v>29</v>
      </c>
      <c r="DV32" s="111">
        <v>2</v>
      </c>
      <c r="DW32" s="111">
        <v>2</v>
      </c>
      <c r="DX32" s="111">
        <v>1</v>
      </c>
      <c r="DY32" s="111">
        <v>1</v>
      </c>
      <c r="DZ32" s="111">
        <v>1024</v>
      </c>
      <c r="EA32" s="111">
        <v>980</v>
      </c>
      <c r="EB32" s="111">
        <v>862</v>
      </c>
      <c r="EC32" s="111">
        <v>118</v>
      </c>
      <c r="ED32" s="111">
        <v>44</v>
      </c>
      <c r="EE32" s="111">
        <v>28</v>
      </c>
      <c r="EF32" s="111">
        <v>16</v>
      </c>
      <c r="EG32" s="111">
        <v>0</v>
      </c>
      <c r="EH32" s="111">
        <v>0</v>
      </c>
      <c r="EI32" s="111">
        <v>0</v>
      </c>
      <c r="EJ32" s="111">
        <v>0</v>
      </c>
      <c r="EK32" s="111">
        <v>0</v>
      </c>
      <c r="EL32" s="111">
        <v>0</v>
      </c>
      <c r="EM32" s="111">
        <v>0</v>
      </c>
      <c r="EN32" s="111">
        <v>0</v>
      </c>
      <c r="EO32" s="111">
        <v>0</v>
      </c>
      <c r="EP32" s="111">
        <v>0</v>
      </c>
      <c r="EQ32" s="111">
        <v>0</v>
      </c>
      <c r="ER32" s="111">
        <v>0</v>
      </c>
      <c r="ES32" s="111">
        <v>0</v>
      </c>
      <c r="ET32" s="111">
        <v>0</v>
      </c>
      <c r="EU32" s="111">
        <v>0</v>
      </c>
      <c r="EV32" s="111">
        <v>0</v>
      </c>
      <c r="EW32" s="111">
        <v>0</v>
      </c>
      <c r="EX32" s="111">
        <v>0</v>
      </c>
      <c r="EY32" s="111">
        <v>0</v>
      </c>
      <c r="EZ32" s="111">
        <v>0</v>
      </c>
      <c r="FA32" s="111">
        <v>0</v>
      </c>
      <c r="FB32" s="111">
        <v>0</v>
      </c>
    </row>
    <row r="33" spans="1:158" ht="19.5" customHeight="1">
      <c r="A33" s="107">
        <v>30</v>
      </c>
      <c r="B33" s="107" t="s">
        <v>374</v>
      </c>
      <c r="C33" s="107" t="s">
        <v>386</v>
      </c>
      <c r="D33" s="110">
        <v>861343</v>
      </c>
      <c r="E33" s="110">
        <v>215841.5</v>
      </c>
      <c r="F33" s="110">
        <v>645501.5</v>
      </c>
      <c r="G33" s="110">
        <v>1346</v>
      </c>
      <c r="H33" s="110">
        <v>57</v>
      </c>
      <c r="I33" s="110">
        <v>3328.5</v>
      </c>
      <c r="J33" s="110">
        <v>0</v>
      </c>
      <c r="K33" s="110">
        <v>0</v>
      </c>
      <c r="L33" s="110">
        <v>36917.5</v>
      </c>
      <c r="M33" s="110">
        <v>69271.5</v>
      </c>
      <c r="N33" s="110">
        <v>0</v>
      </c>
      <c r="O33" s="110">
        <v>1236825.6499999999</v>
      </c>
      <c r="P33" s="110">
        <v>850760.21</v>
      </c>
      <c r="Q33" s="110">
        <v>783757.23</v>
      </c>
      <c r="R33" s="110">
        <v>67002.98</v>
      </c>
      <c r="S33" s="110">
        <v>386065.44</v>
      </c>
      <c r="T33" s="110">
        <v>367712.91</v>
      </c>
      <c r="U33" s="110">
        <v>18352.53</v>
      </c>
      <c r="V33" s="110">
        <v>426758.59</v>
      </c>
      <c r="W33" s="110">
        <v>399599.03</v>
      </c>
      <c r="X33" s="110">
        <v>359103.59</v>
      </c>
      <c r="Y33" s="110">
        <v>40495.440000000002</v>
      </c>
      <c r="Z33" s="110">
        <v>27159.56</v>
      </c>
      <c r="AA33" s="110">
        <v>13324.63</v>
      </c>
      <c r="AB33" s="110">
        <v>13834.93</v>
      </c>
      <c r="AC33" s="110">
        <v>203146.02</v>
      </c>
      <c r="AD33" s="110">
        <v>189745.31</v>
      </c>
      <c r="AE33" s="110">
        <v>171977.85</v>
      </c>
      <c r="AF33" s="110">
        <v>17767.46</v>
      </c>
      <c r="AG33" s="110">
        <v>13400.71</v>
      </c>
      <c r="AH33" s="110">
        <v>5697.19</v>
      </c>
      <c r="AI33" s="110">
        <v>7703.52</v>
      </c>
      <c r="AJ33" s="110">
        <v>7771.07</v>
      </c>
      <c r="AK33" s="110">
        <v>7078.22</v>
      </c>
      <c r="AL33" s="110">
        <v>6362.24</v>
      </c>
      <c r="AM33" s="110">
        <v>715.98</v>
      </c>
      <c r="AN33" s="110">
        <v>692.85</v>
      </c>
      <c r="AO33" s="110">
        <v>381.44</v>
      </c>
      <c r="AP33" s="110">
        <v>311.41000000000003</v>
      </c>
      <c r="AQ33" s="110">
        <v>172655</v>
      </c>
      <c r="AR33" s="110">
        <v>163123</v>
      </c>
      <c r="AS33" s="110">
        <v>146258</v>
      </c>
      <c r="AT33" s="110">
        <v>16865</v>
      </c>
      <c r="AU33" s="110">
        <v>9532</v>
      </c>
      <c r="AV33" s="110">
        <v>5477</v>
      </c>
      <c r="AW33" s="110">
        <v>4055</v>
      </c>
      <c r="AX33" s="110">
        <v>43186.5</v>
      </c>
      <c r="AY33" s="110">
        <v>39652.5</v>
      </c>
      <c r="AZ33" s="110">
        <v>34505.5</v>
      </c>
      <c r="BA33" s="110">
        <v>5147</v>
      </c>
      <c r="BB33" s="110">
        <v>3534</v>
      </c>
      <c r="BC33" s="110">
        <v>1769</v>
      </c>
      <c r="BD33" s="110">
        <v>1765</v>
      </c>
      <c r="BE33" s="110">
        <v>810067.06</v>
      </c>
      <c r="BF33" s="110">
        <v>451161.18</v>
      </c>
      <c r="BG33" s="110">
        <v>424653.64</v>
      </c>
      <c r="BH33" s="110">
        <v>26507.54</v>
      </c>
      <c r="BI33" s="110">
        <v>358905.88</v>
      </c>
      <c r="BJ33" s="110">
        <v>354388.28</v>
      </c>
      <c r="BK33" s="110">
        <v>4517.6000000000004</v>
      </c>
      <c r="BL33" s="110">
        <v>73760.94</v>
      </c>
      <c r="BM33" s="110">
        <v>49634.37</v>
      </c>
      <c r="BN33" s="110">
        <v>48370.39</v>
      </c>
      <c r="BO33" s="110">
        <v>1263.98</v>
      </c>
      <c r="BP33" s="110">
        <v>24126.57</v>
      </c>
      <c r="BQ33" s="110">
        <v>24092.71</v>
      </c>
      <c r="BR33" s="110">
        <v>33.86</v>
      </c>
      <c r="BS33" s="110">
        <v>90804.62</v>
      </c>
      <c r="BT33" s="110">
        <v>17895.810000000001</v>
      </c>
      <c r="BU33" s="110">
        <v>16504.25</v>
      </c>
      <c r="BV33" s="110">
        <v>1391.56</v>
      </c>
      <c r="BW33" s="110">
        <v>72908.81</v>
      </c>
      <c r="BX33" s="110">
        <v>72843.070000000007</v>
      </c>
      <c r="BY33" s="110">
        <v>65.739999999999995</v>
      </c>
      <c r="BZ33" s="110">
        <v>394806.5</v>
      </c>
      <c r="CA33" s="110">
        <v>274250.5</v>
      </c>
      <c r="CB33" s="110">
        <v>253440.5</v>
      </c>
      <c r="CC33" s="110">
        <v>20810</v>
      </c>
      <c r="CD33" s="110">
        <v>120556</v>
      </c>
      <c r="CE33" s="110">
        <v>116781</v>
      </c>
      <c r="CF33" s="110">
        <v>3775</v>
      </c>
      <c r="CG33" s="110">
        <v>250695</v>
      </c>
      <c r="CH33" s="110">
        <v>109380.5</v>
      </c>
      <c r="CI33" s="110">
        <v>106338.5</v>
      </c>
      <c r="CJ33" s="110">
        <v>3042</v>
      </c>
      <c r="CK33" s="110">
        <v>141314.5</v>
      </c>
      <c r="CL33" s="110">
        <v>140671.5</v>
      </c>
      <c r="CM33" s="110">
        <v>643</v>
      </c>
      <c r="CN33" s="110">
        <v>140866.96</v>
      </c>
      <c r="CO33" s="110">
        <v>206813.89</v>
      </c>
      <c r="CP33" s="110">
        <v>79035.740000000005</v>
      </c>
      <c r="CQ33" s="110">
        <v>42</v>
      </c>
      <c r="CR33" s="110">
        <v>0</v>
      </c>
      <c r="CS33" s="110">
        <v>0</v>
      </c>
      <c r="CT33" s="110">
        <v>0</v>
      </c>
      <c r="CU33" s="110">
        <v>0</v>
      </c>
      <c r="CV33" s="111">
        <v>1346</v>
      </c>
      <c r="CW33" s="111">
        <v>1233</v>
      </c>
      <c r="CX33" s="111">
        <v>1065</v>
      </c>
      <c r="CY33" s="111">
        <v>168</v>
      </c>
      <c r="CZ33" s="111">
        <v>113</v>
      </c>
      <c r="DA33" s="111">
        <v>55</v>
      </c>
      <c r="DB33" s="111">
        <v>58</v>
      </c>
      <c r="DC33" s="111">
        <v>706</v>
      </c>
      <c r="DD33" s="111">
        <v>0</v>
      </c>
      <c r="DE33" s="111">
        <v>636</v>
      </c>
      <c r="DF33" s="111">
        <v>533</v>
      </c>
      <c r="DG33" s="111">
        <v>103</v>
      </c>
      <c r="DH33" s="111">
        <v>70</v>
      </c>
      <c r="DI33" s="111">
        <v>29</v>
      </c>
      <c r="DJ33" s="111">
        <v>41</v>
      </c>
      <c r="DK33" s="111">
        <v>220</v>
      </c>
      <c r="DL33" s="111">
        <v>206</v>
      </c>
      <c r="DM33" s="111">
        <v>180</v>
      </c>
      <c r="DN33" s="111">
        <v>26</v>
      </c>
      <c r="DO33" s="111">
        <v>14</v>
      </c>
      <c r="DP33" s="111">
        <v>7</v>
      </c>
      <c r="DQ33" s="111">
        <v>7</v>
      </c>
      <c r="DR33" s="111">
        <v>0</v>
      </c>
      <c r="DS33" s="111">
        <v>0</v>
      </c>
      <c r="DT33" s="111">
        <v>0</v>
      </c>
      <c r="DU33" s="111">
        <v>0</v>
      </c>
      <c r="DV33" s="111">
        <v>0</v>
      </c>
      <c r="DW33" s="111">
        <v>0</v>
      </c>
      <c r="DX33" s="111">
        <v>0</v>
      </c>
      <c r="DY33" s="111">
        <v>0</v>
      </c>
      <c r="DZ33" s="111">
        <v>420</v>
      </c>
      <c r="EA33" s="111">
        <v>391</v>
      </c>
      <c r="EB33" s="111">
        <v>352</v>
      </c>
      <c r="EC33" s="111">
        <v>39</v>
      </c>
      <c r="ED33" s="111">
        <v>29</v>
      </c>
      <c r="EE33" s="111">
        <v>19</v>
      </c>
      <c r="EF33" s="111">
        <v>10</v>
      </c>
      <c r="EG33" s="111">
        <v>57</v>
      </c>
      <c r="EH33" s="111">
        <v>46</v>
      </c>
      <c r="EI33" s="111">
        <v>42</v>
      </c>
      <c r="EJ33" s="111">
        <v>4</v>
      </c>
      <c r="EK33" s="111">
        <v>11</v>
      </c>
      <c r="EL33" s="111">
        <v>10</v>
      </c>
      <c r="EM33" s="111">
        <v>1</v>
      </c>
      <c r="EN33" s="111">
        <v>2</v>
      </c>
      <c r="EO33" s="111">
        <v>0</v>
      </c>
      <c r="EP33" s="111">
        <v>0</v>
      </c>
      <c r="EQ33" s="111">
        <v>2</v>
      </c>
      <c r="ER33" s="111">
        <v>0</v>
      </c>
      <c r="ES33" s="111">
        <v>0</v>
      </c>
      <c r="ET33" s="111">
        <v>0</v>
      </c>
      <c r="EU33" s="111">
        <v>0</v>
      </c>
      <c r="EV33" s="111">
        <v>0</v>
      </c>
      <c r="EW33" s="111">
        <v>0</v>
      </c>
      <c r="EX33" s="111">
        <v>0</v>
      </c>
      <c r="EY33" s="111">
        <v>0</v>
      </c>
      <c r="EZ33" s="111">
        <v>0</v>
      </c>
      <c r="FA33" s="111">
        <v>0</v>
      </c>
      <c r="FB33" s="111">
        <v>0</v>
      </c>
    </row>
    <row r="34" spans="1:158" ht="19.5" customHeight="1">
      <c r="A34" s="107">
        <v>31</v>
      </c>
      <c r="B34" s="107" t="s">
        <v>382</v>
      </c>
      <c r="C34" s="107" t="s">
        <v>387</v>
      </c>
      <c r="D34" s="110">
        <v>245344.5</v>
      </c>
      <c r="E34" s="110">
        <v>48251</v>
      </c>
      <c r="F34" s="110">
        <v>197093.5</v>
      </c>
      <c r="G34" s="110">
        <v>501</v>
      </c>
      <c r="H34" s="110">
        <v>36</v>
      </c>
      <c r="I34" s="110">
        <v>2448</v>
      </c>
      <c r="J34" s="110">
        <v>2431</v>
      </c>
      <c r="K34" s="110">
        <v>0</v>
      </c>
      <c r="L34" s="110">
        <v>7384.25</v>
      </c>
      <c r="M34" s="110">
        <v>86524.75</v>
      </c>
      <c r="N34" s="110">
        <v>0</v>
      </c>
      <c r="O34" s="110">
        <v>485502.81</v>
      </c>
      <c r="P34" s="110">
        <v>203451.48</v>
      </c>
      <c r="Q34" s="110">
        <v>184033.9</v>
      </c>
      <c r="R34" s="110">
        <v>19417.580000000002</v>
      </c>
      <c r="S34" s="110">
        <v>282051.33</v>
      </c>
      <c r="T34" s="110">
        <v>279316.93</v>
      </c>
      <c r="U34" s="110">
        <v>2734.4</v>
      </c>
      <c r="V34" s="110">
        <v>52765.279999999999</v>
      </c>
      <c r="W34" s="110">
        <v>44757.14</v>
      </c>
      <c r="X34" s="110">
        <v>34685.58</v>
      </c>
      <c r="Y34" s="110">
        <v>10071.56</v>
      </c>
      <c r="Z34" s="110">
        <v>8008.14</v>
      </c>
      <c r="AA34" s="110">
        <v>5273.74</v>
      </c>
      <c r="AB34" s="110">
        <v>2734.4</v>
      </c>
      <c r="AC34" s="110">
        <v>3256.05</v>
      </c>
      <c r="AD34" s="110">
        <v>3013.91</v>
      </c>
      <c r="AE34" s="110">
        <v>2552.35</v>
      </c>
      <c r="AF34" s="110">
        <v>461.56</v>
      </c>
      <c r="AG34" s="110">
        <v>242.14</v>
      </c>
      <c r="AH34" s="110">
        <v>136.74</v>
      </c>
      <c r="AI34" s="110">
        <v>105.4</v>
      </c>
      <c r="AJ34" s="110">
        <v>1258.23</v>
      </c>
      <c r="AK34" s="110">
        <v>1215.23</v>
      </c>
      <c r="AL34" s="110">
        <v>816.23</v>
      </c>
      <c r="AM34" s="110">
        <v>399</v>
      </c>
      <c r="AN34" s="110">
        <v>43</v>
      </c>
      <c r="AO34" s="110">
        <v>43</v>
      </c>
      <c r="AP34" s="110">
        <v>0</v>
      </c>
      <c r="AQ34" s="110">
        <v>28344</v>
      </c>
      <c r="AR34" s="110">
        <v>23392</v>
      </c>
      <c r="AS34" s="110">
        <v>17110</v>
      </c>
      <c r="AT34" s="110">
        <v>6282</v>
      </c>
      <c r="AU34" s="110">
        <v>4952</v>
      </c>
      <c r="AV34" s="110">
        <v>3693</v>
      </c>
      <c r="AW34" s="110">
        <v>1259</v>
      </c>
      <c r="AX34" s="110">
        <v>19907</v>
      </c>
      <c r="AY34" s="110">
        <v>17136</v>
      </c>
      <c r="AZ34" s="110">
        <v>14207</v>
      </c>
      <c r="BA34" s="110">
        <v>2929</v>
      </c>
      <c r="BB34" s="110">
        <v>2771</v>
      </c>
      <c r="BC34" s="110">
        <v>1401</v>
      </c>
      <c r="BD34" s="110">
        <v>1370</v>
      </c>
      <c r="BE34" s="110">
        <v>432737.53</v>
      </c>
      <c r="BF34" s="110">
        <v>158694.34</v>
      </c>
      <c r="BG34" s="110">
        <v>149348.32</v>
      </c>
      <c r="BH34" s="110">
        <v>9346.02</v>
      </c>
      <c r="BI34" s="110">
        <v>274043.19</v>
      </c>
      <c r="BJ34" s="110">
        <v>274043.19</v>
      </c>
      <c r="BK34" s="110">
        <v>0</v>
      </c>
      <c r="BL34" s="110">
        <v>170661.73</v>
      </c>
      <c r="BM34" s="110">
        <v>14961.63</v>
      </c>
      <c r="BN34" s="110">
        <v>13783.47</v>
      </c>
      <c r="BO34" s="110">
        <v>1178.1600000000001</v>
      </c>
      <c r="BP34" s="110">
        <v>155700.1</v>
      </c>
      <c r="BQ34" s="110">
        <v>155700.1</v>
      </c>
      <c r="BR34" s="110">
        <v>0</v>
      </c>
      <c r="BS34" s="110">
        <v>64982.3</v>
      </c>
      <c r="BT34" s="110">
        <v>39476.21</v>
      </c>
      <c r="BU34" s="110">
        <v>37504.85</v>
      </c>
      <c r="BV34" s="110">
        <v>1971.36</v>
      </c>
      <c r="BW34" s="110">
        <v>25506.09</v>
      </c>
      <c r="BX34" s="110">
        <v>25506.09</v>
      </c>
      <c r="BY34" s="110">
        <v>0</v>
      </c>
      <c r="BZ34" s="110">
        <v>46704</v>
      </c>
      <c r="CA34" s="110">
        <v>20662</v>
      </c>
      <c r="CB34" s="110">
        <v>18831</v>
      </c>
      <c r="CC34" s="110">
        <v>1831</v>
      </c>
      <c r="CD34" s="110">
        <v>26042</v>
      </c>
      <c r="CE34" s="110">
        <v>26042</v>
      </c>
      <c r="CF34" s="110">
        <v>0</v>
      </c>
      <c r="CG34" s="110">
        <v>150389.5</v>
      </c>
      <c r="CH34" s="110">
        <v>83594.5</v>
      </c>
      <c r="CI34" s="110">
        <v>79229</v>
      </c>
      <c r="CJ34" s="110">
        <v>4365.5</v>
      </c>
      <c r="CK34" s="110">
        <v>66795</v>
      </c>
      <c r="CL34" s="110">
        <v>66795</v>
      </c>
      <c r="CM34" s="110">
        <v>0</v>
      </c>
      <c r="CN34" s="110">
        <v>25034.19</v>
      </c>
      <c r="CO34" s="110">
        <v>21184.21</v>
      </c>
      <c r="CP34" s="110">
        <v>6546.88</v>
      </c>
      <c r="CQ34" s="110">
        <v>0</v>
      </c>
      <c r="CR34" s="110">
        <v>0</v>
      </c>
      <c r="CS34" s="110">
        <v>0</v>
      </c>
      <c r="CT34" s="110">
        <v>0</v>
      </c>
      <c r="CU34" s="110">
        <v>0</v>
      </c>
      <c r="CV34" s="111">
        <v>501</v>
      </c>
      <c r="CW34" s="111">
        <v>425</v>
      </c>
      <c r="CX34" s="111">
        <v>328</v>
      </c>
      <c r="CY34" s="111">
        <v>97</v>
      </c>
      <c r="CZ34" s="111">
        <v>76</v>
      </c>
      <c r="DA34" s="111">
        <v>37</v>
      </c>
      <c r="DB34" s="111">
        <v>39</v>
      </c>
      <c r="DC34" s="111">
        <v>234</v>
      </c>
      <c r="DD34" s="111">
        <v>0</v>
      </c>
      <c r="DE34" s="111">
        <v>210</v>
      </c>
      <c r="DF34" s="111">
        <v>161</v>
      </c>
      <c r="DG34" s="111">
        <v>49</v>
      </c>
      <c r="DH34" s="111">
        <v>24</v>
      </c>
      <c r="DI34" s="111">
        <v>7</v>
      </c>
      <c r="DJ34" s="111">
        <v>17</v>
      </c>
      <c r="DK34" s="111">
        <v>78</v>
      </c>
      <c r="DL34" s="111">
        <v>45</v>
      </c>
      <c r="DM34" s="111">
        <v>39</v>
      </c>
      <c r="DN34" s="111">
        <v>6</v>
      </c>
      <c r="DO34" s="111">
        <v>33</v>
      </c>
      <c r="DP34" s="111">
        <v>15</v>
      </c>
      <c r="DQ34" s="111">
        <v>18</v>
      </c>
      <c r="DR34" s="111">
        <v>0</v>
      </c>
      <c r="DS34" s="111">
        <v>0</v>
      </c>
      <c r="DT34" s="111">
        <v>0</v>
      </c>
      <c r="DU34" s="111">
        <v>0</v>
      </c>
      <c r="DV34" s="111">
        <v>0</v>
      </c>
      <c r="DW34" s="111">
        <v>0</v>
      </c>
      <c r="DX34" s="111">
        <v>0</v>
      </c>
      <c r="DY34" s="111">
        <v>0</v>
      </c>
      <c r="DZ34" s="111">
        <v>189</v>
      </c>
      <c r="EA34" s="111">
        <v>170</v>
      </c>
      <c r="EB34" s="111">
        <v>128</v>
      </c>
      <c r="EC34" s="111">
        <v>42</v>
      </c>
      <c r="ED34" s="111">
        <v>19</v>
      </c>
      <c r="EE34" s="111">
        <v>15</v>
      </c>
      <c r="EF34" s="111">
        <v>4</v>
      </c>
      <c r="EG34" s="111">
        <v>36</v>
      </c>
      <c r="EH34" s="111">
        <v>18</v>
      </c>
      <c r="EI34" s="111">
        <v>17</v>
      </c>
      <c r="EJ34" s="111">
        <v>1</v>
      </c>
      <c r="EK34" s="111">
        <v>18</v>
      </c>
      <c r="EL34" s="111">
        <v>18</v>
      </c>
      <c r="EM34" s="111">
        <v>0</v>
      </c>
      <c r="EN34" s="111">
        <v>31</v>
      </c>
      <c r="EO34" s="111">
        <v>25</v>
      </c>
      <c r="EP34" s="111">
        <v>0</v>
      </c>
      <c r="EQ34" s="111">
        <v>6</v>
      </c>
      <c r="ER34" s="111">
        <v>18</v>
      </c>
      <c r="ES34" s="111">
        <v>0</v>
      </c>
      <c r="ET34" s="111">
        <v>0</v>
      </c>
      <c r="EU34" s="111">
        <v>5</v>
      </c>
      <c r="EV34" s="111">
        <v>5</v>
      </c>
      <c r="EW34" s="111">
        <v>0</v>
      </c>
      <c r="EX34" s="111">
        <v>0</v>
      </c>
      <c r="EY34" s="111">
        <v>1</v>
      </c>
      <c r="EZ34" s="111">
        <v>1</v>
      </c>
      <c r="FA34" s="111">
        <v>0</v>
      </c>
      <c r="FB34" s="111">
        <v>0</v>
      </c>
    </row>
    <row r="35" spans="1:158" ht="19.5" customHeight="1">
      <c r="A35" s="107">
        <v>32</v>
      </c>
      <c r="B35" s="107" t="s">
        <v>382</v>
      </c>
      <c r="C35" s="107" t="s">
        <v>388</v>
      </c>
      <c r="D35" s="110">
        <v>8290</v>
      </c>
      <c r="E35" s="110">
        <v>8290</v>
      </c>
      <c r="F35" s="110">
        <v>0</v>
      </c>
      <c r="G35" s="110">
        <v>122</v>
      </c>
      <c r="H35" s="110">
        <v>0</v>
      </c>
      <c r="I35" s="110">
        <v>0</v>
      </c>
      <c r="J35" s="110">
        <v>0</v>
      </c>
      <c r="K35" s="110">
        <v>0</v>
      </c>
      <c r="L35" s="110">
        <v>0</v>
      </c>
      <c r="M35" s="110">
        <v>0</v>
      </c>
      <c r="N35" s="110">
        <v>0</v>
      </c>
      <c r="O35" s="110">
        <v>10971.17</v>
      </c>
      <c r="P35" s="110">
        <v>9347.07</v>
      </c>
      <c r="Q35" s="110">
        <v>8457.93</v>
      </c>
      <c r="R35" s="110">
        <v>889.14</v>
      </c>
      <c r="S35" s="110">
        <v>1624.1</v>
      </c>
      <c r="T35" s="110">
        <v>920</v>
      </c>
      <c r="U35" s="110">
        <v>704.1</v>
      </c>
      <c r="V35" s="110">
        <v>10971.17</v>
      </c>
      <c r="W35" s="110">
        <v>9347.07</v>
      </c>
      <c r="X35" s="110">
        <v>8457.93</v>
      </c>
      <c r="Y35" s="110">
        <v>889.14</v>
      </c>
      <c r="Z35" s="110">
        <v>1624.1</v>
      </c>
      <c r="AA35" s="110">
        <v>920</v>
      </c>
      <c r="AB35" s="110">
        <v>704.1</v>
      </c>
      <c r="AC35" s="110">
        <v>1481.17</v>
      </c>
      <c r="AD35" s="110">
        <v>1477.07</v>
      </c>
      <c r="AE35" s="110">
        <v>1407.93</v>
      </c>
      <c r="AF35" s="110">
        <v>69.14</v>
      </c>
      <c r="AG35" s="110">
        <v>4.0999999999999996</v>
      </c>
      <c r="AH35" s="110">
        <v>0</v>
      </c>
      <c r="AI35" s="110">
        <v>4.0999999999999996</v>
      </c>
      <c r="AJ35" s="110">
        <v>1200</v>
      </c>
      <c r="AK35" s="110">
        <v>1200</v>
      </c>
      <c r="AL35" s="110">
        <v>1200</v>
      </c>
      <c r="AM35" s="110">
        <v>0</v>
      </c>
      <c r="AN35" s="110">
        <v>0</v>
      </c>
      <c r="AO35" s="110">
        <v>0</v>
      </c>
      <c r="AP35" s="110">
        <v>0</v>
      </c>
      <c r="AQ35" s="110">
        <v>3420</v>
      </c>
      <c r="AR35" s="110">
        <v>2640</v>
      </c>
      <c r="AS35" s="110">
        <v>2540</v>
      </c>
      <c r="AT35" s="110">
        <v>100</v>
      </c>
      <c r="AU35" s="110">
        <v>780</v>
      </c>
      <c r="AV35" s="110">
        <v>600</v>
      </c>
      <c r="AW35" s="110">
        <v>180</v>
      </c>
      <c r="AX35" s="110">
        <v>4870</v>
      </c>
      <c r="AY35" s="110">
        <v>4030</v>
      </c>
      <c r="AZ35" s="110">
        <v>3310</v>
      </c>
      <c r="BA35" s="110">
        <v>720</v>
      </c>
      <c r="BB35" s="110">
        <v>840</v>
      </c>
      <c r="BC35" s="110">
        <v>320</v>
      </c>
      <c r="BD35" s="110">
        <v>520</v>
      </c>
      <c r="BE35" s="110">
        <v>0</v>
      </c>
      <c r="BF35" s="110">
        <v>0</v>
      </c>
      <c r="BG35" s="110">
        <v>0</v>
      </c>
      <c r="BH35" s="110">
        <v>0</v>
      </c>
      <c r="BI35" s="110">
        <v>0</v>
      </c>
      <c r="BJ35" s="110">
        <v>0</v>
      </c>
      <c r="BK35" s="110">
        <v>0</v>
      </c>
      <c r="BL35" s="110">
        <v>0</v>
      </c>
      <c r="BM35" s="110">
        <v>0</v>
      </c>
      <c r="BN35" s="110">
        <v>0</v>
      </c>
      <c r="BO35" s="110">
        <v>0</v>
      </c>
      <c r="BP35" s="110">
        <v>0</v>
      </c>
      <c r="BQ35" s="110">
        <v>0</v>
      </c>
      <c r="BR35" s="110">
        <v>0</v>
      </c>
      <c r="BS35" s="110">
        <v>0</v>
      </c>
      <c r="BT35" s="110">
        <v>0</v>
      </c>
      <c r="BU35" s="110">
        <v>0</v>
      </c>
      <c r="BV35" s="110">
        <v>0</v>
      </c>
      <c r="BW35" s="110">
        <v>0</v>
      </c>
      <c r="BX35" s="110">
        <v>0</v>
      </c>
      <c r="BY35" s="110">
        <v>0</v>
      </c>
      <c r="BZ35" s="110">
        <v>0</v>
      </c>
      <c r="CA35" s="110">
        <v>0</v>
      </c>
      <c r="CB35" s="110">
        <v>0</v>
      </c>
      <c r="CC35" s="110">
        <v>0</v>
      </c>
      <c r="CD35" s="110">
        <v>0</v>
      </c>
      <c r="CE35" s="110">
        <v>0</v>
      </c>
      <c r="CF35" s="110">
        <v>0</v>
      </c>
      <c r="CG35" s="110">
        <v>0</v>
      </c>
      <c r="CH35" s="110">
        <v>0</v>
      </c>
      <c r="CI35" s="110">
        <v>0</v>
      </c>
      <c r="CJ35" s="110">
        <v>0</v>
      </c>
      <c r="CK35" s="110">
        <v>0</v>
      </c>
      <c r="CL35" s="110">
        <v>0</v>
      </c>
      <c r="CM35" s="110">
        <v>0</v>
      </c>
      <c r="CN35" s="110">
        <v>601.20000000000005</v>
      </c>
      <c r="CO35" s="110">
        <v>1200</v>
      </c>
      <c r="CP35" s="110">
        <v>9169.9699999999993</v>
      </c>
      <c r="CQ35" s="110">
        <v>0</v>
      </c>
      <c r="CR35" s="110">
        <v>0</v>
      </c>
      <c r="CS35" s="110">
        <v>0</v>
      </c>
      <c r="CT35" s="110">
        <v>0</v>
      </c>
      <c r="CU35" s="110">
        <v>0</v>
      </c>
      <c r="CV35" s="111">
        <v>122</v>
      </c>
      <c r="CW35" s="111">
        <v>101</v>
      </c>
      <c r="CX35" s="111">
        <v>83</v>
      </c>
      <c r="CY35" s="111">
        <v>18</v>
      </c>
      <c r="CZ35" s="111">
        <v>21</v>
      </c>
      <c r="DA35" s="111">
        <v>8</v>
      </c>
      <c r="DB35" s="111">
        <v>13</v>
      </c>
      <c r="DC35" s="111">
        <v>0</v>
      </c>
      <c r="DD35" s="111">
        <v>0</v>
      </c>
      <c r="DE35" s="111">
        <v>0</v>
      </c>
      <c r="DF35" s="111">
        <v>0</v>
      </c>
      <c r="DG35" s="111">
        <v>0</v>
      </c>
      <c r="DH35" s="111">
        <v>0</v>
      </c>
      <c r="DI35" s="111">
        <v>0</v>
      </c>
      <c r="DJ35" s="111">
        <v>0</v>
      </c>
      <c r="DK35" s="111">
        <v>121</v>
      </c>
      <c r="DL35" s="111">
        <v>100</v>
      </c>
      <c r="DM35" s="111">
        <v>82</v>
      </c>
      <c r="DN35" s="111">
        <v>18</v>
      </c>
      <c r="DO35" s="111">
        <v>21</v>
      </c>
      <c r="DP35" s="111">
        <v>8</v>
      </c>
      <c r="DQ35" s="111">
        <v>13</v>
      </c>
      <c r="DR35" s="111">
        <v>0</v>
      </c>
      <c r="DS35" s="111">
        <v>0</v>
      </c>
      <c r="DT35" s="111">
        <v>0</v>
      </c>
      <c r="DU35" s="111">
        <v>0</v>
      </c>
      <c r="DV35" s="111">
        <v>0</v>
      </c>
      <c r="DW35" s="111">
        <v>0</v>
      </c>
      <c r="DX35" s="111">
        <v>0</v>
      </c>
      <c r="DY35" s="111">
        <v>0</v>
      </c>
      <c r="DZ35" s="111">
        <v>1</v>
      </c>
      <c r="EA35" s="111">
        <v>1</v>
      </c>
      <c r="EB35" s="111">
        <v>1</v>
      </c>
      <c r="EC35" s="111">
        <v>0</v>
      </c>
      <c r="ED35" s="111">
        <v>0</v>
      </c>
      <c r="EE35" s="111">
        <v>0</v>
      </c>
      <c r="EF35" s="111">
        <v>0</v>
      </c>
      <c r="EG35" s="111">
        <v>0</v>
      </c>
      <c r="EH35" s="111">
        <v>0</v>
      </c>
      <c r="EI35" s="111">
        <v>0</v>
      </c>
      <c r="EJ35" s="111">
        <v>0</v>
      </c>
      <c r="EK35" s="111">
        <v>0</v>
      </c>
      <c r="EL35" s="111">
        <v>0</v>
      </c>
      <c r="EM35" s="111">
        <v>0</v>
      </c>
      <c r="EN35" s="111">
        <v>9</v>
      </c>
      <c r="EO35" s="111">
        <v>9</v>
      </c>
      <c r="EP35" s="111">
        <v>0</v>
      </c>
      <c r="EQ35" s="111">
        <v>0</v>
      </c>
      <c r="ER35" s="111">
        <v>1</v>
      </c>
      <c r="ES35" s="111">
        <v>0</v>
      </c>
      <c r="ET35" s="111">
        <v>0</v>
      </c>
      <c r="EU35" s="111">
        <v>2</v>
      </c>
      <c r="EV35" s="111">
        <v>2</v>
      </c>
      <c r="EW35" s="111">
        <v>0</v>
      </c>
      <c r="EX35" s="111">
        <v>0</v>
      </c>
      <c r="EY35" s="111">
        <v>0</v>
      </c>
      <c r="EZ35" s="111">
        <v>0</v>
      </c>
      <c r="FA35" s="111">
        <v>0</v>
      </c>
      <c r="FB35" s="111">
        <v>0</v>
      </c>
    </row>
    <row r="36" spans="1:158" ht="19.5" customHeight="1">
      <c r="A36" s="107">
        <v>33</v>
      </c>
      <c r="B36" s="107" t="s">
        <v>382</v>
      </c>
      <c r="C36" s="107" t="s">
        <v>389</v>
      </c>
      <c r="D36" s="110">
        <v>459926.25</v>
      </c>
      <c r="E36" s="110">
        <v>172424</v>
      </c>
      <c r="F36" s="110">
        <v>287502.25</v>
      </c>
      <c r="G36" s="110">
        <v>1075</v>
      </c>
      <c r="H36" s="110">
        <v>28</v>
      </c>
      <c r="I36" s="110">
        <v>2732</v>
      </c>
      <c r="J36" s="110">
        <v>11047</v>
      </c>
      <c r="K36" s="110">
        <v>0</v>
      </c>
      <c r="L36" s="110">
        <v>23771</v>
      </c>
      <c r="M36" s="110">
        <v>182564.75</v>
      </c>
      <c r="N36" s="110">
        <v>0</v>
      </c>
      <c r="O36" s="110">
        <v>1273010.95</v>
      </c>
      <c r="P36" s="110">
        <v>981133.98</v>
      </c>
      <c r="Q36" s="110">
        <v>890882.95</v>
      </c>
      <c r="R36" s="110">
        <v>90251.03</v>
      </c>
      <c r="S36" s="110">
        <v>291876.96999999997</v>
      </c>
      <c r="T36" s="110">
        <v>260477.4</v>
      </c>
      <c r="U36" s="110">
        <v>31399.57</v>
      </c>
      <c r="V36" s="110">
        <v>350651.11</v>
      </c>
      <c r="W36" s="110">
        <v>322927.63</v>
      </c>
      <c r="X36" s="110">
        <v>271307.8</v>
      </c>
      <c r="Y36" s="110">
        <v>51619.83</v>
      </c>
      <c r="Z36" s="110">
        <v>27723.48</v>
      </c>
      <c r="AA36" s="110">
        <v>14086.31</v>
      </c>
      <c r="AB36" s="110">
        <v>13637.17</v>
      </c>
      <c r="AC36" s="110">
        <v>20183.169999999998</v>
      </c>
      <c r="AD36" s="110">
        <v>18684.28</v>
      </c>
      <c r="AE36" s="110">
        <v>14747.1</v>
      </c>
      <c r="AF36" s="110">
        <v>3937.18</v>
      </c>
      <c r="AG36" s="110">
        <v>1498.89</v>
      </c>
      <c r="AH36" s="110">
        <v>598.97</v>
      </c>
      <c r="AI36" s="110">
        <v>899.92</v>
      </c>
      <c r="AJ36" s="110">
        <v>158043.94</v>
      </c>
      <c r="AK36" s="110">
        <v>152368.35</v>
      </c>
      <c r="AL36" s="110">
        <v>134039.70000000001</v>
      </c>
      <c r="AM36" s="110">
        <v>18328.650000000001</v>
      </c>
      <c r="AN36" s="110">
        <v>5675.59</v>
      </c>
      <c r="AO36" s="110">
        <v>3250.34</v>
      </c>
      <c r="AP36" s="110">
        <v>2425.25</v>
      </c>
      <c r="AQ36" s="110">
        <v>98289</v>
      </c>
      <c r="AR36" s="110">
        <v>91485</v>
      </c>
      <c r="AS36" s="110">
        <v>74272</v>
      </c>
      <c r="AT36" s="110">
        <v>17213</v>
      </c>
      <c r="AU36" s="110">
        <v>6804</v>
      </c>
      <c r="AV36" s="110">
        <v>2544</v>
      </c>
      <c r="AW36" s="110">
        <v>4260</v>
      </c>
      <c r="AX36" s="110">
        <v>74135</v>
      </c>
      <c r="AY36" s="110">
        <v>60390</v>
      </c>
      <c r="AZ36" s="110">
        <v>48249</v>
      </c>
      <c r="BA36" s="110">
        <v>12141</v>
      </c>
      <c r="BB36" s="110">
        <v>13745</v>
      </c>
      <c r="BC36" s="110">
        <v>7693</v>
      </c>
      <c r="BD36" s="110">
        <v>6052</v>
      </c>
      <c r="BE36" s="110">
        <v>922359.84</v>
      </c>
      <c r="BF36" s="110">
        <v>658206.35</v>
      </c>
      <c r="BG36" s="110">
        <v>619575.15</v>
      </c>
      <c r="BH36" s="110">
        <v>38631.199999999997</v>
      </c>
      <c r="BI36" s="110">
        <v>264153.49</v>
      </c>
      <c r="BJ36" s="110">
        <v>246391.09</v>
      </c>
      <c r="BK36" s="110">
        <v>17762.400000000001</v>
      </c>
      <c r="BL36" s="110">
        <v>39368.82</v>
      </c>
      <c r="BM36" s="110">
        <v>28810.42</v>
      </c>
      <c r="BN36" s="110">
        <v>27115.33</v>
      </c>
      <c r="BO36" s="110">
        <v>1695.09</v>
      </c>
      <c r="BP36" s="110">
        <v>10558.4</v>
      </c>
      <c r="BQ36" s="110">
        <v>8778.6299999999992</v>
      </c>
      <c r="BR36" s="110">
        <v>1779.77</v>
      </c>
      <c r="BS36" s="110">
        <v>595488.77</v>
      </c>
      <c r="BT36" s="110">
        <v>420388.43</v>
      </c>
      <c r="BU36" s="110">
        <v>397420.32</v>
      </c>
      <c r="BV36" s="110">
        <v>22968.11</v>
      </c>
      <c r="BW36" s="110">
        <v>175100.34</v>
      </c>
      <c r="BX36" s="110">
        <v>170420.21</v>
      </c>
      <c r="BY36" s="110">
        <v>4680.13</v>
      </c>
      <c r="BZ36" s="110">
        <v>43604</v>
      </c>
      <c r="CA36" s="110">
        <v>31917</v>
      </c>
      <c r="CB36" s="110">
        <v>29462</v>
      </c>
      <c r="CC36" s="110">
        <v>2455</v>
      </c>
      <c r="CD36" s="110">
        <v>11687</v>
      </c>
      <c r="CE36" s="110">
        <v>9964</v>
      </c>
      <c r="CF36" s="110">
        <v>1723</v>
      </c>
      <c r="CG36" s="110">
        <v>243898.25</v>
      </c>
      <c r="CH36" s="110">
        <v>177090.5</v>
      </c>
      <c r="CI36" s="110">
        <v>165577.5</v>
      </c>
      <c r="CJ36" s="110">
        <v>11513</v>
      </c>
      <c r="CK36" s="110">
        <v>66807.75</v>
      </c>
      <c r="CL36" s="110">
        <v>57228.25</v>
      </c>
      <c r="CM36" s="110">
        <v>9579.5</v>
      </c>
      <c r="CN36" s="110">
        <v>221567.46</v>
      </c>
      <c r="CO36" s="110">
        <v>44001.36</v>
      </c>
      <c r="CP36" s="110">
        <v>40366.769999999997</v>
      </c>
      <c r="CQ36" s="110">
        <v>0</v>
      </c>
      <c r="CR36" s="110">
        <v>44715.519999999997</v>
      </c>
      <c r="CS36" s="110">
        <v>0</v>
      </c>
      <c r="CT36" s="110">
        <v>0</v>
      </c>
      <c r="CU36" s="110">
        <v>0</v>
      </c>
      <c r="CV36" s="111">
        <v>1075</v>
      </c>
      <c r="CW36" s="111">
        <v>971</v>
      </c>
      <c r="CX36" s="111">
        <v>765</v>
      </c>
      <c r="CY36" s="111">
        <v>206</v>
      </c>
      <c r="CZ36" s="111">
        <v>104</v>
      </c>
      <c r="DA36" s="111">
        <v>58</v>
      </c>
      <c r="DB36" s="111">
        <v>46</v>
      </c>
      <c r="DC36" s="111">
        <v>195</v>
      </c>
      <c r="DD36" s="111">
        <v>0</v>
      </c>
      <c r="DE36" s="111">
        <v>180</v>
      </c>
      <c r="DF36" s="111">
        <v>147</v>
      </c>
      <c r="DG36" s="111">
        <v>33</v>
      </c>
      <c r="DH36" s="111">
        <v>15</v>
      </c>
      <c r="DI36" s="111">
        <v>8</v>
      </c>
      <c r="DJ36" s="111">
        <v>7</v>
      </c>
      <c r="DK36" s="111">
        <v>174</v>
      </c>
      <c r="DL36" s="111">
        <v>149</v>
      </c>
      <c r="DM36" s="111">
        <v>123</v>
      </c>
      <c r="DN36" s="111">
        <v>26</v>
      </c>
      <c r="DO36" s="111">
        <v>25</v>
      </c>
      <c r="DP36" s="111">
        <v>13</v>
      </c>
      <c r="DQ36" s="111">
        <v>12</v>
      </c>
      <c r="DR36" s="111">
        <v>121</v>
      </c>
      <c r="DS36" s="111">
        <v>0</v>
      </c>
      <c r="DT36" s="111">
        <v>82</v>
      </c>
      <c r="DU36" s="111">
        <v>66</v>
      </c>
      <c r="DV36" s="111">
        <v>16</v>
      </c>
      <c r="DW36" s="111">
        <v>39</v>
      </c>
      <c r="DX36" s="111">
        <v>22</v>
      </c>
      <c r="DY36" s="111">
        <v>17</v>
      </c>
      <c r="DZ36" s="111">
        <v>585</v>
      </c>
      <c r="EA36" s="111">
        <v>560</v>
      </c>
      <c r="EB36" s="111">
        <v>429</v>
      </c>
      <c r="EC36" s="111">
        <v>131</v>
      </c>
      <c r="ED36" s="111">
        <v>25</v>
      </c>
      <c r="EE36" s="111">
        <v>15</v>
      </c>
      <c r="EF36" s="111">
        <v>10</v>
      </c>
      <c r="EG36" s="111">
        <v>28</v>
      </c>
      <c r="EH36" s="111">
        <v>22</v>
      </c>
      <c r="EI36" s="111">
        <v>20</v>
      </c>
      <c r="EJ36" s="111">
        <v>2</v>
      </c>
      <c r="EK36" s="111">
        <v>6</v>
      </c>
      <c r="EL36" s="111">
        <v>5</v>
      </c>
      <c r="EM36" s="111">
        <v>1</v>
      </c>
      <c r="EN36" s="111">
        <v>28</v>
      </c>
      <c r="EO36" s="111">
        <v>28</v>
      </c>
      <c r="EP36" s="111">
        <v>0</v>
      </c>
      <c r="EQ36" s="111">
        <v>0</v>
      </c>
      <c r="ER36" s="111">
        <v>3</v>
      </c>
      <c r="ES36" s="111">
        <v>0</v>
      </c>
      <c r="ET36" s="111">
        <v>0</v>
      </c>
      <c r="EU36" s="111">
        <v>18</v>
      </c>
      <c r="EV36" s="111">
        <v>18</v>
      </c>
      <c r="EW36" s="111">
        <v>0</v>
      </c>
      <c r="EX36" s="111">
        <v>0</v>
      </c>
      <c r="EY36" s="111">
        <v>2</v>
      </c>
      <c r="EZ36" s="111">
        <v>2</v>
      </c>
      <c r="FA36" s="111">
        <v>0</v>
      </c>
      <c r="FB36" s="111">
        <v>3</v>
      </c>
    </row>
    <row r="37" spans="1:158" ht="19.5" customHeight="1">
      <c r="A37" s="107">
        <v>34</v>
      </c>
      <c r="B37" s="107" t="s">
        <v>382</v>
      </c>
      <c r="C37" s="107" t="s">
        <v>390</v>
      </c>
      <c r="D37" s="110">
        <v>869667.25</v>
      </c>
      <c r="E37" s="110">
        <v>96285.5</v>
      </c>
      <c r="F37" s="110">
        <v>773381.75</v>
      </c>
      <c r="G37" s="110">
        <v>580</v>
      </c>
      <c r="H37" s="110">
        <v>54</v>
      </c>
      <c r="I37" s="110">
        <v>2853.5</v>
      </c>
      <c r="J37" s="110">
        <v>0</v>
      </c>
      <c r="K37" s="110">
        <v>0</v>
      </c>
      <c r="L37" s="110">
        <v>32671.25</v>
      </c>
      <c r="M37" s="110">
        <v>345257.5</v>
      </c>
      <c r="N37" s="110">
        <v>0</v>
      </c>
      <c r="O37" s="110">
        <v>2101550.09</v>
      </c>
      <c r="P37" s="110">
        <v>144109.82</v>
      </c>
      <c r="Q37" s="110">
        <v>127054.1</v>
      </c>
      <c r="R37" s="110">
        <v>17055.72</v>
      </c>
      <c r="S37" s="110">
        <v>1957440.27</v>
      </c>
      <c r="T37" s="110">
        <v>1923573.36</v>
      </c>
      <c r="U37" s="110">
        <v>33866.910000000003</v>
      </c>
      <c r="V37" s="110">
        <v>115919.25</v>
      </c>
      <c r="W37" s="110">
        <v>68951.34</v>
      </c>
      <c r="X37" s="110">
        <v>51895.62</v>
      </c>
      <c r="Y37" s="110">
        <v>17055.72</v>
      </c>
      <c r="Z37" s="110">
        <v>46967.91</v>
      </c>
      <c r="AA37" s="110">
        <v>13101</v>
      </c>
      <c r="AB37" s="110">
        <v>33866.910000000003</v>
      </c>
      <c r="AC37" s="110">
        <v>8127.37</v>
      </c>
      <c r="AD37" s="110">
        <v>7611.46</v>
      </c>
      <c r="AE37" s="110">
        <v>5348.54</v>
      </c>
      <c r="AF37" s="110">
        <v>2262.92</v>
      </c>
      <c r="AG37" s="110">
        <v>515.91</v>
      </c>
      <c r="AH37" s="110">
        <v>314</v>
      </c>
      <c r="AI37" s="110">
        <v>201.91</v>
      </c>
      <c r="AJ37" s="110">
        <v>11506.38</v>
      </c>
      <c r="AK37" s="110">
        <v>11021.38</v>
      </c>
      <c r="AL37" s="110">
        <v>6938.58</v>
      </c>
      <c r="AM37" s="110">
        <v>4082.8</v>
      </c>
      <c r="AN37" s="110">
        <v>485</v>
      </c>
      <c r="AO37" s="110">
        <v>356</v>
      </c>
      <c r="AP37" s="110">
        <v>129</v>
      </c>
      <c r="AQ37" s="110">
        <v>70663</v>
      </c>
      <c r="AR37" s="110">
        <v>34545</v>
      </c>
      <c r="AS37" s="110">
        <v>28463</v>
      </c>
      <c r="AT37" s="110">
        <v>6082</v>
      </c>
      <c r="AU37" s="110">
        <v>36118</v>
      </c>
      <c r="AV37" s="110">
        <v>8662</v>
      </c>
      <c r="AW37" s="110">
        <v>27456</v>
      </c>
      <c r="AX37" s="110">
        <v>25622.5</v>
      </c>
      <c r="AY37" s="110">
        <v>15773.5</v>
      </c>
      <c r="AZ37" s="110">
        <v>11145.5</v>
      </c>
      <c r="BA37" s="110">
        <v>4628</v>
      </c>
      <c r="BB37" s="110">
        <v>9849</v>
      </c>
      <c r="BC37" s="110">
        <v>3769</v>
      </c>
      <c r="BD37" s="110">
        <v>6080</v>
      </c>
      <c r="BE37" s="110">
        <v>1985630.84</v>
      </c>
      <c r="BF37" s="110">
        <v>75158.48</v>
      </c>
      <c r="BG37" s="110">
        <v>75158.48</v>
      </c>
      <c r="BH37" s="110">
        <v>0</v>
      </c>
      <c r="BI37" s="110">
        <v>1910472.36</v>
      </c>
      <c r="BJ37" s="110">
        <v>1910472.36</v>
      </c>
      <c r="BK37" s="110">
        <v>0</v>
      </c>
      <c r="BL37" s="110">
        <v>129706.25</v>
      </c>
      <c r="BM37" s="110">
        <v>5851.43</v>
      </c>
      <c r="BN37" s="110">
        <v>5851.43</v>
      </c>
      <c r="BO37" s="110">
        <v>0</v>
      </c>
      <c r="BP37" s="110">
        <v>123854.82</v>
      </c>
      <c r="BQ37" s="110">
        <v>123854.82</v>
      </c>
      <c r="BR37" s="110">
        <v>0</v>
      </c>
      <c r="BS37" s="110">
        <v>1082542.8400000001</v>
      </c>
      <c r="BT37" s="110">
        <v>30329.55</v>
      </c>
      <c r="BU37" s="110">
        <v>30329.55</v>
      </c>
      <c r="BV37" s="110">
        <v>0</v>
      </c>
      <c r="BW37" s="110">
        <v>1052213.29</v>
      </c>
      <c r="BX37" s="110">
        <v>1052213.29</v>
      </c>
      <c r="BY37" s="110">
        <v>0</v>
      </c>
      <c r="BZ37" s="110">
        <v>166880</v>
      </c>
      <c r="CA37" s="110">
        <v>7317</v>
      </c>
      <c r="CB37" s="110">
        <v>7317</v>
      </c>
      <c r="CC37" s="110">
        <v>0</v>
      </c>
      <c r="CD37" s="110">
        <v>159563</v>
      </c>
      <c r="CE37" s="110">
        <v>159563</v>
      </c>
      <c r="CF37" s="110">
        <v>0</v>
      </c>
      <c r="CG37" s="110">
        <v>606501.75</v>
      </c>
      <c r="CH37" s="110">
        <v>31660.5</v>
      </c>
      <c r="CI37" s="110">
        <v>31660.5</v>
      </c>
      <c r="CJ37" s="110">
        <v>0</v>
      </c>
      <c r="CK37" s="110">
        <v>574841.25</v>
      </c>
      <c r="CL37" s="110">
        <v>574841.25</v>
      </c>
      <c r="CM37" s="110">
        <v>0</v>
      </c>
      <c r="CN37" s="110">
        <v>47717.48</v>
      </c>
      <c r="CO37" s="110">
        <v>0</v>
      </c>
      <c r="CP37" s="110">
        <v>68201.77</v>
      </c>
      <c r="CQ37" s="110">
        <v>0</v>
      </c>
      <c r="CR37" s="110">
        <v>0</v>
      </c>
      <c r="CS37" s="110">
        <v>0</v>
      </c>
      <c r="CT37" s="110">
        <v>0</v>
      </c>
      <c r="CU37" s="110">
        <v>0</v>
      </c>
      <c r="CV37" s="111">
        <v>580</v>
      </c>
      <c r="CW37" s="111">
        <v>360</v>
      </c>
      <c r="CX37" s="111">
        <v>261</v>
      </c>
      <c r="CY37" s="111">
        <v>99</v>
      </c>
      <c r="CZ37" s="111">
        <v>220</v>
      </c>
      <c r="DA37" s="111">
        <v>90</v>
      </c>
      <c r="DB37" s="111">
        <v>130</v>
      </c>
      <c r="DC37" s="111">
        <v>0</v>
      </c>
      <c r="DD37" s="111">
        <v>0</v>
      </c>
      <c r="DE37" s="111">
        <v>0</v>
      </c>
      <c r="DF37" s="111">
        <v>0</v>
      </c>
      <c r="DG37" s="111">
        <v>0</v>
      </c>
      <c r="DH37" s="111">
        <v>0</v>
      </c>
      <c r="DI37" s="111">
        <v>0</v>
      </c>
      <c r="DJ37" s="111">
        <v>0</v>
      </c>
      <c r="DK37" s="111">
        <v>312</v>
      </c>
      <c r="DL37" s="111">
        <v>132</v>
      </c>
      <c r="DM37" s="111">
        <v>96</v>
      </c>
      <c r="DN37" s="111">
        <v>36</v>
      </c>
      <c r="DO37" s="111">
        <v>180</v>
      </c>
      <c r="DP37" s="111">
        <v>58</v>
      </c>
      <c r="DQ37" s="111">
        <v>122</v>
      </c>
      <c r="DR37" s="111">
        <v>0</v>
      </c>
      <c r="DS37" s="111">
        <v>0</v>
      </c>
      <c r="DT37" s="111">
        <v>0</v>
      </c>
      <c r="DU37" s="111">
        <v>0</v>
      </c>
      <c r="DV37" s="111">
        <v>0</v>
      </c>
      <c r="DW37" s="111">
        <v>0</v>
      </c>
      <c r="DX37" s="111">
        <v>0</v>
      </c>
      <c r="DY37" s="111">
        <v>0</v>
      </c>
      <c r="DZ37" s="111">
        <v>268</v>
      </c>
      <c r="EA37" s="111">
        <v>228</v>
      </c>
      <c r="EB37" s="111">
        <v>165</v>
      </c>
      <c r="EC37" s="111">
        <v>63</v>
      </c>
      <c r="ED37" s="111">
        <v>40</v>
      </c>
      <c r="EE37" s="111">
        <v>32</v>
      </c>
      <c r="EF37" s="111">
        <v>8</v>
      </c>
      <c r="EG37" s="111">
        <v>54</v>
      </c>
      <c r="EH37" s="111">
        <v>3</v>
      </c>
      <c r="EI37" s="111">
        <v>3</v>
      </c>
      <c r="EJ37" s="111">
        <v>0</v>
      </c>
      <c r="EK37" s="111">
        <v>51</v>
      </c>
      <c r="EL37" s="111">
        <v>51</v>
      </c>
      <c r="EM37" s="111">
        <v>0</v>
      </c>
      <c r="EN37" s="111">
        <v>50</v>
      </c>
      <c r="EO37" s="111">
        <v>47</v>
      </c>
      <c r="EP37" s="111">
        <v>0</v>
      </c>
      <c r="EQ37" s="111">
        <v>3</v>
      </c>
      <c r="ER37" s="111">
        <v>33</v>
      </c>
      <c r="ES37" s="111">
        <v>0</v>
      </c>
      <c r="ET37" s="111">
        <v>0</v>
      </c>
      <c r="EU37" s="111">
        <v>6</v>
      </c>
      <c r="EV37" s="111">
        <v>6</v>
      </c>
      <c r="EW37" s="111">
        <v>0</v>
      </c>
      <c r="EX37" s="111">
        <v>0</v>
      </c>
      <c r="EY37" s="111">
        <v>28</v>
      </c>
      <c r="EZ37" s="111">
        <v>28</v>
      </c>
      <c r="FA37" s="111">
        <v>0</v>
      </c>
      <c r="FB37" s="111">
        <v>1</v>
      </c>
    </row>
    <row r="38" spans="1:158" ht="19.5" customHeight="1">
      <c r="A38" s="107">
        <v>35</v>
      </c>
      <c r="B38" s="107" t="s">
        <v>374</v>
      </c>
      <c r="C38" s="107" t="s">
        <v>391</v>
      </c>
      <c r="D38" s="110">
        <v>392973</v>
      </c>
      <c r="E38" s="110">
        <v>392973</v>
      </c>
      <c r="F38" s="110">
        <v>0</v>
      </c>
      <c r="G38" s="110">
        <v>1193</v>
      </c>
      <c r="H38" s="110">
        <v>0</v>
      </c>
      <c r="I38" s="110">
        <v>76050</v>
      </c>
      <c r="J38" s="110">
        <v>0</v>
      </c>
      <c r="K38" s="110">
        <v>0</v>
      </c>
      <c r="L38" s="110">
        <v>0</v>
      </c>
      <c r="M38" s="110">
        <v>0</v>
      </c>
      <c r="N38" s="110">
        <v>0</v>
      </c>
      <c r="O38" s="110">
        <v>495925.8</v>
      </c>
      <c r="P38" s="110">
        <v>428684.92</v>
      </c>
      <c r="Q38" s="110">
        <v>371624.23</v>
      </c>
      <c r="R38" s="110">
        <v>57060.69</v>
      </c>
      <c r="S38" s="110">
        <v>67240.88</v>
      </c>
      <c r="T38" s="110">
        <v>30815.14</v>
      </c>
      <c r="U38" s="110">
        <v>36425.74</v>
      </c>
      <c r="V38" s="110">
        <v>495925.8</v>
      </c>
      <c r="W38" s="110">
        <v>428684.92</v>
      </c>
      <c r="X38" s="110">
        <v>371624.23</v>
      </c>
      <c r="Y38" s="110">
        <v>57060.69</v>
      </c>
      <c r="Z38" s="110">
        <v>67240.88</v>
      </c>
      <c r="AA38" s="110">
        <v>30815.14</v>
      </c>
      <c r="AB38" s="110">
        <v>36425.74</v>
      </c>
      <c r="AC38" s="110">
        <v>102952.8</v>
      </c>
      <c r="AD38" s="110">
        <v>90543.92</v>
      </c>
      <c r="AE38" s="110">
        <v>83323.23</v>
      </c>
      <c r="AF38" s="110">
        <v>7220.69</v>
      </c>
      <c r="AG38" s="110">
        <v>12408.88</v>
      </c>
      <c r="AH38" s="110">
        <v>3577.14</v>
      </c>
      <c r="AI38" s="110">
        <v>8831.74</v>
      </c>
      <c r="AJ38" s="110">
        <v>0</v>
      </c>
      <c r="AK38" s="110">
        <v>0</v>
      </c>
      <c r="AL38" s="110">
        <v>0</v>
      </c>
      <c r="AM38" s="110">
        <v>0</v>
      </c>
      <c r="AN38" s="110">
        <v>0</v>
      </c>
      <c r="AO38" s="110">
        <v>0</v>
      </c>
      <c r="AP38" s="110">
        <v>0</v>
      </c>
      <c r="AQ38" s="110">
        <v>264789</v>
      </c>
      <c r="AR38" s="110">
        <v>227411</v>
      </c>
      <c r="AS38" s="110">
        <v>189863</v>
      </c>
      <c r="AT38" s="110">
        <v>37548</v>
      </c>
      <c r="AU38" s="110">
        <v>37378</v>
      </c>
      <c r="AV38" s="110">
        <v>19076</v>
      </c>
      <c r="AW38" s="110">
        <v>18302</v>
      </c>
      <c r="AX38" s="110">
        <v>128184</v>
      </c>
      <c r="AY38" s="110">
        <v>110730</v>
      </c>
      <c r="AZ38" s="110">
        <v>98438</v>
      </c>
      <c r="BA38" s="110">
        <v>12292</v>
      </c>
      <c r="BB38" s="110">
        <v>17454</v>
      </c>
      <c r="BC38" s="110">
        <v>8162</v>
      </c>
      <c r="BD38" s="110">
        <v>9292</v>
      </c>
      <c r="BE38" s="110">
        <v>0</v>
      </c>
      <c r="BF38" s="110">
        <v>0</v>
      </c>
      <c r="BG38" s="110">
        <v>0</v>
      </c>
      <c r="BH38" s="110">
        <v>0</v>
      </c>
      <c r="BI38" s="110">
        <v>0</v>
      </c>
      <c r="BJ38" s="110">
        <v>0</v>
      </c>
      <c r="BK38" s="110">
        <v>0</v>
      </c>
      <c r="BL38" s="110">
        <v>0</v>
      </c>
      <c r="BM38" s="110">
        <v>0</v>
      </c>
      <c r="BN38" s="110">
        <v>0</v>
      </c>
      <c r="BO38" s="110">
        <v>0</v>
      </c>
      <c r="BP38" s="110">
        <v>0</v>
      </c>
      <c r="BQ38" s="110">
        <v>0</v>
      </c>
      <c r="BR38" s="110">
        <v>0</v>
      </c>
      <c r="BS38" s="110">
        <v>0</v>
      </c>
      <c r="BT38" s="110">
        <v>0</v>
      </c>
      <c r="BU38" s="110">
        <v>0</v>
      </c>
      <c r="BV38" s="110">
        <v>0</v>
      </c>
      <c r="BW38" s="110">
        <v>0</v>
      </c>
      <c r="BX38" s="110">
        <v>0</v>
      </c>
      <c r="BY38" s="110">
        <v>0</v>
      </c>
      <c r="BZ38" s="110">
        <v>0</v>
      </c>
      <c r="CA38" s="110">
        <v>0</v>
      </c>
      <c r="CB38" s="110">
        <v>0</v>
      </c>
      <c r="CC38" s="110">
        <v>0</v>
      </c>
      <c r="CD38" s="110">
        <v>0</v>
      </c>
      <c r="CE38" s="110">
        <v>0</v>
      </c>
      <c r="CF38" s="110">
        <v>0</v>
      </c>
      <c r="CG38" s="110">
        <v>0</v>
      </c>
      <c r="CH38" s="110">
        <v>0</v>
      </c>
      <c r="CI38" s="110">
        <v>0</v>
      </c>
      <c r="CJ38" s="110">
        <v>0</v>
      </c>
      <c r="CK38" s="110">
        <v>0</v>
      </c>
      <c r="CL38" s="110">
        <v>0</v>
      </c>
      <c r="CM38" s="110">
        <v>0</v>
      </c>
      <c r="CN38" s="110">
        <v>0</v>
      </c>
      <c r="CO38" s="110">
        <v>223312.54</v>
      </c>
      <c r="CP38" s="110">
        <v>161823</v>
      </c>
      <c r="CQ38" s="110">
        <v>41730.43</v>
      </c>
      <c r="CR38" s="110">
        <v>69059.83</v>
      </c>
      <c r="CS38" s="110">
        <v>0</v>
      </c>
      <c r="CT38" s="110">
        <v>0</v>
      </c>
      <c r="CU38" s="110">
        <v>0</v>
      </c>
      <c r="CV38" s="111">
        <v>1193</v>
      </c>
      <c r="CW38" s="111">
        <v>1050</v>
      </c>
      <c r="CX38" s="111">
        <v>867</v>
      </c>
      <c r="CY38" s="111">
        <v>183</v>
      </c>
      <c r="CZ38" s="111">
        <v>143</v>
      </c>
      <c r="DA38" s="111">
        <v>61</v>
      </c>
      <c r="DB38" s="111">
        <v>82</v>
      </c>
      <c r="DC38" s="111">
        <v>768</v>
      </c>
      <c r="DD38" s="111">
        <v>0</v>
      </c>
      <c r="DE38" s="111">
        <v>708</v>
      </c>
      <c r="DF38" s="111">
        <v>589</v>
      </c>
      <c r="DG38" s="111">
        <v>119</v>
      </c>
      <c r="DH38" s="111">
        <v>60</v>
      </c>
      <c r="DI38" s="111">
        <v>25</v>
      </c>
      <c r="DJ38" s="111">
        <v>35</v>
      </c>
      <c r="DK38" s="111">
        <v>351</v>
      </c>
      <c r="DL38" s="111">
        <v>280</v>
      </c>
      <c r="DM38" s="111">
        <v>228</v>
      </c>
      <c r="DN38" s="111">
        <v>52</v>
      </c>
      <c r="DO38" s="111">
        <v>71</v>
      </c>
      <c r="DP38" s="111">
        <v>32</v>
      </c>
      <c r="DQ38" s="111">
        <v>39</v>
      </c>
      <c r="DR38" s="111">
        <v>74</v>
      </c>
      <c r="DS38" s="111">
        <v>0</v>
      </c>
      <c r="DT38" s="111">
        <v>62</v>
      </c>
      <c r="DU38" s="111">
        <v>50</v>
      </c>
      <c r="DV38" s="111">
        <v>12</v>
      </c>
      <c r="DW38" s="111">
        <v>12</v>
      </c>
      <c r="DX38" s="111">
        <v>4</v>
      </c>
      <c r="DY38" s="111">
        <v>8</v>
      </c>
      <c r="DZ38" s="111">
        <v>0</v>
      </c>
      <c r="EA38" s="111">
        <v>0</v>
      </c>
      <c r="EB38" s="111">
        <v>0</v>
      </c>
      <c r="EC38" s="111">
        <v>0</v>
      </c>
      <c r="ED38" s="111">
        <v>0</v>
      </c>
      <c r="EE38" s="111">
        <v>0</v>
      </c>
      <c r="EF38" s="111">
        <v>0</v>
      </c>
      <c r="EG38" s="111">
        <v>0</v>
      </c>
      <c r="EH38" s="111">
        <v>0</v>
      </c>
      <c r="EI38" s="111">
        <v>0</v>
      </c>
      <c r="EJ38" s="111">
        <v>0</v>
      </c>
      <c r="EK38" s="111">
        <v>0</v>
      </c>
      <c r="EL38" s="111">
        <v>0</v>
      </c>
      <c r="EM38" s="111">
        <v>0</v>
      </c>
      <c r="EN38" s="111">
        <v>0</v>
      </c>
      <c r="EO38" s="111">
        <v>0</v>
      </c>
      <c r="EP38" s="111">
        <v>0</v>
      </c>
      <c r="EQ38" s="111">
        <v>0</v>
      </c>
      <c r="ER38" s="111">
        <v>0</v>
      </c>
      <c r="ES38" s="111">
        <v>0</v>
      </c>
      <c r="ET38" s="111">
        <v>0</v>
      </c>
      <c r="EU38" s="111">
        <v>0</v>
      </c>
      <c r="EV38" s="111">
        <v>0</v>
      </c>
      <c r="EW38" s="111">
        <v>0</v>
      </c>
      <c r="EX38" s="111">
        <v>0</v>
      </c>
      <c r="EY38" s="111">
        <v>0</v>
      </c>
      <c r="EZ38" s="111">
        <v>0</v>
      </c>
      <c r="FA38" s="111">
        <v>0</v>
      </c>
      <c r="FB38" s="111">
        <v>0</v>
      </c>
    </row>
    <row r="39" spans="1:158" ht="19.5" customHeight="1">
      <c r="A39" s="107">
        <v>36</v>
      </c>
      <c r="B39" s="107" t="s">
        <v>361</v>
      </c>
      <c r="C39" s="107" t="s">
        <v>392</v>
      </c>
      <c r="D39" s="110">
        <v>1620439</v>
      </c>
      <c r="E39" s="110">
        <v>781933</v>
      </c>
      <c r="F39" s="110">
        <v>838506</v>
      </c>
      <c r="G39" s="110">
        <v>3898</v>
      </c>
      <c r="H39" s="110">
        <v>146</v>
      </c>
      <c r="I39" s="110">
        <v>32391</v>
      </c>
      <c r="J39" s="110">
        <v>35388</v>
      </c>
      <c r="K39" s="110">
        <v>0</v>
      </c>
      <c r="L39" s="110">
        <v>12040</v>
      </c>
      <c r="M39" s="110">
        <v>533050.5</v>
      </c>
      <c r="N39" s="110">
        <v>0</v>
      </c>
      <c r="O39" s="110">
        <v>2458059.86</v>
      </c>
      <c r="P39" s="110">
        <v>1716858.33</v>
      </c>
      <c r="Q39" s="110">
        <v>1602752.61</v>
      </c>
      <c r="R39" s="110">
        <v>114105.72</v>
      </c>
      <c r="S39" s="110">
        <v>741201.53</v>
      </c>
      <c r="T39" s="110">
        <v>635284.75</v>
      </c>
      <c r="U39" s="110">
        <v>105916.78</v>
      </c>
      <c r="V39" s="110">
        <v>1224095.1499999999</v>
      </c>
      <c r="W39" s="110">
        <v>940821.84</v>
      </c>
      <c r="X39" s="110">
        <v>855060.89</v>
      </c>
      <c r="Y39" s="110">
        <v>85760.95</v>
      </c>
      <c r="Z39" s="110">
        <v>283273.31</v>
      </c>
      <c r="AA39" s="110">
        <v>188354.43</v>
      </c>
      <c r="AB39" s="110">
        <v>94918.88</v>
      </c>
      <c r="AC39" s="110">
        <v>440820.85</v>
      </c>
      <c r="AD39" s="110">
        <v>352339.4</v>
      </c>
      <c r="AE39" s="110">
        <v>321489.45</v>
      </c>
      <c r="AF39" s="110">
        <v>30849.95</v>
      </c>
      <c r="AG39" s="110">
        <v>88481.45</v>
      </c>
      <c r="AH39" s="110">
        <v>66637.34</v>
      </c>
      <c r="AI39" s="110">
        <v>21844.11</v>
      </c>
      <c r="AJ39" s="110">
        <v>1341.3</v>
      </c>
      <c r="AK39" s="110">
        <v>960.44</v>
      </c>
      <c r="AL39" s="110">
        <v>960.44</v>
      </c>
      <c r="AM39" s="110">
        <v>0</v>
      </c>
      <c r="AN39" s="110">
        <v>380.86</v>
      </c>
      <c r="AO39" s="110">
        <v>274.08999999999997</v>
      </c>
      <c r="AP39" s="110">
        <v>106.77</v>
      </c>
      <c r="AQ39" s="110">
        <v>560102</v>
      </c>
      <c r="AR39" s="110">
        <v>417486</v>
      </c>
      <c r="AS39" s="110">
        <v>383935</v>
      </c>
      <c r="AT39" s="110">
        <v>33551</v>
      </c>
      <c r="AU39" s="110">
        <v>142616</v>
      </c>
      <c r="AV39" s="110">
        <v>92052</v>
      </c>
      <c r="AW39" s="110">
        <v>50564</v>
      </c>
      <c r="AX39" s="110">
        <v>221831</v>
      </c>
      <c r="AY39" s="110">
        <v>170036</v>
      </c>
      <c r="AZ39" s="110">
        <v>148676</v>
      </c>
      <c r="BA39" s="110">
        <v>21360</v>
      </c>
      <c r="BB39" s="110">
        <v>51795</v>
      </c>
      <c r="BC39" s="110">
        <v>29391</v>
      </c>
      <c r="BD39" s="110">
        <v>22404</v>
      </c>
      <c r="BE39" s="110">
        <v>1233964.71</v>
      </c>
      <c r="BF39" s="110">
        <v>776036.49</v>
      </c>
      <c r="BG39" s="110">
        <v>747691.72</v>
      </c>
      <c r="BH39" s="110">
        <v>28344.77</v>
      </c>
      <c r="BI39" s="110">
        <v>457928.22</v>
      </c>
      <c r="BJ39" s="110">
        <v>446930.32</v>
      </c>
      <c r="BK39" s="110">
        <v>10997.9</v>
      </c>
      <c r="BL39" s="110">
        <v>29283.64</v>
      </c>
      <c r="BM39" s="110">
        <v>18061.84</v>
      </c>
      <c r="BN39" s="110">
        <v>17605.349999999999</v>
      </c>
      <c r="BO39" s="110">
        <v>456.49</v>
      </c>
      <c r="BP39" s="110">
        <v>11221.8</v>
      </c>
      <c r="BQ39" s="110">
        <v>11027.41</v>
      </c>
      <c r="BR39" s="110">
        <v>194.39</v>
      </c>
      <c r="BS39" s="110">
        <v>366175.07</v>
      </c>
      <c r="BT39" s="110">
        <v>227703.4</v>
      </c>
      <c r="BU39" s="110">
        <v>222896.62</v>
      </c>
      <c r="BV39" s="110">
        <v>4806.78</v>
      </c>
      <c r="BW39" s="110">
        <v>138471.67000000001</v>
      </c>
      <c r="BX39" s="110">
        <v>138174.41</v>
      </c>
      <c r="BY39" s="110">
        <v>297.26</v>
      </c>
      <c r="BZ39" s="110">
        <v>2563</v>
      </c>
      <c r="CA39" s="110">
        <v>2373</v>
      </c>
      <c r="CB39" s="110">
        <v>2373</v>
      </c>
      <c r="CC39" s="110">
        <v>0</v>
      </c>
      <c r="CD39" s="110">
        <v>190</v>
      </c>
      <c r="CE39" s="110">
        <v>0</v>
      </c>
      <c r="CF39" s="110">
        <v>190</v>
      </c>
      <c r="CG39" s="110">
        <v>835943</v>
      </c>
      <c r="CH39" s="110">
        <v>527898.25</v>
      </c>
      <c r="CI39" s="110">
        <v>504816.75</v>
      </c>
      <c r="CJ39" s="110">
        <v>23081.5</v>
      </c>
      <c r="CK39" s="110">
        <v>308044.75</v>
      </c>
      <c r="CL39" s="110">
        <v>297728.5</v>
      </c>
      <c r="CM39" s="110">
        <v>10316.25</v>
      </c>
      <c r="CN39" s="110">
        <v>43939.09</v>
      </c>
      <c r="CO39" s="110">
        <v>475679.73</v>
      </c>
      <c r="CP39" s="110">
        <v>646907.41</v>
      </c>
      <c r="CQ39" s="110">
        <v>32210.73</v>
      </c>
      <c r="CR39" s="110">
        <v>25358.19</v>
      </c>
      <c r="CS39" s="110">
        <v>0</v>
      </c>
      <c r="CT39" s="110">
        <v>0</v>
      </c>
      <c r="CU39" s="110">
        <v>0</v>
      </c>
      <c r="CV39" s="111">
        <v>3898</v>
      </c>
      <c r="CW39" s="111">
        <v>3254</v>
      </c>
      <c r="CX39" s="111">
        <v>2919</v>
      </c>
      <c r="CY39" s="111">
        <v>335</v>
      </c>
      <c r="CZ39" s="111">
        <v>644</v>
      </c>
      <c r="DA39" s="111">
        <v>374</v>
      </c>
      <c r="DB39" s="111">
        <v>270</v>
      </c>
      <c r="DC39" s="111">
        <v>2474</v>
      </c>
      <c r="DD39" s="111">
        <v>0</v>
      </c>
      <c r="DE39" s="111">
        <v>2169</v>
      </c>
      <c r="DF39" s="111">
        <v>1992</v>
      </c>
      <c r="DG39" s="111">
        <v>177</v>
      </c>
      <c r="DH39" s="111">
        <v>305</v>
      </c>
      <c r="DI39" s="111">
        <v>168</v>
      </c>
      <c r="DJ39" s="111">
        <v>137</v>
      </c>
      <c r="DK39" s="111">
        <v>1110</v>
      </c>
      <c r="DL39" s="111">
        <v>820</v>
      </c>
      <c r="DM39" s="111">
        <v>725</v>
      </c>
      <c r="DN39" s="111">
        <v>95</v>
      </c>
      <c r="DO39" s="111">
        <v>290</v>
      </c>
      <c r="DP39" s="111">
        <v>188</v>
      </c>
      <c r="DQ39" s="111">
        <v>102</v>
      </c>
      <c r="DR39" s="111">
        <v>22</v>
      </c>
      <c r="DS39" s="111">
        <v>0</v>
      </c>
      <c r="DT39" s="111">
        <v>3</v>
      </c>
      <c r="DU39" s="111">
        <v>2</v>
      </c>
      <c r="DV39" s="111">
        <v>1</v>
      </c>
      <c r="DW39" s="111">
        <v>19</v>
      </c>
      <c r="DX39" s="111">
        <v>7</v>
      </c>
      <c r="DY39" s="111">
        <v>12</v>
      </c>
      <c r="DZ39" s="111">
        <v>292</v>
      </c>
      <c r="EA39" s="111">
        <v>262</v>
      </c>
      <c r="EB39" s="111">
        <v>200</v>
      </c>
      <c r="EC39" s="111">
        <v>62</v>
      </c>
      <c r="ED39" s="111">
        <v>30</v>
      </c>
      <c r="EE39" s="111">
        <v>11</v>
      </c>
      <c r="EF39" s="111">
        <v>19</v>
      </c>
      <c r="EG39" s="111">
        <v>146</v>
      </c>
      <c r="EH39" s="111">
        <v>93</v>
      </c>
      <c r="EI39" s="111">
        <v>87</v>
      </c>
      <c r="EJ39" s="111">
        <v>6</v>
      </c>
      <c r="EK39" s="111">
        <v>53</v>
      </c>
      <c r="EL39" s="111">
        <v>51</v>
      </c>
      <c r="EM39" s="111">
        <v>2</v>
      </c>
      <c r="EN39" s="111">
        <v>145</v>
      </c>
      <c r="EO39" s="111">
        <v>145</v>
      </c>
      <c r="EP39" s="111">
        <v>0</v>
      </c>
      <c r="EQ39" s="111">
        <v>0</v>
      </c>
      <c r="ER39" s="111">
        <v>0</v>
      </c>
      <c r="ES39" s="111">
        <v>0</v>
      </c>
      <c r="ET39" s="111">
        <v>0</v>
      </c>
      <c r="EU39" s="111">
        <v>91</v>
      </c>
      <c r="EV39" s="111">
        <v>91</v>
      </c>
      <c r="EW39" s="111">
        <v>0</v>
      </c>
      <c r="EX39" s="111">
        <v>0</v>
      </c>
      <c r="EY39" s="111">
        <v>40</v>
      </c>
      <c r="EZ39" s="111">
        <v>40</v>
      </c>
      <c r="FA39" s="111">
        <v>0</v>
      </c>
      <c r="FB39" s="111">
        <v>117</v>
      </c>
    </row>
    <row r="40" spans="1:158" ht="19.5" customHeight="1">
      <c r="A40" s="107">
        <v>37</v>
      </c>
      <c r="B40" s="107" t="s">
        <v>361</v>
      </c>
      <c r="C40" s="107" t="s">
        <v>393</v>
      </c>
      <c r="D40" s="110">
        <v>2450974.25</v>
      </c>
      <c r="E40" s="110">
        <v>991373</v>
      </c>
      <c r="F40" s="110">
        <v>1459601.25</v>
      </c>
      <c r="G40" s="110">
        <v>4804</v>
      </c>
      <c r="H40" s="110">
        <v>168</v>
      </c>
      <c r="I40" s="110">
        <v>160410</v>
      </c>
      <c r="J40" s="110">
        <v>2424</v>
      </c>
      <c r="K40" s="110">
        <v>0</v>
      </c>
      <c r="L40" s="110">
        <v>36064</v>
      </c>
      <c r="M40" s="110">
        <v>699463.75</v>
      </c>
      <c r="N40" s="110">
        <v>0</v>
      </c>
      <c r="O40" s="110">
        <v>4309058.5999999996</v>
      </c>
      <c r="P40" s="110">
        <v>3100971.83</v>
      </c>
      <c r="Q40" s="110">
        <v>2937404.07</v>
      </c>
      <c r="R40" s="110">
        <v>163567.76</v>
      </c>
      <c r="S40" s="110">
        <v>1208086.77</v>
      </c>
      <c r="T40" s="110">
        <v>1044550.84</v>
      </c>
      <c r="U40" s="110">
        <v>163535.93</v>
      </c>
      <c r="V40" s="110">
        <v>1899966.54</v>
      </c>
      <c r="W40" s="110">
        <v>1634805.75</v>
      </c>
      <c r="X40" s="110">
        <v>1534751.16</v>
      </c>
      <c r="Y40" s="110">
        <v>100054.59</v>
      </c>
      <c r="Z40" s="110">
        <v>265160.78999999998</v>
      </c>
      <c r="AA40" s="110">
        <v>147999.9</v>
      </c>
      <c r="AB40" s="110">
        <v>117160.89</v>
      </c>
      <c r="AC40" s="110">
        <v>855504.42</v>
      </c>
      <c r="AD40" s="110">
        <v>743852.86</v>
      </c>
      <c r="AE40" s="110">
        <v>704430.04</v>
      </c>
      <c r="AF40" s="110">
        <v>39422.82</v>
      </c>
      <c r="AG40" s="110">
        <v>111651.56</v>
      </c>
      <c r="AH40" s="110">
        <v>60244.44</v>
      </c>
      <c r="AI40" s="110">
        <v>51407.12</v>
      </c>
      <c r="AJ40" s="110">
        <v>53089.120000000003</v>
      </c>
      <c r="AK40" s="110">
        <v>46427.89</v>
      </c>
      <c r="AL40" s="110">
        <v>42967.12</v>
      </c>
      <c r="AM40" s="110">
        <v>3460.77</v>
      </c>
      <c r="AN40" s="110">
        <v>6661.23</v>
      </c>
      <c r="AO40" s="110">
        <v>3182.46</v>
      </c>
      <c r="AP40" s="110">
        <v>3478.77</v>
      </c>
      <c r="AQ40" s="110">
        <v>649313</v>
      </c>
      <c r="AR40" s="110">
        <v>549776</v>
      </c>
      <c r="AS40" s="110">
        <v>515794</v>
      </c>
      <c r="AT40" s="110">
        <v>33982</v>
      </c>
      <c r="AU40" s="110">
        <v>99537</v>
      </c>
      <c r="AV40" s="110">
        <v>54796</v>
      </c>
      <c r="AW40" s="110">
        <v>44741</v>
      </c>
      <c r="AX40" s="110">
        <v>342060</v>
      </c>
      <c r="AY40" s="110">
        <v>294749</v>
      </c>
      <c r="AZ40" s="110">
        <v>271560</v>
      </c>
      <c r="BA40" s="110">
        <v>23189</v>
      </c>
      <c r="BB40" s="110">
        <v>47311</v>
      </c>
      <c r="BC40" s="110">
        <v>29777</v>
      </c>
      <c r="BD40" s="110">
        <v>17534</v>
      </c>
      <c r="BE40" s="110">
        <v>2409092.06</v>
      </c>
      <c r="BF40" s="110">
        <v>1466166.08</v>
      </c>
      <c r="BG40" s="110">
        <v>1402652.91</v>
      </c>
      <c r="BH40" s="110">
        <v>63513.17</v>
      </c>
      <c r="BI40" s="110">
        <v>942925.98</v>
      </c>
      <c r="BJ40" s="110">
        <v>896550.94</v>
      </c>
      <c r="BK40" s="110">
        <v>46375.040000000001</v>
      </c>
      <c r="BL40" s="110">
        <v>299671.12</v>
      </c>
      <c r="BM40" s="110">
        <v>175297.89</v>
      </c>
      <c r="BN40" s="110">
        <v>167734.65</v>
      </c>
      <c r="BO40" s="110">
        <v>7563.24</v>
      </c>
      <c r="BP40" s="110">
        <v>124373.23</v>
      </c>
      <c r="BQ40" s="110">
        <v>116404.92</v>
      </c>
      <c r="BR40" s="110">
        <v>7968.31</v>
      </c>
      <c r="BS40" s="110">
        <v>649819.68999999994</v>
      </c>
      <c r="BT40" s="110">
        <v>420095.94</v>
      </c>
      <c r="BU40" s="110">
        <v>407022.26</v>
      </c>
      <c r="BV40" s="110">
        <v>13073.68</v>
      </c>
      <c r="BW40" s="110">
        <v>229723.75</v>
      </c>
      <c r="BX40" s="110">
        <v>216301.27</v>
      </c>
      <c r="BY40" s="110">
        <v>13422.48</v>
      </c>
      <c r="BZ40" s="110">
        <v>418681</v>
      </c>
      <c r="CA40" s="110">
        <v>255110</v>
      </c>
      <c r="CB40" s="110">
        <v>248441</v>
      </c>
      <c r="CC40" s="110">
        <v>6669</v>
      </c>
      <c r="CD40" s="110">
        <v>163571</v>
      </c>
      <c r="CE40" s="110">
        <v>157701</v>
      </c>
      <c r="CF40" s="110">
        <v>5870</v>
      </c>
      <c r="CG40" s="110">
        <v>1040920.25</v>
      </c>
      <c r="CH40" s="110">
        <v>615662.25</v>
      </c>
      <c r="CI40" s="110">
        <v>579455</v>
      </c>
      <c r="CJ40" s="110">
        <v>36207.25</v>
      </c>
      <c r="CK40" s="110">
        <v>425258</v>
      </c>
      <c r="CL40" s="110">
        <v>406143.75</v>
      </c>
      <c r="CM40" s="110">
        <v>19114.25</v>
      </c>
      <c r="CN40" s="110">
        <v>96411.73</v>
      </c>
      <c r="CO40" s="110">
        <v>643212.96</v>
      </c>
      <c r="CP40" s="110">
        <v>596087.72</v>
      </c>
      <c r="CQ40" s="110">
        <v>455036.26</v>
      </c>
      <c r="CR40" s="110">
        <v>109192.87</v>
      </c>
      <c r="CS40" s="110">
        <v>0</v>
      </c>
      <c r="CT40" s="110">
        <v>44536.95</v>
      </c>
      <c r="CU40" s="110">
        <v>0</v>
      </c>
      <c r="CV40" s="111">
        <v>4804</v>
      </c>
      <c r="CW40" s="111">
        <v>4130</v>
      </c>
      <c r="CX40" s="111">
        <v>3803</v>
      </c>
      <c r="CY40" s="111">
        <v>327</v>
      </c>
      <c r="CZ40" s="111">
        <v>674</v>
      </c>
      <c r="DA40" s="111">
        <v>369</v>
      </c>
      <c r="DB40" s="111">
        <v>305</v>
      </c>
      <c r="DC40" s="111">
        <v>2444</v>
      </c>
      <c r="DD40" s="111">
        <v>0</v>
      </c>
      <c r="DE40" s="111">
        <v>2155</v>
      </c>
      <c r="DF40" s="111">
        <v>2014</v>
      </c>
      <c r="DG40" s="111">
        <v>141</v>
      </c>
      <c r="DH40" s="111">
        <v>289</v>
      </c>
      <c r="DI40" s="111">
        <v>144</v>
      </c>
      <c r="DJ40" s="111">
        <v>145</v>
      </c>
      <c r="DK40" s="111">
        <v>1608</v>
      </c>
      <c r="DL40" s="111">
        <v>1293</v>
      </c>
      <c r="DM40" s="111">
        <v>1185</v>
      </c>
      <c r="DN40" s="111">
        <v>108</v>
      </c>
      <c r="DO40" s="111">
        <v>315</v>
      </c>
      <c r="DP40" s="111">
        <v>189</v>
      </c>
      <c r="DQ40" s="111">
        <v>126</v>
      </c>
      <c r="DR40" s="111">
        <v>227</v>
      </c>
      <c r="DS40" s="111">
        <v>0</v>
      </c>
      <c r="DT40" s="111">
        <v>206</v>
      </c>
      <c r="DU40" s="111">
        <v>192</v>
      </c>
      <c r="DV40" s="111">
        <v>14</v>
      </c>
      <c r="DW40" s="111">
        <v>21</v>
      </c>
      <c r="DX40" s="111">
        <v>11</v>
      </c>
      <c r="DY40" s="111">
        <v>10</v>
      </c>
      <c r="DZ40" s="111">
        <v>525</v>
      </c>
      <c r="EA40" s="111">
        <v>476</v>
      </c>
      <c r="EB40" s="111">
        <v>412</v>
      </c>
      <c r="EC40" s="111">
        <v>64</v>
      </c>
      <c r="ED40" s="111">
        <v>49</v>
      </c>
      <c r="EE40" s="111">
        <v>25</v>
      </c>
      <c r="EF40" s="111">
        <v>24</v>
      </c>
      <c r="EG40" s="111">
        <v>168</v>
      </c>
      <c r="EH40" s="111">
        <v>107</v>
      </c>
      <c r="EI40" s="111">
        <v>103</v>
      </c>
      <c r="EJ40" s="111">
        <v>4</v>
      </c>
      <c r="EK40" s="111">
        <v>61</v>
      </c>
      <c r="EL40" s="111">
        <v>58</v>
      </c>
      <c r="EM40" s="111">
        <v>3</v>
      </c>
      <c r="EN40" s="111">
        <v>161</v>
      </c>
      <c r="EO40" s="111">
        <v>147</v>
      </c>
      <c r="EP40" s="111">
        <v>0</v>
      </c>
      <c r="EQ40" s="111">
        <v>14</v>
      </c>
      <c r="ER40" s="111">
        <v>0</v>
      </c>
      <c r="ES40" s="111">
        <v>0</v>
      </c>
      <c r="ET40" s="111">
        <v>0</v>
      </c>
      <c r="EU40" s="111">
        <v>101</v>
      </c>
      <c r="EV40" s="111">
        <v>101</v>
      </c>
      <c r="EW40" s="111">
        <v>0</v>
      </c>
      <c r="EX40" s="111">
        <v>0</v>
      </c>
      <c r="EY40" s="111">
        <v>16</v>
      </c>
      <c r="EZ40" s="111">
        <v>16</v>
      </c>
      <c r="FA40" s="111">
        <v>0</v>
      </c>
      <c r="FB40" s="111">
        <v>18</v>
      </c>
    </row>
    <row r="41" spans="1:158" ht="19.5" customHeight="1">
      <c r="A41" s="107">
        <v>38</v>
      </c>
      <c r="B41" s="107" t="s">
        <v>350</v>
      </c>
      <c r="C41" s="107" t="s">
        <v>394</v>
      </c>
      <c r="D41" s="110">
        <v>781696</v>
      </c>
      <c r="E41" s="110">
        <v>781696</v>
      </c>
      <c r="F41" s="110">
        <v>0</v>
      </c>
      <c r="G41" s="110">
        <v>2675</v>
      </c>
      <c r="H41" s="110">
        <v>0</v>
      </c>
      <c r="I41" s="110">
        <v>421032</v>
      </c>
      <c r="J41" s="110">
        <v>155016</v>
      </c>
      <c r="K41" s="110">
        <v>0</v>
      </c>
      <c r="L41" s="110">
        <v>0</v>
      </c>
      <c r="M41" s="110">
        <v>0</v>
      </c>
      <c r="N41" s="110">
        <v>0</v>
      </c>
      <c r="O41" s="110">
        <v>850023.55</v>
      </c>
      <c r="P41" s="110">
        <v>753262.32</v>
      </c>
      <c r="Q41" s="110">
        <v>585813.74</v>
      </c>
      <c r="R41" s="110">
        <v>167448.57999999999</v>
      </c>
      <c r="S41" s="110">
        <v>96761.23</v>
      </c>
      <c r="T41" s="110">
        <v>51167.38</v>
      </c>
      <c r="U41" s="110">
        <v>45593.85</v>
      </c>
      <c r="V41" s="110">
        <v>850023.55</v>
      </c>
      <c r="W41" s="110">
        <v>753262.32</v>
      </c>
      <c r="X41" s="110">
        <v>585813.74</v>
      </c>
      <c r="Y41" s="110">
        <v>167448.57999999999</v>
      </c>
      <c r="Z41" s="110">
        <v>96761.23</v>
      </c>
      <c r="AA41" s="110">
        <v>51167.38</v>
      </c>
      <c r="AB41" s="110">
        <v>45593.85</v>
      </c>
      <c r="AC41" s="110">
        <v>51017.09</v>
      </c>
      <c r="AD41" s="110">
        <v>43911.65</v>
      </c>
      <c r="AE41" s="110">
        <v>39356.36</v>
      </c>
      <c r="AF41" s="110">
        <v>4555.29</v>
      </c>
      <c r="AG41" s="110">
        <v>7105.44</v>
      </c>
      <c r="AH41" s="110">
        <v>4024.38</v>
      </c>
      <c r="AI41" s="110">
        <v>3081.06</v>
      </c>
      <c r="AJ41" s="110">
        <v>17310.46</v>
      </c>
      <c r="AK41" s="110">
        <v>12779.67</v>
      </c>
      <c r="AL41" s="110">
        <v>1047.3800000000001</v>
      </c>
      <c r="AM41" s="110">
        <v>11732.29</v>
      </c>
      <c r="AN41" s="110">
        <v>4530.79</v>
      </c>
      <c r="AO41" s="110">
        <v>95</v>
      </c>
      <c r="AP41" s="110">
        <v>4435.79</v>
      </c>
      <c r="AQ41" s="110">
        <v>121258</v>
      </c>
      <c r="AR41" s="110">
        <v>106577</v>
      </c>
      <c r="AS41" s="110">
        <v>95426</v>
      </c>
      <c r="AT41" s="110">
        <v>11151</v>
      </c>
      <c r="AU41" s="110">
        <v>14681</v>
      </c>
      <c r="AV41" s="110">
        <v>7192</v>
      </c>
      <c r="AW41" s="110">
        <v>7489</v>
      </c>
      <c r="AX41" s="110">
        <v>660438</v>
      </c>
      <c r="AY41" s="110">
        <v>589994</v>
      </c>
      <c r="AZ41" s="110">
        <v>449984</v>
      </c>
      <c r="BA41" s="110">
        <v>140010</v>
      </c>
      <c r="BB41" s="110">
        <v>70444</v>
      </c>
      <c r="BC41" s="110">
        <v>39856</v>
      </c>
      <c r="BD41" s="110">
        <v>30588</v>
      </c>
      <c r="BE41" s="110">
        <v>0</v>
      </c>
      <c r="BF41" s="110">
        <v>0</v>
      </c>
      <c r="BG41" s="110">
        <v>0</v>
      </c>
      <c r="BH41" s="110">
        <v>0</v>
      </c>
      <c r="BI41" s="110">
        <v>0</v>
      </c>
      <c r="BJ41" s="110">
        <v>0</v>
      </c>
      <c r="BK41" s="110">
        <v>0</v>
      </c>
      <c r="BL41" s="110">
        <v>0</v>
      </c>
      <c r="BM41" s="110">
        <v>0</v>
      </c>
      <c r="BN41" s="110">
        <v>0</v>
      </c>
      <c r="BO41" s="110">
        <v>0</v>
      </c>
      <c r="BP41" s="110">
        <v>0</v>
      </c>
      <c r="BQ41" s="110">
        <v>0</v>
      </c>
      <c r="BR41" s="110">
        <v>0</v>
      </c>
      <c r="BS41" s="110">
        <v>0</v>
      </c>
      <c r="BT41" s="110">
        <v>0</v>
      </c>
      <c r="BU41" s="110">
        <v>0</v>
      </c>
      <c r="BV41" s="110">
        <v>0</v>
      </c>
      <c r="BW41" s="110">
        <v>0</v>
      </c>
      <c r="BX41" s="110">
        <v>0</v>
      </c>
      <c r="BY41" s="110">
        <v>0</v>
      </c>
      <c r="BZ41" s="110">
        <v>0</v>
      </c>
      <c r="CA41" s="110">
        <v>0</v>
      </c>
      <c r="CB41" s="110">
        <v>0</v>
      </c>
      <c r="CC41" s="110">
        <v>0</v>
      </c>
      <c r="CD41" s="110">
        <v>0</v>
      </c>
      <c r="CE41" s="110">
        <v>0</v>
      </c>
      <c r="CF41" s="110">
        <v>0</v>
      </c>
      <c r="CG41" s="110">
        <v>0</v>
      </c>
      <c r="CH41" s="110">
        <v>0</v>
      </c>
      <c r="CI41" s="110">
        <v>0</v>
      </c>
      <c r="CJ41" s="110">
        <v>0</v>
      </c>
      <c r="CK41" s="110">
        <v>0</v>
      </c>
      <c r="CL41" s="110">
        <v>0</v>
      </c>
      <c r="CM41" s="110">
        <v>0</v>
      </c>
      <c r="CN41" s="110">
        <v>4150.5600000000004</v>
      </c>
      <c r="CO41" s="110">
        <v>505323.13</v>
      </c>
      <c r="CP41" s="110">
        <v>259469.67</v>
      </c>
      <c r="CQ41" s="110">
        <v>78391.850000000006</v>
      </c>
      <c r="CR41" s="110">
        <v>2728.34</v>
      </c>
      <c r="CS41" s="110">
        <v>0</v>
      </c>
      <c r="CT41" s="110">
        <v>0</v>
      </c>
      <c r="CU41" s="110">
        <v>0</v>
      </c>
      <c r="CV41" s="111">
        <v>2675</v>
      </c>
      <c r="CW41" s="111">
        <v>2346</v>
      </c>
      <c r="CX41" s="111">
        <v>2033</v>
      </c>
      <c r="CY41" s="111">
        <v>313</v>
      </c>
      <c r="CZ41" s="111">
        <v>329</v>
      </c>
      <c r="DA41" s="111">
        <v>162</v>
      </c>
      <c r="DB41" s="111">
        <v>167</v>
      </c>
      <c r="DC41" s="111">
        <v>2134</v>
      </c>
      <c r="DD41" s="111">
        <v>0</v>
      </c>
      <c r="DE41" s="111">
        <v>1897</v>
      </c>
      <c r="DF41" s="111">
        <v>1677</v>
      </c>
      <c r="DG41" s="111">
        <v>220</v>
      </c>
      <c r="DH41" s="111">
        <v>237</v>
      </c>
      <c r="DI41" s="111">
        <v>118</v>
      </c>
      <c r="DJ41" s="111">
        <v>119</v>
      </c>
      <c r="DK41" s="111">
        <v>510</v>
      </c>
      <c r="DL41" s="111">
        <v>420</v>
      </c>
      <c r="DM41" s="111">
        <v>329</v>
      </c>
      <c r="DN41" s="111">
        <v>91</v>
      </c>
      <c r="DO41" s="111">
        <v>90</v>
      </c>
      <c r="DP41" s="111">
        <v>44</v>
      </c>
      <c r="DQ41" s="111">
        <v>46</v>
      </c>
      <c r="DR41" s="111">
        <v>7</v>
      </c>
      <c r="DS41" s="111">
        <v>0</v>
      </c>
      <c r="DT41" s="111">
        <v>6</v>
      </c>
      <c r="DU41" s="111">
        <v>6</v>
      </c>
      <c r="DV41" s="111">
        <v>0</v>
      </c>
      <c r="DW41" s="111">
        <v>1</v>
      </c>
      <c r="DX41" s="111">
        <v>0</v>
      </c>
      <c r="DY41" s="111">
        <v>1</v>
      </c>
      <c r="DZ41" s="111">
        <v>24</v>
      </c>
      <c r="EA41" s="111">
        <v>23</v>
      </c>
      <c r="EB41" s="111">
        <v>21</v>
      </c>
      <c r="EC41" s="111">
        <v>2</v>
      </c>
      <c r="ED41" s="111">
        <v>1</v>
      </c>
      <c r="EE41" s="111">
        <v>0</v>
      </c>
      <c r="EF41" s="111">
        <v>1</v>
      </c>
      <c r="EG41" s="111">
        <v>0</v>
      </c>
      <c r="EH41" s="111">
        <v>0</v>
      </c>
      <c r="EI41" s="111">
        <v>0</v>
      </c>
      <c r="EJ41" s="111">
        <v>0</v>
      </c>
      <c r="EK41" s="111">
        <v>0</v>
      </c>
      <c r="EL41" s="111">
        <v>0</v>
      </c>
      <c r="EM41" s="111">
        <v>0</v>
      </c>
      <c r="EN41" s="111">
        <v>0</v>
      </c>
      <c r="EO41" s="111">
        <v>0</v>
      </c>
      <c r="EP41" s="111">
        <v>0</v>
      </c>
      <c r="EQ41" s="111">
        <v>0</v>
      </c>
      <c r="ER41" s="111">
        <v>0</v>
      </c>
      <c r="ES41" s="111">
        <v>0</v>
      </c>
      <c r="ET41" s="111">
        <v>0</v>
      </c>
      <c r="EU41" s="111">
        <v>0</v>
      </c>
      <c r="EV41" s="111">
        <v>0</v>
      </c>
      <c r="EW41" s="111">
        <v>0</v>
      </c>
      <c r="EX41" s="111">
        <v>0</v>
      </c>
      <c r="EY41" s="111">
        <v>0</v>
      </c>
      <c r="EZ41" s="111">
        <v>0</v>
      </c>
      <c r="FA41" s="111">
        <v>0</v>
      </c>
      <c r="FB41" s="111">
        <v>0</v>
      </c>
    </row>
    <row r="42" spans="1:158" ht="19.5" customHeight="1">
      <c r="A42" s="107">
        <v>39</v>
      </c>
      <c r="B42" s="107" t="s">
        <v>350</v>
      </c>
      <c r="C42" s="107" t="s">
        <v>395</v>
      </c>
      <c r="D42" s="110">
        <v>1663915.85</v>
      </c>
      <c r="E42" s="110">
        <v>1663915.85</v>
      </c>
      <c r="F42" s="110">
        <v>0</v>
      </c>
      <c r="G42" s="110">
        <v>6394</v>
      </c>
      <c r="H42" s="110">
        <v>0</v>
      </c>
      <c r="I42" s="110">
        <v>571851.1</v>
      </c>
      <c r="J42" s="110">
        <v>291630.75</v>
      </c>
      <c r="K42" s="110">
        <v>3036.03</v>
      </c>
      <c r="L42" s="110">
        <v>0</v>
      </c>
      <c r="M42" s="110">
        <v>0</v>
      </c>
      <c r="N42" s="110">
        <v>0</v>
      </c>
      <c r="O42" s="110">
        <v>2307736.5</v>
      </c>
      <c r="P42" s="110">
        <v>1977902.82</v>
      </c>
      <c r="Q42" s="110">
        <v>1679131.43</v>
      </c>
      <c r="R42" s="110">
        <v>298771.39</v>
      </c>
      <c r="S42" s="110">
        <v>329833.68</v>
      </c>
      <c r="T42" s="110">
        <v>169618.28</v>
      </c>
      <c r="U42" s="110">
        <v>160215.4</v>
      </c>
      <c r="V42" s="110">
        <v>2307736.5</v>
      </c>
      <c r="W42" s="110">
        <v>1977902.82</v>
      </c>
      <c r="X42" s="110">
        <v>1679131.43</v>
      </c>
      <c r="Y42" s="110">
        <v>298771.39</v>
      </c>
      <c r="Z42" s="110">
        <v>329833.68</v>
      </c>
      <c r="AA42" s="110">
        <v>169618.28</v>
      </c>
      <c r="AB42" s="110">
        <v>160215.4</v>
      </c>
      <c r="AC42" s="110">
        <v>605276.98</v>
      </c>
      <c r="AD42" s="110">
        <v>536501.28</v>
      </c>
      <c r="AE42" s="110">
        <v>493069.66</v>
      </c>
      <c r="AF42" s="110">
        <v>43431.62</v>
      </c>
      <c r="AG42" s="110">
        <v>68775.7</v>
      </c>
      <c r="AH42" s="110">
        <v>34806.639999999999</v>
      </c>
      <c r="AI42" s="110">
        <v>33969.06</v>
      </c>
      <c r="AJ42" s="110">
        <v>38543.67</v>
      </c>
      <c r="AK42" s="110">
        <v>32553.19</v>
      </c>
      <c r="AL42" s="110">
        <v>29405.52</v>
      </c>
      <c r="AM42" s="110">
        <v>3147.67</v>
      </c>
      <c r="AN42" s="110">
        <v>5990.48</v>
      </c>
      <c r="AO42" s="110">
        <v>3008.89</v>
      </c>
      <c r="AP42" s="110">
        <v>2981.59</v>
      </c>
      <c r="AQ42" s="110">
        <v>459807</v>
      </c>
      <c r="AR42" s="110">
        <v>378475</v>
      </c>
      <c r="AS42" s="110">
        <v>344398</v>
      </c>
      <c r="AT42" s="110">
        <v>34077</v>
      </c>
      <c r="AU42" s="110">
        <v>81332</v>
      </c>
      <c r="AV42" s="110">
        <v>49007</v>
      </c>
      <c r="AW42" s="110">
        <v>32325</v>
      </c>
      <c r="AX42" s="110">
        <v>1204108.8500000001</v>
      </c>
      <c r="AY42" s="110">
        <v>1030373.35</v>
      </c>
      <c r="AZ42" s="110">
        <v>812258.25</v>
      </c>
      <c r="BA42" s="110">
        <v>218115.1</v>
      </c>
      <c r="BB42" s="110">
        <v>173735.5</v>
      </c>
      <c r="BC42" s="110">
        <v>82795.75</v>
      </c>
      <c r="BD42" s="110">
        <v>90939.75</v>
      </c>
      <c r="BE42" s="110">
        <v>0</v>
      </c>
      <c r="BF42" s="110">
        <v>0</v>
      </c>
      <c r="BG42" s="110">
        <v>0</v>
      </c>
      <c r="BH42" s="110">
        <v>0</v>
      </c>
      <c r="BI42" s="110">
        <v>0</v>
      </c>
      <c r="BJ42" s="110">
        <v>0</v>
      </c>
      <c r="BK42" s="110">
        <v>0</v>
      </c>
      <c r="BL42" s="110">
        <v>0</v>
      </c>
      <c r="BM42" s="110">
        <v>0</v>
      </c>
      <c r="BN42" s="110">
        <v>0</v>
      </c>
      <c r="BO42" s="110">
        <v>0</v>
      </c>
      <c r="BP42" s="110">
        <v>0</v>
      </c>
      <c r="BQ42" s="110">
        <v>0</v>
      </c>
      <c r="BR42" s="110">
        <v>0</v>
      </c>
      <c r="BS42" s="110">
        <v>0</v>
      </c>
      <c r="BT42" s="110">
        <v>0</v>
      </c>
      <c r="BU42" s="110">
        <v>0</v>
      </c>
      <c r="BV42" s="110">
        <v>0</v>
      </c>
      <c r="BW42" s="110">
        <v>0</v>
      </c>
      <c r="BX42" s="110">
        <v>0</v>
      </c>
      <c r="BY42" s="110">
        <v>0</v>
      </c>
      <c r="BZ42" s="110">
        <v>0</v>
      </c>
      <c r="CA42" s="110">
        <v>0</v>
      </c>
      <c r="CB42" s="110">
        <v>0</v>
      </c>
      <c r="CC42" s="110">
        <v>0</v>
      </c>
      <c r="CD42" s="110">
        <v>0</v>
      </c>
      <c r="CE42" s="110">
        <v>0</v>
      </c>
      <c r="CF42" s="110">
        <v>0</v>
      </c>
      <c r="CG42" s="110">
        <v>0</v>
      </c>
      <c r="CH42" s="110">
        <v>0</v>
      </c>
      <c r="CI42" s="110">
        <v>0</v>
      </c>
      <c r="CJ42" s="110">
        <v>0</v>
      </c>
      <c r="CK42" s="110">
        <v>0</v>
      </c>
      <c r="CL42" s="110">
        <v>0</v>
      </c>
      <c r="CM42" s="110">
        <v>0</v>
      </c>
      <c r="CN42" s="110">
        <v>-25</v>
      </c>
      <c r="CO42" s="110">
        <v>1136436.26</v>
      </c>
      <c r="CP42" s="110">
        <v>495785.83</v>
      </c>
      <c r="CQ42" s="110">
        <v>328400.31</v>
      </c>
      <c r="CR42" s="110">
        <v>347114.1</v>
      </c>
      <c r="CS42" s="110">
        <v>0</v>
      </c>
      <c r="CT42" s="110">
        <v>0</v>
      </c>
      <c r="CU42" s="110">
        <v>0</v>
      </c>
      <c r="CV42" s="111">
        <v>6394</v>
      </c>
      <c r="CW42" s="111">
        <v>5541</v>
      </c>
      <c r="CX42" s="111">
        <v>4854</v>
      </c>
      <c r="CY42" s="111">
        <v>687</v>
      </c>
      <c r="CZ42" s="111">
        <v>853</v>
      </c>
      <c r="DA42" s="111">
        <v>443</v>
      </c>
      <c r="DB42" s="111">
        <v>410</v>
      </c>
      <c r="DC42" s="111">
        <v>4564</v>
      </c>
      <c r="DD42" s="111">
        <v>0</v>
      </c>
      <c r="DE42" s="111">
        <v>4085</v>
      </c>
      <c r="DF42" s="111">
        <v>3576</v>
      </c>
      <c r="DG42" s="111">
        <v>509</v>
      </c>
      <c r="DH42" s="111">
        <v>479</v>
      </c>
      <c r="DI42" s="111">
        <v>236</v>
      </c>
      <c r="DJ42" s="111">
        <v>243</v>
      </c>
      <c r="DK42" s="111">
        <v>1239</v>
      </c>
      <c r="DL42" s="111">
        <v>1055</v>
      </c>
      <c r="DM42" s="111">
        <v>937</v>
      </c>
      <c r="DN42" s="111">
        <v>118</v>
      </c>
      <c r="DO42" s="111">
        <v>184</v>
      </c>
      <c r="DP42" s="111">
        <v>107</v>
      </c>
      <c r="DQ42" s="111">
        <v>77</v>
      </c>
      <c r="DR42" s="111">
        <v>591</v>
      </c>
      <c r="DS42" s="111">
        <v>0</v>
      </c>
      <c r="DT42" s="111">
        <v>401</v>
      </c>
      <c r="DU42" s="111">
        <v>341</v>
      </c>
      <c r="DV42" s="111">
        <v>60</v>
      </c>
      <c r="DW42" s="111">
        <v>190</v>
      </c>
      <c r="DX42" s="111">
        <v>100</v>
      </c>
      <c r="DY42" s="111">
        <v>90</v>
      </c>
      <c r="DZ42" s="111">
        <v>0</v>
      </c>
      <c r="EA42" s="111">
        <v>0</v>
      </c>
      <c r="EB42" s="111">
        <v>0</v>
      </c>
      <c r="EC42" s="111">
        <v>0</v>
      </c>
      <c r="ED42" s="111">
        <v>0</v>
      </c>
      <c r="EE42" s="111">
        <v>0</v>
      </c>
      <c r="EF42" s="111">
        <v>0</v>
      </c>
      <c r="EG42" s="111">
        <v>0</v>
      </c>
      <c r="EH42" s="111">
        <v>0</v>
      </c>
      <c r="EI42" s="111">
        <v>0</v>
      </c>
      <c r="EJ42" s="111">
        <v>0</v>
      </c>
      <c r="EK42" s="111">
        <v>0</v>
      </c>
      <c r="EL42" s="111">
        <v>0</v>
      </c>
      <c r="EM42" s="111">
        <v>0</v>
      </c>
      <c r="EN42" s="111">
        <v>0</v>
      </c>
      <c r="EO42" s="111">
        <v>0</v>
      </c>
      <c r="EP42" s="111">
        <v>0</v>
      </c>
      <c r="EQ42" s="111">
        <v>0</v>
      </c>
      <c r="ER42" s="111">
        <v>0</v>
      </c>
      <c r="ES42" s="111">
        <v>0</v>
      </c>
      <c r="ET42" s="111">
        <v>0</v>
      </c>
      <c r="EU42" s="111">
        <v>0</v>
      </c>
      <c r="EV42" s="111">
        <v>0</v>
      </c>
      <c r="EW42" s="111">
        <v>0</v>
      </c>
      <c r="EX42" s="111">
        <v>0</v>
      </c>
      <c r="EY42" s="111">
        <v>0</v>
      </c>
      <c r="EZ42" s="111">
        <v>0</v>
      </c>
      <c r="FA42" s="111">
        <v>0</v>
      </c>
      <c r="FB42" s="111">
        <v>0</v>
      </c>
    </row>
    <row r="43" spans="1:158" ht="19.5" customHeight="1">
      <c r="A43" s="107">
        <v>40</v>
      </c>
      <c r="B43" s="107" t="s">
        <v>350</v>
      </c>
      <c r="C43" s="107" t="s">
        <v>396</v>
      </c>
      <c r="D43" s="110">
        <v>152620</v>
      </c>
      <c r="E43" s="110">
        <v>152620</v>
      </c>
      <c r="F43" s="110">
        <v>0</v>
      </c>
      <c r="G43" s="110">
        <v>555</v>
      </c>
      <c r="H43" s="110">
        <v>0</v>
      </c>
      <c r="I43" s="110">
        <v>47882</v>
      </c>
      <c r="J43" s="110">
        <v>0</v>
      </c>
      <c r="K43" s="110">
        <v>0</v>
      </c>
      <c r="L43" s="110">
        <v>0</v>
      </c>
      <c r="M43" s="110">
        <v>0</v>
      </c>
      <c r="N43" s="110">
        <v>0</v>
      </c>
      <c r="O43" s="110">
        <v>255931.85</v>
      </c>
      <c r="P43" s="110">
        <v>221545.52</v>
      </c>
      <c r="Q43" s="110">
        <v>202276.22</v>
      </c>
      <c r="R43" s="110">
        <v>19269.3</v>
      </c>
      <c r="S43" s="110">
        <v>34386.33</v>
      </c>
      <c r="T43" s="110">
        <v>16243.72</v>
      </c>
      <c r="U43" s="110">
        <v>18142.61</v>
      </c>
      <c r="V43" s="110">
        <v>255931.85</v>
      </c>
      <c r="W43" s="110">
        <v>221545.52</v>
      </c>
      <c r="X43" s="110">
        <v>202276.22</v>
      </c>
      <c r="Y43" s="110">
        <v>19269.3</v>
      </c>
      <c r="Z43" s="110">
        <v>34386.33</v>
      </c>
      <c r="AA43" s="110">
        <v>16243.72</v>
      </c>
      <c r="AB43" s="110">
        <v>18142.61</v>
      </c>
      <c r="AC43" s="110">
        <v>103311.85</v>
      </c>
      <c r="AD43" s="110">
        <v>95397.52</v>
      </c>
      <c r="AE43" s="110">
        <v>89769.22</v>
      </c>
      <c r="AF43" s="110">
        <v>5628.3</v>
      </c>
      <c r="AG43" s="110">
        <v>7914.33</v>
      </c>
      <c r="AH43" s="110">
        <v>4513.72</v>
      </c>
      <c r="AI43" s="110">
        <v>3400.61</v>
      </c>
      <c r="AJ43" s="110">
        <v>0</v>
      </c>
      <c r="AK43" s="110">
        <v>0</v>
      </c>
      <c r="AL43" s="110">
        <v>0</v>
      </c>
      <c r="AM43" s="110">
        <v>0</v>
      </c>
      <c r="AN43" s="110">
        <v>0</v>
      </c>
      <c r="AO43" s="110">
        <v>0</v>
      </c>
      <c r="AP43" s="110">
        <v>0</v>
      </c>
      <c r="AQ43" s="110">
        <v>89858</v>
      </c>
      <c r="AR43" s="110">
        <v>75857</v>
      </c>
      <c r="AS43" s="110">
        <v>68333</v>
      </c>
      <c r="AT43" s="110">
        <v>7524</v>
      </c>
      <c r="AU43" s="110">
        <v>14001</v>
      </c>
      <c r="AV43" s="110">
        <v>7150</v>
      </c>
      <c r="AW43" s="110">
        <v>6851</v>
      </c>
      <c r="AX43" s="110">
        <v>62762</v>
      </c>
      <c r="AY43" s="110">
        <v>50291</v>
      </c>
      <c r="AZ43" s="110">
        <v>44174</v>
      </c>
      <c r="BA43" s="110">
        <v>6117</v>
      </c>
      <c r="BB43" s="110">
        <v>12471</v>
      </c>
      <c r="BC43" s="110">
        <v>4580</v>
      </c>
      <c r="BD43" s="110">
        <v>7891</v>
      </c>
      <c r="BE43" s="110">
        <v>0</v>
      </c>
      <c r="BF43" s="110">
        <v>0</v>
      </c>
      <c r="BG43" s="110">
        <v>0</v>
      </c>
      <c r="BH43" s="110">
        <v>0</v>
      </c>
      <c r="BI43" s="110">
        <v>0</v>
      </c>
      <c r="BJ43" s="110">
        <v>0</v>
      </c>
      <c r="BK43" s="110">
        <v>0</v>
      </c>
      <c r="BL43" s="110">
        <v>0</v>
      </c>
      <c r="BM43" s="110">
        <v>0</v>
      </c>
      <c r="BN43" s="110">
        <v>0</v>
      </c>
      <c r="BO43" s="110">
        <v>0</v>
      </c>
      <c r="BP43" s="110">
        <v>0</v>
      </c>
      <c r="BQ43" s="110">
        <v>0</v>
      </c>
      <c r="BR43" s="110">
        <v>0</v>
      </c>
      <c r="BS43" s="110">
        <v>0</v>
      </c>
      <c r="BT43" s="110">
        <v>0</v>
      </c>
      <c r="BU43" s="110">
        <v>0</v>
      </c>
      <c r="BV43" s="110">
        <v>0</v>
      </c>
      <c r="BW43" s="110">
        <v>0</v>
      </c>
      <c r="BX43" s="110">
        <v>0</v>
      </c>
      <c r="BY43" s="110">
        <v>0</v>
      </c>
      <c r="BZ43" s="110">
        <v>0</v>
      </c>
      <c r="CA43" s="110">
        <v>0</v>
      </c>
      <c r="CB43" s="110">
        <v>0</v>
      </c>
      <c r="CC43" s="110">
        <v>0</v>
      </c>
      <c r="CD43" s="110">
        <v>0</v>
      </c>
      <c r="CE43" s="110">
        <v>0</v>
      </c>
      <c r="CF43" s="110">
        <v>0</v>
      </c>
      <c r="CG43" s="110">
        <v>0</v>
      </c>
      <c r="CH43" s="110">
        <v>0</v>
      </c>
      <c r="CI43" s="110">
        <v>0</v>
      </c>
      <c r="CJ43" s="110">
        <v>0</v>
      </c>
      <c r="CK43" s="110">
        <v>0</v>
      </c>
      <c r="CL43" s="110">
        <v>0</v>
      </c>
      <c r="CM43" s="110">
        <v>0</v>
      </c>
      <c r="CN43" s="110">
        <v>0</v>
      </c>
      <c r="CO43" s="110">
        <v>102379.97</v>
      </c>
      <c r="CP43" s="110">
        <v>35795.519999999997</v>
      </c>
      <c r="CQ43" s="110">
        <v>117756.36</v>
      </c>
      <c r="CR43" s="110">
        <v>0</v>
      </c>
      <c r="CS43" s="110">
        <v>0</v>
      </c>
      <c r="CT43" s="110">
        <v>0</v>
      </c>
      <c r="CU43" s="110">
        <v>0</v>
      </c>
      <c r="CV43" s="111">
        <v>555</v>
      </c>
      <c r="CW43" s="111">
        <v>490</v>
      </c>
      <c r="CX43" s="111">
        <v>449</v>
      </c>
      <c r="CY43" s="111">
        <v>41</v>
      </c>
      <c r="CZ43" s="111">
        <v>65</v>
      </c>
      <c r="DA43" s="111">
        <v>31</v>
      </c>
      <c r="DB43" s="111">
        <v>34</v>
      </c>
      <c r="DC43" s="111">
        <v>488</v>
      </c>
      <c r="DD43" s="111">
        <v>0</v>
      </c>
      <c r="DE43" s="111">
        <v>433</v>
      </c>
      <c r="DF43" s="111">
        <v>394</v>
      </c>
      <c r="DG43" s="111">
        <v>39</v>
      </c>
      <c r="DH43" s="111">
        <v>55</v>
      </c>
      <c r="DI43" s="111">
        <v>24</v>
      </c>
      <c r="DJ43" s="111">
        <v>31</v>
      </c>
      <c r="DK43" s="111">
        <v>67</v>
      </c>
      <c r="DL43" s="111">
        <v>57</v>
      </c>
      <c r="DM43" s="111">
        <v>55</v>
      </c>
      <c r="DN43" s="111">
        <v>2</v>
      </c>
      <c r="DO43" s="111">
        <v>10</v>
      </c>
      <c r="DP43" s="111">
        <v>7</v>
      </c>
      <c r="DQ43" s="111">
        <v>3</v>
      </c>
      <c r="DR43" s="111">
        <v>0</v>
      </c>
      <c r="DS43" s="111">
        <v>0</v>
      </c>
      <c r="DT43" s="111">
        <v>0</v>
      </c>
      <c r="DU43" s="111">
        <v>0</v>
      </c>
      <c r="DV43" s="111">
        <v>0</v>
      </c>
      <c r="DW43" s="111">
        <v>0</v>
      </c>
      <c r="DX43" s="111">
        <v>0</v>
      </c>
      <c r="DY43" s="111">
        <v>0</v>
      </c>
      <c r="DZ43" s="111">
        <v>0</v>
      </c>
      <c r="EA43" s="111">
        <v>0</v>
      </c>
      <c r="EB43" s="111">
        <v>0</v>
      </c>
      <c r="EC43" s="111">
        <v>0</v>
      </c>
      <c r="ED43" s="111">
        <v>0</v>
      </c>
      <c r="EE43" s="111">
        <v>0</v>
      </c>
      <c r="EF43" s="111">
        <v>0</v>
      </c>
      <c r="EG43" s="111">
        <v>0</v>
      </c>
      <c r="EH43" s="111">
        <v>0</v>
      </c>
      <c r="EI43" s="111">
        <v>0</v>
      </c>
      <c r="EJ43" s="111">
        <v>0</v>
      </c>
      <c r="EK43" s="111">
        <v>0</v>
      </c>
      <c r="EL43" s="111">
        <v>0</v>
      </c>
      <c r="EM43" s="111">
        <v>0</v>
      </c>
      <c r="EN43" s="111">
        <v>0</v>
      </c>
      <c r="EO43" s="111">
        <v>0</v>
      </c>
      <c r="EP43" s="111">
        <v>0</v>
      </c>
      <c r="EQ43" s="111">
        <v>0</v>
      </c>
      <c r="ER43" s="111">
        <v>0</v>
      </c>
      <c r="ES43" s="111">
        <v>0</v>
      </c>
      <c r="ET43" s="111">
        <v>0</v>
      </c>
      <c r="EU43" s="111">
        <v>0</v>
      </c>
      <c r="EV43" s="111">
        <v>0</v>
      </c>
      <c r="EW43" s="111">
        <v>0</v>
      </c>
      <c r="EX43" s="111">
        <v>0</v>
      </c>
      <c r="EY43" s="111">
        <v>0</v>
      </c>
      <c r="EZ43" s="111">
        <v>0</v>
      </c>
      <c r="FA43" s="111">
        <v>0</v>
      </c>
      <c r="FB43" s="111">
        <v>0</v>
      </c>
    </row>
    <row r="44" spans="1:158" ht="19.5" customHeight="1">
      <c r="A44" s="107">
        <v>41</v>
      </c>
      <c r="B44" s="107" t="s">
        <v>350</v>
      </c>
      <c r="C44" s="107" t="s">
        <v>397</v>
      </c>
      <c r="D44" s="110">
        <v>220013.5</v>
      </c>
      <c r="E44" s="110">
        <v>219304</v>
      </c>
      <c r="F44" s="110">
        <v>709.5</v>
      </c>
      <c r="G44" s="110">
        <v>823</v>
      </c>
      <c r="H44" s="110">
        <v>1</v>
      </c>
      <c r="I44" s="110">
        <v>7502</v>
      </c>
      <c r="J44" s="110">
        <v>0</v>
      </c>
      <c r="K44" s="110">
        <v>0</v>
      </c>
      <c r="L44" s="110">
        <v>128</v>
      </c>
      <c r="M44" s="110">
        <v>0</v>
      </c>
      <c r="N44" s="110">
        <v>0</v>
      </c>
      <c r="O44" s="110">
        <v>1031217.56</v>
      </c>
      <c r="P44" s="110">
        <v>752458.65</v>
      </c>
      <c r="Q44" s="110">
        <v>737038.24</v>
      </c>
      <c r="R44" s="110">
        <v>15420.41</v>
      </c>
      <c r="S44" s="110">
        <v>278758.90999999997</v>
      </c>
      <c r="T44" s="110">
        <v>261109.08</v>
      </c>
      <c r="U44" s="110">
        <v>17649.830000000002</v>
      </c>
      <c r="V44" s="110">
        <v>1004360.54</v>
      </c>
      <c r="W44" s="110">
        <v>725601.63</v>
      </c>
      <c r="X44" s="110">
        <v>710181.22</v>
      </c>
      <c r="Y44" s="110">
        <v>15420.41</v>
      </c>
      <c r="Z44" s="110">
        <v>278758.90999999997</v>
      </c>
      <c r="AA44" s="110">
        <v>261109.08</v>
      </c>
      <c r="AB44" s="110">
        <v>17649.830000000002</v>
      </c>
      <c r="AC44" s="110">
        <v>741541.7</v>
      </c>
      <c r="AD44" s="110">
        <v>539846.94999999995</v>
      </c>
      <c r="AE44" s="110">
        <v>532240.28</v>
      </c>
      <c r="AF44" s="110">
        <v>7606.67</v>
      </c>
      <c r="AG44" s="110">
        <v>201694.75</v>
      </c>
      <c r="AH44" s="110">
        <v>198217.44</v>
      </c>
      <c r="AI44" s="110">
        <v>3477.31</v>
      </c>
      <c r="AJ44" s="110">
        <v>43514.84</v>
      </c>
      <c r="AK44" s="110">
        <v>33640.68</v>
      </c>
      <c r="AL44" s="110">
        <v>33452.94</v>
      </c>
      <c r="AM44" s="110">
        <v>187.74</v>
      </c>
      <c r="AN44" s="110">
        <v>9874.16</v>
      </c>
      <c r="AO44" s="110">
        <v>9563.64</v>
      </c>
      <c r="AP44" s="110">
        <v>310.52</v>
      </c>
      <c r="AQ44" s="110">
        <v>179656</v>
      </c>
      <c r="AR44" s="110">
        <v>123063</v>
      </c>
      <c r="AS44" s="110">
        <v>117129</v>
      </c>
      <c r="AT44" s="110">
        <v>5934</v>
      </c>
      <c r="AU44" s="110">
        <v>56593</v>
      </c>
      <c r="AV44" s="110">
        <v>43322</v>
      </c>
      <c r="AW44" s="110">
        <v>13271</v>
      </c>
      <c r="AX44" s="110">
        <v>39648</v>
      </c>
      <c r="AY44" s="110">
        <v>29051</v>
      </c>
      <c r="AZ44" s="110">
        <v>27359</v>
      </c>
      <c r="BA44" s="110">
        <v>1692</v>
      </c>
      <c r="BB44" s="110">
        <v>10597</v>
      </c>
      <c r="BC44" s="110">
        <v>10006</v>
      </c>
      <c r="BD44" s="110">
        <v>591</v>
      </c>
      <c r="BE44" s="110">
        <v>26857.02</v>
      </c>
      <c r="BF44" s="110">
        <v>26857.02</v>
      </c>
      <c r="BG44" s="110">
        <v>26857.02</v>
      </c>
      <c r="BH44" s="110">
        <v>0</v>
      </c>
      <c r="BI44" s="110">
        <v>0</v>
      </c>
      <c r="BJ44" s="110">
        <v>0</v>
      </c>
      <c r="BK44" s="110">
        <v>0</v>
      </c>
      <c r="BL44" s="110">
        <v>25959.84</v>
      </c>
      <c r="BM44" s="110">
        <v>25959.84</v>
      </c>
      <c r="BN44" s="110">
        <v>25959.84</v>
      </c>
      <c r="BO44" s="110">
        <v>0</v>
      </c>
      <c r="BP44" s="110">
        <v>0</v>
      </c>
      <c r="BQ44" s="110">
        <v>0</v>
      </c>
      <c r="BR44" s="110">
        <v>0</v>
      </c>
      <c r="BS44" s="110">
        <v>187.68</v>
      </c>
      <c r="BT44" s="110">
        <v>187.68</v>
      </c>
      <c r="BU44" s="110">
        <v>187.68</v>
      </c>
      <c r="BV44" s="110">
        <v>0</v>
      </c>
      <c r="BW44" s="110">
        <v>0</v>
      </c>
      <c r="BX44" s="110">
        <v>0</v>
      </c>
      <c r="BY44" s="110">
        <v>0</v>
      </c>
      <c r="BZ44" s="110">
        <v>0</v>
      </c>
      <c r="CA44" s="110">
        <v>0</v>
      </c>
      <c r="CB44" s="110">
        <v>0</v>
      </c>
      <c r="CC44" s="110">
        <v>0</v>
      </c>
      <c r="CD44" s="110">
        <v>0</v>
      </c>
      <c r="CE44" s="110">
        <v>0</v>
      </c>
      <c r="CF44" s="110">
        <v>0</v>
      </c>
      <c r="CG44" s="110">
        <v>709.5</v>
      </c>
      <c r="CH44" s="110">
        <v>709.5</v>
      </c>
      <c r="CI44" s="110">
        <v>709.5</v>
      </c>
      <c r="CJ44" s="110">
        <v>0</v>
      </c>
      <c r="CK44" s="110">
        <v>0</v>
      </c>
      <c r="CL44" s="110">
        <v>0</v>
      </c>
      <c r="CM44" s="110">
        <v>0</v>
      </c>
      <c r="CN44" s="110">
        <v>0</v>
      </c>
      <c r="CO44" s="110">
        <v>40513.22</v>
      </c>
      <c r="CP44" s="110">
        <v>933419.66</v>
      </c>
      <c r="CQ44" s="110">
        <v>29911.66</v>
      </c>
      <c r="CR44" s="110">
        <v>0</v>
      </c>
      <c r="CS44" s="110">
        <v>516</v>
      </c>
      <c r="CT44" s="110">
        <v>26857.02</v>
      </c>
      <c r="CU44" s="110">
        <v>0</v>
      </c>
      <c r="CV44" s="111">
        <v>823</v>
      </c>
      <c r="CW44" s="111">
        <v>592</v>
      </c>
      <c r="CX44" s="111">
        <v>561</v>
      </c>
      <c r="CY44" s="111">
        <v>31</v>
      </c>
      <c r="CZ44" s="111">
        <v>231</v>
      </c>
      <c r="DA44" s="111">
        <v>217</v>
      </c>
      <c r="DB44" s="111">
        <v>14</v>
      </c>
      <c r="DC44" s="111">
        <v>385</v>
      </c>
      <c r="DD44" s="111">
        <v>0</v>
      </c>
      <c r="DE44" s="111">
        <v>277</v>
      </c>
      <c r="DF44" s="111">
        <v>266</v>
      </c>
      <c r="DG44" s="111">
        <v>11</v>
      </c>
      <c r="DH44" s="111">
        <v>108</v>
      </c>
      <c r="DI44" s="111">
        <v>103</v>
      </c>
      <c r="DJ44" s="111">
        <v>5</v>
      </c>
      <c r="DK44" s="111">
        <v>437</v>
      </c>
      <c r="DL44" s="111">
        <v>314</v>
      </c>
      <c r="DM44" s="111">
        <v>295</v>
      </c>
      <c r="DN44" s="111">
        <v>19</v>
      </c>
      <c r="DO44" s="111">
        <v>123</v>
      </c>
      <c r="DP44" s="111">
        <v>114</v>
      </c>
      <c r="DQ44" s="111">
        <v>9</v>
      </c>
      <c r="DR44" s="111">
        <v>1</v>
      </c>
      <c r="DS44" s="111">
        <v>0</v>
      </c>
      <c r="DT44" s="111">
        <v>1</v>
      </c>
      <c r="DU44" s="111">
        <v>0</v>
      </c>
      <c r="DV44" s="111">
        <v>1</v>
      </c>
      <c r="DW44" s="111">
        <v>0</v>
      </c>
      <c r="DX44" s="111">
        <v>0</v>
      </c>
      <c r="DY44" s="111">
        <v>0</v>
      </c>
      <c r="DZ44" s="111">
        <v>0</v>
      </c>
      <c r="EA44" s="111">
        <v>0</v>
      </c>
      <c r="EB44" s="111">
        <v>0</v>
      </c>
      <c r="EC44" s="111">
        <v>0</v>
      </c>
      <c r="ED44" s="111">
        <v>0</v>
      </c>
      <c r="EE44" s="111">
        <v>0</v>
      </c>
      <c r="EF44" s="111">
        <v>0</v>
      </c>
      <c r="EG44" s="111">
        <v>1</v>
      </c>
      <c r="EH44" s="111">
        <v>1</v>
      </c>
      <c r="EI44" s="111">
        <v>1</v>
      </c>
      <c r="EJ44" s="111">
        <v>0</v>
      </c>
      <c r="EK44" s="111">
        <v>0</v>
      </c>
      <c r="EL44" s="111">
        <v>0</v>
      </c>
      <c r="EM44" s="111">
        <v>0</v>
      </c>
      <c r="EN44" s="111">
        <v>1</v>
      </c>
      <c r="EO44" s="111">
        <v>0</v>
      </c>
      <c r="EP44" s="111">
        <v>0</v>
      </c>
      <c r="EQ44" s="111">
        <v>1</v>
      </c>
      <c r="ER44" s="111">
        <v>0</v>
      </c>
      <c r="ES44" s="111">
        <v>0</v>
      </c>
      <c r="ET44" s="111">
        <v>0</v>
      </c>
      <c r="EU44" s="111">
        <v>0</v>
      </c>
      <c r="EV44" s="111">
        <v>0</v>
      </c>
      <c r="EW44" s="111">
        <v>0</v>
      </c>
      <c r="EX44" s="111">
        <v>0</v>
      </c>
      <c r="EY44" s="111">
        <v>0</v>
      </c>
      <c r="EZ44" s="111">
        <v>0</v>
      </c>
      <c r="FA44" s="111">
        <v>0</v>
      </c>
      <c r="FB44" s="111">
        <v>0</v>
      </c>
    </row>
    <row r="45" spans="1:158" ht="19.5" customHeight="1">
      <c r="A45" s="107">
        <v>42</v>
      </c>
      <c r="B45" s="107" t="s">
        <v>350</v>
      </c>
      <c r="C45" s="107" t="s">
        <v>398</v>
      </c>
      <c r="D45" s="110">
        <v>3513006.25</v>
      </c>
      <c r="E45" s="110">
        <v>3109343</v>
      </c>
      <c r="F45" s="110">
        <v>403663.25</v>
      </c>
      <c r="G45" s="110">
        <v>7535</v>
      </c>
      <c r="H45" s="110">
        <v>13</v>
      </c>
      <c r="I45" s="110">
        <v>175741</v>
      </c>
      <c r="J45" s="110">
        <v>3218</v>
      </c>
      <c r="K45" s="110">
        <v>0</v>
      </c>
      <c r="L45" s="110">
        <v>61214</v>
      </c>
      <c r="M45" s="110">
        <v>26546.25</v>
      </c>
      <c r="N45" s="110">
        <v>412.79</v>
      </c>
      <c r="O45" s="110">
        <v>5580007.0300000003</v>
      </c>
      <c r="P45" s="110">
        <v>4742310.7300000004</v>
      </c>
      <c r="Q45" s="110">
        <v>4428737.1500000004</v>
      </c>
      <c r="R45" s="110">
        <v>313573.58</v>
      </c>
      <c r="S45" s="110">
        <v>837696.3</v>
      </c>
      <c r="T45" s="110">
        <v>611770.68000000005</v>
      </c>
      <c r="U45" s="110">
        <v>225925.62</v>
      </c>
      <c r="V45" s="110">
        <v>4809140.83</v>
      </c>
      <c r="W45" s="110">
        <v>4233850.29</v>
      </c>
      <c r="X45" s="110">
        <v>3973410.66</v>
      </c>
      <c r="Y45" s="110">
        <v>260439.63</v>
      </c>
      <c r="Z45" s="110">
        <v>575290.54</v>
      </c>
      <c r="AA45" s="110">
        <v>420133.21</v>
      </c>
      <c r="AB45" s="110">
        <v>155157.32999999999</v>
      </c>
      <c r="AC45" s="110">
        <v>1497524.51</v>
      </c>
      <c r="AD45" s="110">
        <v>1326062.29</v>
      </c>
      <c r="AE45" s="110">
        <v>1265795.57</v>
      </c>
      <c r="AF45" s="110">
        <v>60266.720000000001</v>
      </c>
      <c r="AG45" s="110">
        <v>171462.22</v>
      </c>
      <c r="AH45" s="110">
        <v>130872.97</v>
      </c>
      <c r="AI45" s="110">
        <v>40589.25</v>
      </c>
      <c r="AJ45" s="110">
        <v>202273.32</v>
      </c>
      <c r="AK45" s="110">
        <v>174246.5</v>
      </c>
      <c r="AL45" s="110">
        <v>162584.09</v>
      </c>
      <c r="AM45" s="110">
        <v>11662.41</v>
      </c>
      <c r="AN45" s="110">
        <v>28026.82</v>
      </c>
      <c r="AO45" s="110">
        <v>22800.74</v>
      </c>
      <c r="AP45" s="110">
        <v>5226.08</v>
      </c>
      <c r="AQ45" s="110">
        <v>2645453</v>
      </c>
      <c r="AR45" s="110">
        <v>2325556</v>
      </c>
      <c r="AS45" s="110">
        <v>2162626</v>
      </c>
      <c r="AT45" s="110">
        <v>162930</v>
      </c>
      <c r="AU45" s="110">
        <v>319897</v>
      </c>
      <c r="AV45" s="110">
        <v>224044</v>
      </c>
      <c r="AW45" s="110">
        <v>95853</v>
      </c>
      <c r="AX45" s="110">
        <v>463890</v>
      </c>
      <c r="AY45" s="110">
        <v>407985.5</v>
      </c>
      <c r="AZ45" s="110">
        <v>382405</v>
      </c>
      <c r="BA45" s="110">
        <v>25580.5</v>
      </c>
      <c r="BB45" s="110">
        <v>55904.5</v>
      </c>
      <c r="BC45" s="110">
        <v>42415.5</v>
      </c>
      <c r="BD45" s="110">
        <v>13489</v>
      </c>
      <c r="BE45" s="110">
        <v>770866.2</v>
      </c>
      <c r="BF45" s="110">
        <v>508460.44</v>
      </c>
      <c r="BG45" s="110">
        <v>455326.49</v>
      </c>
      <c r="BH45" s="110">
        <v>53133.95</v>
      </c>
      <c r="BI45" s="110">
        <v>262405.76000000001</v>
      </c>
      <c r="BJ45" s="110">
        <v>191637.47</v>
      </c>
      <c r="BK45" s="110">
        <v>70768.289999999994</v>
      </c>
      <c r="BL45" s="110">
        <v>238872.87</v>
      </c>
      <c r="BM45" s="110">
        <v>155995.85999999999</v>
      </c>
      <c r="BN45" s="110">
        <v>137784.4</v>
      </c>
      <c r="BO45" s="110">
        <v>18211.46</v>
      </c>
      <c r="BP45" s="110">
        <v>82877.009999999995</v>
      </c>
      <c r="BQ45" s="110">
        <v>50758.93</v>
      </c>
      <c r="BR45" s="110">
        <v>32118.080000000002</v>
      </c>
      <c r="BS45" s="110">
        <v>128330.08</v>
      </c>
      <c r="BT45" s="110">
        <v>80955.58</v>
      </c>
      <c r="BU45" s="110">
        <v>70844.59</v>
      </c>
      <c r="BV45" s="110">
        <v>10110.99</v>
      </c>
      <c r="BW45" s="110">
        <v>47374.5</v>
      </c>
      <c r="BX45" s="110">
        <v>38327.79</v>
      </c>
      <c r="BY45" s="110">
        <v>9046.7099999999991</v>
      </c>
      <c r="BZ45" s="110">
        <v>200198</v>
      </c>
      <c r="CA45" s="110">
        <v>151691</v>
      </c>
      <c r="CB45" s="110">
        <v>138583</v>
      </c>
      <c r="CC45" s="110">
        <v>13108</v>
      </c>
      <c r="CD45" s="110">
        <v>48507</v>
      </c>
      <c r="CE45" s="110">
        <v>33155</v>
      </c>
      <c r="CF45" s="110">
        <v>15352</v>
      </c>
      <c r="CG45" s="110">
        <v>203465.25</v>
      </c>
      <c r="CH45" s="110">
        <v>119818</v>
      </c>
      <c r="CI45" s="110">
        <v>108114.5</v>
      </c>
      <c r="CJ45" s="110">
        <v>11703.5</v>
      </c>
      <c r="CK45" s="110">
        <v>83647.25</v>
      </c>
      <c r="CL45" s="110">
        <v>69395.75</v>
      </c>
      <c r="CM45" s="110">
        <v>14251.5</v>
      </c>
      <c r="CN45" s="110">
        <v>4809128.83</v>
      </c>
      <c r="CO45" s="110">
        <v>12</v>
      </c>
      <c r="CP45" s="110">
        <v>0</v>
      </c>
      <c r="CQ45" s="110">
        <v>0</v>
      </c>
      <c r="CR45" s="110">
        <v>0</v>
      </c>
      <c r="CS45" s="110">
        <v>0</v>
      </c>
      <c r="CT45" s="110">
        <v>0</v>
      </c>
      <c r="CU45" s="110">
        <v>0</v>
      </c>
      <c r="CV45" s="111">
        <v>7535</v>
      </c>
      <c r="CW45" s="111">
        <v>6616</v>
      </c>
      <c r="CX45" s="111">
        <v>6203</v>
      </c>
      <c r="CY45" s="111">
        <v>413</v>
      </c>
      <c r="CZ45" s="111">
        <v>919</v>
      </c>
      <c r="DA45" s="111">
        <v>625</v>
      </c>
      <c r="DB45" s="111">
        <v>294</v>
      </c>
      <c r="DC45" s="111">
        <v>0</v>
      </c>
      <c r="DD45" s="111">
        <v>0</v>
      </c>
      <c r="DE45" s="111">
        <v>0</v>
      </c>
      <c r="DF45" s="111">
        <v>0</v>
      </c>
      <c r="DG45" s="111">
        <v>0</v>
      </c>
      <c r="DH45" s="111">
        <v>0</v>
      </c>
      <c r="DI45" s="111">
        <v>0</v>
      </c>
      <c r="DJ45" s="111">
        <v>0</v>
      </c>
      <c r="DK45" s="111">
        <v>0</v>
      </c>
      <c r="DL45" s="111">
        <v>0</v>
      </c>
      <c r="DM45" s="111">
        <v>0</v>
      </c>
      <c r="DN45" s="111">
        <v>0</v>
      </c>
      <c r="DO45" s="111">
        <v>0</v>
      </c>
      <c r="DP45" s="111">
        <v>0</v>
      </c>
      <c r="DQ45" s="111">
        <v>0</v>
      </c>
      <c r="DR45" s="111">
        <v>0</v>
      </c>
      <c r="DS45" s="111">
        <v>0</v>
      </c>
      <c r="DT45" s="111">
        <v>0</v>
      </c>
      <c r="DU45" s="111">
        <v>0</v>
      </c>
      <c r="DV45" s="111">
        <v>0</v>
      </c>
      <c r="DW45" s="111">
        <v>0</v>
      </c>
      <c r="DX45" s="111">
        <v>0</v>
      </c>
      <c r="DY45" s="111">
        <v>0</v>
      </c>
      <c r="DZ45" s="111">
        <v>7535</v>
      </c>
      <c r="EA45" s="111">
        <v>6616</v>
      </c>
      <c r="EB45" s="111">
        <v>6203</v>
      </c>
      <c r="EC45" s="111">
        <v>413</v>
      </c>
      <c r="ED45" s="111">
        <v>919</v>
      </c>
      <c r="EE45" s="111">
        <v>625</v>
      </c>
      <c r="EF45" s="111">
        <v>294</v>
      </c>
      <c r="EG45" s="111">
        <v>13</v>
      </c>
      <c r="EH45" s="111">
        <v>12</v>
      </c>
      <c r="EI45" s="111">
        <v>11</v>
      </c>
      <c r="EJ45" s="111">
        <v>1</v>
      </c>
      <c r="EK45" s="111">
        <v>1</v>
      </c>
      <c r="EL45" s="111">
        <v>1</v>
      </c>
      <c r="EM45" s="111">
        <v>0</v>
      </c>
      <c r="EN45" s="111">
        <v>10</v>
      </c>
      <c r="EO45" s="111">
        <v>0</v>
      </c>
      <c r="EP45" s="111">
        <v>0</v>
      </c>
      <c r="EQ45" s="111">
        <v>10</v>
      </c>
      <c r="ER45" s="111">
        <v>0</v>
      </c>
      <c r="ES45" s="111">
        <v>0</v>
      </c>
      <c r="ET45" s="111">
        <v>0</v>
      </c>
      <c r="EU45" s="111">
        <v>0</v>
      </c>
      <c r="EV45" s="111">
        <v>0</v>
      </c>
      <c r="EW45" s="111">
        <v>0</v>
      </c>
      <c r="EX45" s="111">
        <v>0</v>
      </c>
      <c r="EY45" s="111">
        <v>0</v>
      </c>
      <c r="EZ45" s="111">
        <v>0</v>
      </c>
      <c r="FA45" s="111">
        <v>0</v>
      </c>
      <c r="FB45" s="111">
        <v>0</v>
      </c>
    </row>
    <row r="46" spans="1:158" ht="19.5" customHeight="1">
      <c r="A46" s="107">
        <v>43</v>
      </c>
      <c r="B46" s="107" t="s">
        <v>350</v>
      </c>
      <c r="C46" s="107" t="s">
        <v>399</v>
      </c>
      <c r="D46" s="110">
        <v>309682</v>
      </c>
      <c r="E46" s="110">
        <v>309682</v>
      </c>
      <c r="F46" s="110">
        <v>0</v>
      </c>
      <c r="G46" s="110">
        <v>529</v>
      </c>
      <c r="H46" s="110">
        <v>0</v>
      </c>
      <c r="I46" s="110">
        <v>249180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110">
        <v>311003.42</v>
      </c>
      <c r="P46" s="110">
        <v>293340.65999999997</v>
      </c>
      <c r="Q46" s="110">
        <v>246340.11</v>
      </c>
      <c r="R46" s="110">
        <v>47000.55</v>
      </c>
      <c r="S46" s="110">
        <v>17662.759999999998</v>
      </c>
      <c r="T46" s="110">
        <v>6658.76</v>
      </c>
      <c r="U46" s="110">
        <v>11004</v>
      </c>
      <c r="V46" s="110">
        <v>311003.42</v>
      </c>
      <c r="W46" s="110">
        <v>293340.65999999997</v>
      </c>
      <c r="X46" s="110">
        <v>246340.11</v>
      </c>
      <c r="Y46" s="110">
        <v>47000.55</v>
      </c>
      <c r="Z46" s="110">
        <v>17662.759999999998</v>
      </c>
      <c r="AA46" s="110">
        <v>6658.76</v>
      </c>
      <c r="AB46" s="110">
        <v>11004</v>
      </c>
      <c r="AC46" s="110">
        <v>1321.42</v>
      </c>
      <c r="AD46" s="110">
        <v>1110.6600000000001</v>
      </c>
      <c r="AE46" s="110">
        <v>1084.1099999999999</v>
      </c>
      <c r="AF46" s="110">
        <v>26.55</v>
      </c>
      <c r="AG46" s="110">
        <v>210.76</v>
      </c>
      <c r="AH46" s="110">
        <v>35.76</v>
      </c>
      <c r="AI46" s="110">
        <v>175</v>
      </c>
      <c r="AJ46" s="110">
        <v>0</v>
      </c>
      <c r="AK46" s="110">
        <v>0</v>
      </c>
      <c r="AL46" s="110">
        <v>0</v>
      </c>
      <c r="AM46" s="110">
        <v>0</v>
      </c>
      <c r="AN46" s="110">
        <v>0</v>
      </c>
      <c r="AO46" s="110">
        <v>0</v>
      </c>
      <c r="AP46" s="110">
        <v>0</v>
      </c>
      <c r="AQ46" s="110">
        <v>43617</v>
      </c>
      <c r="AR46" s="110">
        <v>40204</v>
      </c>
      <c r="AS46" s="110">
        <v>20153</v>
      </c>
      <c r="AT46" s="110">
        <v>20051</v>
      </c>
      <c r="AU46" s="110">
        <v>3413</v>
      </c>
      <c r="AV46" s="110">
        <v>1142</v>
      </c>
      <c r="AW46" s="110">
        <v>2271</v>
      </c>
      <c r="AX46" s="110">
        <v>266065</v>
      </c>
      <c r="AY46" s="110">
        <v>252026</v>
      </c>
      <c r="AZ46" s="110">
        <v>225103</v>
      </c>
      <c r="BA46" s="110">
        <v>26923</v>
      </c>
      <c r="BB46" s="110">
        <v>14039</v>
      </c>
      <c r="BC46" s="110">
        <v>5481</v>
      </c>
      <c r="BD46" s="110">
        <v>8558</v>
      </c>
      <c r="BE46" s="110">
        <v>0</v>
      </c>
      <c r="BF46" s="110">
        <v>0</v>
      </c>
      <c r="BG46" s="110">
        <v>0</v>
      </c>
      <c r="BH46" s="110">
        <v>0</v>
      </c>
      <c r="BI46" s="110">
        <v>0</v>
      </c>
      <c r="BJ46" s="110">
        <v>0</v>
      </c>
      <c r="BK46" s="110">
        <v>0</v>
      </c>
      <c r="BL46" s="110">
        <v>0</v>
      </c>
      <c r="BM46" s="110">
        <v>0</v>
      </c>
      <c r="BN46" s="110">
        <v>0</v>
      </c>
      <c r="BO46" s="110">
        <v>0</v>
      </c>
      <c r="BP46" s="110">
        <v>0</v>
      </c>
      <c r="BQ46" s="110">
        <v>0</v>
      </c>
      <c r="BR46" s="110">
        <v>0</v>
      </c>
      <c r="BS46" s="110">
        <v>0</v>
      </c>
      <c r="BT46" s="110">
        <v>0</v>
      </c>
      <c r="BU46" s="110">
        <v>0</v>
      </c>
      <c r="BV46" s="110">
        <v>0</v>
      </c>
      <c r="BW46" s="110">
        <v>0</v>
      </c>
      <c r="BX46" s="110">
        <v>0</v>
      </c>
      <c r="BY46" s="110">
        <v>0</v>
      </c>
      <c r="BZ46" s="110">
        <v>0</v>
      </c>
      <c r="CA46" s="110">
        <v>0</v>
      </c>
      <c r="CB46" s="110">
        <v>0</v>
      </c>
      <c r="CC46" s="110">
        <v>0</v>
      </c>
      <c r="CD46" s="110">
        <v>0</v>
      </c>
      <c r="CE46" s="110">
        <v>0</v>
      </c>
      <c r="CF46" s="110">
        <v>0</v>
      </c>
      <c r="CG46" s="110">
        <v>0</v>
      </c>
      <c r="CH46" s="110">
        <v>0</v>
      </c>
      <c r="CI46" s="110">
        <v>0</v>
      </c>
      <c r="CJ46" s="110">
        <v>0</v>
      </c>
      <c r="CK46" s="110">
        <v>0</v>
      </c>
      <c r="CL46" s="110">
        <v>0</v>
      </c>
      <c r="CM46" s="110">
        <v>0</v>
      </c>
      <c r="CN46" s="110">
        <v>0</v>
      </c>
      <c r="CO46" s="110">
        <v>240636.14</v>
      </c>
      <c r="CP46" s="110">
        <v>70367.28</v>
      </c>
      <c r="CQ46" s="110">
        <v>0</v>
      </c>
      <c r="CR46" s="110">
        <v>0</v>
      </c>
      <c r="CS46" s="110">
        <v>0</v>
      </c>
      <c r="CT46" s="110">
        <v>0</v>
      </c>
      <c r="CU46" s="110">
        <v>0</v>
      </c>
      <c r="CV46" s="111">
        <v>529</v>
      </c>
      <c r="CW46" s="111">
        <v>496</v>
      </c>
      <c r="CX46" s="111">
        <v>298</v>
      </c>
      <c r="CY46" s="111">
        <v>198</v>
      </c>
      <c r="CZ46" s="111">
        <v>33</v>
      </c>
      <c r="DA46" s="111">
        <v>15</v>
      </c>
      <c r="DB46" s="111">
        <v>18</v>
      </c>
      <c r="DC46" s="111">
        <v>285</v>
      </c>
      <c r="DD46" s="111">
        <v>0</v>
      </c>
      <c r="DE46" s="111">
        <v>265</v>
      </c>
      <c r="DF46" s="111">
        <v>239</v>
      </c>
      <c r="DG46" s="111">
        <v>26</v>
      </c>
      <c r="DH46" s="111">
        <v>20</v>
      </c>
      <c r="DI46" s="111">
        <v>11</v>
      </c>
      <c r="DJ46" s="111">
        <v>9</v>
      </c>
      <c r="DK46" s="111">
        <v>244</v>
      </c>
      <c r="DL46" s="111">
        <v>231</v>
      </c>
      <c r="DM46" s="111">
        <v>59</v>
      </c>
      <c r="DN46" s="111">
        <v>172</v>
      </c>
      <c r="DO46" s="111">
        <v>13</v>
      </c>
      <c r="DP46" s="111">
        <v>4</v>
      </c>
      <c r="DQ46" s="111">
        <v>9</v>
      </c>
      <c r="DR46" s="111">
        <v>0</v>
      </c>
      <c r="DS46" s="111">
        <v>0</v>
      </c>
      <c r="DT46" s="111">
        <v>0</v>
      </c>
      <c r="DU46" s="111">
        <v>0</v>
      </c>
      <c r="DV46" s="111">
        <v>0</v>
      </c>
      <c r="DW46" s="111">
        <v>0</v>
      </c>
      <c r="DX46" s="111">
        <v>0</v>
      </c>
      <c r="DY46" s="111">
        <v>0</v>
      </c>
      <c r="DZ46" s="111">
        <v>0</v>
      </c>
      <c r="EA46" s="111">
        <v>0</v>
      </c>
      <c r="EB46" s="111">
        <v>0</v>
      </c>
      <c r="EC46" s="111">
        <v>0</v>
      </c>
      <c r="ED46" s="111">
        <v>0</v>
      </c>
      <c r="EE46" s="111">
        <v>0</v>
      </c>
      <c r="EF46" s="111">
        <v>0</v>
      </c>
      <c r="EG46" s="111">
        <v>0</v>
      </c>
      <c r="EH46" s="111">
        <v>0</v>
      </c>
      <c r="EI46" s="111">
        <v>0</v>
      </c>
      <c r="EJ46" s="111">
        <v>0</v>
      </c>
      <c r="EK46" s="111">
        <v>0</v>
      </c>
      <c r="EL46" s="111">
        <v>0</v>
      </c>
      <c r="EM46" s="111">
        <v>0</v>
      </c>
      <c r="EN46" s="111">
        <v>6</v>
      </c>
      <c r="EO46" s="111">
        <v>0</v>
      </c>
      <c r="EP46" s="111">
        <v>0</v>
      </c>
      <c r="EQ46" s="111">
        <v>6</v>
      </c>
      <c r="ER46" s="111">
        <v>0</v>
      </c>
      <c r="ES46" s="111">
        <v>0</v>
      </c>
      <c r="ET46" s="111">
        <v>0</v>
      </c>
      <c r="EU46" s="111">
        <v>0</v>
      </c>
      <c r="EV46" s="111">
        <v>0</v>
      </c>
      <c r="EW46" s="111">
        <v>0</v>
      </c>
      <c r="EX46" s="111">
        <v>0</v>
      </c>
      <c r="EY46" s="111">
        <v>0</v>
      </c>
      <c r="EZ46" s="111">
        <v>0</v>
      </c>
      <c r="FA46" s="111">
        <v>0</v>
      </c>
      <c r="FB46" s="111">
        <v>0</v>
      </c>
    </row>
    <row r="47" spans="1:158" ht="19.5" customHeight="1">
      <c r="A47" s="107">
        <v>44</v>
      </c>
      <c r="B47" s="107" t="s">
        <v>350</v>
      </c>
      <c r="C47" s="107" t="s">
        <v>400</v>
      </c>
      <c r="D47" s="110">
        <v>730408</v>
      </c>
      <c r="E47" s="110">
        <v>730408</v>
      </c>
      <c r="F47" s="110">
        <v>0</v>
      </c>
      <c r="G47" s="110">
        <v>1859</v>
      </c>
      <c r="H47" s="110">
        <v>0</v>
      </c>
      <c r="I47" s="110">
        <v>544414</v>
      </c>
      <c r="J47" s="110">
        <v>0</v>
      </c>
      <c r="K47" s="110">
        <v>429460.79</v>
      </c>
      <c r="L47" s="110">
        <v>0</v>
      </c>
      <c r="M47" s="110">
        <v>0</v>
      </c>
      <c r="N47" s="110">
        <v>0</v>
      </c>
      <c r="O47" s="110">
        <v>1507249.56</v>
      </c>
      <c r="P47" s="110">
        <v>1381686.77</v>
      </c>
      <c r="Q47" s="110">
        <v>1331250.5900000001</v>
      </c>
      <c r="R47" s="110">
        <v>50436.18</v>
      </c>
      <c r="S47" s="110">
        <v>125562.79</v>
      </c>
      <c r="T47" s="110">
        <v>96726.97</v>
      </c>
      <c r="U47" s="110">
        <v>28835.82</v>
      </c>
      <c r="V47" s="110">
        <v>1507249.56</v>
      </c>
      <c r="W47" s="110">
        <v>1381686.77</v>
      </c>
      <c r="X47" s="110">
        <v>1331250.5900000001</v>
      </c>
      <c r="Y47" s="110">
        <v>50436.18</v>
      </c>
      <c r="Z47" s="110">
        <v>125562.79</v>
      </c>
      <c r="AA47" s="110">
        <v>96726.97</v>
      </c>
      <c r="AB47" s="110">
        <v>28835.82</v>
      </c>
      <c r="AC47" s="110">
        <v>755423.56</v>
      </c>
      <c r="AD47" s="110">
        <v>690532.27</v>
      </c>
      <c r="AE47" s="110">
        <v>662441.09</v>
      </c>
      <c r="AF47" s="110">
        <v>28091.18</v>
      </c>
      <c r="AG47" s="110">
        <v>64891.29</v>
      </c>
      <c r="AH47" s="110">
        <v>47316.97</v>
      </c>
      <c r="AI47" s="110">
        <v>17574.32</v>
      </c>
      <c r="AJ47" s="110">
        <v>21418</v>
      </c>
      <c r="AK47" s="110">
        <v>18509</v>
      </c>
      <c r="AL47" s="110">
        <v>18007</v>
      </c>
      <c r="AM47" s="110">
        <v>502</v>
      </c>
      <c r="AN47" s="110">
        <v>2909</v>
      </c>
      <c r="AO47" s="110">
        <v>2909</v>
      </c>
      <c r="AP47" s="110">
        <v>0</v>
      </c>
      <c r="AQ47" s="110">
        <v>61476</v>
      </c>
      <c r="AR47" s="110">
        <v>54844</v>
      </c>
      <c r="AS47" s="110">
        <v>52530</v>
      </c>
      <c r="AT47" s="110">
        <v>2314</v>
      </c>
      <c r="AU47" s="110">
        <v>6632</v>
      </c>
      <c r="AV47" s="110">
        <v>4335</v>
      </c>
      <c r="AW47" s="110">
        <v>2297</v>
      </c>
      <c r="AX47" s="110">
        <v>668932</v>
      </c>
      <c r="AY47" s="110">
        <v>617801.5</v>
      </c>
      <c r="AZ47" s="110">
        <v>598272.5</v>
      </c>
      <c r="BA47" s="110">
        <v>19529</v>
      </c>
      <c r="BB47" s="110">
        <v>51130.5</v>
      </c>
      <c r="BC47" s="110">
        <v>42166</v>
      </c>
      <c r="BD47" s="110">
        <v>8964.5</v>
      </c>
      <c r="BE47" s="110">
        <v>0</v>
      </c>
      <c r="BF47" s="110">
        <v>0</v>
      </c>
      <c r="BG47" s="110">
        <v>0</v>
      </c>
      <c r="BH47" s="110">
        <v>0</v>
      </c>
      <c r="BI47" s="110">
        <v>0</v>
      </c>
      <c r="BJ47" s="110">
        <v>0</v>
      </c>
      <c r="BK47" s="110">
        <v>0</v>
      </c>
      <c r="BL47" s="110">
        <v>0</v>
      </c>
      <c r="BM47" s="110">
        <v>0</v>
      </c>
      <c r="BN47" s="110">
        <v>0</v>
      </c>
      <c r="BO47" s="110">
        <v>0</v>
      </c>
      <c r="BP47" s="110">
        <v>0</v>
      </c>
      <c r="BQ47" s="110">
        <v>0</v>
      </c>
      <c r="BR47" s="110">
        <v>0</v>
      </c>
      <c r="BS47" s="110">
        <v>0</v>
      </c>
      <c r="BT47" s="110">
        <v>0</v>
      </c>
      <c r="BU47" s="110">
        <v>0</v>
      </c>
      <c r="BV47" s="110">
        <v>0</v>
      </c>
      <c r="BW47" s="110">
        <v>0</v>
      </c>
      <c r="BX47" s="110">
        <v>0</v>
      </c>
      <c r="BY47" s="110">
        <v>0</v>
      </c>
      <c r="BZ47" s="110">
        <v>0</v>
      </c>
      <c r="CA47" s="110">
        <v>0</v>
      </c>
      <c r="CB47" s="110">
        <v>0</v>
      </c>
      <c r="CC47" s="110">
        <v>0</v>
      </c>
      <c r="CD47" s="110">
        <v>0</v>
      </c>
      <c r="CE47" s="110">
        <v>0</v>
      </c>
      <c r="CF47" s="110">
        <v>0</v>
      </c>
      <c r="CG47" s="110">
        <v>0</v>
      </c>
      <c r="CH47" s="110">
        <v>0</v>
      </c>
      <c r="CI47" s="110">
        <v>0</v>
      </c>
      <c r="CJ47" s="110">
        <v>0</v>
      </c>
      <c r="CK47" s="110">
        <v>0</v>
      </c>
      <c r="CL47" s="110">
        <v>0</v>
      </c>
      <c r="CM47" s="110">
        <v>0</v>
      </c>
      <c r="CN47" s="110">
        <v>0</v>
      </c>
      <c r="CO47" s="110">
        <v>528367</v>
      </c>
      <c r="CP47" s="110">
        <v>568676.47</v>
      </c>
      <c r="CQ47" s="110">
        <v>131990.43</v>
      </c>
      <c r="CR47" s="110">
        <v>278215.65999999997</v>
      </c>
      <c r="CS47" s="110">
        <v>0</v>
      </c>
      <c r="CT47" s="110">
        <v>0</v>
      </c>
      <c r="CU47" s="110">
        <v>0</v>
      </c>
      <c r="CV47" s="111">
        <v>1859</v>
      </c>
      <c r="CW47" s="111">
        <v>1671</v>
      </c>
      <c r="CX47" s="111">
        <v>1585</v>
      </c>
      <c r="CY47" s="111">
        <v>86</v>
      </c>
      <c r="CZ47" s="111">
        <v>188</v>
      </c>
      <c r="DA47" s="111">
        <v>132</v>
      </c>
      <c r="DB47" s="111">
        <v>56</v>
      </c>
      <c r="DC47" s="111">
        <v>1052</v>
      </c>
      <c r="DD47" s="111">
        <v>0</v>
      </c>
      <c r="DE47" s="111">
        <v>932</v>
      </c>
      <c r="DF47" s="111">
        <v>889</v>
      </c>
      <c r="DG47" s="111">
        <v>43</v>
      </c>
      <c r="DH47" s="111">
        <v>120</v>
      </c>
      <c r="DI47" s="111">
        <v>78</v>
      </c>
      <c r="DJ47" s="111">
        <v>42</v>
      </c>
      <c r="DK47" s="111">
        <v>630</v>
      </c>
      <c r="DL47" s="111">
        <v>580</v>
      </c>
      <c r="DM47" s="111">
        <v>545</v>
      </c>
      <c r="DN47" s="111">
        <v>35</v>
      </c>
      <c r="DO47" s="111">
        <v>50</v>
      </c>
      <c r="DP47" s="111">
        <v>38</v>
      </c>
      <c r="DQ47" s="111">
        <v>12</v>
      </c>
      <c r="DR47" s="111">
        <v>177</v>
      </c>
      <c r="DS47" s="111">
        <v>0</v>
      </c>
      <c r="DT47" s="111">
        <v>159</v>
      </c>
      <c r="DU47" s="111">
        <v>151</v>
      </c>
      <c r="DV47" s="111">
        <v>8</v>
      </c>
      <c r="DW47" s="111">
        <v>18</v>
      </c>
      <c r="DX47" s="111">
        <v>16</v>
      </c>
      <c r="DY47" s="111">
        <v>2</v>
      </c>
      <c r="DZ47" s="111">
        <v>0</v>
      </c>
      <c r="EA47" s="111">
        <v>0</v>
      </c>
      <c r="EB47" s="111">
        <v>0</v>
      </c>
      <c r="EC47" s="111">
        <v>0</v>
      </c>
      <c r="ED47" s="111">
        <v>0</v>
      </c>
      <c r="EE47" s="111">
        <v>0</v>
      </c>
      <c r="EF47" s="111">
        <v>0</v>
      </c>
      <c r="EG47" s="111">
        <v>0</v>
      </c>
      <c r="EH47" s="111">
        <v>0</v>
      </c>
      <c r="EI47" s="111">
        <v>0</v>
      </c>
      <c r="EJ47" s="111">
        <v>0</v>
      </c>
      <c r="EK47" s="111">
        <v>0</v>
      </c>
      <c r="EL47" s="111">
        <v>0</v>
      </c>
      <c r="EM47" s="111">
        <v>0</v>
      </c>
      <c r="EN47" s="111">
        <v>0</v>
      </c>
      <c r="EO47" s="111">
        <v>0</v>
      </c>
      <c r="EP47" s="111">
        <v>0</v>
      </c>
      <c r="EQ47" s="111">
        <v>0</v>
      </c>
      <c r="ER47" s="111">
        <v>0</v>
      </c>
      <c r="ES47" s="111">
        <v>0</v>
      </c>
      <c r="ET47" s="111">
        <v>0</v>
      </c>
      <c r="EU47" s="111">
        <v>0</v>
      </c>
      <c r="EV47" s="111">
        <v>0</v>
      </c>
      <c r="EW47" s="111">
        <v>0</v>
      </c>
      <c r="EX47" s="111">
        <v>0</v>
      </c>
      <c r="EY47" s="111">
        <v>0</v>
      </c>
      <c r="EZ47" s="111">
        <v>0</v>
      </c>
      <c r="FA47" s="111">
        <v>0</v>
      </c>
      <c r="FB47" s="111">
        <v>0</v>
      </c>
    </row>
    <row r="48" spans="1:158" ht="19.5" customHeight="1">
      <c r="A48" s="107">
        <v>45</v>
      </c>
      <c r="B48" s="107" t="s">
        <v>401</v>
      </c>
      <c r="C48" s="107" t="s">
        <v>403</v>
      </c>
      <c r="D48" s="110">
        <v>22580</v>
      </c>
      <c r="E48" s="110">
        <v>22580</v>
      </c>
      <c r="F48" s="110">
        <v>0</v>
      </c>
      <c r="G48" s="110">
        <v>78</v>
      </c>
      <c r="H48" s="110">
        <v>0</v>
      </c>
      <c r="I48" s="110">
        <v>0</v>
      </c>
      <c r="J48" s="110">
        <v>0</v>
      </c>
      <c r="K48" s="110">
        <v>0</v>
      </c>
      <c r="L48" s="110">
        <v>0</v>
      </c>
      <c r="M48" s="110">
        <v>0</v>
      </c>
      <c r="N48" s="110">
        <v>0</v>
      </c>
      <c r="O48" s="110">
        <v>31025.07</v>
      </c>
      <c r="P48" s="110">
        <v>28163.05</v>
      </c>
      <c r="Q48" s="110">
        <v>27127.77</v>
      </c>
      <c r="R48" s="110">
        <v>1035.28</v>
      </c>
      <c r="S48" s="110">
        <v>2862.02</v>
      </c>
      <c r="T48" s="110">
        <v>744.62</v>
      </c>
      <c r="U48" s="110">
        <v>2117.4</v>
      </c>
      <c r="V48" s="110">
        <v>31025.07</v>
      </c>
      <c r="W48" s="110">
        <v>28163.05</v>
      </c>
      <c r="X48" s="110">
        <v>27127.77</v>
      </c>
      <c r="Y48" s="110">
        <v>1035.28</v>
      </c>
      <c r="Z48" s="110">
        <v>2862.02</v>
      </c>
      <c r="AA48" s="110">
        <v>744.62</v>
      </c>
      <c r="AB48" s="110">
        <v>2117.4</v>
      </c>
      <c r="AC48" s="110">
        <v>8445.07</v>
      </c>
      <c r="AD48" s="110">
        <v>7632.05</v>
      </c>
      <c r="AE48" s="110">
        <v>7526.77</v>
      </c>
      <c r="AF48" s="110">
        <v>105.28</v>
      </c>
      <c r="AG48" s="110">
        <v>813.02</v>
      </c>
      <c r="AH48" s="110">
        <v>594.62</v>
      </c>
      <c r="AI48" s="110">
        <v>218.4</v>
      </c>
      <c r="AJ48" s="110">
        <v>0</v>
      </c>
      <c r="AK48" s="110">
        <v>0</v>
      </c>
      <c r="AL48" s="110">
        <v>0</v>
      </c>
      <c r="AM48" s="110">
        <v>0</v>
      </c>
      <c r="AN48" s="110">
        <v>0</v>
      </c>
      <c r="AO48" s="110">
        <v>0</v>
      </c>
      <c r="AP48" s="110">
        <v>0</v>
      </c>
      <c r="AQ48" s="110">
        <v>20180</v>
      </c>
      <c r="AR48" s="110">
        <v>18356</v>
      </c>
      <c r="AS48" s="110">
        <v>17526</v>
      </c>
      <c r="AT48" s="110">
        <v>830</v>
      </c>
      <c r="AU48" s="110">
        <v>1824</v>
      </c>
      <c r="AV48" s="110">
        <v>0</v>
      </c>
      <c r="AW48" s="110">
        <v>1824</v>
      </c>
      <c r="AX48" s="110">
        <v>2400</v>
      </c>
      <c r="AY48" s="110">
        <v>2175</v>
      </c>
      <c r="AZ48" s="110">
        <v>2075</v>
      </c>
      <c r="BA48" s="110">
        <v>100</v>
      </c>
      <c r="BB48" s="110">
        <v>225</v>
      </c>
      <c r="BC48" s="110">
        <v>150</v>
      </c>
      <c r="BD48" s="110">
        <v>75</v>
      </c>
      <c r="BE48" s="110">
        <v>0</v>
      </c>
      <c r="BF48" s="110">
        <v>0</v>
      </c>
      <c r="BG48" s="110">
        <v>0</v>
      </c>
      <c r="BH48" s="110">
        <v>0</v>
      </c>
      <c r="BI48" s="110">
        <v>0</v>
      </c>
      <c r="BJ48" s="110">
        <v>0</v>
      </c>
      <c r="BK48" s="110">
        <v>0</v>
      </c>
      <c r="BL48" s="110">
        <v>0</v>
      </c>
      <c r="BM48" s="110">
        <v>0</v>
      </c>
      <c r="BN48" s="110">
        <v>0</v>
      </c>
      <c r="BO48" s="110">
        <v>0</v>
      </c>
      <c r="BP48" s="110">
        <v>0</v>
      </c>
      <c r="BQ48" s="110">
        <v>0</v>
      </c>
      <c r="BR48" s="110">
        <v>0</v>
      </c>
      <c r="BS48" s="110">
        <v>0</v>
      </c>
      <c r="BT48" s="110">
        <v>0</v>
      </c>
      <c r="BU48" s="110">
        <v>0</v>
      </c>
      <c r="BV48" s="110">
        <v>0</v>
      </c>
      <c r="BW48" s="110">
        <v>0</v>
      </c>
      <c r="BX48" s="110">
        <v>0</v>
      </c>
      <c r="BY48" s="110">
        <v>0</v>
      </c>
      <c r="BZ48" s="110">
        <v>0</v>
      </c>
      <c r="CA48" s="110">
        <v>0</v>
      </c>
      <c r="CB48" s="110">
        <v>0</v>
      </c>
      <c r="CC48" s="110">
        <v>0</v>
      </c>
      <c r="CD48" s="110">
        <v>0</v>
      </c>
      <c r="CE48" s="110">
        <v>0</v>
      </c>
      <c r="CF48" s="110">
        <v>0</v>
      </c>
      <c r="CG48" s="110">
        <v>0</v>
      </c>
      <c r="CH48" s="110">
        <v>0</v>
      </c>
      <c r="CI48" s="110">
        <v>0</v>
      </c>
      <c r="CJ48" s="110">
        <v>0</v>
      </c>
      <c r="CK48" s="110">
        <v>0</v>
      </c>
      <c r="CL48" s="110">
        <v>0</v>
      </c>
      <c r="CM48" s="110">
        <v>0</v>
      </c>
      <c r="CN48" s="110">
        <v>0</v>
      </c>
      <c r="CO48" s="110">
        <v>5445.75</v>
      </c>
      <c r="CP48" s="110">
        <v>10900.49</v>
      </c>
      <c r="CQ48" s="110">
        <v>14678.83</v>
      </c>
      <c r="CR48" s="110">
        <v>0</v>
      </c>
      <c r="CS48" s="110">
        <v>0</v>
      </c>
      <c r="CT48" s="110">
        <v>0</v>
      </c>
      <c r="CU48" s="110">
        <v>0</v>
      </c>
      <c r="CV48" s="111">
        <v>78</v>
      </c>
      <c r="CW48" s="111">
        <v>72</v>
      </c>
      <c r="CX48" s="111">
        <v>69</v>
      </c>
      <c r="CY48" s="111">
        <v>3</v>
      </c>
      <c r="CZ48" s="111">
        <v>6</v>
      </c>
      <c r="DA48" s="111">
        <v>4</v>
      </c>
      <c r="DB48" s="111">
        <v>2</v>
      </c>
      <c r="DC48" s="111">
        <v>60</v>
      </c>
      <c r="DD48" s="111">
        <v>0</v>
      </c>
      <c r="DE48" s="111">
        <v>57</v>
      </c>
      <c r="DF48" s="111">
        <v>55</v>
      </c>
      <c r="DG48" s="111">
        <v>2</v>
      </c>
      <c r="DH48" s="111">
        <v>3</v>
      </c>
      <c r="DI48" s="111">
        <v>2</v>
      </c>
      <c r="DJ48" s="111">
        <v>1</v>
      </c>
      <c r="DK48" s="111">
        <v>18</v>
      </c>
      <c r="DL48" s="111">
        <v>15</v>
      </c>
      <c r="DM48" s="111">
        <v>14</v>
      </c>
      <c r="DN48" s="111">
        <v>1</v>
      </c>
      <c r="DO48" s="111">
        <v>3</v>
      </c>
      <c r="DP48" s="111">
        <v>2</v>
      </c>
      <c r="DQ48" s="111">
        <v>1</v>
      </c>
      <c r="DR48" s="111">
        <v>0</v>
      </c>
      <c r="DS48" s="111">
        <v>0</v>
      </c>
      <c r="DT48" s="111">
        <v>0</v>
      </c>
      <c r="DU48" s="111">
        <v>0</v>
      </c>
      <c r="DV48" s="111">
        <v>0</v>
      </c>
      <c r="DW48" s="111">
        <v>0</v>
      </c>
      <c r="DX48" s="111">
        <v>0</v>
      </c>
      <c r="DY48" s="111">
        <v>0</v>
      </c>
      <c r="DZ48" s="111">
        <v>0</v>
      </c>
      <c r="EA48" s="111">
        <v>0</v>
      </c>
      <c r="EB48" s="111">
        <v>0</v>
      </c>
      <c r="EC48" s="111">
        <v>0</v>
      </c>
      <c r="ED48" s="111">
        <v>0</v>
      </c>
      <c r="EE48" s="111">
        <v>0</v>
      </c>
      <c r="EF48" s="111">
        <v>0</v>
      </c>
      <c r="EG48" s="111">
        <v>0</v>
      </c>
      <c r="EH48" s="111">
        <v>0</v>
      </c>
      <c r="EI48" s="111">
        <v>0</v>
      </c>
      <c r="EJ48" s="111">
        <v>0</v>
      </c>
      <c r="EK48" s="111">
        <v>0</v>
      </c>
      <c r="EL48" s="111">
        <v>0</v>
      </c>
      <c r="EM48" s="111">
        <v>0</v>
      </c>
      <c r="EN48" s="111">
        <v>0</v>
      </c>
      <c r="EO48" s="111">
        <v>0</v>
      </c>
      <c r="EP48" s="111">
        <v>0</v>
      </c>
      <c r="EQ48" s="111">
        <v>0</v>
      </c>
      <c r="ER48" s="111">
        <v>0</v>
      </c>
      <c r="ES48" s="111">
        <v>0</v>
      </c>
      <c r="ET48" s="111">
        <v>0</v>
      </c>
      <c r="EU48" s="111">
        <v>0</v>
      </c>
      <c r="EV48" s="111">
        <v>0</v>
      </c>
      <c r="EW48" s="111">
        <v>0</v>
      </c>
      <c r="EX48" s="111">
        <v>0</v>
      </c>
      <c r="EY48" s="111">
        <v>0</v>
      </c>
      <c r="EZ48" s="111">
        <v>0</v>
      </c>
      <c r="FA48" s="111">
        <v>0</v>
      </c>
      <c r="FB48" s="111">
        <v>0</v>
      </c>
    </row>
    <row r="49" spans="1:158" ht="19.5" customHeight="1">
      <c r="A49" s="107">
        <v>46</v>
      </c>
      <c r="B49" s="107" t="s">
        <v>401</v>
      </c>
      <c r="C49" s="107" t="s">
        <v>404</v>
      </c>
      <c r="D49" s="110">
        <v>1490649.25</v>
      </c>
      <c r="E49" s="110">
        <v>0</v>
      </c>
      <c r="F49" s="110">
        <v>1490649.25</v>
      </c>
      <c r="G49" s="110">
        <v>0</v>
      </c>
      <c r="H49" s="110">
        <v>0</v>
      </c>
      <c r="I49" s="110">
        <v>0</v>
      </c>
      <c r="J49" s="110">
        <v>0</v>
      </c>
      <c r="K49" s="110">
        <v>0</v>
      </c>
      <c r="L49" s="110">
        <v>146684.5</v>
      </c>
      <c r="M49" s="110">
        <v>495873.75</v>
      </c>
      <c r="N49" s="110">
        <v>60</v>
      </c>
      <c r="O49" s="110">
        <v>2744620.78</v>
      </c>
      <c r="P49" s="110">
        <v>1700682.42</v>
      </c>
      <c r="Q49" s="110">
        <v>1561566.88</v>
      </c>
      <c r="R49" s="110">
        <v>139115.54</v>
      </c>
      <c r="S49" s="110">
        <v>1043938.36</v>
      </c>
      <c r="T49" s="110">
        <v>830988.59</v>
      </c>
      <c r="U49" s="110">
        <v>212949.77</v>
      </c>
      <c r="V49" s="110">
        <v>0</v>
      </c>
      <c r="W49" s="110">
        <v>0</v>
      </c>
      <c r="X49" s="110">
        <v>0</v>
      </c>
      <c r="Y49" s="110">
        <v>0</v>
      </c>
      <c r="Z49" s="110">
        <v>0</v>
      </c>
      <c r="AA49" s="110">
        <v>0</v>
      </c>
      <c r="AB49" s="110">
        <v>0</v>
      </c>
      <c r="AC49" s="110">
        <v>0</v>
      </c>
      <c r="AD49" s="110">
        <v>0</v>
      </c>
      <c r="AE49" s="110">
        <v>0</v>
      </c>
      <c r="AF49" s="110">
        <v>0</v>
      </c>
      <c r="AG49" s="110">
        <v>0</v>
      </c>
      <c r="AH49" s="110">
        <v>0</v>
      </c>
      <c r="AI49" s="110">
        <v>0</v>
      </c>
      <c r="AJ49" s="110">
        <v>0</v>
      </c>
      <c r="AK49" s="110">
        <v>0</v>
      </c>
      <c r="AL49" s="110">
        <v>0</v>
      </c>
      <c r="AM49" s="110">
        <v>0</v>
      </c>
      <c r="AN49" s="110">
        <v>0</v>
      </c>
      <c r="AO49" s="110">
        <v>0</v>
      </c>
      <c r="AP49" s="110">
        <v>0</v>
      </c>
      <c r="AQ49" s="110">
        <v>0</v>
      </c>
      <c r="AR49" s="110">
        <v>0</v>
      </c>
      <c r="AS49" s="110">
        <v>0</v>
      </c>
      <c r="AT49" s="110">
        <v>0</v>
      </c>
      <c r="AU49" s="110">
        <v>0</v>
      </c>
      <c r="AV49" s="110">
        <v>0</v>
      </c>
      <c r="AW49" s="110">
        <v>0</v>
      </c>
      <c r="AX49" s="110">
        <v>0</v>
      </c>
      <c r="AY49" s="110">
        <v>0</v>
      </c>
      <c r="AZ49" s="110">
        <v>0</v>
      </c>
      <c r="BA49" s="110">
        <v>0</v>
      </c>
      <c r="BB49" s="110">
        <v>0</v>
      </c>
      <c r="BC49" s="110">
        <v>0</v>
      </c>
      <c r="BD49" s="110">
        <v>0</v>
      </c>
      <c r="BE49" s="110">
        <v>2744620.78</v>
      </c>
      <c r="BF49" s="110">
        <v>1700682.42</v>
      </c>
      <c r="BG49" s="110">
        <v>1561566.88</v>
      </c>
      <c r="BH49" s="110">
        <v>139115.54</v>
      </c>
      <c r="BI49" s="110">
        <v>1043938.36</v>
      </c>
      <c r="BJ49" s="110">
        <v>830988.59</v>
      </c>
      <c r="BK49" s="110">
        <v>212949.77</v>
      </c>
      <c r="BL49" s="110">
        <v>482798.39</v>
      </c>
      <c r="BM49" s="110">
        <v>304187.27</v>
      </c>
      <c r="BN49" s="110">
        <v>269410.08</v>
      </c>
      <c r="BO49" s="110">
        <v>34777.19</v>
      </c>
      <c r="BP49" s="110">
        <v>178611.12</v>
      </c>
      <c r="BQ49" s="110">
        <v>119370.73</v>
      </c>
      <c r="BR49" s="110">
        <v>59240.39</v>
      </c>
      <c r="BS49" s="110">
        <v>771173.14</v>
      </c>
      <c r="BT49" s="110">
        <v>448804.15</v>
      </c>
      <c r="BU49" s="110">
        <v>422001.8</v>
      </c>
      <c r="BV49" s="110">
        <v>26802.35</v>
      </c>
      <c r="BW49" s="110">
        <v>322368.99</v>
      </c>
      <c r="BX49" s="110">
        <v>232474.11</v>
      </c>
      <c r="BY49" s="110">
        <v>89894.88</v>
      </c>
      <c r="BZ49" s="110">
        <v>601827</v>
      </c>
      <c r="CA49" s="110">
        <v>384202.5</v>
      </c>
      <c r="CB49" s="110">
        <v>349762.5</v>
      </c>
      <c r="CC49" s="110">
        <v>34440</v>
      </c>
      <c r="CD49" s="110">
        <v>217624.5</v>
      </c>
      <c r="CE49" s="110">
        <v>187219.5</v>
      </c>
      <c r="CF49" s="110">
        <v>30405</v>
      </c>
      <c r="CG49" s="110">
        <v>888822.25</v>
      </c>
      <c r="CH49" s="110">
        <v>563488.5</v>
      </c>
      <c r="CI49" s="110">
        <v>520392.5</v>
      </c>
      <c r="CJ49" s="110">
        <v>43096</v>
      </c>
      <c r="CK49" s="110">
        <v>325333.75</v>
      </c>
      <c r="CL49" s="110">
        <v>291924.25</v>
      </c>
      <c r="CM49" s="110">
        <v>33409.5</v>
      </c>
      <c r="CN49" s="110">
        <v>0</v>
      </c>
      <c r="CO49" s="110">
        <v>0</v>
      </c>
      <c r="CP49" s="110">
        <v>0</v>
      </c>
      <c r="CQ49" s="110">
        <v>0</v>
      </c>
      <c r="CR49" s="110">
        <v>0</v>
      </c>
      <c r="CS49" s="110">
        <v>0</v>
      </c>
      <c r="CT49" s="110">
        <v>0</v>
      </c>
      <c r="CU49" s="110">
        <v>0</v>
      </c>
      <c r="CV49" s="111">
        <v>0</v>
      </c>
      <c r="CW49" s="111">
        <v>0</v>
      </c>
      <c r="CX49" s="111">
        <v>0</v>
      </c>
      <c r="CY49" s="111">
        <v>0</v>
      </c>
      <c r="CZ49" s="111">
        <v>0</v>
      </c>
      <c r="DA49" s="111">
        <v>0</v>
      </c>
      <c r="DB49" s="111">
        <v>0</v>
      </c>
      <c r="DC49" s="111">
        <v>0</v>
      </c>
      <c r="DD49" s="111">
        <v>0</v>
      </c>
      <c r="DE49" s="111">
        <v>0</v>
      </c>
      <c r="DF49" s="111">
        <v>0</v>
      </c>
      <c r="DG49" s="111">
        <v>0</v>
      </c>
      <c r="DH49" s="111">
        <v>0</v>
      </c>
      <c r="DI49" s="111">
        <v>0</v>
      </c>
      <c r="DJ49" s="111">
        <v>0</v>
      </c>
      <c r="DK49" s="111">
        <v>0</v>
      </c>
      <c r="DL49" s="111">
        <v>0</v>
      </c>
      <c r="DM49" s="111">
        <v>0</v>
      </c>
      <c r="DN49" s="111">
        <v>0</v>
      </c>
      <c r="DO49" s="111">
        <v>0</v>
      </c>
      <c r="DP49" s="111">
        <v>0</v>
      </c>
      <c r="DQ49" s="111">
        <v>0</v>
      </c>
      <c r="DR49" s="111">
        <v>0</v>
      </c>
      <c r="DS49" s="111">
        <v>0</v>
      </c>
      <c r="DT49" s="111">
        <v>0</v>
      </c>
      <c r="DU49" s="111">
        <v>0</v>
      </c>
      <c r="DV49" s="111">
        <v>0</v>
      </c>
      <c r="DW49" s="111">
        <v>0</v>
      </c>
      <c r="DX49" s="111">
        <v>0</v>
      </c>
      <c r="DY49" s="111">
        <v>0</v>
      </c>
      <c r="DZ49" s="111">
        <v>0</v>
      </c>
      <c r="EA49" s="111">
        <v>0</v>
      </c>
      <c r="EB49" s="111">
        <v>0</v>
      </c>
      <c r="EC49" s="111">
        <v>0</v>
      </c>
      <c r="ED49" s="111">
        <v>0</v>
      </c>
      <c r="EE49" s="111">
        <v>0</v>
      </c>
      <c r="EF49" s="111">
        <v>0</v>
      </c>
      <c r="EG49" s="111">
        <v>0</v>
      </c>
      <c r="EH49" s="111">
        <v>0</v>
      </c>
      <c r="EI49" s="111">
        <v>0</v>
      </c>
      <c r="EJ49" s="111">
        <v>0</v>
      </c>
      <c r="EK49" s="111">
        <v>0</v>
      </c>
      <c r="EL49" s="111">
        <v>0</v>
      </c>
      <c r="EM49" s="111">
        <v>0</v>
      </c>
      <c r="EN49" s="111">
        <v>3</v>
      </c>
      <c r="EO49" s="111">
        <v>0</v>
      </c>
      <c r="EP49" s="111">
        <v>0</v>
      </c>
      <c r="EQ49" s="111">
        <v>3</v>
      </c>
      <c r="ER49" s="111">
        <v>0</v>
      </c>
      <c r="ES49" s="111">
        <v>0</v>
      </c>
      <c r="ET49" s="111">
        <v>0</v>
      </c>
      <c r="EU49" s="111">
        <v>0</v>
      </c>
      <c r="EV49" s="111">
        <v>0</v>
      </c>
      <c r="EW49" s="111">
        <v>0</v>
      </c>
      <c r="EX49" s="111">
        <v>0</v>
      </c>
      <c r="EY49" s="111">
        <v>0</v>
      </c>
      <c r="EZ49" s="111">
        <v>0</v>
      </c>
      <c r="FA49" s="111">
        <v>0</v>
      </c>
      <c r="FB49" s="111">
        <v>0</v>
      </c>
    </row>
    <row r="50" spans="1:158" ht="19.5" customHeight="1">
      <c r="A50" s="107">
        <v>47</v>
      </c>
      <c r="B50" s="107" t="s">
        <v>361</v>
      </c>
      <c r="C50" s="107" t="s">
        <v>405</v>
      </c>
      <c r="D50" s="110">
        <v>437685.5</v>
      </c>
      <c r="E50" s="110">
        <v>115339</v>
      </c>
      <c r="F50" s="110">
        <v>322346.5</v>
      </c>
      <c r="G50" s="110">
        <v>668</v>
      </c>
      <c r="H50" s="110">
        <v>77</v>
      </c>
      <c r="I50" s="110">
        <v>8506</v>
      </c>
      <c r="J50" s="110">
        <v>0</v>
      </c>
      <c r="K50" s="110">
        <v>0</v>
      </c>
      <c r="L50" s="110">
        <v>19052</v>
      </c>
      <c r="M50" s="110">
        <v>199130</v>
      </c>
      <c r="N50" s="110">
        <v>0</v>
      </c>
      <c r="O50" s="110">
        <v>1154237.69</v>
      </c>
      <c r="P50" s="110">
        <v>892806.18</v>
      </c>
      <c r="Q50" s="110">
        <v>878804.7</v>
      </c>
      <c r="R50" s="110">
        <v>14001.48</v>
      </c>
      <c r="S50" s="110">
        <v>261431.51</v>
      </c>
      <c r="T50" s="110">
        <v>251623.06</v>
      </c>
      <c r="U50" s="110">
        <v>9808.4500000000007</v>
      </c>
      <c r="V50" s="110">
        <v>192623.24</v>
      </c>
      <c r="W50" s="110">
        <v>163984.74</v>
      </c>
      <c r="X50" s="110">
        <v>149983.26</v>
      </c>
      <c r="Y50" s="110">
        <v>14001.48</v>
      </c>
      <c r="Z50" s="110">
        <v>28638.5</v>
      </c>
      <c r="AA50" s="110">
        <v>18830.05</v>
      </c>
      <c r="AB50" s="110">
        <v>9808.4500000000007</v>
      </c>
      <c r="AC50" s="110">
        <v>76092.97</v>
      </c>
      <c r="AD50" s="110">
        <v>65741.47</v>
      </c>
      <c r="AE50" s="110">
        <v>59989.99</v>
      </c>
      <c r="AF50" s="110">
        <v>5751.48</v>
      </c>
      <c r="AG50" s="110">
        <v>10351.5</v>
      </c>
      <c r="AH50" s="110">
        <v>6824.05</v>
      </c>
      <c r="AI50" s="110">
        <v>3527.45</v>
      </c>
      <c r="AJ50" s="110">
        <v>1191.27</v>
      </c>
      <c r="AK50" s="110">
        <v>573.27</v>
      </c>
      <c r="AL50" s="110">
        <v>573.27</v>
      </c>
      <c r="AM50" s="110">
        <v>0</v>
      </c>
      <c r="AN50" s="110">
        <v>618</v>
      </c>
      <c r="AO50" s="110">
        <v>618</v>
      </c>
      <c r="AP50" s="110">
        <v>0</v>
      </c>
      <c r="AQ50" s="110">
        <v>86028</v>
      </c>
      <c r="AR50" s="110">
        <v>72795</v>
      </c>
      <c r="AS50" s="110">
        <v>66415</v>
      </c>
      <c r="AT50" s="110">
        <v>6380</v>
      </c>
      <c r="AU50" s="110">
        <v>13233</v>
      </c>
      <c r="AV50" s="110">
        <v>8672</v>
      </c>
      <c r="AW50" s="110">
        <v>4561</v>
      </c>
      <c r="AX50" s="110">
        <v>29311</v>
      </c>
      <c r="AY50" s="110">
        <v>24875</v>
      </c>
      <c r="AZ50" s="110">
        <v>23005</v>
      </c>
      <c r="BA50" s="110">
        <v>1870</v>
      </c>
      <c r="BB50" s="110">
        <v>4436</v>
      </c>
      <c r="BC50" s="110">
        <v>2716</v>
      </c>
      <c r="BD50" s="110">
        <v>1720</v>
      </c>
      <c r="BE50" s="110">
        <v>961614.45</v>
      </c>
      <c r="BF50" s="110">
        <v>728821.44</v>
      </c>
      <c r="BG50" s="110">
        <v>728821.44</v>
      </c>
      <c r="BH50" s="110">
        <v>0</v>
      </c>
      <c r="BI50" s="110">
        <v>232793.01</v>
      </c>
      <c r="BJ50" s="110">
        <v>232793.01</v>
      </c>
      <c r="BK50" s="110">
        <v>0</v>
      </c>
      <c r="BL50" s="110">
        <v>43895.76</v>
      </c>
      <c r="BM50" s="110">
        <v>31781.200000000001</v>
      </c>
      <c r="BN50" s="110">
        <v>31781.200000000001</v>
      </c>
      <c r="BO50" s="110">
        <v>0</v>
      </c>
      <c r="BP50" s="110">
        <v>12114.56</v>
      </c>
      <c r="BQ50" s="110">
        <v>12114.56</v>
      </c>
      <c r="BR50" s="110">
        <v>0</v>
      </c>
      <c r="BS50" s="110">
        <v>595372.18999999994</v>
      </c>
      <c r="BT50" s="110">
        <v>460519.24</v>
      </c>
      <c r="BU50" s="110">
        <v>460519.24</v>
      </c>
      <c r="BV50" s="110">
        <v>0</v>
      </c>
      <c r="BW50" s="110">
        <v>134852.95000000001</v>
      </c>
      <c r="BX50" s="110">
        <v>134852.95000000001</v>
      </c>
      <c r="BY50" s="110">
        <v>0</v>
      </c>
      <c r="BZ50" s="110">
        <v>70645</v>
      </c>
      <c r="CA50" s="110">
        <v>48966</v>
      </c>
      <c r="CB50" s="110">
        <v>48966</v>
      </c>
      <c r="CC50" s="110">
        <v>0</v>
      </c>
      <c r="CD50" s="110">
        <v>21679</v>
      </c>
      <c r="CE50" s="110">
        <v>21679</v>
      </c>
      <c r="CF50" s="110">
        <v>0</v>
      </c>
      <c r="CG50" s="110">
        <v>251701.5</v>
      </c>
      <c r="CH50" s="110">
        <v>187555</v>
      </c>
      <c r="CI50" s="110">
        <v>187555</v>
      </c>
      <c r="CJ50" s="110">
        <v>0</v>
      </c>
      <c r="CK50" s="110">
        <v>64146.5</v>
      </c>
      <c r="CL50" s="110">
        <v>64146.5</v>
      </c>
      <c r="CM50" s="110">
        <v>0</v>
      </c>
      <c r="CN50" s="110">
        <v>0</v>
      </c>
      <c r="CO50" s="110">
        <v>125760.7</v>
      </c>
      <c r="CP50" s="110">
        <v>66862.539999999994</v>
      </c>
      <c r="CQ50" s="110">
        <v>0</v>
      </c>
      <c r="CR50" s="110">
        <v>0</v>
      </c>
      <c r="CS50" s="110">
        <v>0</v>
      </c>
      <c r="CT50" s="110">
        <v>0</v>
      </c>
      <c r="CU50" s="110">
        <v>0</v>
      </c>
      <c r="CV50" s="111">
        <v>668</v>
      </c>
      <c r="CW50" s="111">
        <v>556</v>
      </c>
      <c r="CX50" s="111">
        <v>511</v>
      </c>
      <c r="CY50" s="111">
        <v>45</v>
      </c>
      <c r="CZ50" s="111">
        <v>112</v>
      </c>
      <c r="DA50" s="111">
        <v>71</v>
      </c>
      <c r="DB50" s="111">
        <v>41</v>
      </c>
      <c r="DC50" s="111">
        <v>458</v>
      </c>
      <c r="DD50" s="111">
        <v>0</v>
      </c>
      <c r="DE50" s="111">
        <v>383</v>
      </c>
      <c r="DF50" s="111">
        <v>355</v>
      </c>
      <c r="DG50" s="111">
        <v>28</v>
      </c>
      <c r="DH50" s="111">
        <v>75</v>
      </c>
      <c r="DI50" s="111">
        <v>47</v>
      </c>
      <c r="DJ50" s="111">
        <v>28</v>
      </c>
      <c r="DK50" s="111">
        <v>210</v>
      </c>
      <c r="DL50" s="111">
        <v>173</v>
      </c>
      <c r="DM50" s="111">
        <v>156</v>
      </c>
      <c r="DN50" s="111">
        <v>17</v>
      </c>
      <c r="DO50" s="111">
        <v>37</v>
      </c>
      <c r="DP50" s="111">
        <v>24</v>
      </c>
      <c r="DQ50" s="111">
        <v>13</v>
      </c>
      <c r="DR50" s="111">
        <v>0</v>
      </c>
      <c r="DS50" s="111">
        <v>0</v>
      </c>
      <c r="DT50" s="111">
        <v>0</v>
      </c>
      <c r="DU50" s="111">
        <v>0</v>
      </c>
      <c r="DV50" s="111">
        <v>0</v>
      </c>
      <c r="DW50" s="111">
        <v>0</v>
      </c>
      <c r="DX50" s="111">
        <v>0</v>
      </c>
      <c r="DY50" s="111">
        <v>0</v>
      </c>
      <c r="DZ50" s="111">
        <v>0</v>
      </c>
      <c r="EA50" s="111">
        <v>0</v>
      </c>
      <c r="EB50" s="111">
        <v>0</v>
      </c>
      <c r="EC50" s="111">
        <v>0</v>
      </c>
      <c r="ED50" s="111">
        <v>0</v>
      </c>
      <c r="EE50" s="111">
        <v>0</v>
      </c>
      <c r="EF50" s="111">
        <v>0</v>
      </c>
      <c r="EG50" s="111">
        <v>77</v>
      </c>
      <c r="EH50" s="111">
        <v>57</v>
      </c>
      <c r="EI50" s="111">
        <v>57</v>
      </c>
      <c r="EJ50" s="111">
        <v>0</v>
      </c>
      <c r="EK50" s="111">
        <v>20</v>
      </c>
      <c r="EL50" s="111">
        <v>20</v>
      </c>
      <c r="EM50" s="111">
        <v>0</v>
      </c>
      <c r="EN50" s="111">
        <v>69</v>
      </c>
      <c r="EO50" s="111">
        <v>68</v>
      </c>
      <c r="EP50" s="111">
        <v>0</v>
      </c>
      <c r="EQ50" s="111">
        <v>1</v>
      </c>
      <c r="ER50" s="111">
        <v>0</v>
      </c>
      <c r="ES50" s="111">
        <v>0</v>
      </c>
      <c r="ET50" s="111">
        <v>0</v>
      </c>
      <c r="EU50" s="111">
        <v>1</v>
      </c>
      <c r="EV50" s="111">
        <v>1</v>
      </c>
      <c r="EW50" s="111">
        <v>0</v>
      </c>
      <c r="EX50" s="111">
        <v>0</v>
      </c>
      <c r="EY50" s="111">
        <v>1</v>
      </c>
      <c r="EZ50" s="111">
        <v>1</v>
      </c>
      <c r="FA50" s="111">
        <v>0</v>
      </c>
      <c r="FB50" s="111">
        <v>1</v>
      </c>
    </row>
    <row r="51" spans="1:158" ht="19.5" customHeight="1">
      <c r="A51" s="107">
        <v>48</v>
      </c>
      <c r="B51" s="107" t="s">
        <v>350</v>
      </c>
      <c r="C51" s="107" t="s">
        <v>406</v>
      </c>
      <c r="D51" s="110">
        <v>59505</v>
      </c>
      <c r="E51" s="110">
        <v>59505</v>
      </c>
      <c r="F51" s="110">
        <v>0</v>
      </c>
      <c r="G51" s="110">
        <v>132</v>
      </c>
      <c r="H51" s="110">
        <v>0</v>
      </c>
      <c r="I51" s="110">
        <v>10834</v>
      </c>
      <c r="J51" s="110">
        <v>0</v>
      </c>
      <c r="K51" s="110">
        <v>0</v>
      </c>
      <c r="L51" s="110">
        <v>0</v>
      </c>
      <c r="M51" s="110">
        <v>0</v>
      </c>
      <c r="N51" s="110">
        <v>0</v>
      </c>
      <c r="O51" s="110">
        <v>64135.59</v>
      </c>
      <c r="P51" s="110">
        <v>53538.93</v>
      </c>
      <c r="Q51" s="110">
        <v>47207.55</v>
      </c>
      <c r="R51" s="110">
        <v>6331.38</v>
      </c>
      <c r="S51" s="110">
        <v>10596.66</v>
      </c>
      <c r="T51" s="110">
        <v>3003.44</v>
      </c>
      <c r="U51" s="110">
        <v>7593.22</v>
      </c>
      <c r="V51" s="110">
        <v>64135.59</v>
      </c>
      <c r="W51" s="110">
        <v>53538.93</v>
      </c>
      <c r="X51" s="110">
        <v>47207.55</v>
      </c>
      <c r="Y51" s="110">
        <v>6331.38</v>
      </c>
      <c r="Z51" s="110">
        <v>10596.66</v>
      </c>
      <c r="AA51" s="110">
        <v>3003.44</v>
      </c>
      <c r="AB51" s="110">
        <v>7593.22</v>
      </c>
      <c r="AC51" s="110">
        <v>4587.59</v>
      </c>
      <c r="AD51" s="110">
        <v>3236.93</v>
      </c>
      <c r="AE51" s="110">
        <v>2239.5500000000002</v>
      </c>
      <c r="AF51" s="110">
        <v>997.38</v>
      </c>
      <c r="AG51" s="110">
        <v>1350.66</v>
      </c>
      <c r="AH51" s="110">
        <v>277.44</v>
      </c>
      <c r="AI51" s="110">
        <v>1073.22</v>
      </c>
      <c r="AJ51" s="110">
        <v>43</v>
      </c>
      <c r="AK51" s="110">
        <v>43</v>
      </c>
      <c r="AL51" s="110">
        <v>43</v>
      </c>
      <c r="AM51" s="110">
        <v>0</v>
      </c>
      <c r="AN51" s="110">
        <v>0</v>
      </c>
      <c r="AO51" s="110">
        <v>0</v>
      </c>
      <c r="AP51" s="110">
        <v>0</v>
      </c>
      <c r="AQ51" s="110">
        <v>43391</v>
      </c>
      <c r="AR51" s="110">
        <v>35605</v>
      </c>
      <c r="AS51" s="110">
        <v>31107</v>
      </c>
      <c r="AT51" s="110">
        <v>4498</v>
      </c>
      <c r="AU51" s="110">
        <v>7786</v>
      </c>
      <c r="AV51" s="110">
        <v>2262</v>
      </c>
      <c r="AW51" s="110">
        <v>5524</v>
      </c>
      <c r="AX51" s="110">
        <v>16114</v>
      </c>
      <c r="AY51" s="110">
        <v>14654</v>
      </c>
      <c r="AZ51" s="110">
        <v>13818</v>
      </c>
      <c r="BA51" s="110">
        <v>836</v>
      </c>
      <c r="BB51" s="110">
        <v>1460</v>
      </c>
      <c r="BC51" s="110">
        <v>464</v>
      </c>
      <c r="BD51" s="110">
        <v>996</v>
      </c>
      <c r="BE51" s="110">
        <v>0</v>
      </c>
      <c r="BF51" s="110">
        <v>0</v>
      </c>
      <c r="BG51" s="110">
        <v>0</v>
      </c>
      <c r="BH51" s="110">
        <v>0</v>
      </c>
      <c r="BI51" s="110">
        <v>0</v>
      </c>
      <c r="BJ51" s="110">
        <v>0</v>
      </c>
      <c r="BK51" s="110">
        <v>0</v>
      </c>
      <c r="BL51" s="110">
        <v>0</v>
      </c>
      <c r="BM51" s="110">
        <v>0</v>
      </c>
      <c r="BN51" s="110">
        <v>0</v>
      </c>
      <c r="BO51" s="110">
        <v>0</v>
      </c>
      <c r="BP51" s="110">
        <v>0</v>
      </c>
      <c r="BQ51" s="110">
        <v>0</v>
      </c>
      <c r="BR51" s="110">
        <v>0</v>
      </c>
      <c r="BS51" s="110">
        <v>0</v>
      </c>
      <c r="BT51" s="110">
        <v>0</v>
      </c>
      <c r="BU51" s="110">
        <v>0</v>
      </c>
      <c r="BV51" s="110">
        <v>0</v>
      </c>
      <c r="BW51" s="110">
        <v>0</v>
      </c>
      <c r="BX51" s="110">
        <v>0</v>
      </c>
      <c r="BY51" s="110">
        <v>0</v>
      </c>
      <c r="BZ51" s="110">
        <v>0</v>
      </c>
      <c r="CA51" s="110">
        <v>0</v>
      </c>
      <c r="CB51" s="110">
        <v>0</v>
      </c>
      <c r="CC51" s="110">
        <v>0</v>
      </c>
      <c r="CD51" s="110">
        <v>0</v>
      </c>
      <c r="CE51" s="110">
        <v>0</v>
      </c>
      <c r="CF51" s="110">
        <v>0</v>
      </c>
      <c r="CG51" s="110">
        <v>0</v>
      </c>
      <c r="CH51" s="110">
        <v>0</v>
      </c>
      <c r="CI51" s="110">
        <v>0</v>
      </c>
      <c r="CJ51" s="110">
        <v>0</v>
      </c>
      <c r="CK51" s="110">
        <v>0</v>
      </c>
      <c r="CL51" s="110">
        <v>0</v>
      </c>
      <c r="CM51" s="110">
        <v>0</v>
      </c>
      <c r="CN51" s="110">
        <v>0</v>
      </c>
      <c r="CO51" s="110">
        <v>0</v>
      </c>
      <c r="CP51" s="110">
        <v>64135.59</v>
      </c>
      <c r="CQ51" s="110">
        <v>0</v>
      </c>
      <c r="CR51" s="110">
        <v>0</v>
      </c>
      <c r="CS51" s="110">
        <v>0</v>
      </c>
      <c r="CT51" s="110">
        <v>0</v>
      </c>
      <c r="CU51" s="110">
        <v>0</v>
      </c>
      <c r="CV51" s="111">
        <v>132</v>
      </c>
      <c r="CW51" s="111">
        <v>97</v>
      </c>
      <c r="CX51" s="111">
        <v>77</v>
      </c>
      <c r="CY51" s="111">
        <v>20</v>
      </c>
      <c r="CZ51" s="111">
        <v>35</v>
      </c>
      <c r="DA51" s="111">
        <v>11</v>
      </c>
      <c r="DB51" s="111">
        <v>24</v>
      </c>
      <c r="DC51" s="111">
        <v>0</v>
      </c>
      <c r="DD51" s="111">
        <v>0</v>
      </c>
      <c r="DE51" s="111">
        <v>0</v>
      </c>
      <c r="DF51" s="111">
        <v>0</v>
      </c>
      <c r="DG51" s="111">
        <v>0</v>
      </c>
      <c r="DH51" s="111">
        <v>0</v>
      </c>
      <c r="DI51" s="111">
        <v>0</v>
      </c>
      <c r="DJ51" s="111">
        <v>0</v>
      </c>
      <c r="DK51" s="111">
        <v>132</v>
      </c>
      <c r="DL51" s="111">
        <v>97</v>
      </c>
      <c r="DM51" s="111">
        <v>77</v>
      </c>
      <c r="DN51" s="111">
        <v>20</v>
      </c>
      <c r="DO51" s="111">
        <v>35</v>
      </c>
      <c r="DP51" s="111">
        <v>11</v>
      </c>
      <c r="DQ51" s="111">
        <v>24</v>
      </c>
      <c r="DR51" s="111">
        <v>0</v>
      </c>
      <c r="DS51" s="111">
        <v>0</v>
      </c>
      <c r="DT51" s="111">
        <v>0</v>
      </c>
      <c r="DU51" s="111">
        <v>0</v>
      </c>
      <c r="DV51" s="111">
        <v>0</v>
      </c>
      <c r="DW51" s="111">
        <v>0</v>
      </c>
      <c r="DX51" s="111">
        <v>0</v>
      </c>
      <c r="DY51" s="111">
        <v>0</v>
      </c>
      <c r="DZ51" s="111">
        <v>0</v>
      </c>
      <c r="EA51" s="111">
        <v>0</v>
      </c>
      <c r="EB51" s="111">
        <v>0</v>
      </c>
      <c r="EC51" s="111">
        <v>0</v>
      </c>
      <c r="ED51" s="111">
        <v>0</v>
      </c>
      <c r="EE51" s="111">
        <v>0</v>
      </c>
      <c r="EF51" s="111">
        <v>0</v>
      </c>
      <c r="EG51" s="111">
        <v>0</v>
      </c>
      <c r="EH51" s="111">
        <v>0</v>
      </c>
      <c r="EI51" s="111">
        <v>0</v>
      </c>
      <c r="EJ51" s="111">
        <v>0</v>
      </c>
      <c r="EK51" s="111">
        <v>0</v>
      </c>
      <c r="EL51" s="111">
        <v>0</v>
      </c>
      <c r="EM51" s="111">
        <v>0</v>
      </c>
      <c r="EN51" s="111">
        <v>0</v>
      </c>
      <c r="EO51" s="111">
        <v>0</v>
      </c>
      <c r="EP51" s="111">
        <v>0</v>
      </c>
      <c r="EQ51" s="111">
        <v>0</v>
      </c>
      <c r="ER51" s="111">
        <v>0</v>
      </c>
      <c r="ES51" s="111">
        <v>0</v>
      </c>
      <c r="ET51" s="111">
        <v>0</v>
      </c>
      <c r="EU51" s="111">
        <v>0</v>
      </c>
      <c r="EV51" s="111">
        <v>0</v>
      </c>
      <c r="EW51" s="111">
        <v>0</v>
      </c>
      <c r="EX51" s="111">
        <v>0</v>
      </c>
      <c r="EY51" s="111">
        <v>0</v>
      </c>
      <c r="EZ51" s="111">
        <v>0</v>
      </c>
      <c r="FA51" s="111">
        <v>0</v>
      </c>
      <c r="FB51" s="111">
        <v>0</v>
      </c>
    </row>
    <row r="52" spans="1:158" ht="19.5" customHeight="1">
      <c r="A52" s="107">
        <v>49</v>
      </c>
      <c r="B52" s="107" t="s">
        <v>401</v>
      </c>
      <c r="C52" s="107" t="s">
        <v>409</v>
      </c>
      <c r="D52" s="110">
        <v>302107.95</v>
      </c>
      <c r="E52" s="110">
        <v>302107.95</v>
      </c>
      <c r="F52" s="110">
        <v>0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  <c r="O52" s="110">
        <v>302107.95</v>
      </c>
      <c r="P52" s="110">
        <v>93888.89</v>
      </c>
      <c r="Q52" s="110">
        <v>0</v>
      </c>
      <c r="R52" s="110">
        <v>93888.89</v>
      </c>
      <c r="S52" s="110">
        <v>208219.06</v>
      </c>
      <c r="T52" s="110">
        <v>0</v>
      </c>
      <c r="U52" s="110">
        <v>208219.06</v>
      </c>
      <c r="V52" s="110">
        <v>302107.95</v>
      </c>
      <c r="W52" s="110">
        <v>93888.89</v>
      </c>
      <c r="X52" s="110">
        <v>0</v>
      </c>
      <c r="Y52" s="110">
        <v>93888.89</v>
      </c>
      <c r="Z52" s="110">
        <v>208219.06</v>
      </c>
      <c r="AA52" s="110">
        <v>0</v>
      </c>
      <c r="AB52" s="110">
        <v>208219.06</v>
      </c>
      <c r="AC52" s="110">
        <v>0</v>
      </c>
      <c r="AD52" s="110">
        <v>0</v>
      </c>
      <c r="AE52" s="110">
        <v>0</v>
      </c>
      <c r="AF52" s="110">
        <v>0</v>
      </c>
      <c r="AG52" s="110">
        <v>0</v>
      </c>
      <c r="AH52" s="110">
        <v>0</v>
      </c>
      <c r="AI52" s="110">
        <v>0</v>
      </c>
      <c r="AJ52" s="110">
        <v>0</v>
      </c>
      <c r="AK52" s="110">
        <v>0</v>
      </c>
      <c r="AL52" s="110">
        <v>0</v>
      </c>
      <c r="AM52" s="110">
        <v>0</v>
      </c>
      <c r="AN52" s="110">
        <v>0</v>
      </c>
      <c r="AO52" s="110">
        <v>0</v>
      </c>
      <c r="AP52" s="110">
        <v>0</v>
      </c>
      <c r="AQ52" s="110">
        <v>0</v>
      </c>
      <c r="AR52" s="110">
        <v>0</v>
      </c>
      <c r="AS52" s="110">
        <v>0</v>
      </c>
      <c r="AT52" s="110">
        <v>0</v>
      </c>
      <c r="AU52" s="110">
        <v>0</v>
      </c>
      <c r="AV52" s="110">
        <v>0</v>
      </c>
      <c r="AW52" s="110">
        <v>0</v>
      </c>
      <c r="AX52" s="110">
        <v>302107.95</v>
      </c>
      <c r="AY52" s="110">
        <v>93888.89</v>
      </c>
      <c r="AZ52" s="110">
        <v>0</v>
      </c>
      <c r="BA52" s="110">
        <v>93888.89</v>
      </c>
      <c r="BB52" s="110">
        <v>208219.06</v>
      </c>
      <c r="BC52" s="110">
        <v>0</v>
      </c>
      <c r="BD52" s="110">
        <v>208219.06</v>
      </c>
      <c r="BE52" s="110">
        <v>0</v>
      </c>
      <c r="BF52" s="110">
        <v>0</v>
      </c>
      <c r="BG52" s="110">
        <v>0</v>
      </c>
      <c r="BH52" s="110">
        <v>0</v>
      </c>
      <c r="BI52" s="110">
        <v>0</v>
      </c>
      <c r="BJ52" s="110">
        <v>0</v>
      </c>
      <c r="BK52" s="110">
        <v>0</v>
      </c>
      <c r="BL52" s="110">
        <v>0</v>
      </c>
      <c r="BM52" s="110">
        <v>0</v>
      </c>
      <c r="BN52" s="110">
        <v>0</v>
      </c>
      <c r="BO52" s="110">
        <v>0</v>
      </c>
      <c r="BP52" s="110">
        <v>0</v>
      </c>
      <c r="BQ52" s="110">
        <v>0</v>
      </c>
      <c r="BR52" s="110">
        <v>0</v>
      </c>
      <c r="BS52" s="110">
        <v>0</v>
      </c>
      <c r="BT52" s="110">
        <v>0</v>
      </c>
      <c r="BU52" s="110">
        <v>0</v>
      </c>
      <c r="BV52" s="110">
        <v>0</v>
      </c>
      <c r="BW52" s="110">
        <v>0</v>
      </c>
      <c r="BX52" s="110">
        <v>0</v>
      </c>
      <c r="BY52" s="110">
        <v>0</v>
      </c>
      <c r="BZ52" s="110">
        <v>0</v>
      </c>
      <c r="CA52" s="110">
        <v>0</v>
      </c>
      <c r="CB52" s="110">
        <v>0</v>
      </c>
      <c r="CC52" s="110">
        <v>0</v>
      </c>
      <c r="CD52" s="110">
        <v>0</v>
      </c>
      <c r="CE52" s="110">
        <v>0</v>
      </c>
      <c r="CF52" s="110">
        <v>0</v>
      </c>
      <c r="CG52" s="110">
        <v>0</v>
      </c>
      <c r="CH52" s="110">
        <v>0</v>
      </c>
      <c r="CI52" s="110">
        <v>0</v>
      </c>
      <c r="CJ52" s="110">
        <v>0</v>
      </c>
      <c r="CK52" s="110">
        <v>0</v>
      </c>
      <c r="CL52" s="110">
        <v>0</v>
      </c>
      <c r="CM52" s="110">
        <v>0</v>
      </c>
      <c r="CN52" s="110">
        <v>0</v>
      </c>
      <c r="CO52" s="110">
        <v>302107.95</v>
      </c>
      <c r="CP52" s="110">
        <v>0</v>
      </c>
      <c r="CQ52" s="110">
        <v>0</v>
      </c>
      <c r="CR52" s="110">
        <v>0</v>
      </c>
      <c r="CS52" s="110">
        <v>0</v>
      </c>
      <c r="CT52" s="110">
        <v>0</v>
      </c>
      <c r="CU52" s="110">
        <v>0</v>
      </c>
      <c r="CV52" s="111">
        <v>0</v>
      </c>
      <c r="CW52" s="111">
        <v>0</v>
      </c>
      <c r="CX52" s="111">
        <v>0</v>
      </c>
      <c r="CY52" s="111">
        <v>0</v>
      </c>
      <c r="CZ52" s="111">
        <v>0</v>
      </c>
      <c r="DA52" s="111">
        <v>0</v>
      </c>
      <c r="DB52" s="111">
        <v>0</v>
      </c>
      <c r="DC52" s="111">
        <v>0</v>
      </c>
      <c r="DD52" s="111">
        <v>0</v>
      </c>
      <c r="DE52" s="111">
        <v>0</v>
      </c>
      <c r="DF52" s="111">
        <v>0</v>
      </c>
      <c r="DG52" s="111">
        <v>0</v>
      </c>
      <c r="DH52" s="111">
        <v>0</v>
      </c>
      <c r="DI52" s="111">
        <v>0</v>
      </c>
      <c r="DJ52" s="111">
        <v>0</v>
      </c>
      <c r="DK52" s="111">
        <v>0</v>
      </c>
      <c r="DL52" s="111">
        <v>0</v>
      </c>
      <c r="DM52" s="111">
        <v>0</v>
      </c>
      <c r="DN52" s="111">
        <v>0</v>
      </c>
      <c r="DO52" s="111">
        <v>0</v>
      </c>
      <c r="DP52" s="111">
        <v>0</v>
      </c>
      <c r="DQ52" s="111">
        <v>0</v>
      </c>
      <c r="DR52" s="111">
        <v>0</v>
      </c>
      <c r="DS52" s="111">
        <v>0</v>
      </c>
      <c r="DT52" s="111">
        <v>0</v>
      </c>
      <c r="DU52" s="111">
        <v>0</v>
      </c>
      <c r="DV52" s="111">
        <v>0</v>
      </c>
      <c r="DW52" s="111">
        <v>0</v>
      </c>
      <c r="DX52" s="111">
        <v>0</v>
      </c>
      <c r="DY52" s="111">
        <v>0</v>
      </c>
      <c r="DZ52" s="111">
        <v>0</v>
      </c>
      <c r="EA52" s="111">
        <v>0</v>
      </c>
      <c r="EB52" s="111">
        <v>0</v>
      </c>
      <c r="EC52" s="111">
        <v>0</v>
      </c>
      <c r="ED52" s="111">
        <v>0</v>
      </c>
      <c r="EE52" s="111">
        <v>0</v>
      </c>
      <c r="EF52" s="111">
        <v>0</v>
      </c>
      <c r="EG52" s="111">
        <v>0</v>
      </c>
      <c r="EH52" s="111">
        <v>0</v>
      </c>
      <c r="EI52" s="111">
        <v>0</v>
      </c>
      <c r="EJ52" s="111">
        <v>0</v>
      </c>
      <c r="EK52" s="111">
        <v>0</v>
      </c>
      <c r="EL52" s="111">
        <v>0</v>
      </c>
      <c r="EM52" s="111">
        <v>0</v>
      </c>
      <c r="EN52" s="111">
        <v>0</v>
      </c>
      <c r="EO52" s="111">
        <v>0</v>
      </c>
      <c r="EP52" s="111">
        <v>0</v>
      </c>
      <c r="EQ52" s="111">
        <v>0</v>
      </c>
      <c r="ER52" s="111">
        <v>0</v>
      </c>
      <c r="ES52" s="111">
        <v>0</v>
      </c>
      <c r="ET52" s="111">
        <v>0</v>
      </c>
      <c r="EU52" s="111">
        <v>0</v>
      </c>
      <c r="EV52" s="111">
        <v>0</v>
      </c>
      <c r="EW52" s="111">
        <v>0</v>
      </c>
      <c r="EX52" s="111">
        <v>0</v>
      </c>
      <c r="EY52" s="111">
        <v>0</v>
      </c>
      <c r="EZ52" s="111">
        <v>0</v>
      </c>
      <c r="FA52" s="111">
        <v>0</v>
      </c>
      <c r="FB52" s="111">
        <v>0</v>
      </c>
    </row>
    <row r="53" spans="1:158" ht="28.5" customHeight="1">
      <c r="A53" s="107">
        <v>50</v>
      </c>
      <c r="B53" s="107" t="s">
        <v>361</v>
      </c>
      <c r="C53" s="107" t="s">
        <v>468</v>
      </c>
      <c r="D53" s="110">
        <v>128626</v>
      </c>
      <c r="E53" s="110">
        <v>128626</v>
      </c>
      <c r="F53" s="110">
        <v>0</v>
      </c>
      <c r="G53" s="110">
        <v>457</v>
      </c>
      <c r="H53" s="110">
        <v>0</v>
      </c>
      <c r="I53" s="110">
        <v>22</v>
      </c>
      <c r="J53" s="110">
        <v>0</v>
      </c>
      <c r="K53" s="110">
        <v>0</v>
      </c>
      <c r="L53" s="110">
        <v>0</v>
      </c>
      <c r="M53" s="110">
        <v>0</v>
      </c>
      <c r="N53" s="110">
        <v>0</v>
      </c>
      <c r="O53" s="110">
        <v>145970.85999999999</v>
      </c>
      <c r="P53" s="110">
        <v>121453.8</v>
      </c>
      <c r="Q53" s="110">
        <v>112230.47</v>
      </c>
      <c r="R53" s="110">
        <v>9223.33</v>
      </c>
      <c r="S53" s="110">
        <v>24517.06</v>
      </c>
      <c r="T53" s="110">
        <v>10122.82</v>
      </c>
      <c r="U53" s="110">
        <v>14394.24</v>
      </c>
      <c r="V53" s="110">
        <v>145970.85999999999</v>
      </c>
      <c r="W53" s="110">
        <v>121453.8</v>
      </c>
      <c r="X53" s="110">
        <v>112230.47</v>
      </c>
      <c r="Y53" s="110">
        <v>9223.33</v>
      </c>
      <c r="Z53" s="110">
        <v>24517.06</v>
      </c>
      <c r="AA53" s="110">
        <v>10122.82</v>
      </c>
      <c r="AB53" s="110">
        <v>14394.24</v>
      </c>
      <c r="AC53" s="110">
        <v>17198.78</v>
      </c>
      <c r="AD53" s="110">
        <v>14678.72</v>
      </c>
      <c r="AE53" s="110">
        <v>14158.39</v>
      </c>
      <c r="AF53" s="110">
        <v>520.33000000000004</v>
      </c>
      <c r="AG53" s="110">
        <v>2520.06</v>
      </c>
      <c r="AH53" s="110">
        <v>1317.82</v>
      </c>
      <c r="AI53" s="110">
        <v>1202.24</v>
      </c>
      <c r="AJ53" s="110">
        <v>146.08000000000001</v>
      </c>
      <c r="AK53" s="110">
        <v>103.08</v>
      </c>
      <c r="AL53" s="110">
        <v>103.08</v>
      </c>
      <c r="AM53" s="110">
        <v>0</v>
      </c>
      <c r="AN53" s="110">
        <v>43</v>
      </c>
      <c r="AO53" s="110">
        <v>43</v>
      </c>
      <c r="AP53" s="110">
        <v>0</v>
      </c>
      <c r="AQ53" s="110">
        <v>117069</v>
      </c>
      <c r="AR53" s="110">
        <v>97345</v>
      </c>
      <c r="AS53" s="110">
        <v>89442</v>
      </c>
      <c r="AT53" s="110">
        <v>7903</v>
      </c>
      <c r="AU53" s="110">
        <v>19724</v>
      </c>
      <c r="AV53" s="110">
        <v>7857</v>
      </c>
      <c r="AW53" s="110">
        <v>11867</v>
      </c>
      <c r="AX53" s="110">
        <v>11557</v>
      </c>
      <c r="AY53" s="110">
        <v>9327</v>
      </c>
      <c r="AZ53" s="110">
        <v>8527</v>
      </c>
      <c r="BA53" s="110">
        <v>800</v>
      </c>
      <c r="BB53" s="110">
        <v>2230</v>
      </c>
      <c r="BC53" s="110">
        <v>905</v>
      </c>
      <c r="BD53" s="110">
        <v>1325</v>
      </c>
      <c r="BE53" s="110">
        <v>0</v>
      </c>
      <c r="BF53" s="110">
        <v>0</v>
      </c>
      <c r="BG53" s="110">
        <v>0</v>
      </c>
      <c r="BH53" s="110">
        <v>0</v>
      </c>
      <c r="BI53" s="110">
        <v>0</v>
      </c>
      <c r="BJ53" s="110">
        <v>0</v>
      </c>
      <c r="BK53" s="110">
        <v>0</v>
      </c>
      <c r="BL53" s="110">
        <v>0</v>
      </c>
      <c r="BM53" s="110">
        <v>0</v>
      </c>
      <c r="BN53" s="110">
        <v>0</v>
      </c>
      <c r="BO53" s="110">
        <v>0</v>
      </c>
      <c r="BP53" s="110">
        <v>0</v>
      </c>
      <c r="BQ53" s="110">
        <v>0</v>
      </c>
      <c r="BR53" s="110">
        <v>0</v>
      </c>
      <c r="BS53" s="110">
        <v>0</v>
      </c>
      <c r="BT53" s="110">
        <v>0</v>
      </c>
      <c r="BU53" s="110">
        <v>0</v>
      </c>
      <c r="BV53" s="110">
        <v>0</v>
      </c>
      <c r="BW53" s="110">
        <v>0</v>
      </c>
      <c r="BX53" s="110">
        <v>0</v>
      </c>
      <c r="BY53" s="110">
        <v>0</v>
      </c>
      <c r="BZ53" s="110">
        <v>0</v>
      </c>
      <c r="CA53" s="110">
        <v>0</v>
      </c>
      <c r="CB53" s="110">
        <v>0</v>
      </c>
      <c r="CC53" s="110">
        <v>0</v>
      </c>
      <c r="CD53" s="110">
        <v>0</v>
      </c>
      <c r="CE53" s="110">
        <v>0</v>
      </c>
      <c r="CF53" s="110">
        <v>0</v>
      </c>
      <c r="CG53" s="110">
        <v>0</v>
      </c>
      <c r="CH53" s="110">
        <v>0</v>
      </c>
      <c r="CI53" s="110">
        <v>0</v>
      </c>
      <c r="CJ53" s="110">
        <v>0</v>
      </c>
      <c r="CK53" s="110">
        <v>0</v>
      </c>
      <c r="CL53" s="110">
        <v>0</v>
      </c>
      <c r="CM53" s="110">
        <v>0</v>
      </c>
      <c r="CN53" s="110">
        <v>1810.78</v>
      </c>
      <c r="CO53" s="110">
        <v>141890.81</v>
      </c>
      <c r="CP53" s="110">
        <v>1879.27</v>
      </c>
      <c r="CQ53" s="110">
        <v>390</v>
      </c>
      <c r="CR53" s="110">
        <v>0</v>
      </c>
      <c r="CS53" s="110">
        <v>0</v>
      </c>
      <c r="CT53" s="110">
        <v>0</v>
      </c>
      <c r="CU53" s="110">
        <v>0</v>
      </c>
      <c r="CV53" s="111">
        <v>457</v>
      </c>
      <c r="CW53" s="111">
        <v>370</v>
      </c>
      <c r="CX53" s="111">
        <v>338</v>
      </c>
      <c r="CY53" s="111">
        <v>32</v>
      </c>
      <c r="CZ53" s="111">
        <v>87</v>
      </c>
      <c r="DA53" s="111">
        <v>35</v>
      </c>
      <c r="DB53" s="111">
        <v>52</v>
      </c>
      <c r="DC53" s="111">
        <v>445</v>
      </c>
      <c r="DD53" s="111">
        <v>0</v>
      </c>
      <c r="DE53" s="111">
        <v>365</v>
      </c>
      <c r="DF53" s="111">
        <v>333</v>
      </c>
      <c r="DG53" s="111">
        <v>32</v>
      </c>
      <c r="DH53" s="111">
        <v>80</v>
      </c>
      <c r="DI53" s="111">
        <v>31</v>
      </c>
      <c r="DJ53" s="111">
        <v>49</v>
      </c>
      <c r="DK53" s="111">
        <v>5</v>
      </c>
      <c r="DL53" s="111">
        <v>3</v>
      </c>
      <c r="DM53" s="111">
        <v>3</v>
      </c>
      <c r="DN53" s="111">
        <v>0</v>
      </c>
      <c r="DO53" s="111">
        <v>2</v>
      </c>
      <c r="DP53" s="111">
        <v>1</v>
      </c>
      <c r="DQ53" s="111">
        <v>1</v>
      </c>
      <c r="DR53" s="111">
        <v>0</v>
      </c>
      <c r="DS53" s="111">
        <v>0</v>
      </c>
      <c r="DT53" s="111">
        <v>0</v>
      </c>
      <c r="DU53" s="111">
        <v>0</v>
      </c>
      <c r="DV53" s="111">
        <v>0</v>
      </c>
      <c r="DW53" s="111">
        <v>0</v>
      </c>
      <c r="DX53" s="111">
        <v>0</v>
      </c>
      <c r="DY53" s="111">
        <v>0</v>
      </c>
      <c r="DZ53" s="111">
        <v>7</v>
      </c>
      <c r="EA53" s="111">
        <v>2</v>
      </c>
      <c r="EB53" s="111">
        <v>2</v>
      </c>
      <c r="EC53" s="111">
        <v>0</v>
      </c>
      <c r="ED53" s="111">
        <v>5</v>
      </c>
      <c r="EE53" s="111">
        <v>3</v>
      </c>
      <c r="EF53" s="111">
        <v>2</v>
      </c>
      <c r="EG53" s="111">
        <v>0</v>
      </c>
      <c r="EH53" s="111">
        <v>0</v>
      </c>
      <c r="EI53" s="111">
        <v>0</v>
      </c>
      <c r="EJ53" s="111">
        <v>0</v>
      </c>
      <c r="EK53" s="111">
        <v>0</v>
      </c>
      <c r="EL53" s="111">
        <v>0</v>
      </c>
      <c r="EM53" s="111">
        <v>0</v>
      </c>
      <c r="EN53" s="111">
        <v>0</v>
      </c>
      <c r="EO53" s="111">
        <v>0</v>
      </c>
      <c r="EP53" s="111">
        <v>0</v>
      </c>
      <c r="EQ53" s="111">
        <v>0</v>
      </c>
      <c r="ER53" s="111">
        <v>0</v>
      </c>
      <c r="ES53" s="111">
        <v>0</v>
      </c>
      <c r="ET53" s="111">
        <v>0</v>
      </c>
      <c r="EU53" s="111">
        <v>0</v>
      </c>
      <c r="EV53" s="111">
        <v>0</v>
      </c>
      <c r="EW53" s="111">
        <v>0</v>
      </c>
      <c r="EX53" s="111">
        <v>0</v>
      </c>
      <c r="EY53" s="111">
        <v>0</v>
      </c>
      <c r="EZ53" s="111">
        <v>0</v>
      </c>
      <c r="FA53" s="111">
        <v>0</v>
      </c>
      <c r="FB53" s="111">
        <v>0</v>
      </c>
    </row>
    <row r="54" spans="1:158" ht="19.5" customHeight="1">
      <c r="A54" s="107">
        <v>51</v>
      </c>
      <c r="B54" s="107" t="s">
        <v>401</v>
      </c>
      <c r="C54" s="107" t="s">
        <v>413</v>
      </c>
      <c r="D54" s="110">
        <v>618026</v>
      </c>
      <c r="E54" s="110">
        <v>618026</v>
      </c>
      <c r="F54" s="110">
        <v>0</v>
      </c>
      <c r="G54" s="110">
        <v>1072</v>
      </c>
      <c r="H54" s="110">
        <v>0</v>
      </c>
      <c r="I54" s="110">
        <v>-128</v>
      </c>
      <c r="J54" s="110">
        <v>595840</v>
      </c>
      <c r="K54" s="110">
        <v>0</v>
      </c>
      <c r="L54" s="110">
        <v>0</v>
      </c>
      <c r="M54" s="110">
        <v>0</v>
      </c>
      <c r="N54" s="110">
        <v>0</v>
      </c>
      <c r="O54" s="110">
        <v>924901.26</v>
      </c>
      <c r="P54" s="110">
        <v>815668.88</v>
      </c>
      <c r="Q54" s="110">
        <v>778603.7</v>
      </c>
      <c r="R54" s="110">
        <v>37065.18</v>
      </c>
      <c r="S54" s="110">
        <v>109232.38</v>
      </c>
      <c r="T54" s="110">
        <v>75095.759999999995</v>
      </c>
      <c r="U54" s="110">
        <v>34136.620000000003</v>
      </c>
      <c r="V54" s="110">
        <v>924901.26</v>
      </c>
      <c r="W54" s="110">
        <v>815668.88</v>
      </c>
      <c r="X54" s="110">
        <v>778603.7</v>
      </c>
      <c r="Y54" s="110">
        <v>37065.18</v>
      </c>
      <c r="Z54" s="110">
        <v>109232.38</v>
      </c>
      <c r="AA54" s="110">
        <v>75095.759999999995</v>
      </c>
      <c r="AB54" s="110">
        <v>34136.620000000003</v>
      </c>
      <c r="AC54" s="110">
        <v>85507.82</v>
      </c>
      <c r="AD54" s="110">
        <v>75425.820000000007</v>
      </c>
      <c r="AE54" s="110">
        <v>72038.98</v>
      </c>
      <c r="AF54" s="110">
        <v>3386.84</v>
      </c>
      <c r="AG54" s="110">
        <v>10082</v>
      </c>
      <c r="AH54" s="110">
        <v>6936.32</v>
      </c>
      <c r="AI54" s="110">
        <v>3145.68</v>
      </c>
      <c r="AJ54" s="110">
        <v>221367.44</v>
      </c>
      <c r="AK54" s="110">
        <v>195227.06</v>
      </c>
      <c r="AL54" s="110">
        <v>186353.72</v>
      </c>
      <c r="AM54" s="110">
        <v>8873.34</v>
      </c>
      <c r="AN54" s="110">
        <v>26140.38</v>
      </c>
      <c r="AO54" s="110">
        <v>17947.439999999999</v>
      </c>
      <c r="AP54" s="110">
        <v>8192.94</v>
      </c>
      <c r="AQ54" s="110">
        <v>35</v>
      </c>
      <c r="AR54" s="110">
        <v>35</v>
      </c>
      <c r="AS54" s="110">
        <v>35</v>
      </c>
      <c r="AT54" s="110">
        <v>0</v>
      </c>
      <c r="AU54" s="110">
        <v>0</v>
      </c>
      <c r="AV54" s="110">
        <v>0</v>
      </c>
      <c r="AW54" s="110">
        <v>0</v>
      </c>
      <c r="AX54" s="110">
        <v>617991</v>
      </c>
      <c r="AY54" s="110">
        <v>544981</v>
      </c>
      <c r="AZ54" s="110">
        <v>520176</v>
      </c>
      <c r="BA54" s="110">
        <v>24805</v>
      </c>
      <c r="BB54" s="110">
        <v>73010</v>
      </c>
      <c r="BC54" s="110">
        <v>50212</v>
      </c>
      <c r="BD54" s="110">
        <v>22798</v>
      </c>
      <c r="BE54" s="110">
        <v>0</v>
      </c>
      <c r="BF54" s="110">
        <v>0</v>
      </c>
      <c r="BG54" s="110">
        <v>0</v>
      </c>
      <c r="BH54" s="110">
        <v>0</v>
      </c>
      <c r="BI54" s="110">
        <v>0</v>
      </c>
      <c r="BJ54" s="110">
        <v>0</v>
      </c>
      <c r="BK54" s="110">
        <v>0</v>
      </c>
      <c r="BL54" s="110">
        <v>0</v>
      </c>
      <c r="BM54" s="110">
        <v>0</v>
      </c>
      <c r="BN54" s="110">
        <v>0</v>
      </c>
      <c r="BO54" s="110">
        <v>0</v>
      </c>
      <c r="BP54" s="110">
        <v>0</v>
      </c>
      <c r="BQ54" s="110">
        <v>0</v>
      </c>
      <c r="BR54" s="110">
        <v>0</v>
      </c>
      <c r="BS54" s="110">
        <v>0</v>
      </c>
      <c r="BT54" s="110">
        <v>0</v>
      </c>
      <c r="BU54" s="110">
        <v>0</v>
      </c>
      <c r="BV54" s="110">
        <v>0</v>
      </c>
      <c r="BW54" s="110">
        <v>0</v>
      </c>
      <c r="BX54" s="110">
        <v>0</v>
      </c>
      <c r="BY54" s="110">
        <v>0</v>
      </c>
      <c r="BZ54" s="110">
        <v>0</v>
      </c>
      <c r="CA54" s="110">
        <v>0</v>
      </c>
      <c r="CB54" s="110">
        <v>0</v>
      </c>
      <c r="CC54" s="110">
        <v>0</v>
      </c>
      <c r="CD54" s="110">
        <v>0</v>
      </c>
      <c r="CE54" s="110">
        <v>0</v>
      </c>
      <c r="CF54" s="110">
        <v>0</v>
      </c>
      <c r="CG54" s="110">
        <v>0</v>
      </c>
      <c r="CH54" s="110">
        <v>0</v>
      </c>
      <c r="CI54" s="110">
        <v>0</v>
      </c>
      <c r="CJ54" s="110">
        <v>0</v>
      </c>
      <c r="CK54" s="110">
        <v>0</v>
      </c>
      <c r="CL54" s="110">
        <v>0</v>
      </c>
      <c r="CM54" s="110">
        <v>0</v>
      </c>
      <c r="CN54" s="110">
        <v>0</v>
      </c>
      <c r="CO54" s="110">
        <v>0</v>
      </c>
      <c r="CP54" s="110">
        <v>0</v>
      </c>
      <c r="CQ54" s="110">
        <v>924901.26</v>
      </c>
      <c r="CR54" s="110">
        <v>0</v>
      </c>
      <c r="CS54" s="110">
        <v>0</v>
      </c>
      <c r="CT54" s="110">
        <v>0</v>
      </c>
      <c r="CU54" s="110">
        <v>0</v>
      </c>
      <c r="CV54" s="111">
        <v>1072</v>
      </c>
      <c r="CW54" s="111">
        <v>942</v>
      </c>
      <c r="CX54" s="111">
        <v>897</v>
      </c>
      <c r="CY54" s="111">
        <v>45</v>
      </c>
      <c r="CZ54" s="111">
        <v>130</v>
      </c>
      <c r="DA54" s="111">
        <v>86</v>
      </c>
      <c r="DB54" s="111">
        <v>44</v>
      </c>
      <c r="DC54" s="111">
        <v>1072</v>
      </c>
      <c r="DD54" s="111">
        <v>0</v>
      </c>
      <c r="DE54" s="111">
        <v>942</v>
      </c>
      <c r="DF54" s="111">
        <v>897</v>
      </c>
      <c r="DG54" s="111">
        <v>45</v>
      </c>
      <c r="DH54" s="111">
        <v>130</v>
      </c>
      <c r="DI54" s="111">
        <v>86</v>
      </c>
      <c r="DJ54" s="111">
        <v>44</v>
      </c>
      <c r="DK54" s="111">
        <v>0</v>
      </c>
      <c r="DL54" s="111">
        <v>0</v>
      </c>
      <c r="DM54" s="111">
        <v>0</v>
      </c>
      <c r="DN54" s="111">
        <v>0</v>
      </c>
      <c r="DO54" s="111">
        <v>0</v>
      </c>
      <c r="DP54" s="111">
        <v>0</v>
      </c>
      <c r="DQ54" s="111">
        <v>0</v>
      </c>
      <c r="DR54" s="111">
        <v>0</v>
      </c>
      <c r="DS54" s="111">
        <v>0</v>
      </c>
      <c r="DT54" s="111">
        <v>0</v>
      </c>
      <c r="DU54" s="111">
        <v>0</v>
      </c>
      <c r="DV54" s="111">
        <v>0</v>
      </c>
      <c r="DW54" s="111">
        <v>0</v>
      </c>
      <c r="DX54" s="111">
        <v>0</v>
      </c>
      <c r="DY54" s="111">
        <v>0</v>
      </c>
      <c r="DZ54" s="111">
        <v>0</v>
      </c>
      <c r="EA54" s="111">
        <v>0</v>
      </c>
      <c r="EB54" s="111">
        <v>0</v>
      </c>
      <c r="EC54" s="111">
        <v>0</v>
      </c>
      <c r="ED54" s="111">
        <v>0</v>
      </c>
      <c r="EE54" s="111">
        <v>0</v>
      </c>
      <c r="EF54" s="111">
        <v>0</v>
      </c>
      <c r="EG54" s="111">
        <v>0</v>
      </c>
      <c r="EH54" s="111">
        <v>0</v>
      </c>
      <c r="EI54" s="111">
        <v>0</v>
      </c>
      <c r="EJ54" s="111">
        <v>0</v>
      </c>
      <c r="EK54" s="111">
        <v>0</v>
      </c>
      <c r="EL54" s="111">
        <v>0</v>
      </c>
      <c r="EM54" s="111">
        <v>0</v>
      </c>
      <c r="EN54" s="111">
        <v>0</v>
      </c>
      <c r="EO54" s="111">
        <v>0</v>
      </c>
      <c r="EP54" s="111">
        <v>0</v>
      </c>
      <c r="EQ54" s="111">
        <v>0</v>
      </c>
      <c r="ER54" s="111">
        <v>0</v>
      </c>
      <c r="ES54" s="111">
        <v>0</v>
      </c>
      <c r="ET54" s="111">
        <v>0</v>
      </c>
      <c r="EU54" s="111">
        <v>0</v>
      </c>
      <c r="EV54" s="111">
        <v>0</v>
      </c>
      <c r="EW54" s="111">
        <v>0</v>
      </c>
      <c r="EX54" s="111">
        <v>0</v>
      </c>
      <c r="EY54" s="111">
        <v>0</v>
      </c>
      <c r="EZ54" s="111">
        <v>0</v>
      </c>
      <c r="FA54" s="111">
        <v>0</v>
      </c>
      <c r="FB54" s="111">
        <v>0</v>
      </c>
    </row>
    <row r="55" spans="1:158" ht="19.5" customHeight="1">
      <c r="A55" s="107">
        <v>52</v>
      </c>
      <c r="B55" s="107" t="s">
        <v>350</v>
      </c>
      <c r="C55" s="107" t="s">
        <v>414</v>
      </c>
      <c r="D55" s="110">
        <v>751920</v>
      </c>
      <c r="E55" s="110">
        <v>751920</v>
      </c>
      <c r="F55" s="110">
        <v>0</v>
      </c>
      <c r="G55" s="110">
        <v>196</v>
      </c>
      <c r="H55" s="110">
        <v>0</v>
      </c>
      <c r="I55" s="110">
        <v>715943</v>
      </c>
      <c r="J55" s="110">
        <v>0</v>
      </c>
      <c r="K55" s="110">
        <v>0</v>
      </c>
      <c r="L55" s="110">
        <v>0</v>
      </c>
      <c r="M55" s="110">
        <v>0</v>
      </c>
      <c r="N55" s="110">
        <v>0</v>
      </c>
      <c r="O55" s="110">
        <v>886105.19</v>
      </c>
      <c r="P55" s="110">
        <v>652248.38</v>
      </c>
      <c r="Q55" s="110">
        <v>651456.06000000006</v>
      </c>
      <c r="R55" s="110">
        <v>792.32</v>
      </c>
      <c r="S55" s="110">
        <v>233856.81</v>
      </c>
      <c r="T55" s="110">
        <v>231191.92</v>
      </c>
      <c r="U55" s="110">
        <v>2664.89</v>
      </c>
      <c r="V55" s="110">
        <v>886105.19</v>
      </c>
      <c r="W55" s="110">
        <v>652248.38</v>
      </c>
      <c r="X55" s="110">
        <v>651456.06000000006</v>
      </c>
      <c r="Y55" s="110">
        <v>792.32</v>
      </c>
      <c r="Z55" s="110">
        <v>233856.81</v>
      </c>
      <c r="AA55" s="110">
        <v>231191.92</v>
      </c>
      <c r="AB55" s="110">
        <v>2664.89</v>
      </c>
      <c r="AC55" s="110">
        <v>132765.78</v>
      </c>
      <c r="AD55" s="110">
        <v>102580.59</v>
      </c>
      <c r="AE55" s="110">
        <v>102148.27</v>
      </c>
      <c r="AF55" s="110">
        <v>432.32</v>
      </c>
      <c r="AG55" s="110">
        <v>30185.19</v>
      </c>
      <c r="AH55" s="110">
        <v>29148.3</v>
      </c>
      <c r="AI55" s="110">
        <v>1036.8900000000001</v>
      </c>
      <c r="AJ55" s="110">
        <v>1419.41</v>
      </c>
      <c r="AK55" s="110">
        <v>1060.79</v>
      </c>
      <c r="AL55" s="110">
        <v>1060.79</v>
      </c>
      <c r="AM55" s="110">
        <v>0</v>
      </c>
      <c r="AN55" s="110">
        <v>358.62</v>
      </c>
      <c r="AO55" s="110">
        <v>315.62</v>
      </c>
      <c r="AP55" s="110">
        <v>43</v>
      </c>
      <c r="AQ55" s="110">
        <v>27877</v>
      </c>
      <c r="AR55" s="110">
        <v>16735</v>
      </c>
      <c r="AS55" s="110">
        <v>16715</v>
      </c>
      <c r="AT55" s="110">
        <v>20</v>
      </c>
      <c r="AU55" s="110">
        <v>11142</v>
      </c>
      <c r="AV55" s="110">
        <v>10487</v>
      </c>
      <c r="AW55" s="110">
        <v>655</v>
      </c>
      <c r="AX55" s="110">
        <v>724043</v>
      </c>
      <c r="AY55" s="110">
        <v>531872</v>
      </c>
      <c r="AZ55" s="110">
        <v>531532</v>
      </c>
      <c r="BA55" s="110">
        <v>340</v>
      </c>
      <c r="BB55" s="110">
        <v>192171</v>
      </c>
      <c r="BC55" s="110">
        <v>191241</v>
      </c>
      <c r="BD55" s="110">
        <v>930</v>
      </c>
      <c r="BE55" s="110">
        <v>0</v>
      </c>
      <c r="BF55" s="110">
        <v>0</v>
      </c>
      <c r="BG55" s="110">
        <v>0</v>
      </c>
      <c r="BH55" s="110">
        <v>0</v>
      </c>
      <c r="BI55" s="110">
        <v>0</v>
      </c>
      <c r="BJ55" s="110">
        <v>0</v>
      </c>
      <c r="BK55" s="110">
        <v>0</v>
      </c>
      <c r="BL55" s="110">
        <v>0</v>
      </c>
      <c r="BM55" s="110">
        <v>0</v>
      </c>
      <c r="BN55" s="110">
        <v>0</v>
      </c>
      <c r="BO55" s="110">
        <v>0</v>
      </c>
      <c r="BP55" s="110">
        <v>0</v>
      </c>
      <c r="BQ55" s="110">
        <v>0</v>
      </c>
      <c r="BR55" s="110">
        <v>0</v>
      </c>
      <c r="BS55" s="110">
        <v>0</v>
      </c>
      <c r="BT55" s="110">
        <v>0</v>
      </c>
      <c r="BU55" s="110">
        <v>0</v>
      </c>
      <c r="BV55" s="110">
        <v>0</v>
      </c>
      <c r="BW55" s="110">
        <v>0</v>
      </c>
      <c r="BX55" s="110">
        <v>0</v>
      </c>
      <c r="BY55" s="110">
        <v>0</v>
      </c>
      <c r="BZ55" s="110">
        <v>0</v>
      </c>
      <c r="CA55" s="110">
        <v>0</v>
      </c>
      <c r="CB55" s="110">
        <v>0</v>
      </c>
      <c r="CC55" s="110">
        <v>0</v>
      </c>
      <c r="CD55" s="110">
        <v>0</v>
      </c>
      <c r="CE55" s="110">
        <v>0</v>
      </c>
      <c r="CF55" s="110">
        <v>0</v>
      </c>
      <c r="CG55" s="110">
        <v>0</v>
      </c>
      <c r="CH55" s="110">
        <v>0</v>
      </c>
      <c r="CI55" s="110">
        <v>0</v>
      </c>
      <c r="CJ55" s="110">
        <v>0</v>
      </c>
      <c r="CK55" s="110">
        <v>0</v>
      </c>
      <c r="CL55" s="110">
        <v>0</v>
      </c>
      <c r="CM55" s="110">
        <v>0</v>
      </c>
      <c r="CN55" s="110">
        <v>0</v>
      </c>
      <c r="CO55" s="110">
        <v>167311.69</v>
      </c>
      <c r="CP55" s="110">
        <v>718793.5</v>
      </c>
      <c r="CQ55" s="110">
        <v>0</v>
      </c>
      <c r="CR55" s="110">
        <v>0</v>
      </c>
      <c r="CS55" s="110">
        <v>0</v>
      </c>
      <c r="CT55" s="110">
        <v>0</v>
      </c>
      <c r="CU55" s="110">
        <v>0</v>
      </c>
      <c r="CV55" s="111">
        <v>196</v>
      </c>
      <c r="CW55" s="111">
        <v>125</v>
      </c>
      <c r="CX55" s="111">
        <v>118</v>
      </c>
      <c r="CY55" s="111">
        <v>7</v>
      </c>
      <c r="CZ55" s="111">
        <v>71</v>
      </c>
      <c r="DA55" s="111">
        <v>52</v>
      </c>
      <c r="DB55" s="111">
        <v>19</v>
      </c>
      <c r="DC55" s="111">
        <v>34</v>
      </c>
      <c r="DD55" s="111">
        <v>0</v>
      </c>
      <c r="DE55" s="111">
        <v>25</v>
      </c>
      <c r="DF55" s="111">
        <v>25</v>
      </c>
      <c r="DG55" s="111">
        <v>0</v>
      </c>
      <c r="DH55" s="111">
        <v>9</v>
      </c>
      <c r="DI55" s="111">
        <v>9</v>
      </c>
      <c r="DJ55" s="111">
        <v>0</v>
      </c>
      <c r="DK55" s="111">
        <v>162</v>
      </c>
      <c r="DL55" s="111">
        <v>100</v>
      </c>
      <c r="DM55" s="111">
        <v>93</v>
      </c>
      <c r="DN55" s="111">
        <v>7</v>
      </c>
      <c r="DO55" s="111">
        <v>62</v>
      </c>
      <c r="DP55" s="111">
        <v>43</v>
      </c>
      <c r="DQ55" s="111">
        <v>19</v>
      </c>
      <c r="DR55" s="111">
        <v>0</v>
      </c>
      <c r="DS55" s="111">
        <v>0</v>
      </c>
      <c r="DT55" s="111">
        <v>0</v>
      </c>
      <c r="DU55" s="111">
        <v>0</v>
      </c>
      <c r="DV55" s="111">
        <v>0</v>
      </c>
      <c r="DW55" s="111">
        <v>0</v>
      </c>
      <c r="DX55" s="111">
        <v>0</v>
      </c>
      <c r="DY55" s="111">
        <v>0</v>
      </c>
      <c r="DZ55" s="111">
        <v>0</v>
      </c>
      <c r="EA55" s="111">
        <v>0</v>
      </c>
      <c r="EB55" s="111">
        <v>0</v>
      </c>
      <c r="EC55" s="111">
        <v>0</v>
      </c>
      <c r="ED55" s="111">
        <v>0</v>
      </c>
      <c r="EE55" s="111">
        <v>0</v>
      </c>
      <c r="EF55" s="111">
        <v>0</v>
      </c>
      <c r="EG55" s="111">
        <v>0</v>
      </c>
      <c r="EH55" s="111">
        <v>0</v>
      </c>
      <c r="EI55" s="111">
        <v>0</v>
      </c>
      <c r="EJ55" s="111">
        <v>0</v>
      </c>
      <c r="EK55" s="111">
        <v>0</v>
      </c>
      <c r="EL55" s="111">
        <v>0</v>
      </c>
      <c r="EM55" s="111">
        <v>0</v>
      </c>
      <c r="EN55" s="111">
        <v>0</v>
      </c>
      <c r="EO55" s="111">
        <v>0</v>
      </c>
      <c r="EP55" s="111">
        <v>0</v>
      </c>
      <c r="EQ55" s="111">
        <v>0</v>
      </c>
      <c r="ER55" s="111">
        <v>0</v>
      </c>
      <c r="ES55" s="111">
        <v>0</v>
      </c>
      <c r="ET55" s="111">
        <v>0</v>
      </c>
      <c r="EU55" s="111">
        <v>0</v>
      </c>
      <c r="EV55" s="111">
        <v>0</v>
      </c>
      <c r="EW55" s="111">
        <v>0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</row>
    <row r="56" spans="1:158" ht="19.5" customHeight="1">
      <c r="A56" s="107">
        <v>53</v>
      </c>
      <c r="B56" s="107" t="s">
        <v>401</v>
      </c>
      <c r="C56" s="107" t="s">
        <v>416</v>
      </c>
      <c r="D56" s="110">
        <v>123621</v>
      </c>
      <c r="E56" s="110">
        <v>123621</v>
      </c>
      <c r="F56" s="110">
        <v>0</v>
      </c>
      <c r="G56" s="110">
        <v>85</v>
      </c>
      <c r="H56" s="110">
        <v>0</v>
      </c>
      <c r="I56" s="110">
        <v>0</v>
      </c>
      <c r="J56" s="110">
        <v>0</v>
      </c>
      <c r="K56" s="110">
        <v>0</v>
      </c>
      <c r="L56" s="110">
        <v>0</v>
      </c>
      <c r="M56" s="110">
        <v>0</v>
      </c>
      <c r="N56" s="110">
        <v>0</v>
      </c>
      <c r="O56" s="110">
        <v>123621</v>
      </c>
      <c r="P56" s="110">
        <v>97736</v>
      </c>
      <c r="Q56" s="110">
        <v>92356</v>
      </c>
      <c r="R56" s="110">
        <v>5380</v>
      </c>
      <c r="S56" s="110">
        <v>25885</v>
      </c>
      <c r="T56" s="110">
        <v>22040</v>
      </c>
      <c r="U56" s="110">
        <v>3845</v>
      </c>
      <c r="V56" s="110">
        <v>123621</v>
      </c>
      <c r="W56" s="110">
        <v>97736</v>
      </c>
      <c r="X56" s="110">
        <v>92356</v>
      </c>
      <c r="Y56" s="110">
        <v>5380</v>
      </c>
      <c r="Z56" s="110">
        <v>25885</v>
      </c>
      <c r="AA56" s="110">
        <v>22040</v>
      </c>
      <c r="AB56" s="110">
        <v>3845</v>
      </c>
      <c r="AC56" s="110">
        <v>0</v>
      </c>
      <c r="AD56" s="110">
        <v>0</v>
      </c>
      <c r="AE56" s="110">
        <v>0</v>
      </c>
      <c r="AF56" s="110">
        <v>0</v>
      </c>
      <c r="AG56" s="110">
        <v>0</v>
      </c>
      <c r="AH56" s="110">
        <v>0</v>
      </c>
      <c r="AI56" s="110">
        <v>0</v>
      </c>
      <c r="AJ56" s="110">
        <v>0</v>
      </c>
      <c r="AK56" s="110">
        <v>0</v>
      </c>
      <c r="AL56" s="110">
        <v>0</v>
      </c>
      <c r="AM56" s="110">
        <v>0</v>
      </c>
      <c r="AN56" s="110">
        <v>0</v>
      </c>
      <c r="AO56" s="110">
        <v>0</v>
      </c>
      <c r="AP56" s="110">
        <v>0</v>
      </c>
      <c r="AQ56" s="110">
        <v>123365</v>
      </c>
      <c r="AR56" s="110">
        <v>97480</v>
      </c>
      <c r="AS56" s="110">
        <v>92100</v>
      </c>
      <c r="AT56" s="110">
        <v>5380</v>
      </c>
      <c r="AU56" s="110">
        <v>25885</v>
      </c>
      <c r="AV56" s="110">
        <v>22040</v>
      </c>
      <c r="AW56" s="110">
        <v>3845</v>
      </c>
      <c r="AX56" s="110">
        <v>256</v>
      </c>
      <c r="AY56" s="110">
        <v>256</v>
      </c>
      <c r="AZ56" s="110">
        <v>256</v>
      </c>
      <c r="BA56" s="110">
        <v>0</v>
      </c>
      <c r="BB56" s="110">
        <v>0</v>
      </c>
      <c r="BC56" s="110">
        <v>0</v>
      </c>
      <c r="BD56" s="110">
        <v>0</v>
      </c>
      <c r="BE56" s="110">
        <v>0</v>
      </c>
      <c r="BF56" s="110">
        <v>0</v>
      </c>
      <c r="BG56" s="110">
        <v>0</v>
      </c>
      <c r="BH56" s="110">
        <v>0</v>
      </c>
      <c r="BI56" s="110">
        <v>0</v>
      </c>
      <c r="BJ56" s="110">
        <v>0</v>
      </c>
      <c r="BK56" s="110">
        <v>0</v>
      </c>
      <c r="BL56" s="110">
        <v>0</v>
      </c>
      <c r="BM56" s="110">
        <v>0</v>
      </c>
      <c r="BN56" s="110">
        <v>0</v>
      </c>
      <c r="BO56" s="110">
        <v>0</v>
      </c>
      <c r="BP56" s="110">
        <v>0</v>
      </c>
      <c r="BQ56" s="110">
        <v>0</v>
      </c>
      <c r="BR56" s="110">
        <v>0</v>
      </c>
      <c r="BS56" s="110">
        <v>0</v>
      </c>
      <c r="BT56" s="110">
        <v>0</v>
      </c>
      <c r="BU56" s="110">
        <v>0</v>
      </c>
      <c r="BV56" s="110">
        <v>0</v>
      </c>
      <c r="BW56" s="110">
        <v>0</v>
      </c>
      <c r="BX56" s="110">
        <v>0</v>
      </c>
      <c r="BY56" s="110">
        <v>0</v>
      </c>
      <c r="BZ56" s="110">
        <v>0</v>
      </c>
      <c r="CA56" s="110">
        <v>0</v>
      </c>
      <c r="CB56" s="110">
        <v>0</v>
      </c>
      <c r="CC56" s="110">
        <v>0</v>
      </c>
      <c r="CD56" s="110">
        <v>0</v>
      </c>
      <c r="CE56" s="110">
        <v>0</v>
      </c>
      <c r="CF56" s="110">
        <v>0</v>
      </c>
      <c r="CG56" s="110">
        <v>0</v>
      </c>
      <c r="CH56" s="110">
        <v>0</v>
      </c>
      <c r="CI56" s="110">
        <v>0</v>
      </c>
      <c r="CJ56" s="110">
        <v>0</v>
      </c>
      <c r="CK56" s="110">
        <v>0</v>
      </c>
      <c r="CL56" s="110">
        <v>0</v>
      </c>
      <c r="CM56" s="110">
        <v>0</v>
      </c>
      <c r="CN56" s="110">
        <v>0</v>
      </c>
      <c r="CO56" s="110">
        <v>0</v>
      </c>
      <c r="CP56" s="110">
        <v>0</v>
      </c>
      <c r="CQ56" s="110">
        <v>121365</v>
      </c>
      <c r="CR56" s="110">
        <v>2256</v>
      </c>
      <c r="CS56" s="110">
        <v>0</v>
      </c>
      <c r="CT56" s="110">
        <v>0</v>
      </c>
      <c r="CU56" s="110">
        <v>0</v>
      </c>
      <c r="CV56" s="111">
        <v>85</v>
      </c>
      <c r="CW56" s="111">
        <v>67</v>
      </c>
      <c r="CX56" s="111">
        <v>59</v>
      </c>
      <c r="CY56" s="111">
        <v>8</v>
      </c>
      <c r="CZ56" s="111">
        <v>18</v>
      </c>
      <c r="DA56" s="111">
        <v>14</v>
      </c>
      <c r="DB56" s="111">
        <v>4</v>
      </c>
      <c r="DC56" s="111">
        <v>84</v>
      </c>
      <c r="DD56" s="111">
        <v>0</v>
      </c>
      <c r="DE56" s="111">
        <v>66</v>
      </c>
      <c r="DF56" s="111">
        <v>58</v>
      </c>
      <c r="DG56" s="111">
        <v>8</v>
      </c>
      <c r="DH56" s="111">
        <v>18</v>
      </c>
      <c r="DI56" s="111">
        <v>14</v>
      </c>
      <c r="DJ56" s="111">
        <v>4</v>
      </c>
      <c r="DK56" s="111">
        <v>0</v>
      </c>
      <c r="DL56" s="111">
        <v>0</v>
      </c>
      <c r="DM56" s="111">
        <v>0</v>
      </c>
      <c r="DN56" s="111">
        <v>0</v>
      </c>
      <c r="DO56" s="111">
        <v>0</v>
      </c>
      <c r="DP56" s="111">
        <v>0</v>
      </c>
      <c r="DQ56" s="111">
        <v>0</v>
      </c>
      <c r="DR56" s="111">
        <v>1</v>
      </c>
      <c r="DS56" s="111">
        <v>0</v>
      </c>
      <c r="DT56" s="111">
        <v>1</v>
      </c>
      <c r="DU56" s="111">
        <v>1</v>
      </c>
      <c r="DV56" s="111">
        <v>0</v>
      </c>
      <c r="DW56" s="111">
        <v>0</v>
      </c>
      <c r="DX56" s="111">
        <v>0</v>
      </c>
      <c r="DY56" s="111">
        <v>0</v>
      </c>
      <c r="DZ56" s="111">
        <v>0</v>
      </c>
      <c r="EA56" s="111">
        <v>0</v>
      </c>
      <c r="EB56" s="111">
        <v>0</v>
      </c>
      <c r="EC56" s="111">
        <v>0</v>
      </c>
      <c r="ED56" s="111">
        <v>0</v>
      </c>
      <c r="EE56" s="111">
        <v>0</v>
      </c>
      <c r="EF56" s="111">
        <v>0</v>
      </c>
      <c r="EG56" s="111">
        <v>0</v>
      </c>
      <c r="EH56" s="111">
        <v>0</v>
      </c>
      <c r="EI56" s="111">
        <v>0</v>
      </c>
      <c r="EJ56" s="111">
        <v>0</v>
      </c>
      <c r="EK56" s="111">
        <v>0</v>
      </c>
      <c r="EL56" s="111">
        <v>0</v>
      </c>
      <c r="EM56" s="111">
        <v>0</v>
      </c>
      <c r="EN56" s="111">
        <v>0</v>
      </c>
      <c r="EO56" s="111">
        <v>0</v>
      </c>
      <c r="EP56" s="111">
        <v>0</v>
      </c>
      <c r="EQ56" s="111">
        <v>0</v>
      </c>
      <c r="ER56" s="111">
        <v>0</v>
      </c>
      <c r="ES56" s="111">
        <v>0</v>
      </c>
      <c r="ET56" s="111">
        <v>0</v>
      </c>
      <c r="EU56" s="111">
        <v>0</v>
      </c>
      <c r="EV56" s="111">
        <v>0</v>
      </c>
      <c r="EW56" s="111">
        <v>0</v>
      </c>
      <c r="EX56" s="111">
        <v>0</v>
      </c>
      <c r="EY56" s="111">
        <v>0</v>
      </c>
      <c r="EZ56" s="111">
        <v>0</v>
      </c>
      <c r="FA56" s="111">
        <v>0</v>
      </c>
      <c r="FB56" s="111">
        <v>0</v>
      </c>
    </row>
    <row r="57" spans="1:158" ht="19.5" customHeight="1">
      <c r="A57" s="107">
        <v>54</v>
      </c>
      <c r="B57" s="107" t="s">
        <v>401</v>
      </c>
      <c r="C57" s="107" t="s">
        <v>417</v>
      </c>
      <c r="D57" s="110">
        <v>73966</v>
      </c>
      <c r="E57" s="110">
        <v>73966</v>
      </c>
      <c r="F57" s="110">
        <v>0</v>
      </c>
      <c r="G57" s="110">
        <v>1435</v>
      </c>
      <c r="H57" s="110">
        <v>0</v>
      </c>
      <c r="I57" s="110">
        <v>6</v>
      </c>
      <c r="J57" s="110">
        <v>0</v>
      </c>
      <c r="K57" s="110">
        <v>0</v>
      </c>
      <c r="L57" s="110">
        <v>0</v>
      </c>
      <c r="M57" s="110">
        <v>0</v>
      </c>
      <c r="N57" s="110">
        <v>0</v>
      </c>
      <c r="O57" s="110">
        <v>73966</v>
      </c>
      <c r="P57" s="110">
        <v>59726</v>
      </c>
      <c r="Q57" s="110">
        <v>41780</v>
      </c>
      <c r="R57" s="110">
        <v>17946</v>
      </c>
      <c r="S57" s="110">
        <v>14240</v>
      </c>
      <c r="T57" s="110">
        <v>7000</v>
      </c>
      <c r="U57" s="110">
        <v>7240</v>
      </c>
      <c r="V57" s="110">
        <v>73966</v>
      </c>
      <c r="W57" s="110">
        <v>59726</v>
      </c>
      <c r="X57" s="110">
        <v>41780</v>
      </c>
      <c r="Y57" s="110">
        <v>17946</v>
      </c>
      <c r="Z57" s="110">
        <v>14240</v>
      </c>
      <c r="AA57" s="110">
        <v>7000</v>
      </c>
      <c r="AB57" s="110">
        <v>7240</v>
      </c>
      <c r="AC57" s="110">
        <v>0</v>
      </c>
      <c r="AD57" s="110">
        <v>0</v>
      </c>
      <c r="AE57" s="110">
        <v>0</v>
      </c>
      <c r="AF57" s="110">
        <v>0</v>
      </c>
      <c r="AG57" s="110">
        <v>0</v>
      </c>
      <c r="AH57" s="110">
        <v>0</v>
      </c>
      <c r="AI57" s="110">
        <v>0</v>
      </c>
      <c r="AJ57" s="110">
        <v>0</v>
      </c>
      <c r="AK57" s="110">
        <v>0</v>
      </c>
      <c r="AL57" s="110">
        <v>0</v>
      </c>
      <c r="AM57" s="110">
        <v>0</v>
      </c>
      <c r="AN57" s="110">
        <v>0</v>
      </c>
      <c r="AO57" s="110">
        <v>0</v>
      </c>
      <c r="AP57" s="110">
        <v>0</v>
      </c>
      <c r="AQ57" s="110">
        <v>73960</v>
      </c>
      <c r="AR57" s="110">
        <v>59720</v>
      </c>
      <c r="AS57" s="110">
        <v>41780</v>
      </c>
      <c r="AT57" s="110">
        <v>17940</v>
      </c>
      <c r="AU57" s="110">
        <v>14240</v>
      </c>
      <c r="AV57" s="110">
        <v>7000</v>
      </c>
      <c r="AW57" s="110">
        <v>7240</v>
      </c>
      <c r="AX57" s="110">
        <v>6</v>
      </c>
      <c r="AY57" s="110">
        <v>6</v>
      </c>
      <c r="AZ57" s="110">
        <v>0</v>
      </c>
      <c r="BA57" s="110">
        <v>6</v>
      </c>
      <c r="BB57" s="110">
        <v>0</v>
      </c>
      <c r="BC57" s="110">
        <v>0</v>
      </c>
      <c r="BD57" s="110">
        <v>0</v>
      </c>
      <c r="BE57" s="110">
        <v>0</v>
      </c>
      <c r="BF57" s="110">
        <v>0</v>
      </c>
      <c r="BG57" s="110">
        <v>0</v>
      </c>
      <c r="BH57" s="110">
        <v>0</v>
      </c>
      <c r="BI57" s="110">
        <v>0</v>
      </c>
      <c r="BJ57" s="110">
        <v>0</v>
      </c>
      <c r="BK57" s="110">
        <v>0</v>
      </c>
      <c r="BL57" s="110">
        <v>0</v>
      </c>
      <c r="BM57" s="110">
        <v>0</v>
      </c>
      <c r="BN57" s="110">
        <v>0</v>
      </c>
      <c r="BO57" s="110">
        <v>0</v>
      </c>
      <c r="BP57" s="110">
        <v>0</v>
      </c>
      <c r="BQ57" s="110">
        <v>0</v>
      </c>
      <c r="BR57" s="110">
        <v>0</v>
      </c>
      <c r="BS57" s="110">
        <v>0</v>
      </c>
      <c r="BT57" s="110">
        <v>0</v>
      </c>
      <c r="BU57" s="110">
        <v>0</v>
      </c>
      <c r="BV57" s="110">
        <v>0</v>
      </c>
      <c r="BW57" s="110">
        <v>0</v>
      </c>
      <c r="BX57" s="110">
        <v>0</v>
      </c>
      <c r="BY57" s="110">
        <v>0</v>
      </c>
      <c r="BZ57" s="110">
        <v>0</v>
      </c>
      <c r="CA57" s="110">
        <v>0</v>
      </c>
      <c r="CB57" s="110">
        <v>0</v>
      </c>
      <c r="CC57" s="110">
        <v>0</v>
      </c>
      <c r="CD57" s="110">
        <v>0</v>
      </c>
      <c r="CE57" s="110">
        <v>0</v>
      </c>
      <c r="CF57" s="110">
        <v>0</v>
      </c>
      <c r="CG57" s="110">
        <v>0</v>
      </c>
      <c r="CH57" s="110">
        <v>0</v>
      </c>
      <c r="CI57" s="110">
        <v>0</v>
      </c>
      <c r="CJ57" s="110">
        <v>0</v>
      </c>
      <c r="CK57" s="110">
        <v>0</v>
      </c>
      <c r="CL57" s="110">
        <v>0</v>
      </c>
      <c r="CM57" s="110">
        <v>0</v>
      </c>
      <c r="CN57" s="110">
        <v>0</v>
      </c>
      <c r="CO57" s="110">
        <v>0</v>
      </c>
      <c r="CP57" s="110">
        <v>0</v>
      </c>
      <c r="CQ57" s="110">
        <v>73966</v>
      </c>
      <c r="CR57" s="110">
        <v>0</v>
      </c>
      <c r="CS57" s="110">
        <v>0</v>
      </c>
      <c r="CT57" s="110">
        <v>0</v>
      </c>
      <c r="CU57" s="110">
        <v>0</v>
      </c>
      <c r="CV57" s="111">
        <v>1435</v>
      </c>
      <c r="CW57" s="111">
        <v>1152</v>
      </c>
      <c r="CX57" s="111">
        <v>874</v>
      </c>
      <c r="CY57" s="111">
        <v>278</v>
      </c>
      <c r="CZ57" s="111">
        <v>283</v>
      </c>
      <c r="DA57" s="111">
        <v>143</v>
      </c>
      <c r="DB57" s="111">
        <v>140</v>
      </c>
      <c r="DC57" s="111">
        <v>1435</v>
      </c>
      <c r="DD57" s="111">
        <v>0</v>
      </c>
      <c r="DE57" s="111">
        <v>1152</v>
      </c>
      <c r="DF57" s="111">
        <v>874</v>
      </c>
      <c r="DG57" s="111">
        <v>278</v>
      </c>
      <c r="DH57" s="111">
        <v>283</v>
      </c>
      <c r="DI57" s="111">
        <v>143</v>
      </c>
      <c r="DJ57" s="111">
        <v>140</v>
      </c>
      <c r="DK57" s="111">
        <v>0</v>
      </c>
      <c r="DL57" s="111">
        <v>0</v>
      </c>
      <c r="DM57" s="111">
        <v>0</v>
      </c>
      <c r="DN57" s="111">
        <v>0</v>
      </c>
      <c r="DO57" s="111">
        <v>0</v>
      </c>
      <c r="DP57" s="111">
        <v>0</v>
      </c>
      <c r="DQ57" s="111">
        <v>0</v>
      </c>
      <c r="DR57" s="111">
        <v>0</v>
      </c>
      <c r="DS57" s="111">
        <v>0</v>
      </c>
      <c r="DT57" s="111">
        <v>0</v>
      </c>
      <c r="DU57" s="111">
        <v>0</v>
      </c>
      <c r="DV57" s="111">
        <v>0</v>
      </c>
      <c r="DW57" s="111">
        <v>0</v>
      </c>
      <c r="DX57" s="111">
        <v>0</v>
      </c>
      <c r="DY57" s="111">
        <v>0</v>
      </c>
      <c r="DZ57" s="111">
        <v>0</v>
      </c>
      <c r="EA57" s="111">
        <v>0</v>
      </c>
      <c r="EB57" s="111">
        <v>0</v>
      </c>
      <c r="EC57" s="111">
        <v>0</v>
      </c>
      <c r="ED57" s="111">
        <v>0</v>
      </c>
      <c r="EE57" s="111">
        <v>0</v>
      </c>
      <c r="EF57" s="111">
        <v>0</v>
      </c>
      <c r="EG57" s="111">
        <v>0</v>
      </c>
      <c r="EH57" s="111">
        <v>0</v>
      </c>
      <c r="EI57" s="111">
        <v>0</v>
      </c>
      <c r="EJ57" s="111">
        <v>0</v>
      </c>
      <c r="EK57" s="111">
        <v>0</v>
      </c>
      <c r="EL57" s="111">
        <v>0</v>
      </c>
      <c r="EM57" s="111">
        <v>0</v>
      </c>
      <c r="EN57" s="111">
        <v>0</v>
      </c>
      <c r="EO57" s="111">
        <v>0</v>
      </c>
      <c r="EP57" s="111">
        <v>0</v>
      </c>
      <c r="EQ57" s="111">
        <v>0</v>
      </c>
      <c r="ER57" s="111">
        <v>0</v>
      </c>
      <c r="ES57" s="111">
        <v>0</v>
      </c>
      <c r="ET57" s="111">
        <v>0</v>
      </c>
      <c r="EU57" s="111">
        <v>0</v>
      </c>
      <c r="EV57" s="111">
        <v>0</v>
      </c>
      <c r="EW57" s="111">
        <v>0</v>
      </c>
      <c r="EX57" s="111">
        <v>0</v>
      </c>
      <c r="EY57" s="111">
        <v>0</v>
      </c>
      <c r="EZ57" s="111">
        <v>0</v>
      </c>
      <c r="FA57" s="111">
        <v>0</v>
      </c>
      <c r="FB57" s="111">
        <v>0</v>
      </c>
    </row>
    <row r="58" spans="1:158" ht="19.5" customHeight="1">
      <c r="A58" s="107">
        <v>55</v>
      </c>
      <c r="B58" s="107" t="s">
        <v>401</v>
      </c>
      <c r="C58" s="107" t="s">
        <v>418</v>
      </c>
      <c r="D58" s="110">
        <v>20011</v>
      </c>
      <c r="E58" s="110">
        <v>20011</v>
      </c>
      <c r="F58" s="110">
        <v>0</v>
      </c>
      <c r="G58" s="110">
        <v>51</v>
      </c>
      <c r="H58" s="110">
        <v>0</v>
      </c>
      <c r="I58" s="110">
        <v>0</v>
      </c>
      <c r="J58" s="110">
        <v>3076</v>
      </c>
      <c r="K58" s="110">
        <v>0</v>
      </c>
      <c r="L58" s="110">
        <v>0</v>
      </c>
      <c r="M58" s="110">
        <v>0</v>
      </c>
      <c r="N58" s="110">
        <v>0</v>
      </c>
      <c r="O58" s="110">
        <v>26363.77</v>
      </c>
      <c r="P58" s="110">
        <v>23582.240000000002</v>
      </c>
      <c r="Q58" s="110">
        <v>23582.240000000002</v>
      </c>
      <c r="R58" s="110">
        <v>0</v>
      </c>
      <c r="S58" s="110">
        <v>2781.53</v>
      </c>
      <c r="T58" s="110">
        <v>2651.53</v>
      </c>
      <c r="U58" s="110">
        <v>130</v>
      </c>
      <c r="V58" s="110">
        <v>26363.77</v>
      </c>
      <c r="W58" s="110">
        <v>23582.240000000002</v>
      </c>
      <c r="X58" s="110">
        <v>23582.240000000002</v>
      </c>
      <c r="Y58" s="110">
        <v>0</v>
      </c>
      <c r="Z58" s="110">
        <v>2781.53</v>
      </c>
      <c r="AA58" s="110">
        <v>2651.53</v>
      </c>
      <c r="AB58" s="110">
        <v>130</v>
      </c>
      <c r="AC58" s="110">
        <v>4612.7700000000004</v>
      </c>
      <c r="AD58" s="110">
        <v>4100.24</v>
      </c>
      <c r="AE58" s="110">
        <v>4100.24</v>
      </c>
      <c r="AF58" s="110">
        <v>0</v>
      </c>
      <c r="AG58" s="110">
        <v>512.53</v>
      </c>
      <c r="AH58" s="110">
        <v>512.53</v>
      </c>
      <c r="AI58" s="110">
        <v>0</v>
      </c>
      <c r="AJ58" s="110">
        <v>1740</v>
      </c>
      <c r="AK58" s="110">
        <v>1550</v>
      </c>
      <c r="AL58" s="110">
        <v>1550</v>
      </c>
      <c r="AM58" s="110">
        <v>0</v>
      </c>
      <c r="AN58" s="110">
        <v>190</v>
      </c>
      <c r="AO58" s="110">
        <v>190</v>
      </c>
      <c r="AP58" s="110">
        <v>0</v>
      </c>
      <c r="AQ58" s="110">
        <v>14985</v>
      </c>
      <c r="AR58" s="110">
        <v>13560</v>
      </c>
      <c r="AS58" s="110">
        <v>13560</v>
      </c>
      <c r="AT58" s="110">
        <v>0</v>
      </c>
      <c r="AU58" s="110">
        <v>1425</v>
      </c>
      <c r="AV58" s="110">
        <v>1335</v>
      </c>
      <c r="AW58" s="110">
        <v>90</v>
      </c>
      <c r="AX58" s="110">
        <v>5026</v>
      </c>
      <c r="AY58" s="110">
        <v>4372</v>
      </c>
      <c r="AZ58" s="110">
        <v>4372</v>
      </c>
      <c r="BA58" s="110">
        <v>0</v>
      </c>
      <c r="BB58" s="110">
        <v>654</v>
      </c>
      <c r="BC58" s="110">
        <v>614</v>
      </c>
      <c r="BD58" s="110">
        <v>40</v>
      </c>
      <c r="BE58" s="110">
        <v>0</v>
      </c>
      <c r="BF58" s="110">
        <v>0</v>
      </c>
      <c r="BG58" s="110">
        <v>0</v>
      </c>
      <c r="BH58" s="110">
        <v>0</v>
      </c>
      <c r="BI58" s="110">
        <v>0</v>
      </c>
      <c r="BJ58" s="110">
        <v>0</v>
      </c>
      <c r="BK58" s="110">
        <v>0</v>
      </c>
      <c r="BL58" s="110">
        <v>0</v>
      </c>
      <c r="BM58" s="110">
        <v>0</v>
      </c>
      <c r="BN58" s="110">
        <v>0</v>
      </c>
      <c r="BO58" s="110">
        <v>0</v>
      </c>
      <c r="BP58" s="110">
        <v>0</v>
      </c>
      <c r="BQ58" s="110">
        <v>0</v>
      </c>
      <c r="BR58" s="110">
        <v>0</v>
      </c>
      <c r="BS58" s="110">
        <v>0</v>
      </c>
      <c r="BT58" s="110">
        <v>0</v>
      </c>
      <c r="BU58" s="110">
        <v>0</v>
      </c>
      <c r="BV58" s="110">
        <v>0</v>
      </c>
      <c r="BW58" s="110">
        <v>0</v>
      </c>
      <c r="BX58" s="110">
        <v>0</v>
      </c>
      <c r="BY58" s="110">
        <v>0</v>
      </c>
      <c r="BZ58" s="110">
        <v>0</v>
      </c>
      <c r="CA58" s="110">
        <v>0</v>
      </c>
      <c r="CB58" s="110">
        <v>0</v>
      </c>
      <c r="CC58" s="110">
        <v>0</v>
      </c>
      <c r="CD58" s="110">
        <v>0</v>
      </c>
      <c r="CE58" s="110">
        <v>0</v>
      </c>
      <c r="CF58" s="110">
        <v>0</v>
      </c>
      <c r="CG58" s="110">
        <v>0</v>
      </c>
      <c r="CH58" s="110">
        <v>0</v>
      </c>
      <c r="CI58" s="110">
        <v>0</v>
      </c>
      <c r="CJ58" s="110">
        <v>0</v>
      </c>
      <c r="CK58" s="110">
        <v>0</v>
      </c>
      <c r="CL58" s="110">
        <v>0</v>
      </c>
      <c r="CM58" s="110">
        <v>0</v>
      </c>
      <c r="CN58" s="110">
        <v>0</v>
      </c>
      <c r="CO58" s="110">
        <v>0</v>
      </c>
      <c r="CP58" s="110">
        <v>19863.18</v>
      </c>
      <c r="CQ58" s="110">
        <v>6500.59</v>
      </c>
      <c r="CR58" s="110">
        <v>0</v>
      </c>
      <c r="CS58" s="110">
        <v>0</v>
      </c>
      <c r="CT58" s="110">
        <v>0</v>
      </c>
      <c r="CU58" s="110">
        <v>0</v>
      </c>
      <c r="CV58" s="111">
        <v>51</v>
      </c>
      <c r="CW58" s="111">
        <v>49</v>
      </c>
      <c r="CX58" s="111">
        <v>49</v>
      </c>
      <c r="CY58" s="111">
        <v>0</v>
      </c>
      <c r="CZ58" s="111">
        <v>2</v>
      </c>
      <c r="DA58" s="111">
        <v>1</v>
      </c>
      <c r="DB58" s="111">
        <v>1</v>
      </c>
      <c r="DC58" s="111">
        <v>6</v>
      </c>
      <c r="DD58" s="111">
        <v>0</v>
      </c>
      <c r="DE58" s="111">
        <v>6</v>
      </c>
      <c r="DF58" s="111">
        <v>6</v>
      </c>
      <c r="DG58" s="111">
        <v>0</v>
      </c>
      <c r="DH58" s="111">
        <v>0</v>
      </c>
      <c r="DI58" s="111">
        <v>0</v>
      </c>
      <c r="DJ58" s="111">
        <v>0</v>
      </c>
      <c r="DK58" s="111">
        <v>45</v>
      </c>
      <c r="DL58" s="111">
        <v>43</v>
      </c>
      <c r="DM58" s="111">
        <v>43</v>
      </c>
      <c r="DN58" s="111">
        <v>0</v>
      </c>
      <c r="DO58" s="111">
        <v>2</v>
      </c>
      <c r="DP58" s="111">
        <v>1</v>
      </c>
      <c r="DQ58" s="111">
        <v>1</v>
      </c>
      <c r="DR58" s="111">
        <v>0</v>
      </c>
      <c r="DS58" s="111">
        <v>0</v>
      </c>
      <c r="DT58" s="111">
        <v>0</v>
      </c>
      <c r="DU58" s="111">
        <v>0</v>
      </c>
      <c r="DV58" s="111">
        <v>0</v>
      </c>
      <c r="DW58" s="111">
        <v>0</v>
      </c>
      <c r="DX58" s="111">
        <v>0</v>
      </c>
      <c r="DY58" s="111">
        <v>0</v>
      </c>
      <c r="DZ58" s="111">
        <v>0</v>
      </c>
      <c r="EA58" s="111">
        <v>0</v>
      </c>
      <c r="EB58" s="111">
        <v>0</v>
      </c>
      <c r="EC58" s="111">
        <v>0</v>
      </c>
      <c r="ED58" s="111">
        <v>0</v>
      </c>
      <c r="EE58" s="111">
        <v>0</v>
      </c>
      <c r="EF58" s="111">
        <v>0</v>
      </c>
      <c r="EG58" s="111">
        <v>0</v>
      </c>
      <c r="EH58" s="111">
        <v>0</v>
      </c>
      <c r="EI58" s="111">
        <v>0</v>
      </c>
      <c r="EJ58" s="111">
        <v>0</v>
      </c>
      <c r="EK58" s="111">
        <v>0</v>
      </c>
      <c r="EL58" s="111">
        <v>0</v>
      </c>
      <c r="EM58" s="111">
        <v>0</v>
      </c>
      <c r="EN58" s="111">
        <v>15</v>
      </c>
      <c r="EO58" s="111">
        <v>0</v>
      </c>
      <c r="EP58" s="111">
        <v>0</v>
      </c>
      <c r="EQ58" s="111">
        <v>15</v>
      </c>
      <c r="ER58" s="111">
        <v>0</v>
      </c>
      <c r="ES58" s="111">
        <v>0</v>
      </c>
      <c r="ET58" s="111">
        <v>0</v>
      </c>
      <c r="EU58" s="111">
        <v>0</v>
      </c>
      <c r="EV58" s="111">
        <v>0</v>
      </c>
      <c r="EW58" s="111">
        <v>0</v>
      </c>
      <c r="EX58" s="111">
        <v>0</v>
      </c>
      <c r="EY58" s="111">
        <v>0</v>
      </c>
      <c r="EZ58" s="111">
        <v>0</v>
      </c>
      <c r="FA58" s="111">
        <v>0</v>
      </c>
      <c r="FB58" s="111">
        <v>0</v>
      </c>
    </row>
    <row r="59" spans="1:158" ht="19.5" customHeight="1">
      <c r="A59" s="107">
        <v>56</v>
      </c>
      <c r="B59" s="107"/>
      <c r="C59" s="107" t="s">
        <v>420</v>
      </c>
      <c r="D59" s="110">
        <v>0</v>
      </c>
      <c r="E59" s="110">
        <v>0</v>
      </c>
      <c r="F59" s="110">
        <v>0</v>
      </c>
      <c r="G59" s="110">
        <v>178</v>
      </c>
      <c r="H59" s="110">
        <v>74</v>
      </c>
      <c r="I59" s="110">
        <v>0</v>
      </c>
      <c r="J59" s="110">
        <v>0</v>
      </c>
      <c r="K59" s="110">
        <v>0</v>
      </c>
      <c r="L59" s="110">
        <v>0</v>
      </c>
      <c r="M59" s="110">
        <v>0</v>
      </c>
      <c r="N59" s="110">
        <v>0</v>
      </c>
      <c r="O59" s="110">
        <v>0</v>
      </c>
      <c r="P59" s="110">
        <v>0</v>
      </c>
      <c r="Q59" s="110">
        <v>0</v>
      </c>
      <c r="R59" s="110">
        <v>0</v>
      </c>
      <c r="S59" s="110">
        <v>0</v>
      </c>
      <c r="T59" s="110">
        <v>0</v>
      </c>
      <c r="U59" s="110">
        <v>0</v>
      </c>
      <c r="V59" s="110">
        <v>0</v>
      </c>
      <c r="W59" s="110">
        <v>0</v>
      </c>
      <c r="X59" s="110">
        <v>0</v>
      </c>
      <c r="Y59" s="110">
        <v>0</v>
      </c>
      <c r="Z59" s="110">
        <v>0</v>
      </c>
      <c r="AA59" s="110">
        <v>0</v>
      </c>
      <c r="AB59" s="110">
        <v>0</v>
      </c>
      <c r="AC59" s="110">
        <v>0</v>
      </c>
      <c r="AD59" s="110">
        <v>0</v>
      </c>
      <c r="AE59" s="110">
        <v>0</v>
      </c>
      <c r="AF59" s="110">
        <v>0</v>
      </c>
      <c r="AG59" s="110">
        <v>0</v>
      </c>
      <c r="AH59" s="110">
        <v>0</v>
      </c>
      <c r="AI59" s="110">
        <v>0</v>
      </c>
      <c r="AJ59" s="110">
        <v>0</v>
      </c>
      <c r="AK59" s="110">
        <v>0</v>
      </c>
      <c r="AL59" s="110">
        <v>0</v>
      </c>
      <c r="AM59" s="110">
        <v>0</v>
      </c>
      <c r="AN59" s="110">
        <v>0</v>
      </c>
      <c r="AO59" s="110">
        <v>0</v>
      </c>
      <c r="AP59" s="110">
        <v>0</v>
      </c>
      <c r="AQ59" s="110">
        <v>0</v>
      </c>
      <c r="AR59" s="110">
        <v>0</v>
      </c>
      <c r="AS59" s="110">
        <v>0</v>
      </c>
      <c r="AT59" s="110">
        <v>0</v>
      </c>
      <c r="AU59" s="110">
        <v>0</v>
      </c>
      <c r="AV59" s="110">
        <v>0</v>
      </c>
      <c r="AW59" s="110">
        <v>0</v>
      </c>
      <c r="AX59" s="110">
        <v>0</v>
      </c>
      <c r="AY59" s="110">
        <v>0</v>
      </c>
      <c r="AZ59" s="110">
        <v>0</v>
      </c>
      <c r="BA59" s="110">
        <v>0</v>
      </c>
      <c r="BB59" s="110">
        <v>0</v>
      </c>
      <c r="BC59" s="110">
        <v>0</v>
      </c>
      <c r="BD59" s="110">
        <v>0</v>
      </c>
      <c r="BE59" s="110">
        <v>0</v>
      </c>
      <c r="BF59" s="110">
        <v>0</v>
      </c>
      <c r="BG59" s="110">
        <v>0</v>
      </c>
      <c r="BH59" s="110">
        <v>0</v>
      </c>
      <c r="BI59" s="110">
        <v>0</v>
      </c>
      <c r="BJ59" s="110">
        <v>0</v>
      </c>
      <c r="BK59" s="110">
        <v>0</v>
      </c>
      <c r="BL59" s="110">
        <v>0</v>
      </c>
      <c r="BM59" s="110">
        <v>0</v>
      </c>
      <c r="BN59" s="110">
        <v>0</v>
      </c>
      <c r="BO59" s="110">
        <v>0</v>
      </c>
      <c r="BP59" s="110">
        <v>0</v>
      </c>
      <c r="BQ59" s="110">
        <v>0</v>
      </c>
      <c r="BR59" s="110">
        <v>0</v>
      </c>
      <c r="BS59" s="110">
        <v>0</v>
      </c>
      <c r="BT59" s="110">
        <v>0</v>
      </c>
      <c r="BU59" s="110">
        <v>0</v>
      </c>
      <c r="BV59" s="110">
        <v>0</v>
      </c>
      <c r="BW59" s="110">
        <v>0</v>
      </c>
      <c r="BX59" s="110">
        <v>0</v>
      </c>
      <c r="BY59" s="110">
        <v>0</v>
      </c>
      <c r="BZ59" s="110">
        <v>0</v>
      </c>
      <c r="CA59" s="110">
        <v>0</v>
      </c>
      <c r="CB59" s="110">
        <v>0</v>
      </c>
      <c r="CC59" s="110">
        <v>0</v>
      </c>
      <c r="CD59" s="110">
        <v>0</v>
      </c>
      <c r="CE59" s="110">
        <v>0</v>
      </c>
      <c r="CF59" s="110">
        <v>0</v>
      </c>
      <c r="CG59" s="110">
        <v>0</v>
      </c>
      <c r="CH59" s="110">
        <v>0</v>
      </c>
      <c r="CI59" s="110">
        <v>0</v>
      </c>
      <c r="CJ59" s="110">
        <v>0</v>
      </c>
      <c r="CK59" s="110">
        <v>0</v>
      </c>
      <c r="CL59" s="110">
        <v>0</v>
      </c>
      <c r="CM59" s="110">
        <v>0</v>
      </c>
      <c r="CN59" s="110">
        <v>0</v>
      </c>
      <c r="CO59" s="110">
        <v>0</v>
      </c>
      <c r="CP59" s="110">
        <v>0</v>
      </c>
      <c r="CQ59" s="110">
        <v>0</v>
      </c>
      <c r="CR59" s="110">
        <v>0</v>
      </c>
      <c r="CS59" s="110">
        <v>0</v>
      </c>
      <c r="CT59" s="110">
        <v>0</v>
      </c>
      <c r="CU59" s="110">
        <v>0</v>
      </c>
      <c r="CV59" s="111">
        <v>178</v>
      </c>
      <c r="CW59" s="111">
        <v>51</v>
      </c>
      <c r="CX59" s="111">
        <v>0</v>
      </c>
      <c r="CY59" s="111">
        <v>51</v>
      </c>
      <c r="CZ59" s="111">
        <v>127</v>
      </c>
      <c r="DA59" s="111">
        <v>0</v>
      </c>
      <c r="DB59" s="111">
        <v>127</v>
      </c>
      <c r="DC59" s="111">
        <v>178</v>
      </c>
      <c r="DD59" s="111">
        <v>0</v>
      </c>
      <c r="DE59" s="111">
        <v>51</v>
      </c>
      <c r="DF59" s="111">
        <v>0</v>
      </c>
      <c r="DG59" s="111">
        <v>51</v>
      </c>
      <c r="DH59" s="111">
        <v>127</v>
      </c>
      <c r="DI59" s="111">
        <v>0</v>
      </c>
      <c r="DJ59" s="111">
        <v>127</v>
      </c>
      <c r="DK59" s="111">
        <v>0</v>
      </c>
      <c r="DL59" s="111">
        <v>0</v>
      </c>
      <c r="DM59" s="111">
        <v>0</v>
      </c>
      <c r="DN59" s="111">
        <v>0</v>
      </c>
      <c r="DO59" s="111">
        <v>0</v>
      </c>
      <c r="DP59" s="111">
        <v>0</v>
      </c>
      <c r="DQ59" s="111">
        <v>0</v>
      </c>
      <c r="DR59" s="111">
        <v>0</v>
      </c>
      <c r="DS59" s="111">
        <v>0</v>
      </c>
      <c r="DT59" s="111">
        <v>0</v>
      </c>
      <c r="DU59" s="111">
        <v>0</v>
      </c>
      <c r="DV59" s="111">
        <v>0</v>
      </c>
      <c r="DW59" s="111">
        <v>0</v>
      </c>
      <c r="DX59" s="111">
        <v>0</v>
      </c>
      <c r="DY59" s="111">
        <v>0</v>
      </c>
      <c r="DZ59" s="111">
        <v>0</v>
      </c>
      <c r="EA59" s="111">
        <v>0</v>
      </c>
      <c r="EB59" s="111">
        <v>0</v>
      </c>
      <c r="EC59" s="111">
        <v>0</v>
      </c>
      <c r="ED59" s="111">
        <v>0</v>
      </c>
      <c r="EE59" s="111">
        <v>0</v>
      </c>
      <c r="EF59" s="111">
        <v>0</v>
      </c>
      <c r="EG59" s="111">
        <v>74</v>
      </c>
      <c r="EH59" s="111">
        <v>50</v>
      </c>
      <c r="EI59" s="111">
        <v>48</v>
      </c>
      <c r="EJ59" s="111">
        <v>2</v>
      </c>
      <c r="EK59" s="111">
        <v>24</v>
      </c>
      <c r="EL59" s="111">
        <v>23</v>
      </c>
      <c r="EM59" s="111">
        <v>1</v>
      </c>
      <c r="EN59" s="111">
        <v>0</v>
      </c>
      <c r="EO59" s="111">
        <v>0</v>
      </c>
      <c r="EP59" s="111">
        <v>0</v>
      </c>
      <c r="EQ59" s="111">
        <v>0</v>
      </c>
      <c r="ER59" s="111">
        <v>0</v>
      </c>
      <c r="ES59" s="111">
        <v>0</v>
      </c>
      <c r="ET59" s="111">
        <v>0</v>
      </c>
      <c r="EU59" s="111">
        <v>0</v>
      </c>
      <c r="EV59" s="111">
        <v>0</v>
      </c>
      <c r="EW59" s="111">
        <v>0</v>
      </c>
      <c r="EX59" s="111">
        <v>0</v>
      </c>
      <c r="EY59" s="111">
        <v>0</v>
      </c>
      <c r="EZ59" s="111">
        <v>0</v>
      </c>
      <c r="FA59" s="111">
        <v>0</v>
      </c>
      <c r="FB59" s="111">
        <v>0</v>
      </c>
    </row>
  </sheetData>
  <mergeCells count="2">
    <mergeCell ref="A1:C1"/>
    <mergeCell ref="A3:C3"/>
  </mergeCells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B69"/>
  <sheetViews>
    <sheetView workbookViewId="0">
      <selection activeCell="C5" sqref="C5"/>
    </sheetView>
  </sheetViews>
  <sheetFormatPr defaultColWidth="10" defaultRowHeight="14.25"/>
  <cols>
    <col min="1" max="1" width="7.75" customWidth="1"/>
    <col min="2" max="2" width="12.875" customWidth="1"/>
    <col min="3" max="3" width="18" customWidth="1"/>
    <col min="4" max="99" width="15.375" customWidth="1"/>
    <col min="100" max="100" width="16.125" customWidth="1"/>
    <col min="101" max="158" width="15.375" customWidth="1"/>
    <col min="159" max="161" width="9.75" customWidth="1"/>
  </cols>
  <sheetData>
    <row r="1" spans="1:158" ht="43.9" customHeight="1">
      <c r="A1" s="211" t="s">
        <v>579</v>
      </c>
      <c r="B1" s="211"/>
      <c r="C1" s="211"/>
      <c r="D1" s="144">
        <v>25</v>
      </c>
      <c r="E1" s="144"/>
      <c r="F1" s="105"/>
      <c r="G1" s="106"/>
      <c r="H1" s="106"/>
      <c r="I1" s="106"/>
      <c r="J1" s="106"/>
      <c r="K1" s="106"/>
      <c r="L1" s="106"/>
      <c r="M1" s="106"/>
      <c r="N1" s="106"/>
      <c r="O1" s="106" t="s">
        <v>232</v>
      </c>
      <c r="P1" s="106" t="s">
        <v>233</v>
      </c>
      <c r="Q1" s="106">
        <v>3</v>
      </c>
      <c r="R1" s="106">
        <v>4</v>
      </c>
      <c r="S1" s="106" t="s">
        <v>234</v>
      </c>
      <c r="T1" s="106">
        <v>6</v>
      </c>
      <c r="U1" s="106">
        <v>7</v>
      </c>
      <c r="V1" s="106" t="s">
        <v>235</v>
      </c>
      <c r="W1" s="106" t="s">
        <v>236</v>
      </c>
      <c r="X1" s="106">
        <v>10</v>
      </c>
      <c r="Y1" s="106">
        <v>11</v>
      </c>
      <c r="Z1" s="106" t="s">
        <v>237</v>
      </c>
      <c r="AA1" s="106">
        <v>13</v>
      </c>
      <c r="AB1" s="106">
        <v>14</v>
      </c>
      <c r="AC1" s="106" t="s">
        <v>238</v>
      </c>
      <c r="AD1" s="106" t="s">
        <v>239</v>
      </c>
      <c r="AE1" s="106">
        <v>17</v>
      </c>
      <c r="AF1" s="106">
        <v>18</v>
      </c>
      <c r="AG1" s="106" t="s">
        <v>240</v>
      </c>
      <c r="AH1" s="106">
        <v>20</v>
      </c>
      <c r="AI1" s="106">
        <v>21</v>
      </c>
      <c r="AJ1" s="106" t="s">
        <v>241</v>
      </c>
      <c r="AK1" s="106" t="s">
        <v>242</v>
      </c>
      <c r="AL1" s="106">
        <v>24</v>
      </c>
      <c r="AM1" s="106">
        <v>25</v>
      </c>
      <c r="AN1" s="106" t="s">
        <v>243</v>
      </c>
      <c r="AO1" s="106">
        <v>27</v>
      </c>
      <c r="AP1" s="106">
        <v>28</v>
      </c>
      <c r="AQ1" s="106" t="s">
        <v>244</v>
      </c>
      <c r="AR1" s="106" t="s">
        <v>245</v>
      </c>
      <c r="AS1" s="106">
        <v>31</v>
      </c>
      <c r="AT1" s="106">
        <v>32</v>
      </c>
      <c r="AU1" s="106" t="s">
        <v>246</v>
      </c>
      <c r="AV1" s="106">
        <v>34</v>
      </c>
      <c r="AW1" s="106">
        <v>35</v>
      </c>
      <c r="AX1" s="106" t="s">
        <v>247</v>
      </c>
      <c r="AY1" s="106" t="s">
        <v>248</v>
      </c>
      <c r="AZ1" s="106">
        <v>38</v>
      </c>
      <c r="BA1" s="106">
        <v>39</v>
      </c>
      <c r="BB1" s="106" t="s">
        <v>249</v>
      </c>
      <c r="BC1" s="106">
        <v>41</v>
      </c>
      <c r="BD1" s="106">
        <v>42</v>
      </c>
      <c r="BE1" s="106" t="s">
        <v>250</v>
      </c>
      <c r="BF1" s="106" t="s">
        <v>251</v>
      </c>
      <c r="BG1" s="106">
        <v>45</v>
      </c>
      <c r="BH1" s="106">
        <v>46</v>
      </c>
      <c r="BI1" s="106" t="s">
        <v>252</v>
      </c>
      <c r="BJ1" s="106">
        <v>48</v>
      </c>
      <c r="BK1" s="106">
        <v>49</v>
      </c>
      <c r="BL1" s="106" t="s">
        <v>253</v>
      </c>
      <c r="BM1" s="106" t="s">
        <v>254</v>
      </c>
      <c r="BN1" s="106">
        <v>52</v>
      </c>
      <c r="BO1" s="106">
        <v>53</v>
      </c>
      <c r="BP1" s="106" t="s">
        <v>255</v>
      </c>
      <c r="BQ1" s="106">
        <v>55</v>
      </c>
      <c r="BR1" s="106">
        <v>56</v>
      </c>
      <c r="BS1" s="106" t="s">
        <v>256</v>
      </c>
      <c r="BT1" s="106" t="s">
        <v>257</v>
      </c>
      <c r="BU1" s="106">
        <v>59</v>
      </c>
      <c r="BV1" s="106">
        <v>60</v>
      </c>
      <c r="BW1" s="106" t="s">
        <v>258</v>
      </c>
      <c r="BX1" s="106">
        <v>62</v>
      </c>
      <c r="BY1" s="106">
        <v>63</v>
      </c>
      <c r="BZ1" s="106" t="s">
        <v>259</v>
      </c>
      <c r="CA1" s="106" t="s">
        <v>260</v>
      </c>
      <c r="CB1" s="106">
        <v>66</v>
      </c>
      <c r="CC1" s="106">
        <v>67</v>
      </c>
      <c r="CD1" s="106" t="s">
        <v>261</v>
      </c>
      <c r="CE1" s="106">
        <v>69</v>
      </c>
      <c r="CF1" s="106">
        <v>70</v>
      </c>
      <c r="CG1" s="106" t="s">
        <v>262</v>
      </c>
      <c r="CH1" s="106" t="s">
        <v>263</v>
      </c>
      <c r="CI1" s="106">
        <v>73</v>
      </c>
      <c r="CJ1" s="106">
        <v>74</v>
      </c>
      <c r="CK1" s="106" t="s">
        <v>264</v>
      </c>
      <c r="CL1" s="106">
        <v>76</v>
      </c>
      <c r="CM1" s="106">
        <v>77</v>
      </c>
      <c r="CN1" s="106"/>
      <c r="CO1" s="106"/>
      <c r="CP1" s="112"/>
      <c r="CQ1" s="112"/>
      <c r="CR1" s="106"/>
      <c r="CS1" s="106"/>
      <c r="CT1" s="106"/>
      <c r="CU1" s="106"/>
      <c r="CV1" s="106" t="s">
        <v>265</v>
      </c>
      <c r="CW1" s="106" t="s">
        <v>266</v>
      </c>
      <c r="CX1" s="106">
        <v>80</v>
      </c>
      <c r="CY1" s="106">
        <v>81</v>
      </c>
      <c r="CZ1" s="106" t="s">
        <v>267</v>
      </c>
      <c r="DA1" s="106">
        <v>83</v>
      </c>
      <c r="DB1" s="106">
        <v>84</v>
      </c>
      <c r="DC1" s="106" t="s">
        <v>268</v>
      </c>
      <c r="DD1" s="106">
        <v>86</v>
      </c>
      <c r="DE1" s="106" t="s">
        <v>269</v>
      </c>
      <c r="DF1" s="106">
        <v>88</v>
      </c>
      <c r="DG1" s="106">
        <v>89</v>
      </c>
      <c r="DH1" s="106" t="s">
        <v>270</v>
      </c>
      <c r="DI1" s="106">
        <v>91</v>
      </c>
      <c r="DJ1" s="106">
        <v>92</v>
      </c>
      <c r="DK1" s="106" t="s">
        <v>271</v>
      </c>
      <c r="DL1" s="106" t="s">
        <v>272</v>
      </c>
      <c r="DM1" s="106">
        <v>95</v>
      </c>
      <c r="DN1" s="106">
        <v>96</v>
      </c>
      <c r="DO1" s="106" t="s">
        <v>273</v>
      </c>
      <c r="DP1" s="106">
        <v>98</v>
      </c>
      <c r="DQ1" s="106">
        <v>99</v>
      </c>
      <c r="DR1" s="106" t="s">
        <v>274</v>
      </c>
      <c r="DS1" s="106">
        <v>101</v>
      </c>
      <c r="DT1" s="106" t="s">
        <v>275</v>
      </c>
      <c r="DU1" s="106">
        <v>103</v>
      </c>
      <c r="DV1" s="106">
        <v>104</v>
      </c>
      <c r="DW1" s="106" t="s">
        <v>276</v>
      </c>
      <c r="DX1" s="106">
        <v>106</v>
      </c>
      <c r="DY1" s="106">
        <v>107</v>
      </c>
      <c r="DZ1" s="106" t="s">
        <v>277</v>
      </c>
      <c r="EA1" s="106" t="s">
        <v>278</v>
      </c>
      <c r="EB1" s="106">
        <v>110</v>
      </c>
      <c r="EC1" s="106">
        <v>111</v>
      </c>
      <c r="ED1" s="106" t="s">
        <v>279</v>
      </c>
      <c r="EE1" s="106">
        <v>113</v>
      </c>
      <c r="EF1" s="106">
        <v>114</v>
      </c>
      <c r="EG1" s="106" t="s">
        <v>280</v>
      </c>
      <c r="EH1" s="106" t="s">
        <v>281</v>
      </c>
      <c r="EI1" s="106">
        <v>117</v>
      </c>
      <c r="EJ1" s="106">
        <v>118</v>
      </c>
      <c r="EK1" s="106" t="s">
        <v>282</v>
      </c>
      <c r="EL1" s="106">
        <v>120</v>
      </c>
      <c r="EM1" s="106">
        <v>121</v>
      </c>
      <c r="EN1" s="106" t="s">
        <v>283</v>
      </c>
      <c r="EO1" s="106">
        <v>123</v>
      </c>
      <c r="EP1" s="106">
        <v>124</v>
      </c>
      <c r="EQ1" s="106">
        <v>125</v>
      </c>
      <c r="ER1" s="106"/>
      <c r="ES1" s="106"/>
      <c r="ET1" s="106"/>
      <c r="EU1" s="106" t="s">
        <v>284</v>
      </c>
      <c r="EV1" s="106">
        <v>127</v>
      </c>
      <c r="EW1" s="106">
        <v>128</v>
      </c>
      <c r="EX1" s="106">
        <v>129</v>
      </c>
      <c r="EY1" s="106" t="s">
        <v>285</v>
      </c>
      <c r="EZ1" s="106">
        <v>131</v>
      </c>
      <c r="FA1" s="106">
        <v>132</v>
      </c>
      <c r="FB1" s="106">
        <v>133</v>
      </c>
    </row>
    <row r="2" spans="1:158" ht="29.25" customHeight="1">
      <c r="A2" s="107" t="s">
        <v>286</v>
      </c>
      <c r="B2" s="107" t="s">
        <v>287</v>
      </c>
      <c r="C2" s="107" t="s">
        <v>288</v>
      </c>
      <c r="D2" s="107" t="s">
        <v>289</v>
      </c>
      <c r="E2" s="107" t="s">
        <v>290</v>
      </c>
      <c r="F2" s="107" t="s">
        <v>291</v>
      </c>
      <c r="G2" s="107" t="s">
        <v>144</v>
      </c>
      <c r="H2" s="107" t="s">
        <v>145</v>
      </c>
      <c r="I2" s="108" t="s">
        <v>292</v>
      </c>
      <c r="J2" s="108" t="s">
        <v>293</v>
      </c>
      <c r="K2" s="108" t="s">
        <v>294</v>
      </c>
      <c r="L2" s="108" t="s">
        <v>295</v>
      </c>
      <c r="M2" s="108" t="s">
        <v>296</v>
      </c>
      <c r="N2" s="108" t="s">
        <v>297</v>
      </c>
      <c r="O2" s="108" t="s">
        <v>194</v>
      </c>
      <c r="P2" s="107" t="s">
        <v>298</v>
      </c>
      <c r="Q2" s="107" t="s">
        <v>299</v>
      </c>
      <c r="R2" s="107" t="s">
        <v>300</v>
      </c>
      <c r="S2" s="107" t="s">
        <v>301</v>
      </c>
      <c r="T2" s="107" t="s">
        <v>302</v>
      </c>
      <c r="U2" s="107" t="s">
        <v>303</v>
      </c>
      <c r="V2" s="108" t="s">
        <v>304</v>
      </c>
      <c r="W2" s="107" t="s">
        <v>298</v>
      </c>
      <c r="X2" s="107" t="s">
        <v>299</v>
      </c>
      <c r="Y2" s="107" t="s">
        <v>300</v>
      </c>
      <c r="Z2" s="107" t="s">
        <v>301</v>
      </c>
      <c r="AA2" s="107" t="s">
        <v>302</v>
      </c>
      <c r="AB2" s="107" t="s">
        <v>303</v>
      </c>
      <c r="AC2" s="108" t="s">
        <v>305</v>
      </c>
      <c r="AD2" s="107" t="s">
        <v>298</v>
      </c>
      <c r="AE2" s="107" t="s">
        <v>299</v>
      </c>
      <c r="AF2" s="107" t="s">
        <v>300</v>
      </c>
      <c r="AG2" s="107" t="s">
        <v>301</v>
      </c>
      <c r="AH2" s="107" t="s">
        <v>302</v>
      </c>
      <c r="AI2" s="107" t="s">
        <v>303</v>
      </c>
      <c r="AJ2" s="108" t="s">
        <v>306</v>
      </c>
      <c r="AK2" s="107" t="s">
        <v>298</v>
      </c>
      <c r="AL2" s="107" t="s">
        <v>299</v>
      </c>
      <c r="AM2" s="107" t="s">
        <v>300</v>
      </c>
      <c r="AN2" s="107" t="s">
        <v>301</v>
      </c>
      <c r="AO2" s="107" t="s">
        <v>302</v>
      </c>
      <c r="AP2" s="107" t="s">
        <v>303</v>
      </c>
      <c r="AQ2" s="108" t="s">
        <v>307</v>
      </c>
      <c r="AR2" s="107" t="s">
        <v>298</v>
      </c>
      <c r="AS2" s="107" t="s">
        <v>299</v>
      </c>
      <c r="AT2" s="107" t="s">
        <v>300</v>
      </c>
      <c r="AU2" s="107" t="s">
        <v>301</v>
      </c>
      <c r="AV2" s="107" t="s">
        <v>302</v>
      </c>
      <c r="AW2" s="107" t="s">
        <v>303</v>
      </c>
      <c r="AX2" s="108" t="s">
        <v>308</v>
      </c>
      <c r="AY2" s="107" t="s">
        <v>298</v>
      </c>
      <c r="AZ2" s="107" t="s">
        <v>299</v>
      </c>
      <c r="BA2" s="107" t="s">
        <v>300</v>
      </c>
      <c r="BB2" s="107" t="s">
        <v>301</v>
      </c>
      <c r="BC2" s="107" t="s">
        <v>302</v>
      </c>
      <c r="BD2" s="107" t="s">
        <v>303</v>
      </c>
      <c r="BE2" s="108" t="s">
        <v>309</v>
      </c>
      <c r="BF2" s="107" t="s">
        <v>298</v>
      </c>
      <c r="BG2" s="107" t="s">
        <v>299</v>
      </c>
      <c r="BH2" s="107" t="s">
        <v>300</v>
      </c>
      <c r="BI2" s="107" t="s">
        <v>301</v>
      </c>
      <c r="BJ2" s="107" t="s">
        <v>302</v>
      </c>
      <c r="BK2" s="107" t="s">
        <v>303</v>
      </c>
      <c r="BL2" s="108" t="s">
        <v>310</v>
      </c>
      <c r="BM2" s="107" t="s">
        <v>298</v>
      </c>
      <c r="BN2" s="107" t="s">
        <v>299</v>
      </c>
      <c r="BO2" s="107" t="s">
        <v>300</v>
      </c>
      <c r="BP2" s="107" t="s">
        <v>301</v>
      </c>
      <c r="BQ2" s="107" t="s">
        <v>302</v>
      </c>
      <c r="BR2" s="107" t="s">
        <v>303</v>
      </c>
      <c r="BS2" s="108" t="s">
        <v>311</v>
      </c>
      <c r="BT2" s="107" t="s">
        <v>298</v>
      </c>
      <c r="BU2" s="107" t="s">
        <v>299</v>
      </c>
      <c r="BV2" s="107" t="s">
        <v>300</v>
      </c>
      <c r="BW2" s="107" t="s">
        <v>301</v>
      </c>
      <c r="BX2" s="107" t="s">
        <v>302</v>
      </c>
      <c r="BY2" s="107" t="s">
        <v>303</v>
      </c>
      <c r="BZ2" s="108" t="s">
        <v>312</v>
      </c>
      <c r="CA2" s="107" t="s">
        <v>298</v>
      </c>
      <c r="CB2" s="107" t="s">
        <v>299</v>
      </c>
      <c r="CC2" s="107" t="s">
        <v>300</v>
      </c>
      <c r="CD2" s="107" t="s">
        <v>301</v>
      </c>
      <c r="CE2" s="107" t="s">
        <v>302</v>
      </c>
      <c r="CF2" s="107" t="s">
        <v>303</v>
      </c>
      <c r="CG2" s="108" t="s">
        <v>313</v>
      </c>
      <c r="CH2" s="107" t="s">
        <v>298</v>
      </c>
      <c r="CI2" s="107" t="s">
        <v>299</v>
      </c>
      <c r="CJ2" s="107" t="s">
        <v>300</v>
      </c>
      <c r="CK2" s="107" t="s">
        <v>301</v>
      </c>
      <c r="CL2" s="107" t="s">
        <v>302</v>
      </c>
      <c r="CM2" s="107" t="s">
        <v>303</v>
      </c>
      <c r="CN2" s="108" t="s">
        <v>314</v>
      </c>
      <c r="CO2" s="108" t="s">
        <v>315</v>
      </c>
      <c r="CP2" s="108" t="s">
        <v>316</v>
      </c>
      <c r="CQ2" s="108" t="s">
        <v>317</v>
      </c>
      <c r="CR2" s="108" t="s">
        <v>318</v>
      </c>
      <c r="CS2" s="108" t="s">
        <v>319</v>
      </c>
      <c r="CT2" s="108" t="s">
        <v>320</v>
      </c>
      <c r="CU2" s="108" t="s">
        <v>321</v>
      </c>
      <c r="CV2" s="108" t="s">
        <v>144</v>
      </c>
      <c r="CW2" s="107" t="s">
        <v>322</v>
      </c>
      <c r="CX2" s="107" t="s">
        <v>323</v>
      </c>
      <c r="CY2" s="107" t="s">
        <v>324</v>
      </c>
      <c r="CZ2" s="107" t="s">
        <v>325</v>
      </c>
      <c r="DA2" s="107" t="s">
        <v>326</v>
      </c>
      <c r="DB2" s="107" t="s">
        <v>327</v>
      </c>
      <c r="DC2" s="108" t="s">
        <v>328</v>
      </c>
      <c r="DD2" s="108" t="s">
        <v>329</v>
      </c>
      <c r="DE2" s="107" t="s">
        <v>322</v>
      </c>
      <c r="DF2" s="107" t="s">
        <v>323</v>
      </c>
      <c r="DG2" s="107" t="s">
        <v>324</v>
      </c>
      <c r="DH2" s="107" t="s">
        <v>325</v>
      </c>
      <c r="DI2" s="107" t="s">
        <v>326</v>
      </c>
      <c r="DJ2" s="107" t="s">
        <v>327</v>
      </c>
      <c r="DK2" s="108" t="s">
        <v>330</v>
      </c>
      <c r="DL2" s="107" t="s">
        <v>322</v>
      </c>
      <c r="DM2" s="107" t="s">
        <v>323</v>
      </c>
      <c r="DN2" s="107" t="s">
        <v>324</v>
      </c>
      <c r="DO2" s="107" t="s">
        <v>325</v>
      </c>
      <c r="DP2" s="107" t="s">
        <v>326</v>
      </c>
      <c r="DQ2" s="107" t="s">
        <v>327</v>
      </c>
      <c r="DR2" s="108" t="s">
        <v>331</v>
      </c>
      <c r="DS2" s="108" t="s">
        <v>332</v>
      </c>
      <c r="DT2" s="107" t="s">
        <v>322</v>
      </c>
      <c r="DU2" s="107" t="s">
        <v>323</v>
      </c>
      <c r="DV2" s="107" t="s">
        <v>324</v>
      </c>
      <c r="DW2" s="107" t="s">
        <v>325</v>
      </c>
      <c r="DX2" s="107" t="s">
        <v>326</v>
      </c>
      <c r="DY2" s="107" t="s">
        <v>327</v>
      </c>
      <c r="DZ2" s="108" t="s">
        <v>333</v>
      </c>
      <c r="EA2" s="107" t="s">
        <v>322</v>
      </c>
      <c r="EB2" s="107" t="s">
        <v>323</v>
      </c>
      <c r="EC2" s="107" t="s">
        <v>324</v>
      </c>
      <c r="ED2" s="107" t="s">
        <v>325</v>
      </c>
      <c r="EE2" s="107" t="s">
        <v>326</v>
      </c>
      <c r="EF2" s="107" t="s">
        <v>327</v>
      </c>
      <c r="EG2" s="108" t="s">
        <v>145</v>
      </c>
      <c r="EH2" s="107" t="s">
        <v>322</v>
      </c>
      <c r="EI2" s="107" t="s">
        <v>323</v>
      </c>
      <c r="EJ2" s="107" t="s">
        <v>324</v>
      </c>
      <c r="EK2" s="107" t="s">
        <v>325</v>
      </c>
      <c r="EL2" s="107" t="s">
        <v>326</v>
      </c>
      <c r="EM2" s="107" t="s">
        <v>327</v>
      </c>
      <c r="EN2" s="108" t="s">
        <v>334</v>
      </c>
      <c r="EO2" s="108" t="s">
        <v>335</v>
      </c>
      <c r="EP2" s="108" t="s">
        <v>336</v>
      </c>
      <c r="EQ2" s="108" t="s">
        <v>337</v>
      </c>
      <c r="ER2" s="108" t="s">
        <v>338</v>
      </c>
      <c r="ES2" s="108" t="s">
        <v>339</v>
      </c>
      <c r="ET2" s="108" t="s">
        <v>340</v>
      </c>
      <c r="EU2" s="108" t="s">
        <v>341</v>
      </c>
      <c r="EV2" s="108" t="s">
        <v>342</v>
      </c>
      <c r="EW2" s="108" t="s">
        <v>343</v>
      </c>
      <c r="EX2" s="108" t="s">
        <v>344</v>
      </c>
      <c r="EY2" s="108" t="s">
        <v>345</v>
      </c>
      <c r="EZ2" s="108" t="s">
        <v>346</v>
      </c>
      <c r="FA2" s="108" t="s">
        <v>347</v>
      </c>
      <c r="FB2" s="109" t="s">
        <v>348</v>
      </c>
    </row>
    <row r="3" spans="1:158" ht="19.5" customHeight="1">
      <c r="A3" s="212" t="s">
        <v>349</v>
      </c>
      <c r="B3" s="212"/>
      <c r="C3" s="212"/>
      <c r="D3" s="110">
        <v>243312781.66</v>
      </c>
      <c r="E3" s="110">
        <v>106692720.81</v>
      </c>
      <c r="F3" s="110">
        <v>136620060.84999999</v>
      </c>
      <c r="G3" s="110">
        <v>361768</v>
      </c>
      <c r="H3" s="110">
        <v>13475</v>
      </c>
      <c r="I3" s="110">
        <v>17394874.399999999</v>
      </c>
      <c r="J3" s="110">
        <v>3713883.8</v>
      </c>
      <c r="K3" s="110">
        <v>2592608.4</v>
      </c>
      <c r="L3" s="110">
        <v>17670574.399999999</v>
      </c>
      <c r="M3" s="110">
        <v>27554888.5</v>
      </c>
      <c r="N3" s="110">
        <v>100898.36</v>
      </c>
      <c r="O3" s="110">
        <v>513357093.17000002</v>
      </c>
      <c r="P3" s="110">
        <v>338765249.56</v>
      </c>
      <c r="Q3" s="110">
        <v>310777336.36000001</v>
      </c>
      <c r="R3" s="110">
        <v>27987913.199999999</v>
      </c>
      <c r="S3" s="110">
        <v>174591843.61000001</v>
      </c>
      <c r="T3" s="110">
        <v>139176339.56999999</v>
      </c>
      <c r="U3" s="110">
        <v>35415504.039999999</v>
      </c>
      <c r="V3" s="110">
        <v>185993625.93000001</v>
      </c>
      <c r="W3" s="110">
        <v>153820377.15000001</v>
      </c>
      <c r="X3" s="110">
        <v>139471648.11000001</v>
      </c>
      <c r="Y3" s="110">
        <v>14348729.039999999</v>
      </c>
      <c r="Z3" s="110">
        <v>32173248.780000001</v>
      </c>
      <c r="AA3" s="110">
        <v>12868850.970000001</v>
      </c>
      <c r="AB3" s="110">
        <v>19304397.809999999</v>
      </c>
      <c r="AC3" s="110">
        <v>72719452.019999996</v>
      </c>
      <c r="AD3" s="110">
        <v>65082715.009999998</v>
      </c>
      <c r="AE3" s="110">
        <v>62383363.390000001</v>
      </c>
      <c r="AF3" s="110">
        <v>2699351.62</v>
      </c>
      <c r="AG3" s="110">
        <v>7636737.0099999998</v>
      </c>
      <c r="AH3" s="110">
        <v>4486983.13</v>
      </c>
      <c r="AI3" s="110">
        <v>3149753.88</v>
      </c>
      <c r="AJ3" s="110">
        <v>6581453.0999999996</v>
      </c>
      <c r="AK3" s="110">
        <v>5835041.7999999998</v>
      </c>
      <c r="AL3" s="110">
        <v>5305154.47</v>
      </c>
      <c r="AM3" s="110">
        <v>529887.32999999996</v>
      </c>
      <c r="AN3" s="110">
        <v>746411.3</v>
      </c>
      <c r="AO3" s="110">
        <v>429667.09</v>
      </c>
      <c r="AP3" s="110">
        <v>316744.21000000002</v>
      </c>
      <c r="AQ3" s="110">
        <v>59668926.5</v>
      </c>
      <c r="AR3" s="110">
        <v>48490728.5</v>
      </c>
      <c r="AS3" s="110">
        <v>43432453</v>
      </c>
      <c r="AT3" s="110">
        <v>5058275.5</v>
      </c>
      <c r="AU3" s="110">
        <v>11178198</v>
      </c>
      <c r="AV3" s="110">
        <v>4706470.5</v>
      </c>
      <c r="AW3" s="110">
        <v>6471727.5</v>
      </c>
      <c r="AX3" s="110">
        <v>47023794.310000002</v>
      </c>
      <c r="AY3" s="110">
        <v>34411891.840000004</v>
      </c>
      <c r="AZ3" s="110">
        <v>28350677.25</v>
      </c>
      <c r="BA3" s="110">
        <v>6061214.5899999999</v>
      </c>
      <c r="BB3" s="110">
        <v>12611902.470000001</v>
      </c>
      <c r="BC3" s="110">
        <v>3245730.25</v>
      </c>
      <c r="BD3" s="110">
        <v>9366172.2200000007</v>
      </c>
      <c r="BE3" s="110">
        <v>327363467.24000001</v>
      </c>
      <c r="BF3" s="110">
        <v>184944872.41</v>
      </c>
      <c r="BG3" s="110">
        <v>171305688.25</v>
      </c>
      <c r="BH3" s="110">
        <v>13639184.16</v>
      </c>
      <c r="BI3" s="110">
        <v>142418594.83000001</v>
      </c>
      <c r="BJ3" s="110">
        <v>126307488.59999999</v>
      </c>
      <c r="BK3" s="110">
        <v>16111106.23</v>
      </c>
      <c r="BL3" s="110">
        <v>60713932.850000001</v>
      </c>
      <c r="BM3" s="110">
        <v>32949221.390000001</v>
      </c>
      <c r="BN3" s="110">
        <v>30774664.420000002</v>
      </c>
      <c r="BO3" s="110">
        <v>2174556.9700000002</v>
      </c>
      <c r="BP3" s="110">
        <v>27764711.460000001</v>
      </c>
      <c r="BQ3" s="110">
        <v>25160376.859999999</v>
      </c>
      <c r="BR3" s="110">
        <v>2604334.6</v>
      </c>
      <c r="BS3" s="110">
        <v>130029473.54000001</v>
      </c>
      <c r="BT3" s="110">
        <v>76757528.219999999</v>
      </c>
      <c r="BU3" s="110">
        <v>72964304.480000004</v>
      </c>
      <c r="BV3" s="110">
        <v>3793223.74</v>
      </c>
      <c r="BW3" s="110">
        <v>53271945.32</v>
      </c>
      <c r="BX3" s="110">
        <v>48559385.090000004</v>
      </c>
      <c r="BY3" s="110">
        <v>4712560.2300000004</v>
      </c>
      <c r="BZ3" s="110">
        <v>55371083.299999997</v>
      </c>
      <c r="CA3" s="110">
        <v>32424594.199999999</v>
      </c>
      <c r="CB3" s="110">
        <v>30505547.5</v>
      </c>
      <c r="CC3" s="110">
        <v>1919046.7</v>
      </c>
      <c r="CD3" s="110">
        <v>22946489.100000001</v>
      </c>
      <c r="CE3" s="110">
        <v>20794485</v>
      </c>
      <c r="CF3" s="110">
        <v>2152004.1</v>
      </c>
      <c r="CG3" s="110">
        <v>81248977.549999997</v>
      </c>
      <c r="CH3" s="110">
        <v>42813528.600000001</v>
      </c>
      <c r="CI3" s="110">
        <v>37061171.850000001</v>
      </c>
      <c r="CJ3" s="110">
        <v>5752356.75</v>
      </c>
      <c r="CK3" s="110">
        <v>38435448.950000003</v>
      </c>
      <c r="CL3" s="110">
        <v>31793241.649999999</v>
      </c>
      <c r="CM3" s="110">
        <v>6642207.2999999998</v>
      </c>
      <c r="CN3" s="110">
        <v>21526915.620000001</v>
      </c>
      <c r="CO3" s="110">
        <v>67573028.069999993</v>
      </c>
      <c r="CP3" s="110">
        <v>44415688.159999996</v>
      </c>
      <c r="CQ3" s="110">
        <v>25979111.52</v>
      </c>
      <c r="CR3" s="110">
        <v>25773601.670000002</v>
      </c>
      <c r="CS3" s="110">
        <v>724358.89</v>
      </c>
      <c r="CT3" s="110">
        <v>9723238.0899999999</v>
      </c>
      <c r="CU3" s="110">
        <v>0</v>
      </c>
      <c r="CV3" s="111">
        <v>361768</v>
      </c>
      <c r="CW3" s="111">
        <v>307964</v>
      </c>
      <c r="CX3" s="111">
        <v>279417</v>
      </c>
      <c r="CY3" s="111">
        <v>28547</v>
      </c>
      <c r="CZ3" s="111">
        <v>53804</v>
      </c>
      <c r="DA3" s="111">
        <v>23233</v>
      </c>
      <c r="DB3" s="111">
        <v>30571</v>
      </c>
      <c r="DC3" s="111">
        <v>199349</v>
      </c>
      <c r="DD3" s="111">
        <v>3753</v>
      </c>
      <c r="DE3" s="111">
        <v>176311</v>
      </c>
      <c r="DF3" s="111">
        <v>163016</v>
      </c>
      <c r="DG3" s="111">
        <v>13295</v>
      </c>
      <c r="DH3" s="111">
        <v>23038</v>
      </c>
      <c r="DI3" s="111">
        <v>10957</v>
      </c>
      <c r="DJ3" s="111">
        <v>12081</v>
      </c>
      <c r="DK3" s="111">
        <v>79683</v>
      </c>
      <c r="DL3" s="111">
        <v>64282</v>
      </c>
      <c r="DM3" s="111">
        <v>58109</v>
      </c>
      <c r="DN3" s="111">
        <v>6173</v>
      </c>
      <c r="DO3" s="111">
        <v>15401</v>
      </c>
      <c r="DP3" s="111">
        <v>7175</v>
      </c>
      <c r="DQ3" s="111">
        <v>8226</v>
      </c>
      <c r="DR3" s="111">
        <v>34581</v>
      </c>
      <c r="DS3" s="111">
        <v>93</v>
      </c>
      <c r="DT3" s="111">
        <v>24800</v>
      </c>
      <c r="DU3" s="111">
        <v>20279</v>
      </c>
      <c r="DV3" s="111">
        <v>4521</v>
      </c>
      <c r="DW3" s="111">
        <v>9781</v>
      </c>
      <c r="DX3" s="111">
        <v>3005</v>
      </c>
      <c r="DY3" s="111">
        <v>6776</v>
      </c>
      <c r="DZ3" s="111">
        <v>44309</v>
      </c>
      <c r="EA3" s="111">
        <v>39286</v>
      </c>
      <c r="EB3" s="111">
        <v>35371</v>
      </c>
      <c r="EC3" s="111">
        <v>3915</v>
      </c>
      <c r="ED3" s="111">
        <v>5023</v>
      </c>
      <c r="EE3" s="111">
        <v>2075</v>
      </c>
      <c r="EF3" s="111">
        <v>2948</v>
      </c>
      <c r="EG3" s="111">
        <v>13475</v>
      </c>
      <c r="EH3" s="111">
        <v>7991</v>
      </c>
      <c r="EI3" s="111">
        <v>7325</v>
      </c>
      <c r="EJ3" s="111">
        <v>666</v>
      </c>
      <c r="EK3" s="111">
        <v>5484</v>
      </c>
      <c r="EL3" s="111">
        <v>4761</v>
      </c>
      <c r="EM3" s="111">
        <v>723</v>
      </c>
      <c r="EN3" s="111">
        <v>10930</v>
      </c>
      <c r="EO3" s="111">
        <v>5232</v>
      </c>
      <c r="EP3" s="111">
        <v>627</v>
      </c>
      <c r="EQ3" s="111">
        <v>5071</v>
      </c>
      <c r="ER3" s="111">
        <v>1383</v>
      </c>
      <c r="ES3" s="111">
        <v>0</v>
      </c>
      <c r="ET3" s="111">
        <v>98</v>
      </c>
      <c r="EU3" s="111">
        <v>2108</v>
      </c>
      <c r="EV3" s="111">
        <v>1658</v>
      </c>
      <c r="EW3" s="111">
        <v>308</v>
      </c>
      <c r="EX3" s="111">
        <v>142</v>
      </c>
      <c r="EY3" s="111">
        <v>1873</v>
      </c>
      <c r="EZ3" s="111">
        <v>1681</v>
      </c>
      <c r="FA3" s="111">
        <v>192</v>
      </c>
      <c r="FB3" s="111">
        <v>3816</v>
      </c>
    </row>
    <row r="4" spans="1:158" ht="19.5" customHeight="1">
      <c r="A4" s="107">
        <v>1</v>
      </c>
      <c r="B4" s="107" t="s">
        <v>350</v>
      </c>
      <c r="C4" s="107" t="s">
        <v>351</v>
      </c>
      <c r="D4" s="110">
        <v>174447</v>
      </c>
      <c r="E4" s="110">
        <v>174447</v>
      </c>
      <c r="F4" s="110">
        <v>0</v>
      </c>
      <c r="G4" s="110">
        <v>833</v>
      </c>
      <c r="H4" s="110">
        <v>0</v>
      </c>
      <c r="I4" s="110">
        <v>972</v>
      </c>
      <c r="J4" s="110">
        <v>0</v>
      </c>
      <c r="K4" s="110">
        <v>0</v>
      </c>
      <c r="L4" s="110">
        <v>0</v>
      </c>
      <c r="M4" s="110">
        <v>0</v>
      </c>
      <c r="N4" s="110">
        <v>0</v>
      </c>
      <c r="O4" s="110">
        <v>422549.63</v>
      </c>
      <c r="P4" s="110">
        <v>396592.89</v>
      </c>
      <c r="Q4" s="110">
        <v>382899.69</v>
      </c>
      <c r="R4" s="110">
        <v>13693.2</v>
      </c>
      <c r="S4" s="110">
        <v>25956.74</v>
      </c>
      <c r="T4" s="110">
        <v>17721.38</v>
      </c>
      <c r="U4" s="110">
        <v>8235.36</v>
      </c>
      <c r="V4" s="110">
        <v>422549.63</v>
      </c>
      <c r="W4" s="110">
        <v>396592.89</v>
      </c>
      <c r="X4" s="110">
        <v>382899.69</v>
      </c>
      <c r="Y4" s="110">
        <v>13693.2</v>
      </c>
      <c r="Z4" s="110">
        <v>25956.74</v>
      </c>
      <c r="AA4" s="110">
        <v>17721.38</v>
      </c>
      <c r="AB4" s="110">
        <v>8235.36</v>
      </c>
      <c r="AC4" s="110">
        <v>247477.63</v>
      </c>
      <c r="AD4" s="110">
        <v>239538.89</v>
      </c>
      <c r="AE4" s="110">
        <v>238284.69</v>
      </c>
      <c r="AF4" s="110">
        <v>1254.2</v>
      </c>
      <c r="AG4" s="110">
        <v>7938.74</v>
      </c>
      <c r="AH4" s="110">
        <v>5722.38</v>
      </c>
      <c r="AI4" s="110">
        <v>2216.36</v>
      </c>
      <c r="AJ4" s="110">
        <v>625</v>
      </c>
      <c r="AK4" s="110">
        <v>441</v>
      </c>
      <c r="AL4" s="110">
        <v>368</v>
      </c>
      <c r="AM4" s="110">
        <v>73</v>
      </c>
      <c r="AN4" s="110">
        <v>184</v>
      </c>
      <c r="AO4" s="110">
        <v>146</v>
      </c>
      <c r="AP4" s="110">
        <v>38</v>
      </c>
      <c r="AQ4" s="110">
        <v>145051</v>
      </c>
      <c r="AR4" s="110">
        <v>129143</v>
      </c>
      <c r="AS4" s="110">
        <v>119661</v>
      </c>
      <c r="AT4" s="110">
        <v>9482</v>
      </c>
      <c r="AU4" s="110">
        <v>15908</v>
      </c>
      <c r="AV4" s="110">
        <v>10893</v>
      </c>
      <c r="AW4" s="110">
        <v>5015</v>
      </c>
      <c r="AX4" s="110">
        <v>29396</v>
      </c>
      <c r="AY4" s="110">
        <v>27470</v>
      </c>
      <c r="AZ4" s="110">
        <v>24586</v>
      </c>
      <c r="BA4" s="110">
        <v>2884</v>
      </c>
      <c r="BB4" s="110">
        <v>1926</v>
      </c>
      <c r="BC4" s="110">
        <v>960</v>
      </c>
      <c r="BD4" s="110">
        <v>966</v>
      </c>
      <c r="BE4" s="110">
        <v>0</v>
      </c>
      <c r="BF4" s="110">
        <v>0</v>
      </c>
      <c r="BG4" s="110">
        <v>0</v>
      </c>
      <c r="BH4" s="110">
        <v>0</v>
      </c>
      <c r="BI4" s="110">
        <v>0</v>
      </c>
      <c r="BJ4" s="110">
        <v>0</v>
      </c>
      <c r="BK4" s="110">
        <v>0</v>
      </c>
      <c r="BL4" s="110">
        <v>0</v>
      </c>
      <c r="BM4" s="110">
        <v>0</v>
      </c>
      <c r="BN4" s="110">
        <v>0</v>
      </c>
      <c r="BO4" s="110">
        <v>0</v>
      </c>
      <c r="BP4" s="110">
        <v>0</v>
      </c>
      <c r="BQ4" s="110">
        <v>0</v>
      </c>
      <c r="BR4" s="110">
        <v>0</v>
      </c>
      <c r="BS4" s="110">
        <v>0</v>
      </c>
      <c r="BT4" s="110">
        <v>0</v>
      </c>
      <c r="BU4" s="110">
        <v>0</v>
      </c>
      <c r="BV4" s="110">
        <v>0</v>
      </c>
      <c r="BW4" s="110">
        <v>0</v>
      </c>
      <c r="BX4" s="110">
        <v>0</v>
      </c>
      <c r="BY4" s="110">
        <v>0</v>
      </c>
      <c r="BZ4" s="110">
        <v>0</v>
      </c>
      <c r="CA4" s="110">
        <v>0</v>
      </c>
      <c r="CB4" s="110">
        <v>0</v>
      </c>
      <c r="CC4" s="110">
        <v>0</v>
      </c>
      <c r="CD4" s="110">
        <v>0</v>
      </c>
      <c r="CE4" s="110">
        <v>0</v>
      </c>
      <c r="CF4" s="110">
        <v>0</v>
      </c>
      <c r="CG4" s="110">
        <v>0</v>
      </c>
      <c r="CH4" s="110">
        <v>0</v>
      </c>
      <c r="CI4" s="110">
        <v>0</v>
      </c>
      <c r="CJ4" s="110">
        <v>0</v>
      </c>
      <c r="CK4" s="110">
        <v>0</v>
      </c>
      <c r="CL4" s="110">
        <v>0</v>
      </c>
      <c r="CM4" s="110">
        <v>0</v>
      </c>
      <c r="CN4" s="110">
        <v>0</v>
      </c>
      <c r="CO4" s="110">
        <v>243349.78</v>
      </c>
      <c r="CP4" s="110">
        <v>130926.69</v>
      </c>
      <c r="CQ4" s="110">
        <v>38998.519999999997</v>
      </c>
      <c r="CR4" s="110">
        <v>9274.64</v>
      </c>
      <c r="CS4" s="110">
        <v>0</v>
      </c>
      <c r="CT4" s="110">
        <v>0</v>
      </c>
      <c r="CU4" s="110">
        <v>0</v>
      </c>
      <c r="CV4" s="111">
        <v>833</v>
      </c>
      <c r="CW4" s="111">
        <v>786</v>
      </c>
      <c r="CX4" s="111">
        <v>757</v>
      </c>
      <c r="CY4" s="111">
        <v>29</v>
      </c>
      <c r="CZ4" s="111">
        <v>47</v>
      </c>
      <c r="DA4" s="111">
        <v>31</v>
      </c>
      <c r="DB4" s="111">
        <v>16</v>
      </c>
      <c r="DC4" s="111">
        <v>626</v>
      </c>
      <c r="DD4" s="111">
        <v>0</v>
      </c>
      <c r="DE4" s="111">
        <v>597</v>
      </c>
      <c r="DF4" s="111">
        <v>582</v>
      </c>
      <c r="DG4" s="111">
        <v>15</v>
      </c>
      <c r="DH4" s="111">
        <v>29</v>
      </c>
      <c r="DI4" s="111">
        <v>20</v>
      </c>
      <c r="DJ4" s="111">
        <v>9</v>
      </c>
      <c r="DK4" s="111">
        <v>198</v>
      </c>
      <c r="DL4" s="111">
        <v>181</v>
      </c>
      <c r="DM4" s="111">
        <v>171</v>
      </c>
      <c r="DN4" s="111">
        <v>10</v>
      </c>
      <c r="DO4" s="111">
        <v>17</v>
      </c>
      <c r="DP4" s="111">
        <v>11</v>
      </c>
      <c r="DQ4" s="111">
        <v>6</v>
      </c>
      <c r="DR4" s="111">
        <v>9</v>
      </c>
      <c r="DS4" s="111">
        <v>0</v>
      </c>
      <c r="DT4" s="111">
        <v>8</v>
      </c>
      <c r="DU4" s="111">
        <v>4</v>
      </c>
      <c r="DV4" s="111">
        <v>4</v>
      </c>
      <c r="DW4" s="111">
        <v>1</v>
      </c>
      <c r="DX4" s="111">
        <v>0</v>
      </c>
      <c r="DY4" s="111">
        <v>1</v>
      </c>
      <c r="DZ4" s="111">
        <v>0</v>
      </c>
      <c r="EA4" s="111">
        <v>0</v>
      </c>
      <c r="EB4" s="111">
        <v>0</v>
      </c>
      <c r="EC4" s="111">
        <v>0</v>
      </c>
      <c r="ED4" s="111">
        <v>0</v>
      </c>
      <c r="EE4" s="111">
        <v>0</v>
      </c>
      <c r="EF4" s="111">
        <v>0</v>
      </c>
      <c r="EG4" s="111">
        <v>0</v>
      </c>
      <c r="EH4" s="111">
        <v>0</v>
      </c>
      <c r="EI4" s="111">
        <v>0</v>
      </c>
      <c r="EJ4" s="111">
        <v>0</v>
      </c>
      <c r="EK4" s="111">
        <v>0</v>
      </c>
      <c r="EL4" s="111">
        <v>0</v>
      </c>
      <c r="EM4" s="111">
        <v>0</v>
      </c>
      <c r="EN4" s="111">
        <v>0</v>
      </c>
      <c r="EO4" s="111">
        <v>0</v>
      </c>
      <c r="EP4" s="111">
        <v>0</v>
      </c>
      <c r="EQ4" s="111">
        <v>0</v>
      </c>
      <c r="ER4" s="111">
        <v>0</v>
      </c>
      <c r="ES4" s="111">
        <v>0</v>
      </c>
      <c r="ET4" s="111">
        <v>0</v>
      </c>
      <c r="EU4" s="111">
        <v>0</v>
      </c>
      <c r="EV4" s="111">
        <v>0</v>
      </c>
      <c r="EW4" s="111">
        <v>0</v>
      </c>
      <c r="EX4" s="111">
        <v>0</v>
      </c>
      <c r="EY4" s="111">
        <v>0</v>
      </c>
      <c r="EZ4" s="111">
        <v>0</v>
      </c>
      <c r="FA4" s="111">
        <v>0</v>
      </c>
      <c r="FB4" s="111">
        <v>0</v>
      </c>
    </row>
    <row r="5" spans="1:158" ht="19.5" customHeight="1">
      <c r="A5" s="107">
        <v>2</v>
      </c>
      <c r="B5" s="107" t="s">
        <v>350</v>
      </c>
      <c r="C5" s="107" t="s">
        <v>352</v>
      </c>
      <c r="D5" s="110">
        <v>4333596.5</v>
      </c>
      <c r="E5" s="110">
        <v>1720748</v>
      </c>
      <c r="F5" s="110">
        <v>2612848.5</v>
      </c>
      <c r="G5" s="110">
        <v>8145</v>
      </c>
      <c r="H5" s="110">
        <v>256</v>
      </c>
      <c r="I5" s="110">
        <v>13110</v>
      </c>
      <c r="J5" s="110">
        <v>0</v>
      </c>
      <c r="K5" s="110">
        <v>0</v>
      </c>
      <c r="L5" s="110">
        <v>144153.5</v>
      </c>
      <c r="M5" s="110">
        <v>504</v>
      </c>
      <c r="N5" s="110">
        <v>0</v>
      </c>
      <c r="O5" s="110">
        <v>8471633.9700000007</v>
      </c>
      <c r="P5" s="110">
        <v>6514925</v>
      </c>
      <c r="Q5" s="110">
        <v>6428815.75</v>
      </c>
      <c r="R5" s="110">
        <v>86109.25</v>
      </c>
      <c r="S5" s="110">
        <v>1956708.97</v>
      </c>
      <c r="T5" s="110">
        <v>1794020.91</v>
      </c>
      <c r="U5" s="110">
        <v>162688.06</v>
      </c>
      <c r="V5" s="110">
        <v>3520226.12</v>
      </c>
      <c r="W5" s="110">
        <v>3121541.71</v>
      </c>
      <c r="X5" s="110">
        <v>3035432.46</v>
      </c>
      <c r="Y5" s="110">
        <v>86109.25</v>
      </c>
      <c r="Z5" s="110">
        <v>398684.41</v>
      </c>
      <c r="AA5" s="110">
        <v>264399.06</v>
      </c>
      <c r="AB5" s="110">
        <v>134285.35</v>
      </c>
      <c r="AC5" s="110">
        <v>1749803.92</v>
      </c>
      <c r="AD5" s="110">
        <v>1543951.11</v>
      </c>
      <c r="AE5" s="110">
        <v>1510885.26</v>
      </c>
      <c r="AF5" s="110">
        <v>33065.85</v>
      </c>
      <c r="AG5" s="110">
        <v>205852.81</v>
      </c>
      <c r="AH5" s="110">
        <v>141570.46</v>
      </c>
      <c r="AI5" s="110">
        <v>64282.35</v>
      </c>
      <c r="AJ5" s="110">
        <v>49674.2</v>
      </c>
      <c r="AK5" s="110">
        <v>44658.6</v>
      </c>
      <c r="AL5" s="110">
        <v>43316.2</v>
      </c>
      <c r="AM5" s="110">
        <v>1342.4</v>
      </c>
      <c r="AN5" s="110">
        <v>5015.6000000000004</v>
      </c>
      <c r="AO5" s="110">
        <v>3373.6</v>
      </c>
      <c r="AP5" s="110">
        <v>1642</v>
      </c>
      <c r="AQ5" s="110">
        <v>1408900</v>
      </c>
      <c r="AR5" s="110">
        <v>1262714</v>
      </c>
      <c r="AS5" s="110">
        <v>1222782</v>
      </c>
      <c r="AT5" s="110">
        <v>39932</v>
      </c>
      <c r="AU5" s="110">
        <v>146186</v>
      </c>
      <c r="AV5" s="110">
        <v>95321</v>
      </c>
      <c r="AW5" s="110">
        <v>50865</v>
      </c>
      <c r="AX5" s="110">
        <v>311848</v>
      </c>
      <c r="AY5" s="110">
        <v>270218</v>
      </c>
      <c r="AZ5" s="110">
        <v>258449</v>
      </c>
      <c r="BA5" s="110">
        <v>11769</v>
      </c>
      <c r="BB5" s="110">
        <v>41630</v>
      </c>
      <c r="BC5" s="110">
        <v>24134</v>
      </c>
      <c r="BD5" s="110">
        <v>17496</v>
      </c>
      <c r="BE5" s="110">
        <v>4951407.8499999996</v>
      </c>
      <c r="BF5" s="110">
        <v>3393383.29</v>
      </c>
      <c r="BG5" s="110">
        <v>3393383.29</v>
      </c>
      <c r="BH5" s="110">
        <v>0</v>
      </c>
      <c r="BI5" s="110">
        <v>1558024.56</v>
      </c>
      <c r="BJ5" s="110">
        <v>1529621.85</v>
      </c>
      <c r="BK5" s="110">
        <v>28402.71</v>
      </c>
      <c r="BL5" s="110">
        <v>2154247.08</v>
      </c>
      <c r="BM5" s="110">
        <v>1421956.99</v>
      </c>
      <c r="BN5" s="110">
        <v>1421956.99</v>
      </c>
      <c r="BO5" s="110">
        <v>0</v>
      </c>
      <c r="BP5" s="110">
        <v>732290.09</v>
      </c>
      <c r="BQ5" s="110">
        <v>720424.58</v>
      </c>
      <c r="BR5" s="110">
        <v>11865.51</v>
      </c>
      <c r="BS5" s="110">
        <v>184312.27</v>
      </c>
      <c r="BT5" s="110">
        <v>130797.3</v>
      </c>
      <c r="BU5" s="110">
        <v>130797.3</v>
      </c>
      <c r="BV5" s="110">
        <v>0</v>
      </c>
      <c r="BW5" s="110">
        <v>53514.97</v>
      </c>
      <c r="BX5" s="110">
        <v>52921.77</v>
      </c>
      <c r="BY5" s="110">
        <v>593.20000000000005</v>
      </c>
      <c r="BZ5" s="110">
        <v>2124504</v>
      </c>
      <c r="CA5" s="110">
        <v>1482879</v>
      </c>
      <c r="CB5" s="110">
        <v>1482879</v>
      </c>
      <c r="CC5" s="110">
        <v>0</v>
      </c>
      <c r="CD5" s="110">
        <v>641625</v>
      </c>
      <c r="CE5" s="110">
        <v>627971</v>
      </c>
      <c r="CF5" s="110">
        <v>13654</v>
      </c>
      <c r="CG5" s="110">
        <v>488344.5</v>
      </c>
      <c r="CH5" s="110">
        <v>357750</v>
      </c>
      <c r="CI5" s="110">
        <v>357750</v>
      </c>
      <c r="CJ5" s="110">
        <v>0</v>
      </c>
      <c r="CK5" s="110">
        <v>130594.5</v>
      </c>
      <c r="CL5" s="110">
        <v>128304.5</v>
      </c>
      <c r="CM5" s="110">
        <v>2290</v>
      </c>
      <c r="CN5" s="110">
        <v>25</v>
      </c>
      <c r="CO5" s="110">
        <v>2249402.71</v>
      </c>
      <c r="CP5" s="110">
        <v>955675.77</v>
      </c>
      <c r="CQ5" s="110">
        <v>91482.57</v>
      </c>
      <c r="CR5" s="110">
        <v>223665.07</v>
      </c>
      <c r="CS5" s="110">
        <v>0</v>
      </c>
      <c r="CT5" s="110">
        <v>0</v>
      </c>
      <c r="CU5" s="110">
        <v>0</v>
      </c>
      <c r="CV5" s="111">
        <v>8145</v>
      </c>
      <c r="CW5" s="111">
        <v>7237</v>
      </c>
      <c r="CX5" s="111">
        <v>6977</v>
      </c>
      <c r="CY5" s="111">
        <v>260</v>
      </c>
      <c r="CZ5" s="111">
        <v>908</v>
      </c>
      <c r="DA5" s="111">
        <v>532</v>
      </c>
      <c r="DB5" s="111">
        <v>376</v>
      </c>
      <c r="DC5" s="111">
        <v>6311</v>
      </c>
      <c r="DD5" s="111">
        <v>23</v>
      </c>
      <c r="DE5" s="111">
        <v>5669</v>
      </c>
      <c r="DF5" s="111">
        <v>5471</v>
      </c>
      <c r="DG5" s="111">
        <v>198</v>
      </c>
      <c r="DH5" s="111">
        <v>642</v>
      </c>
      <c r="DI5" s="111">
        <v>364</v>
      </c>
      <c r="DJ5" s="111">
        <v>278</v>
      </c>
      <c r="DK5" s="111">
        <v>1523</v>
      </c>
      <c r="DL5" s="111">
        <v>1314</v>
      </c>
      <c r="DM5" s="111">
        <v>1268</v>
      </c>
      <c r="DN5" s="111">
        <v>46</v>
      </c>
      <c r="DO5" s="111">
        <v>209</v>
      </c>
      <c r="DP5" s="111">
        <v>136</v>
      </c>
      <c r="DQ5" s="111">
        <v>73</v>
      </c>
      <c r="DR5" s="111">
        <v>287</v>
      </c>
      <c r="DS5" s="111">
        <v>1</v>
      </c>
      <c r="DT5" s="111">
        <v>232</v>
      </c>
      <c r="DU5" s="111">
        <v>216</v>
      </c>
      <c r="DV5" s="111">
        <v>16</v>
      </c>
      <c r="DW5" s="111">
        <v>55</v>
      </c>
      <c r="DX5" s="111">
        <v>32</v>
      </c>
      <c r="DY5" s="111">
        <v>23</v>
      </c>
      <c r="DZ5" s="111">
        <v>0</v>
      </c>
      <c r="EA5" s="111">
        <v>0</v>
      </c>
      <c r="EB5" s="111">
        <v>0</v>
      </c>
      <c r="EC5" s="111">
        <v>0</v>
      </c>
      <c r="ED5" s="111">
        <v>0</v>
      </c>
      <c r="EE5" s="111">
        <v>0</v>
      </c>
      <c r="EF5" s="111">
        <v>0</v>
      </c>
      <c r="EG5" s="111">
        <v>256</v>
      </c>
      <c r="EH5" s="111">
        <v>174</v>
      </c>
      <c r="EI5" s="111">
        <v>174</v>
      </c>
      <c r="EJ5" s="111">
        <v>0</v>
      </c>
      <c r="EK5" s="111">
        <v>82</v>
      </c>
      <c r="EL5" s="111">
        <v>80</v>
      </c>
      <c r="EM5" s="111">
        <v>2</v>
      </c>
      <c r="EN5" s="111">
        <v>175</v>
      </c>
      <c r="EO5" s="111">
        <v>1</v>
      </c>
      <c r="EP5" s="111">
        <v>0</v>
      </c>
      <c r="EQ5" s="111">
        <v>174</v>
      </c>
      <c r="ER5" s="111">
        <v>0</v>
      </c>
      <c r="ES5" s="111">
        <v>0</v>
      </c>
      <c r="ET5" s="111">
        <v>0</v>
      </c>
      <c r="EU5" s="111">
        <v>0</v>
      </c>
      <c r="EV5" s="111">
        <v>0</v>
      </c>
      <c r="EW5" s="111">
        <v>0</v>
      </c>
      <c r="EX5" s="111">
        <v>0</v>
      </c>
      <c r="EY5" s="111">
        <v>0</v>
      </c>
      <c r="EZ5" s="111">
        <v>0</v>
      </c>
      <c r="FA5" s="111">
        <v>0</v>
      </c>
      <c r="FB5" s="111">
        <v>63</v>
      </c>
    </row>
    <row r="6" spans="1:158" ht="28.5" customHeight="1">
      <c r="A6" s="107">
        <v>3</v>
      </c>
      <c r="B6" s="107" t="s">
        <v>350</v>
      </c>
      <c r="C6" s="107" t="s">
        <v>353</v>
      </c>
      <c r="D6" s="110">
        <v>7816691.5</v>
      </c>
      <c r="E6" s="110">
        <v>4729971.5</v>
      </c>
      <c r="F6" s="110">
        <v>3086720</v>
      </c>
      <c r="G6" s="110">
        <v>14896</v>
      </c>
      <c r="H6" s="110">
        <v>484</v>
      </c>
      <c r="I6" s="110">
        <v>320172</v>
      </c>
      <c r="J6" s="110">
        <v>28700</v>
      </c>
      <c r="K6" s="110">
        <v>0</v>
      </c>
      <c r="L6" s="110">
        <v>248966</v>
      </c>
      <c r="M6" s="110">
        <v>66567</v>
      </c>
      <c r="N6" s="110">
        <v>450.8</v>
      </c>
      <c r="O6" s="110">
        <v>13841528.82</v>
      </c>
      <c r="P6" s="110">
        <v>11109727.050000001</v>
      </c>
      <c r="Q6" s="110">
        <v>10680421.119999999</v>
      </c>
      <c r="R6" s="110">
        <v>429305.93</v>
      </c>
      <c r="S6" s="110">
        <v>2731801.77</v>
      </c>
      <c r="T6" s="110">
        <v>2313504.89</v>
      </c>
      <c r="U6" s="110">
        <v>418296.88</v>
      </c>
      <c r="V6" s="110">
        <v>8552536.2400000002</v>
      </c>
      <c r="W6" s="110">
        <v>7455013.1200000001</v>
      </c>
      <c r="X6" s="110">
        <v>7042577.7400000002</v>
      </c>
      <c r="Y6" s="110">
        <v>412435.38</v>
      </c>
      <c r="Z6" s="110">
        <v>1097523.1200000001</v>
      </c>
      <c r="AA6" s="110">
        <v>716824.99</v>
      </c>
      <c r="AB6" s="110">
        <v>380698.13</v>
      </c>
      <c r="AC6" s="110">
        <v>3225691.74</v>
      </c>
      <c r="AD6" s="110">
        <v>2855361.62</v>
      </c>
      <c r="AE6" s="110">
        <v>2767400.24</v>
      </c>
      <c r="AF6" s="110">
        <v>87961.38</v>
      </c>
      <c r="AG6" s="110">
        <v>370330.12</v>
      </c>
      <c r="AH6" s="110">
        <v>232392.99</v>
      </c>
      <c r="AI6" s="110">
        <v>137937.13</v>
      </c>
      <c r="AJ6" s="110">
        <v>596873</v>
      </c>
      <c r="AK6" s="110">
        <v>501129</v>
      </c>
      <c r="AL6" s="110">
        <v>481591</v>
      </c>
      <c r="AM6" s="110">
        <v>19538</v>
      </c>
      <c r="AN6" s="110">
        <v>95744</v>
      </c>
      <c r="AO6" s="110">
        <v>77374</v>
      </c>
      <c r="AP6" s="110">
        <v>18370</v>
      </c>
      <c r="AQ6" s="110">
        <v>3199071.5</v>
      </c>
      <c r="AR6" s="110">
        <v>2807895.5</v>
      </c>
      <c r="AS6" s="110">
        <v>2713884.5</v>
      </c>
      <c r="AT6" s="110">
        <v>94011</v>
      </c>
      <c r="AU6" s="110">
        <v>391176</v>
      </c>
      <c r="AV6" s="110">
        <v>275786</v>
      </c>
      <c r="AW6" s="110">
        <v>115390</v>
      </c>
      <c r="AX6" s="110">
        <v>1530900</v>
      </c>
      <c r="AY6" s="110">
        <v>1290627</v>
      </c>
      <c r="AZ6" s="110">
        <v>1079702</v>
      </c>
      <c r="BA6" s="110">
        <v>210925</v>
      </c>
      <c r="BB6" s="110">
        <v>240273</v>
      </c>
      <c r="BC6" s="110">
        <v>131272</v>
      </c>
      <c r="BD6" s="110">
        <v>109001</v>
      </c>
      <c r="BE6" s="110">
        <v>5288992.58</v>
      </c>
      <c r="BF6" s="110">
        <v>3654713.93</v>
      </c>
      <c r="BG6" s="110">
        <v>3637843.38</v>
      </c>
      <c r="BH6" s="110">
        <v>16870.55</v>
      </c>
      <c r="BI6" s="110">
        <v>1634278.65</v>
      </c>
      <c r="BJ6" s="110">
        <v>1596679.9</v>
      </c>
      <c r="BK6" s="110">
        <v>37598.75</v>
      </c>
      <c r="BL6" s="110">
        <v>879169.58</v>
      </c>
      <c r="BM6" s="110">
        <v>613835.13</v>
      </c>
      <c r="BN6" s="110">
        <v>612042.53</v>
      </c>
      <c r="BO6" s="110">
        <v>1792.6</v>
      </c>
      <c r="BP6" s="110">
        <v>265334.45</v>
      </c>
      <c r="BQ6" s="110">
        <v>257739.9</v>
      </c>
      <c r="BR6" s="110">
        <v>7594.55</v>
      </c>
      <c r="BS6" s="110">
        <v>1323103</v>
      </c>
      <c r="BT6" s="110">
        <v>938703.3</v>
      </c>
      <c r="BU6" s="110">
        <v>934667.85</v>
      </c>
      <c r="BV6" s="110">
        <v>4035.45</v>
      </c>
      <c r="BW6" s="110">
        <v>384399.7</v>
      </c>
      <c r="BX6" s="110">
        <v>380359.5</v>
      </c>
      <c r="BY6" s="110">
        <v>4040.2</v>
      </c>
      <c r="BZ6" s="110">
        <v>2244800.5</v>
      </c>
      <c r="CA6" s="110">
        <v>1509057</v>
      </c>
      <c r="CB6" s="110">
        <v>1500804</v>
      </c>
      <c r="CC6" s="110">
        <v>8253</v>
      </c>
      <c r="CD6" s="110">
        <v>735743.5</v>
      </c>
      <c r="CE6" s="110">
        <v>713624.5</v>
      </c>
      <c r="CF6" s="110">
        <v>22119</v>
      </c>
      <c r="CG6" s="110">
        <v>841919.5</v>
      </c>
      <c r="CH6" s="110">
        <v>593118.5</v>
      </c>
      <c r="CI6" s="110">
        <v>590329</v>
      </c>
      <c r="CJ6" s="110">
        <v>2789.5</v>
      </c>
      <c r="CK6" s="110">
        <v>248801</v>
      </c>
      <c r="CL6" s="110">
        <v>244956</v>
      </c>
      <c r="CM6" s="110">
        <v>3845</v>
      </c>
      <c r="CN6" s="110">
        <v>50</v>
      </c>
      <c r="CO6" s="110">
        <v>3681360.36</v>
      </c>
      <c r="CP6" s="110">
        <v>2084133.98</v>
      </c>
      <c r="CQ6" s="110">
        <v>1284974.3799999999</v>
      </c>
      <c r="CR6" s="110">
        <v>1502067.52</v>
      </c>
      <c r="CS6" s="110">
        <v>0</v>
      </c>
      <c r="CT6" s="110">
        <v>2193</v>
      </c>
      <c r="CU6" s="110">
        <v>0</v>
      </c>
      <c r="CV6" s="111">
        <v>14896</v>
      </c>
      <c r="CW6" s="111">
        <v>13237</v>
      </c>
      <c r="CX6" s="111">
        <v>12652</v>
      </c>
      <c r="CY6" s="111">
        <v>585</v>
      </c>
      <c r="CZ6" s="111">
        <v>1659</v>
      </c>
      <c r="DA6" s="111">
        <v>1026</v>
      </c>
      <c r="DB6" s="111">
        <v>633</v>
      </c>
      <c r="DC6" s="111">
        <v>9887</v>
      </c>
      <c r="DD6" s="111">
        <v>181</v>
      </c>
      <c r="DE6" s="111">
        <v>8943</v>
      </c>
      <c r="DF6" s="111">
        <v>8687</v>
      </c>
      <c r="DG6" s="111">
        <v>256</v>
      </c>
      <c r="DH6" s="111">
        <v>944</v>
      </c>
      <c r="DI6" s="111">
        <v>626</v>
      </c>
      <c r="DJ6" s="111">
        <v>318</v>
      </c>
      <c r="DK6" s="111">
        <v>3835</v>
      </c>
      <c r="DL6" s="111">
        <v>3308</v>
      </c>
      <c r="DM6" s="111">
        <v>3168</v>
      </c>
      <c r="DN6" s="111">
        <v>140</v>
      </c>
      <c r="DO6" s="111">
        <v>527</v>
      </c>
      <c r="DP6" s="111">
        <v>321</v>
      </c>
      <c r="DQ6" s="111">
        <v>206</v>
      </c>
      <c r="DR6" s="111">
        <v>993</v>
      </c>
      <c r="DS6" s="111">
        <v>0</v>
      </c>
      <c r="DT6" s="111">
        <v>813</v>
      </c>
      <c r="DU6" s="111">
        <v>630</v>
      </c>
      <c r="DV6" s="111">
        <v>183</v>
      </c>
      <c r="DW6" s="111">
        <v>180</v>
      </c>
      <c r="DX6" s="111">
        <v>78</v>
      </c>
      <c r="DY6" s="111">
        <v>102</v>
      </c>
      <c r="DZ6" s="111">
        <v>0</v>
      </c>
      <c r="EA6" s="111">
        <v>0</v>
      </c>
      <c r="EB6" s="111">
        <v>0</v>
      </c>
      <c r="EC6" s="111">
        <v>0</v>
      </c>
      <c r="ED6" s="111">
        <v>0</v>
      </c>
      <c r="EE6" s="111">
        <v>0</v>
      </c>
      <c r="EF6" s="111">
        <v>0</v>
      </c>
      <c r="EG6" s="111">
        <v>484</v>
      </c>
      <c r="EH6" s="111">
        <v>340</v>
      </c>
      <c r="EI6" s="111">
        <v>337</v>
      </c>
      <c r="EJ6" s="111">
        <v>3</v>
      </c>
      <c r="EK6" s="111">
        <v>144</v>
      </c>
      <c r="EL6" s="111">
        <v>140</v>
      </c>
      <c r="EM6" s="111">
        <v>4</v>
      </c>
      <c r="EN6" s="111">
        <v>631</v>
      </c>
      <c r="EO6" s="111">
        <v>0</v>
      </c>
      <c r="EP6" s="111">
        <v>0</v>
      </c>
      <c r="EQ6" s="111">
        <v>631</v>
      </c>
      <c r="ER6" s="111">
        <v>0</v>
      </c>
      <c r="ES6" s="111">
        <v>0</v>
      </c>
      <c r="ET6" s="111">
        <v>66</v>
      </c>
      <c r="EU6" s="111">
        <v>50</v>
      </c>
      <c r="EV6" s="111">
        <v>0</v>
      </c>
      <c r="EW6" s="111">
        <v>0</v>
      </c>
      <c r="EX6" s="111">
        <v>50</v>
      </c>
      <c r="EY6" s="111">
        <v>0</v>
      </c>
      <c r="EZ6" s="111">
        <v>0</v>
      </c>
      <c r="FA6" s="111">
        <v>0</v>
      </c>
      <c r="FB6" s="111">
        <v>45</v>
      </c>
    </row>
    <row r="7" spans="1:158" ht="19.5" customHeight="1">
      <c r="A7" s="107">
        <v>4</v>
      </c>
      <c r="B7" s="107" t="s">
        <v>350</v>
      </c>
      <c r="C7" s="107" t="s">
        <v>354</v>
      </c>
      <c r="D7" s="110">
        <v>4397080.5</v>
      </c>
      <c r="E7" s="110">
        <v>2002290</v>
      </c>
      <c r="F7" s="110">
        <v>2394790.5</v>
      </c>
      <c r="G7" s="110">
        <v>11393</v>
      </c>
      <c r="H7" s="110">
        <v>206</v>
      </c>
      <c r="I7" s="110">
        <v>1738</v>
      </c>
      <c r="J7" s="110">
        <v>0</v>
      </c>
      <c r="K7" s="110">
        <v>88931.36</v>
      </c>
      <c r="L7" s="110">
        <v>282332</v>
      </c>
      <c r="M7" s="110">
        <v>0</v>
      </c>
      <c r="N7" s="110">
        <v>973.11</v>
      </c>
      <c r="O7" s="110">
        <v>9014299.1600000001</v>
      </c>
      <c r="P7" s="110">
        <v>7676932.54</v>
      </c>
      <c r="Q7" s="110">
        <v>7468193.9199999999</v>
      </c>
      <c r="R7" s="110">
        <v>208738.62</v>
      </c>
      <c r="S7" s="110">
        <v>1337366.6200000001</v>
      </c>
      <c r="T7" s="110">
        <v>1148415.3799999999</v>
      </c>
      <c r="U7" s="110">
        <v>188951.24</v>
      </c>
      <c r="V7" s="110">
        <v>5025074.9400000004</v>
      </c>
      <c r="W7" s="110">
        <v>4504411.5</v>
      </c>
      <c r="X7" s="110">
        <v>4373027.0599999996</v>
      </c>
      <c r="Y7" s="110">
        <v>131384.44</v>
      </c>
      <c r="Z7" s="110">
        <v>520663.44</v>
      </c>
      <c r="AA7" s="110">
        <v>340335.49</v>
      </c>
      <c r="AB7" s="110">
        <v>180327.95</v>
      </c>
      <c r="AC7" s="110">
        <v>3022528.16</v>
      </c>
      <c r="AD7" s="110">
        <v>2765880</v>
      </c>
      <c r="AE7" s="110">
        <v>2697940.56</v>
      </c>
      <c r="AF7" s="110">
        <v>67939.44</v>
      </c>
      <c r="AG7" s="110">
        <v>256648.16</v>
      </c>
      <c r="AH7" s="110">
        <v>177124.21</v>
      </c>
      <c r="AI7" s="110">
        <v>79523.95</v>
      </c>
      <c r="AJ7" s="110">
        <v>256.77999999999997</v>
      </c>
      <c r="AK7" s="110">
        <v>192</v>
      </c>
      <c r="AL7" s="110">
        <v>192</v>
      </c>
      <c r="AM7" s="110">
        <v>0</v>
      </c>
      <c r="AN7" s="110">
        <v>64.78</v>
      </c>
      <c r="AO7" s="110">
        <v>64.78</v>
      </c>
      <c r="AP7" s="110">
        <v>0</v>
      </c>
      <c r="AQ7" s="110">
        <v>1633383</v>
      </c>
      <c r="AR7" s="110">
        <v>1417642</v>
      </c>
      <c r="AS7" s="110">
        <v>1367435</v>
      </c>
      <c r="AT7" s="110">
        <v>50207</v>
      </c>
      <c r="AU7" s="110">
        <v>215741</v>
      </c>
      <c r="AV7" s="110">
        <v>134858</v>
      </c>
      <c r="AW7" s="110">
        <v>80883</v>
      </c>
      <c r="AX7" s="110">
        <v>368907</v>
      </c>
      <c r="AY7" s="110">
        <v>320697.5</v>
      </c>
      <c r="AZ7" s="110">
        <v>307459.5</v>
      </c>
      <c r="BA7" s="110">
        <v>13238</v>
      </c>
      <c r="BB7" s="110">
        <v>48209.5</v>
      </c>
      <c r="BC7" s="110">
        <v>28288.5</v>
      </c>
      <c r="BD7" s="110">
        <v>19921</v>
      </c>
      <c r="BE7" s="110">
        <v>3989224.22</v>
      </c>
      <c r="BF7" s="110">
        <v>3172521.04</v>
      </c>
      <c r="BG7" s="110">
        <v>3095166.86</v>
      </c>
      <c r="BH7" s="110">
        <v>77354.179999999993</v>
      </c>
      <c r="BI7" s="110">
        <v>816703.18</v>
      </c>
      <c r="BJ7" s="110">
        <v>808079.89</v>
      </c>
      <c r="BK7" s="110">
        <v>8623.2900000000009</v>
      </c>
      <c r="BL7" s="110">
        <v>782506.2</v>
      </c>
      <c r="BM7" s="110">
        <v>650285.67000000004</v>
      </c>
      <c r="BN7" s="110">
        <v>610333.75</v>
      </c>
      <c r="BO7" s="110">
        <v>39951.919999999998</v>
      </c>
      <c r="BP7" s="110">
        <v>132220.53</v>
      </c>
      <c r="BQ7" s="110">
        <v>131602.39000000001</v>
      </c>
      <c r="BR7" s="110">
        <v>618.14</v>
      </c>
      <c r="BS7" s="110">
        <v>811927.52</v>
      </c>
      <c r="BT7" s="110">
        <v>682339.87</v>
      </c>
      <c r="BU7" s="110">
        <v>680833.61</v>
      </c>
      <c r="BV7" s="110">
        <v>1506.26</v>
      </c>
      <c r="BW7" s="110">
        <v>129587.65</v>
      </c>
      <c r="BX7" s="110">
        <v>129352</v>
      </c>
      <c r="BY7" s="110">
        <v>235.65</v>
      </c>
      <c r="BZ7" s="110">
        <v>1766339</v>
      </c>
      <c r="CA7" s="110">
        <v>1326802</v>
      </c>
      <c r="CB7" s="110">
        <v>1306456</v>
      </c>
      <c r="CC7" s="110">
        <v>20346</v>
      </c>
      <c r="CD7" s="110">
        <v>439537</v>
      </c>
      <c r="CE7" s="110">
        <v>432745</v>
      </c>
      <c r="CF7" s="110">
        <v>6792</v>
      </c>
      <c r="CG7" s="110">
        <v>628451.5</v>
      </c>
      <c r="CH7" s="110">
        <v>513093.5</v>
      </c>
      <c r="CI7" s="110">
        <v>497543.5</v>
      </c>
      <c r="CJ7" s="110">
        <v>15550</v>
      </c>
      <c r="CK7" s="110">
        <v>115358</v>
      </c>
      <c r="CL7" s="110">
        <v>114380.5</v>
      </c>
      <c r="CM7" s="110">
        <v>977.5</v>
      </c>
      <c r="CN7" s="110">
        <v>0</v>
      </c>
      <c r="CO7" s="110">
        <v>2541914.52</v>
      </c>
      <c r="CP7" s="110">
        <v>1381057.91</v>
      </c>
      <c r="CQ7" s="110">
        <v>893549.39</v>
      </c>
      <c r="CR7" s="110">
        <v>208553.12</v>
      </c>
      <c r="CS7" s="110">
        <v>0</v>
      </c>
      <c r="CT7" s="110">
        <v>4016.59</v>
      </c>
      <c r="CU7" s="110">
        <v>0</v>
      </c>
      <c r="CV7" s="111">
        <v>11393</v>
      </c>
      <c r="CW7" s="111">
        <v>10308</v>
      </c>
      <c r="CX7" s="111">
        <v>9948</v>
      </c>
      <c r="CY7" s="111">
        <v>360</v>
      </c>
      <c r="CZ7" s="111">
        <v>1085</v>
      </c>
      <c r="DA7" s="111">
        <v>663</v>
      </c>
      <c r="DB7" s="111">
        <v>422</v>
      </c>
      <c r="DC7" s="111">
        <v>8720</v>
      </c>
      <c r="DD7" s="111">
        <v>175</v>
      </c>
      <c r="DE7" s="111">
        <v>8015</v>
      </c>
      <c r="DF7" s="111">
        <v>7777</v>
      </c>
      <c r="DG7" s="111">
        <v>238</v>
      </c>
      <c r="DH7" s="111">
        <v>705</v>
      </c>
      <c r="DI7" s="111">
        <v>449</v>
      </c>
      <c r="DJ7" s="111">
        <v>256</v>
      </c>
      <c r="DK7" s="111">
        <v>2334</v>
      </c>
      <c r="DL7" s="111">
        <v>2023</v>
      </c>
      <c r="DM7" s="111">
        <v>1917</v>
      </c>
      <c r="DN7" s="111">
        <v>106</v>
      </c>
      <c r="DO7" s="111">
        <v>311</v>
      </c>
      <c r="DP7" s="111">
        <v>191</v>
      </c>
      <c r="DQ7" s="111">
        <v>120</v>
      </c>
      <c r="DR7" s="111">
        <v>164</v>
      </c>
      <c r="DS7" s="111">
        <v>0</v>
      </c>
      <c r="DT7" s="111">
        <v>110</v>
      </c>
      <c r="DU7" s="111">
        <v>100</v>
      </c>
      <c r="DV7" s="111">
        <v>10</v>
      </c>
      <c r="DW7" s="111">
        <v>54</v>
      </c>
      <c r="DX7" s="111">
        <v>23</v>
      </c>
      <c r="DY7" s="111">
        <v>31</v>
      </c>
      <c r="DZ7" s="111">
        <v>0</v>
      </c>
      <c r="EA7" s="111">
        <v>0</v>
      </c>
      <c r="EB7" s="111">
        <v>0</v>
      </c>
      <c r="EC7" s="111">
        <v>0</v>
      </c>
      <c r="ED7" s="111">
        <v>0</v>
      </c>
      <c r="EE7" s="111">
        <v>0</v>
      </c>
      <c r="EF7" s="111">
        <v>0</v>
      </c>
      <c r="EG7" s="111">
        <v>206</v>
      </c>
      <c r="EH7" s="111">
        <v>158</v>
      </c>
      <c r="EI7" s="111">
        <v>155</v>
      </c>
      <c r="EJ7" s="111">
        <v>3</v>
      </c>
      <c r="EK7" s="111">
        <v>48</v>
      </c>
      <c r="EL7" s="111">
        <v>47</v>
      </c>
      <c r="EM7" s="111">
        <v>1</v>
      </c>
      <c r="EN7" s="111">
        <v>42</v>
      </c>
      <c r="EO7" s="111">
        <v>0</v>
      </c>
      <c r="EP7" s="111">
        <v>9</v>
      </c>
      <c r="EQ7" s="111">
        <v>33</v>
      </c>
      <c r="ER7" s="111">
        <v>0</v>
      </c>
      <c r="ES7" s="111">
        <v>0</v>
      </c>
      <c r="ET7" s="111">
        <v>0</v>
      </c>
      <c r="EU7" s="111">
        <v>4</v>
      </c>
      <c r="EV7" s="111">
        <v>0</v>
      </c>
      <c r="EW7" s="111">
        <v>4</v>
      </c>
      <c r="EX7" s="111">
        <v>0</v>
      </c>
      <c r="EY7" s="111">
        <v>5</v>
      </c>
      <c r="EZ7" s="111">
        <v>0</v>
      </c>
      <c r="FA7" s="111">
        <v>5</v>
      </c>
      <c r="FB7" s="111">
        <v>57</v>
      </c>
    </row>
    <row r="8" spans="1:158" ht="19.5" customHeight="1">
      <c r="A8" s="107">
        <v>5</v>
      </c>
      <c r="B8" s="107" t="s">
        <v>350</v>
      </c>
      <c r="C8" s="107" t="s">
        <v>421</v>
      </c>
      <c r="D8" s="110">
        <v>4450190.5</v>
      </c>
      <c r="E8" s="110">
        <v>1334508</v>
      </c>
      <c r="F8" s="110">
        <v>3115682.5</v>
      </c>
      <c r="G8" s="110">
        <v>9695</v>
      </c>
      <c r="H8" s="110">
        <v>354</v>
      </c>
      <c r="I8" s="110">
        <v>480</v>
      </c>
      <c r="J8" s="110">
        <v>0</v>
      </c>
      <c r="K8" s="110">
        <v>0</v>
      </c>
      <c r="L8" s="110">
        <v>832978</v>
      </c>
      <c r="M8" s="110">
        <v>0</v>
      </c>
      <c r="N8" s="110">
        <v>823.45</v>
      </c>
      <c r="O8" s="110">
        <v>24749726.870000001</v>
      </c>
      <c r="P8" s="110">
        <v>19111409.260000002</v>
      </c>
      <c r="Q8" s="110">
        <v>18989456.57</v>
      </c>
      <c r="R8" s="110">
        <v>121952.69</v>
      </c>
      <c r="S8" s="110">
        <v>5638317.6100000003</v>
      </c>
      <c r="T8" s="110">
        <v>5353813.8600000003</v>
      </c>
      <c r="U8" s="110">
        <v>284503.75</v>
      </c>
      <c r="V8" s="110">
        <v>4208051.26</v>
      </c>
      <c r="W8" s="110">
        <v>3867026.4</v>
      </c>
      <c r="X8" s="110">
        <v>3821737.23</v>
      </c>
      <c r="Y8" s="110">
        <v>45289.17</v>
      </c>
      <c r="Z8" s="110">
        <v>341024.86</v>
      </c>
      <c r="AA8" s="110">
        <v>264336.36</v>
      </c>
      <c r="AB8" s="110">
        <v>76688.5</v>
      </c>
      <c r="AC8" s="110">
        <v>2872912.46</v>
      </c>
      <c r="AD8" s="110">
        <v>2690192.6</v>
      </c>
      <c r="AE8" s="110">
        <v>2667407.4300000002</v>
      </c>
      <c r="AF8" s="110">
        <v>22785.17</v>
      </c>
      <c r="AG8" s="110">
        <v>182719.86</v>
      </c>
      <c r="AH8" s="110">
        <v>153628.35999999999</v>
      </c>
      <c r="AI8" s="110">
        <v>29091.5</v>
      </c>
      <c r="AJ8" s="110">
        <v>630.79999999999995</v>
      </c>
      <c r="AK8" s="110">
        <v>510.8</v>
      </c>
      <c r="AL8" s="110">
        <v>510.8</v>
      </c>
      <c r="AM8" s="110">
        <v>0</v>
      </c>
      <c r="AN8" s="110">
        <v>120</v>
      </c>
      <c r="AO8" s="110">
        <v>120</v>
      </c>
      <c r="AP8" s="110">
        <v>0</v>
      </c>
      <c r="AQ8" s="110">
        <v>974860</v>
      </c>
      <c r="AR8" s="110">
        <v>859616</v>
      </c>
      <c r="AS8" s="110">
        <v>842751</v>
      </c>
      <c r="AT8" s="110">
        <v>16865</v>
      </c>
      <c r="AU8" s="110">
        <v>115244</v>
      </c>
      <c r="AV8" s="110">
        <v>79918</v>
      </c>
      <c r="AW8" s="110">
        <v>35326</v>
      </c>
      <c r="AX8" s="110">
        <v>359648</v>
      </c>
      <c r="AY8" s="110">
        <v>316707</v>
      </c>
      <c r="AZ8" s="110">
        <v>311068</v>
      </c>
      <c r="BA8" s="110">
        <v>5639</v>
      </c>
      <c r="BB8" s="110">
        <v>42941</v>
      </c>
      <c r="BC8" s="110">
        <v>30670</v>
      </c>
      <c r="BD8" s="110">
        <v>12271</v>
      </c>
      <c r="BE8" s="110">
        <v>20541675.609999999</v>
      </c>
      <c r="BF8" s="110">
        <v>15244382.859999999</v>
      </c>
      <c r="BG8" s="110">
        <v>15167719.34</v>
      </c>
      <c r="BH8" s="110">
        <v>76663.520000000004</v>
      </c>
      <c r="BI8" s="110">
        <v>5297292.75</v>
      </c>
      <c r="BJ8" s="110">
        <v>5089477.5</v>
      </c>
      <c r="BK8" s="110">
        <v>207815.25</v>
      </c>
      <c r="BL8" s="110">
        <v>608620.26</v>
      </c>
      <c r="BM8" s="110">
        <v>444674.04</v>
      </c>
      <c r="BN8" s="110">
        <v>442711.32</v>
      </c>
      <c r="BO8" s="110">
        <v>1962.72</v>
      </c>
      <c r="BP8" s="110">
        <v>163946.22</v>
      </c>
      <c r="BQ8" s="110">
        <v>154483.25</v>
      </c>
      <c r="BR8" s="110">
        <v>9462.9699999999993</v>
      </c>
      <c r="BS8" s="110">
        <v>16817372.850000001</v>
      </c>
      <c r="BT8" s="110">
        <v>12514165.82</v>
      </c>
      <c r="BU8" s="110">
        <v>12457935.02</v>
      </c>
      <c r="BV8" s="110">
        <v>56230.8</v>
      </c>
      <c r="BW8" s="110">
        <v>4303207.03</v>
      </c>
      <c r="BX8" s="110">
        <v>4134681.25</v>
      </c>
      <c r="BY8" s="110">
        <v>168525.78</v>
      </c>
      <c r="BZ8" s="110">
        <v>1929983</v>
      </c>
      <c r="CA8" s="110">
        <v>1424808</v>
      </c>
      <c r="CB8" s="110">
        <v>1414897</v>
      </c>
      <c r="CC8" s="110">
        <v>9911</v>
      </c>
      <c r="CD8" s="110">
        <v>505175</v>
      </c>
      <c r="CE8" s="110">
        <v>485509</v>
      </c>
      <c r="CF8" s="110">
        <v>19666</v>
      </c>
      <c r="CG8" s="110">
        <v>1185699.5</v>
      </c>
      <c r="CH8" s="110">
        <v>860735</v>
      </c>
      <c r="CI8" s="110">
        <v>852176</v>
      </c>
      <c r="CJ8" s="110">
        <v>8559</v>
      </c>
      <c r="CK8" s="110">
        <v>324964.5</v>
      </c>
      <c r="CL8" s="110">
        <v>314804</v>
      </c>
      <c r="CM8" s="110">
        <v>10160.5</v>
      </c>
      <c r="CN8" s="110">
        <v>0</v>
      </c>
      <c r="CO8" s="110">
        <v>1918996.95</v>
      </c>
      <c r="CP8" s="110">
        <v>1401979.89</v>
      </c>
      <c r="CQ8" s="110">
        <v>718518.39</v>
      </c>
      <c r="CR8" s="110">
        <v>168556.03</v>
      </c>
      <c r="CS8" s="110">
        <v>0</v>
      </c>
      <c r="CT8" s="110">
        <v>0</v>
      </c>
      <c r="CU8" s="110">
        <v>0</v>
      </c>
      <c r="CV8" s="111">
        <v>9695</v>
      </c>
      <c r="CW8" s="111">
        <v>8868</v>
      </c>
      <c r="CX8" s="111">
        <v>8714</v>
      </c>
      <c r="CY8" s="111">
        <v>154</v>
      </c>
      <c r="CZ8" s="111">
        <v>827</v>
      </c>
      <c r="DA8" s="111">
        <v>603</v>
      </c>
      <c r="DB8" s="111">
        <v>224</v>
      </c>
      <c r="DC8" s="111">
        <v>6601</v>
      </c>
      <c r="DD8" s="111">
        <v>198</v>
      </c>
      <c r="DE8" s="111">
        <v>6171</v>
      </c>
      <c r="DF8" s="111">
        <v>6079</v>
      </c>
      <c r="DG8" s="111">
        <v>92</v>
      </c>
      <c r="DH8" s="111">
        <v>430</v>
      </c>
      <c r="DI8" s="111">
        <v>326</v>
      </c>
      <c r="DJ8" s="111">
        <v>104</v>
      </c>
      <c r="DK8" s="111">
        <v>2693</v>
      </c>
      <c r="DL8" s="111">
        <v>2341</v>
      </c>
      <c r="DM8" s="111">
        <v>2284</v>
      </c>
      <c r="DN8" s="111">
        <v>57</v>
      </c>
      <c r="DO8" s="111">
        <v>352</v>
      </c>
      <c r="DP8" s="111">
        <v>247</v>
      </c>
      <c r="DQ8" s="111">
        <v>105</v>
      </c>
      <c r="DR8" s="111">
        <v>203</v>
      </c>
      <c r="DS8" s="111">
        <v>0</v>
      </c>
      <c r="DT8" s="111">
        <v>159</v>
      </c>
      <c r="DU8" s="111">
        <v>157</v>
      </c>
      <c r="DV8" s="111">
        <v>2</v>
      </c>
      <c r="DW8" s="111">
        <v>44</v>
      </c>
      <c r="DX8" s="111">
        <v>30</v>
      </c>
      <c r="DY8" s="111">
        <v>14</v>
      </c>
      <c r="DZ8" s="111">
        <v>0</v>
      </c>
      <c r="EA8" s="111">
        <v>0</v>
      </c>
      <c r="EB8" s="111">
        <v>0</v>
      </c>
      <c r="EC8" s="111">
        <v>0</v>
      </c>
      <c r="ED8" s="111">
        <v>0</v>
      </c>
      <c r="EE8" s="111">
        <v>0</v>
      </c>
      <c r="EF8" s="111">
        <v>0</v>
      </c>
      <c r="EG8" s="111">
        <v>354</v>
      </c>
      <c r="EH8" s="111">
        <v>263</v>
      </c>
      <c r="EI8" s="111">
        <v>261</v>
      </c>
      <c r="EJ8" s="111">
        <v>2</v>
      </c>
      <c r="EK8" s="111">
        <v>91</v>
      </c>
      <c r="EL8" s="111">
        <v>88</v>
      </c>
      <c r="EM8" s="111">
        <v>3</v>
      </c>
      <c r="EN8" s="111">
        <v>274</v>
      </c>
      <c r="EO8" s="111">
        <v>89</v>
      </c>
      <c r="EP8" s="111">
        <v>80</v>
      </c>
      <c r="EQ8" s="111">
        <v>105</v>
      </c>
      <c r="ER8" s="111">
        <v>1</v>
      </c>
      <c r="ES8" s="111">
        <v>0</v>
      </c>
      <c r="ET8" s="111">
        <v>0</v>
      </c>
      <c r="EU8" s="111">
        <v>114</v>
      </c>
      <c r="EV8" s="111">
        <v>86</v>
      </c>
      <c r="EW8" s="111">
        <v>28</v>
      </c>
      <c r="EX8" s="111">
        <v>0</v>
      </c>
      <c r="EY8" s="111">
        <v>42</v>
      </c>
      <c r="EZ8" s="111">
        <v>1</v>
      </c>
      <c r="FA8" s="111">
        <v>41</v>
      </c>
      <c r="FB8" s="111">
        <v>156</v>
      </c>
    </row>
    <row r="9" spans="1:158" ht="19.5" customHeight="1">
      <c r="A9" s="107">
        <v>6</v>
      </c>
      <c r="B9" s="107" t="s">
        <v>350</v>
      </c>
      <c r="C9" s="107" t="s">
        <v>356</v>
      </c>
      <c r="D9" s="110">
        <v>1726205</v>
      </c>
      <c r="E9" s="110">
        <v>319543</v>
      </c>
      <c r="F9" s="110">
        <v>1406662</v>
      </c>
      <c r="G9" s="110">
        <v>1255</v>
      </c>
      <c r="H9" s="110">
        <v>384</v>
      </c>
      <c r="I9" s="110">
        <v>1202</v>
      </c>
      <c r="J9" s="110">
        <v>0</v>
      </c>
      <c r="K9" s="110">
        <v>0</v>
      </c>
      <c r="L9" s="110">
        <v>98303</v>
      </c>
      <c r="M9" s="110">
        <v>2367</v>
      </c>
      <c r="N9" s="110">
        <v>0</v>
      </c>
      <c r="O9" s="110">
        <v>9363559.2200000007</v>
      </c>
      <c r="P9" s="110">
        <v>4513060.5</v>
      </c>
      <c r="Q9" s="110">
        <v>3816788.86</v>
      </c>
      <c r="R9" s="110">
        <v>696271.64</v>
      </c>
      <c r="S9" s="110">
        <v>4850498.72</v>
      </c>
      <c r="T9" s="110">
        <v>4376344.47</v>
      </c>
      <c r="U9" s="110">
        <v>474154.25</v>
      </c>
      <c r="V9" s="110">
        <v>976304.92</v>
      </c>
      <c r="W9" s="110">
        <v>824339.22</v>
      </c>
      <c r="X9" s="110">
        <v>809971.95</v>
      </c>
      <c r="Y9" s="110">
        <v>14367.27</v>
      </c>
      <c r="Z9" s="110">
        <v>151965.70000000001</v>
      </c>
      <c r="AA9" s="110">
        <v>129618.44</v>
      </c>
      <c r="AB9" s="110">
        <v>22347.26</v>
      </c>
      <c r="AC9" s="110">
        <v>636456.72</v>
      </c>
      <c r="AD9" s="110">
        <v>562977.02</v>
      </c>
      <c r="AE9" s="110">
        <v>552907.75</v>
      </c>
      <c r="AF9" s="110">
        <v>10069.27</v>
      </c>
      <c r="AG9" s="110">
        <v>73479.7</v>
      </c>
      <c r="AH9" s="110">
        <v>61318.44</v>
      </c>
      <c r="AI9" s="110">
        <v>12161.26</v>
      </c>
      <c r="AJ9" s="110">
        <v>20305.2</v>
      </c>
      <c r="AK9" s="110">
        <v>18405.2</v>
      </c>
      <c r="AL9" s="110">
        <v>18405.2</v>
      </c>
      <c r="AM9" s="110">
        <v>0</v>
      </c>
      <c r="AN9" s="110">
        <v>1900</v>
      </c>
      <c r="AO9" s="110">
        <v>1900</v>
      </c>
      <c r="AP9" s="110">
        <v>0</v>
      </c>
      <c r="AQ9" s="110">
        <v>273399</v>
      </c>
      <c r="AR9" s="110">
        <v>205835</v>
      </c>
      <c r="AS9" s="110">
        <v>203824</v>
      </c>
      <c r="AT9" s="110">
        <v>2011</v>
      </c>
      <c r="AU9" s="110">
        <v>67564</v>
      </c>
      <c r="AV9" s="110">
        <v>59671</v>
      </c>
      <c r="AW9" s="110">
        <v>7893</v>
      </c>
      <c r="AX9" s="110">
        <v>46144</v>
      </c>
      <c r="AY9" s="110">
        <v>37122</v>
      </c>
      <c r="AZ9" s="110">
        <v>34835</v>
      </c>
      <c r="BA9" s="110">
        <v>2287</v>
      </c>
      <c r="BB9" s="110">
        <v>9022</v>
      </c>
      <c r="BC9" s="110">
        <v>6729</v>
      </c>
      <c r="BD9" s="110">
        <v>2293</v>
      </c>
      <c r="BE9" s="110">
        <v>8387254.2999999998</v>
      </c>
      <c r="BF9" s="110">
        <v>3688721.28</v>
      </c>
      <c r="BG9" s="110">
        <v>3006816.91</v>
      </c>
      <c r="BH9" s="110">
        <v>681904.37</v>
      </c>
      <c r="BI9" s="110">
        <v>4698533.0199999996</v>
      </c>
      <c r="BJ9" s="110">
        <v>4246726.03</v>
      </c>
      <c r="BK9" s="110">
        <v>451806.99</v>
      </c>
      <c r="BL9" s="110">
        <v>6765528.25</v>
      </c>
      <c r="BM9" s="110">
        <v>3010344.33</v>
      </c>
      <c r="BN9" s="110">
        <v>2331206.58</v>
      </c>
      <c r="BO9" s="110">
        <v>679137.75</v>
      </c>
      <c r="BP9" s="110">
        <v>3755183.92</v>
      </c>
      <c r="BQ9" s="110">
        <v>3315885.41</v>
      </c>
      <c r="BR9" s="110">
        <v>439298.51</v>
      </c>
      <c r="BS9" s="110">
        <v>215064.05</v>
      </c>
      <c r="BT9" s="110">
        <v>84968.95</v>
      </c>
      <c r="BU9" s="110">
        <v>84727.83</v>
      </c>
      <c r="BV9" s="110">
        <v>241.12</v>
      </c>
      <c r="BW9" s="110">
        <v>130095.1</v>
      </c>
      <c r="BX9" s="110">
        <v>127314.62</v>
      </c>
      <c r="BY9" s="110">
        <v>2780.48</v>
      </c>
      <c r="BZ9" s="110">
        <v>1015149</v>
      </c>
      <c r="CA9" s="110">
        <v>434615</v>
      </c>
      <c r="CB9" s="110">
        <v>433370</v>
      </c>
      <c r="CC9" s="110">
        <v>1245</v>
      </c>
      <c r="CD9" s="110">
        <v>580534</v>
      </c>
      <c r="CE9" s="110">
        <v>574693</v>
      </c>
      <c r="CF9" s="110">
        <v>5841</v>
      </c>
      <c r="CG9" s="110">
        <v>391513</v>
      </c>
      <c r="CH9" s="110">
        <v>158793</v>
      </c>
      <c r="CI9" s="110">
        <v>157512.5</v>
      </c>
      <c r="CJ9" s="110">
        <v>1280.5</v>
      </c>
      <c r="CK9" s="110">
        <v>232720</v>
      </c>
      <c r="CL9" s="110">
        <v>228833</v>
      </c>
      <c r="CM9" s="110">
        <v>3887</v>
      </c>
      <c r="CN9" s="110">
        <v>0</v>
      </c>
      <c r="CO9" s="110">
        <v>250193.82</v>
      </c>
      <c r="CP9" s="110">
        <v>524451.38</v>
      </c>
      <c r="CQ9" s="110">
        <v>193600.78</v>
      </c>
      <c r="CR9" s="110">
        <v>8058.94</v>
      </c>
      <c r="CS9" s="110">
        <v>0</v>
      </c>
      <c r="CT9" s="110">
        <v>0</v>
      </c>
      <c r="CU9" s="110">
        <v>0</v>
      </c>
      <c r="CV9" s="111">
        <v>1255</v>
      </c>
      <c r="CW9" s="111">
        <v>973</v>
      </c>
      <c r="CX9" s="111">
        <v>933</v>
      </c>
      <c r="CY9" s="111">
        <v>40</v>
      </c>
      <c r="CZ9" s="111">
        <v>282</v>
      </c>
      <c r="DA9" s="111">
        <v>219</v>
      </c>
      <c r="DB9" s="111">
        <v>63</v>
      </c>
      <c r="DC9" s="111">
        <v>726</v>
      </c>
      <c r="DD9" s="111">
        <v>0</v>
      </c>
      <c r="DE9" s="111">
        <v>526</v>
      </c>
      <c r="DF9" s="111">
        <v>509</v>
      </c>
      <c r="DG9" s="111">
        <v>17</v>
      </c>
      <c r="DH9" s="111">
        <v>200</v>
      </c>
      <c r="DI9" s="111">
        <v>161</v>
      </c>
      <c r="DJ9" s="111">
        <v>39</v>
      </c>
      <c r="DK9" s="111">
        <v>512</v>
      </c>
      <c r="DL9" s="111">
        <v>431</v>
      </c>
      <c r="DM9" s="111">
        <v>412</v>
      </c>
      <c r="DN9" s="111">
        <v>19</v>
      </c>
      <c r="DO9" s="111">
        <v>81</v>
      </c>
      <c r="DP9" s="111">
        <v>58</v>
      </c>
      <c r="DQ9" s="111">
        <v>23</v>
      </c>
      <c r="DR9" s="111">
        <v>17</v>
      </c>
      <c r="DS9" s="111">
        <v>0</v>
      </c>
      <c r="DT9" s="111">
        <v>16</v>
      </c>
      <c r="DU9" s="111">
        <v>12</v>
      </c>
      <c r="DV9" s="111">
        <v>4</v>
      </c>
      <c r="DW9" s="111">
        <v>1</v>
      </c>
      <c r="DX9" s="111">
        <v>0</v>
      </c>
      <c r="DY9" s="111">
        <v>1</v>
      </c>
      <c r="DZ9" s="111">
        <v>0</v>
      </c>
      <c r="EA9" s="111">
        <v>0</v>
      </c>
      <c r="EB9" s="111">
        <v>0</v>
      </c>
      <c r="EC9" s="111">
        <v>0</v>
      </c>
      <c r="ED9" s="111">
        <v>0</v>
      </c>
      <c r="EE9" s="111">
        <v>0</v>
      </c>
      <c r="EF9" s="111">
        <v>0</v>
      </c>
      <c r="EG9" s="111">
        <v>384</v>
      </c>
      <c r="EH9" s="111">
        <v>165</v>
      </c>
      <c r="EI9" s="111">
        <v>155</v>
      </c>
      <c r="EJ9" s="111">
        <v>10</v>
      </c>
      <c r="EK9" s="111">
        <v>219</v>
      </c>
      <c r="EL9" s="111">
        <v>212</v>
      </c>
      <c r="EM9" s="111">
        <v>7</v>
      </c>
      <c r="EN9" s="111">
        <v>292</v>
      </c>
      <c r="EO9" s="111">
        <v>0</v>
      </c>
      <c r="EP9" s="111">
        <v>0</v>
      </c>
      <c r="EQ9" s="111">
        <v>292</v>
      </c>
      <c r="ER9" s="111">
        <v>0</v>
      </c>
      <c r="ES9" s="111">
        <v>0</v>
      </c>
      <c r="ET9" s="111">
        <v>0</v>
      </c>
      <c r="EU9" s="111">
        <v>0</v>
      </c>
      <c r="EV9" s="111">
        <v>0</v>
      </c>
      <c r="EW9" s="111">
        <v>0</v>
      </c>
      <c r="EX9" s="111">
        <v>0</v>
      </c>
      <c r="EY9" s="111">
        <v>0</v>
      </c>
      <c r="EZ9" s="111">
        <v>0</v>
      </c>
      <c r="FA9" s="111">
        <v>0</v>
      </c>
      <c r="FB9" s="111">
        <v>34</v>
      </c>
    </row>
    <row r="10" spans="1:158" ht="19.5" customHeight="1">
      <c r="A10" s="107">
        <v>7</v>
      </c>
      <c r="B10" s="107" t="s">
        <v>350</v>
      </c>
      <c r="C10" s="107" t="s">
        <v>357</v>
      </c>
      <c r="D10" s="110">
        <v>6106297.5</v>
      </c>
      <c r="E10" s="110">
        <v>4557301</v>
      </c>
      <c r="F10" s="110">
        <v>1548996.5</v>
      </c>
      <c r="G10" s="110">
        <v>6191</v>
      </c>
      <c r="H10" s="110">
        <v>185</v>
      </c>
      <c r="I10" s="110">
        <v>3006689</v>
      </c>
      <c r="J10" s="110">
        <v>0</v>
      </c>
      <c r="K10" s="110">
        <v>0</v>
      </c>
      <c r="L10" s="110">
        <v>108706</v>
      </c>
      <c r="M10" s="110">
        <v>33251.5</v>
      </c>
      <c r="N10" s="110">
        <v>398.77</v>
      </c>
      <c r="O10" s="110">
        <v>11353908.82</v>
      </c>
      <c r="P10" s="110">
        <v>10232223.869999999</v>
      </c>
      <c r="Q10" s="110">
        <v>10133475.6</v>
      </c>
      <c r="R10" s="110">
        <v>98748.27</v>
      </c>
      <c r="S10" s="110">
        <v>1121684.95</v>
      </c>
      <c r="T10" s="110">
        <v>971825.95</v>
      </c>
      <c r="U10" s="110">
        <v>149859</v>
      </c>
      <c r="V10" s="110">
        <v>9055480.4700000007</v>
      </c>
      <c r="W10" s="110">
        <v>8491823.9700000007</v>
      </c>
      <c r="X10" s="110">
        <v>8422140</v>
      </c>
      <c r="Y10" s="110">
        <v>69683.97</v>
      </c>
      <c r="Z10" s="110">
        <v>563656.5</v>
      </c>
      <c r="AA10" s="110">
        <v>450469.79</v>
      </c>
      <c r="AB10" s="110">
        <v>113186.71</v>
      </c>
      <c r="AC10" s="110">
        <v>3278815.31</v>
      </c>
      <c r="AD10" s="110">
        <v>3072508.29</v>
      </c>
      <c r="AE10" s="110">
        <v>3034113.78</v>
      </c>
      <c r="AF10" s="110">
        <v>38394.51</v>
      </c>
      <c r="AG10" s="110">
        <v>206307.02</v>
      </c>
      <c r="AH10" s="110">
        <v>152618.69</v>
      </c>
      <c r="AI10" s="110">
        <v>53688.33</v>
      </c>
      <c r="AJ10" s="110">
        <v>1219364.1599999999</v>
      </c>
      <c r="AK10" s="110">
        <v>1160436.68</v>
      </c>
      <c r="AL10" s="110">
        <v>1157741.22</v>
      </c>
      <c r="AM10" s="110">
        <v>2695.46</v>
      </c>
      <c r="AN10" s="110">
        <v>58927.48</v>
      </c>
      <c r="AO10" s="110">
        <v>49407.1</v>
      </c>
      <c r="AP10" s="110">
        <v>9520.3799999999992</v>
      </c>
      <c r="AQ10" s="110">
        <v>1331640</v>
      </c>
      <c r="AR10" s="110">
        <v>1228924</v>
      </c>
      <c r="AS10" s="110">
        <v>1212715</v>
      </c>
      <c r="AT10" s="110">
        <v>16209</v>
      </c>
      <c r="AU10" s="110">
        <v>102716</v>
      </c>
      <c r="AV10" s="110">
        <v>80083</v>
      </c>
      <c r="AW10" s="110">
        <v>22633</v>
      </c>
      <c r="AX10" s="110">
        <v>3225661</v>
      </c>
      <c r="AY10" s="110">
        <v>3029955</v>
      </c>
      <c r="AZ10" s="110">
        <v>3017570</v>
      </c>
      <c r="BA10" s="110">
        <v>12385</v>
      </c>
      <c r="BB10" s="110">
        <v>195706</v>
      </c>
      <c r="BC10" s="110">
        <v>168361</v>
      </c>
      <c r="BD10" s="110">
        <v>27345</v>
      </c>
      <c r="BE10" s="110">
        <v>2298428.35</v>
      </c>
      <c r="BF10" s="110">
        <v>1740399.9</v>
      </c>
      <c r="BG10" s="110">
        <v>1711335.6</v>
      </c>
      <c r="BH10" s="110">
        <v>29064.3</v>
      </c>
      <c r="BI10" s="110">
        <v>558028.44999999995</v>
      </c>
      <c r="BJ10" s="110">
        <v>521356.16</v>
      </c>
      <c r="BK10" s="110">
        <v>36672.29</v>
      </c>
      <c r="BL10" s="110">
        <v>575107.28</v>
      </c>
      <c r="BM10" s="110">
        <v>413795.33</v>
      </c>
      <c r="BN10" s="110">
        <v>411321.92</v>
      </c>
      <c r="BO10" s="110">
        <v>2473.41</v>
      </c>
      <c r="BP10" s="110">
        <v>161311.95000000001</v>
      </c>
      <c r="BQ10" s="110">
        <v>153414.96</v>
      </c>
      <c r="BR10" s="110">
        <v>7896.99</v>
      </c>
      <c r="BS10" s="110">
        <v>174324.57</v>
      </c>
      <c r="BT10" s="110">
        <v>135839.57</v>
      </c>
      <c r="BU10" s="110">
        <v>130729.68</v>
      </c>
      <c r="BV10" s="110">
        <v>5109.8900000000003</v>
      </c>
      <c r="BW10" s="110">
        <v>38485</v>
      </c>
      <c r="BX10" s="110">
        <v>38331.199999999997</v>
      </c>
      <c r="BY10" s="110">
        <v>153.80000000000001</v>
      </c>
      <c r="BZ10" s="110">
        <v>1180480</v>
      </c>
      <c r="CA10" s="110">
        <v>891969</v>
      </c>
      <c r="CB10" s="110">
        <v>879943</v>
      </c>
      <c r="CC10" s="110">
        <v>12026</v>
      </c>
      <c r="CD10" s="110">
        <v>288511</v>
      </c>
      <c r="CE10" s="110">
        <v>262275</v>
      </c>
      <c r="CF10" s="110">
        <v>26236</v>
      </c>
      <c r="CG10" s="110">
        <v>368516.5</v>
      </c>
      <c r="CH10" s="110">
        <v>298796</v>
      </c>
      <c r="CI10" s="110">
        <v>289341</v>
      </c>
      <c r="CJ10" s="110">
        <v>9455</v>
      </c>
      <c r="CK10" s="110">
        <v>69720.5</v>
      </c>
      <c r="CL10" s="110">
        <v>67335</v>
      </c>
      <c r="CM10" s="110">
        <v>2385.5</v>
      </c>
      <c r="CN10" s="110">
        <v>56</v>
      </c>
      <c r="CO10" s="110">
        <v>1088155.67</v>
      </c>
      <c r="CP10" s="110">
        <v>1126090.17</v>
      </c>
      <c r="CQ10" s="110">
        <v>6790894</v>
      </c>
      <c r="CR10" s="110">
        <v>50334.63</v>
      </c>
      <c r="CS10" s="110">
        <v>0</v>
      </c>
      <c r="CT10" s="110">
        <v>0</v>
      </c>
      <c r="CU10" s="110">
        <v>0</v>
      </c>
      <c r="CV10" s="111">
        <v>6191</v>
      </c>
      <c r="CW10" s="111">
        <v>5638</v>
      </c>
      <c r="CX10" s="111">
        <v>5522</v>
      </c>
      <c r="CY10" s="111">
        <v>116</v>
      </c>
      <c r="CZ10" s="111">
        <v>553</v>
      </c>
      <c r="DA10" s="111">
        <v>377</v>
      </c>
      <c r="DB10" s="111">
        <v>176</v>
      </c>
      <c r="DC10" s="111">
        <v>4600</v>
      </c>
      <c r="DD10" s="111">
        <v>89</v>
      </c>
      <c r="DE10" s="111">
        <v>4231</v>
      </c>
      <c r="DF10" s="111">
        <v>4155</v>
      </c>
      <c r="DG10" s="111">
        <v>76</v>
      </c>
      <c r="DH10" s="111">
        <v>369</v>
      </c>
      <c r="DI10" s="111">
        <v>248</v>
      </c>
      <c r="DJ10" s="111">
        <v>121</v>
      </c>
      <c r="DK10" s="111">
        <v>1422</v>
      </c>
      <c r="DL10" s="111">
        <v>1262</v>
      </c>
      <c r="DM10" s="111">
        <v>1232</v>
      </c>
      <c r="DN10" s="111">
        <v>30</v>
      </c>
      <c r="DO10" s="111">
        <v>160</v>
      </c>
      <c r="DP10" s="111">
        <v>119</v>
      </c>
      <c r="DQ10" s="111">
        <v>41</v>
      </c>
      <c r="DR10" s="111">
        <v>80</v>
      </c>
      <c r="DS10" s="111">
        <v>0</v>
      </c>
      <c r="DT10" s="111">
        <v>60</v>
      </c>
      <c r="DU10" s="111">
        <v>53</v>
      </c>
      <c r="DV10" s="111">
        <v>7</v>
      </c>
      <c r="DW10" s="111">
        <v>20</v>
      </c>
      <c r="DX10" s="111">
        <v>10</v>
      </c>
      <c r="DY10" s="111">
        <v>10</v>
      </c>
      <c r="DZ10" s="111">
        <v>0</v>
      </c>
      <c r="EA10" s="111">
        <v>0</v>
      </c>
      <c r="EB10" s="111">
        <v>0</v>
      </c>
      <c r="EC10" s="111">
        <v>0</v>
      </c>
      <c r="ED10" s="111">
        <v>0</v>
      </c>
      <c r="EE10" s="111">
        <v>0</v>
      </c>
      <c r="EF10" s="111">
        <v>0</v>
      </c>
      <c r="EG10" s="111">
        <v>185</v>
      </c>
      <c r="EH10" s="111">
        <v>139</v>
      </c>
      <c r="EI10" s="111">
        <v>137</v>
      </c>
      <c r="EJ10" s="111">
        <v>2</v>
      </c>
      <c r="EK10" s="111">
        <v>46</v>
      </c>
      <c r="EL10" s="111">
        <v>41</v>
      </c>
      <c r="EM10" s="111">
        <v>5</v>
      </c>
      <c r="EN10" s="111">
        <v>48</v>
      </c>
      <c r="EO10" s="111">
        <v>13</v>
      </c>
      <c r="EP10" s="111">
        <v>0</v>
      </c>
      <c r="EQ10" s="111">
        <v>35</v>
      </c>
      <c r="ER10" s="111">
        <v>0</v>
      </c>
      <c r="ES10" s="111">
        <v>0</v>
      </c>
      <c r="ET10" s="111">
        <v>0</v>
      </c>
      <c r="EU10" s="111">
        <v>0</v>
      </c>
      <c r="EV10" s="111">
        <v>0</v>
      </c>
      <c r="EW10" s="111">
        <v>0</v>
      </c>
      <c r="EX10" s="111">
        <v>0</v>
      </c>
      <c r="EY10" s="111">
        <v>0</v>
      </c>
      <c r="EZ10" s="111">
        <v>0</v>
      </c>
      <c r="FA10" s="111">
        <v>0</v>
      </c>
      <c r="FB10" s="111">
        <v>28</v>
      </c>
    </row>
    <row r="11" spans="1:158" ht="19.5" customHeight="1">
      <c r="A11" s="107">
        <v>8</v>
      </c>
      <c r="B11" s="107" t="s">
        <v>350</v>
      </c>
      <c r="C11" s="107" t="s">
        <v>358</v>
      </c>
      <c r="D11" s="110">
        <v>4960555.5</v>
      </c>
      <c r="E11" s="110">
        <v>2992161</v>
      </c>
      <c r="F11" s="110">
        <v>1968394.5</v>
      </c>
      <c r="G11" s="110">
        <v>13392</v>
      </c>
      <c r="H11" s="110">
        <v>218</v>
      </c>
      <c r="I11" s="110">
        <v>10412</v>
      </c>
      <c r="J11" s="110">
        <v>1771</v>
      </c>
      <c r="K11" s="110">
        <v>0</v>
      </c>
      <c r="L11" s="110">
        <v>216771</v>
      </c>
      <c r="M11" s="110">
        <v>0</v>
      </c>
      <c r="N11" s="110">
        <v>0</v>
      </c>
      <c r="O11" s="110">
        <v>9461242.2400000002</v>
      </c>
      <c r="P11" s="110">
        <v>8381659.21</v>
      </c>
      <c r="Q11" s="110">
        <v>8236842.2800000003</v>
      </c>
      <c r="R11" s="110">
        <v>144816.93</v>
      </c>
      <c r="S11" s="110">
        <v>1079583.03</v>
      </c>
      <c r="T11" s="110">
        <v>944750.03</v>
      </c>
      <c r="U11" s="110">
        <v>134833</v>
      </c>
      <c r="V11" s="110">
        <v>6744077.9199999999</v>
      </c>
      <c r="W11" s="110">
        <v>6239195.9800000004</v>
      </c>
      <c r="X11" s="110">
        <v>6115004.5300000003</v>
      </c>
      <c r="Y11" s="110">
        <v>124191.45</v>
      </c>
      <c r="Z11" s="110">
        <v>504881.94</v>
      </c>
      <c r="AA11" s="110">
        <v>382415.89</v>
      </c>
      <c r="AB11" s="110">
        <v>122466.05</v>
      </c>
      <c r="AC11" s="110">
        <v>3662166.32</v>
      </c>
      <c r="AD11" s="110">
        <v>3392406.78</v>
      </c>
      <c r="AE11" s="110">
        <v>3336455.33</v>
      </c>
      <c r="AF11" s="110">
        <v>55951.45</v>
      </c>
      <c r="AG11" s="110">
        <v>269759.53999999998</v>
      </c>
      <c r="AH11" s="110">
        <v>219492.49</v>
      </c>
      <c r="AI11" s="110">
        <v>50267.05</v>
      </c>
      <c r="AJ11" s="110">
        <v>89750.6</v>
      </c>
      <c r="AK11" s="110">
        <v>84059.199999999997</v>
      </c>
      <c r="AL11" s="110">
        <v>83223.199999999997</v>
      </c>
      <c r="AM11" s="110">
        <v>836</v>
      </c>
      <c r="AN11" s="110">
        <v>5691.4</v>
      </c>
      <c r="AO11" s="110">
        <v>4855.3999999999996</v>
      </c>
      <c r="AP11" s="110">
        <v>836</v>
      </c>
      <c r="AQ11" s="110">
        <v>2525631</v>
      </c>
      <c r="AR11" s="110">
        <v>2334823</v>
      </c>
      <c r="AS11" s="110">
        <v>2279164</v>
      </c>
      <c r="AT11" s="110">
        <v>55659</v>
      </c>
      <c r="AU11" s="110">
        <v>190808</v>
      </c>
      <c r="AV11" s="110">
        <v>131483</v>
      </c>
      <c r="AW11" s="110">
        <v>59325</v>
      </c>
      <c r="AX11" s="110">
        <v>466530</v>
      </c>
      <c r="AY11" s="110">
        <v>427907</v>
      </c>
      <c r="AZ11" s="110">
        <v>416162</v>
      </c>
      <c r="BA11" s="110">
        <v>11745</v>
      </c>
      <c r="BB11" s="110">
        <v>38623</v>
      </c>
      <c r="BC11" s="110">
        <v>26585</v>
      </c>
      <c r="BD11" s="110">
        <v>12038</v>
      </c>
      <c r="BE11" s="110">
        <v>2717164.32</v>
      </c>
      <c r="BF11" s="110">
        <v>2142463.23</v>
      </c>
      <c r="BG11" s="110">
        <v>2121837.75</v>
      </c>
      <c r="BH11" s="110">
        <v>20625.48</v>
      </c>
      <c r="BI11" s="110">
        <v>574701.09</v>
      </c>
      <c r="BJ11" s="110">
        <v>562334.14</v>
      </c>
      <c r="BK11" s="110">
        <v>12366.95</v>
      </c>
      <c r="BL11" s="110">
        <v>684996.17</v>
      </c>
      <c r="BM11" s="110">
        <v>536930.07999999996</v>
      </c>
      <c r="BN11" s="110">
        <v>533160.4</v>
      </c>
      <c r="BO11" s="110">
        <v>3769.68</v>
      </c>
      <c r="BP11" s="110">
        <v>148066.09</v>
      </c>
      <c r="BQ11" s="110">
        <v>144569.14000000001</v>
      </c>
      <c r="BR11" s="110">
        <v>3496.95</v>
      </c>
      <c r="BS11" s="110">
        <v>63773.65</v>
      </c>
      <c r="BT11" s="110">
        <v>51505.65</v>
      </c>
      <c r="BU11" s="110">
        <v>51290.85</v>
      </c>
      <c r="BV11" s="110">
        <v>214.8</v>
      </c>
      <c r="BW11" s="110">
        <v>12268</v>
      </c>
      <c r="BX11" s="110">
        <v>12027</v>
      </c>
      <c r="BY11" s="110">
        <v>241</v>
      </c>
      <c r="BZ11" s="110">
        <v>1513853</v>
      </c>
      <c r="CA11" s="110">
        <v>1190966</v>
      </c>
      <c r="CB11" s="110">
        <v>1177850</v>
      </c>
      <c r="CC11" s="110">
        <v>13116</v>
      </c>
      <c r="CD11" s="110">
        <v>322887</v>
      </c>
      <c r="CE11" s="110">
        <v>316235</v>
      </c>
      <c r="CF11" s="110">
        <v>6652</v>
      </c>
      <c r="CG11" s="110">
        <v>454541.5</v>
      </c>
      <c r="CH11" s="110">
        <v>363061.5</v>
      </c>
      <c r="CI11" s="110">
        <v>359536.5</v>
      </c>
      <c r="CJ11" s="110">
        <v>3525</v>
      </c>
      <c r="CK11" s="110">
        <v>91480</v>
      </c>
      <c r="CL11" s="110">
        <v>89503</v>
      </c>
      <c r="CM11" s="110">
        <v>1977</v>
      </c>
      <c r="CN11" s="110">
        <v>25</v>
      </c>
      <c r="CO11" s="110">
        <v>3716436.49</v>
      </c>
      <c r="CP11" s="110">
        <v>1778215.6</v>
      </c>
      <c r="CQ11" s="110">
        <v>1002773.94</v>
      </c>
      <c r="CR11" s="110">
        <v>243922.99</v>
      </c>
      <c r="CS11" s="110">
        <v>2728.9</v>
      </c>
      <c r="CT11" s="110">
        <v>0</v>
      </c>
      <c r="CU11" s="110">
        <v>0</v>
      </c>
      <c r="CV11" s="111">
        <v>13392</v>
      </c>
      <c r="CW11" s="111">
        <v>12342</v>
      </c>
      <c r="CX11" s="111">
        <v>12053</v>
      </c>
      <c r="CY11" s="111">
        <v>289</v>
      </c>
      <c r="CZ11" s="111">
        <v>1050</v>
      </c>
      <c r="DA11" s="111">
        <v>745</v>
      </c>
      <c r="DB11" s="111">
        <v>305</v>
      </c>
      <c r="DC11" s="111">
        <v>9909</v>
      </c>
      <c r="DD11" s="111">
        <v>127</v>
      </c>
      <c r="DE11" s="111">
        <v>9148</v>
      </c>
      <c r="DF11" s="111">
        <v>8943</v>
      </c>
      <c r="DG11" s="111">
        <v>205</v>
      </c>
      <c r="DH11" s="111">
        <v>761</v>
      </c>
      <c r="DI11" s="111">
        <v>547</v>
      </c>
      <c r="DJ11" s="111">
        <v>214</v>
      </c>
      <c r="DK11" s="111">
        <v>3079</v>
      </c>
      <c r="DL11" s="111">
        <v>2823</v>
      </c>
      <c r="DM11" s="111">
        <v>2750</v>
      </c>
      <c r="DN11" s="111">
        <v>73</v>
      </c>
      <c r="DO11" s="111">
        <v>256</v>
      </c>
      <c r="DP11" s="111">
        <v>178</v>
      </c>
      <c r="DQ11" s="111">
        <v>78</v>
      </c>
      <c r="DR11" s="111">
        <v>277</v>
      </c>
      <c r="DS11" s="111">
        <v>0</v>
      </c>
      <c r="DT11" s="111">
        <v>244</v>
      </c>
      <c r="DU11" s="111">
        <v>234</v>
      </c>
      <c r="DV11" s="111">
        <v>10</v>
      </c>
      <c r="DW11" s="111">
        <v>33</v>
      </c>
      <c r="DX11" s="111">
        <v>20</v>
      </c>
      <c r="DY11" s="111">
        <v>13</v>
      </c>
      <c r="DZ11" s="111">
        <v>0</v>
      </c>
      <c r="EA11" s="111">
        <v>0</v>
      </c>
      <c r="EB11" s="111">
        <v>0</v>
      </c>
      <c r="EC11" s="111">
        <v>0</v>
      </c>
      <c r="ED11" s="111">
        <v>0</v>
      </c>
      <c r="EE11" s="111">
        <v>0</v>
      </c>
      <c r="EF11" s="111">
        <v>0</v>
      </c>
      <c r="EG11" s="111">
        <v>218</v>
      </c>
      <c r="EH11" s="111">
        <v>173</v>
      </c>
      <c r="EI11" s="111">
        <v>171</v>
      </c>
      <c r="EJ11" s="111">
        <v>2</v>
      </c>
      <c r="EK11" s="111">
        <v>45</v>
      </c>
      <c r="EL11" s="111">
        <v>44</v>
      </c>
      <c r="EM11" s="111">
        <v>1</v>
      </c>
      <c r="EN11" s="111">
        <v>0</v>
      </c>
      <c r="EO11" s="111">
        <v>0</v>
      </c>
      <c r="EP11" s="111">
        <v>0</v>
      </c>
      <c r="EQ11" s="111">
        <v>0</v>
      </c>
      <c r="ER11" s="111">
        <v>0</v>
      </c>
      <c r="ES11" s="111">
        <v>0</v>
      </c>
      <c r="ET11" s="111">
        <v>0</v>
      </c>
      <c r="EU11" s="111">
        <v>0</v>
      </c>
      <c r="EV11" s="111">
        <v>0</v>
      </c>
      <c r="EW11" s="111">
        <v>0</v>
      </c>
      <c r="EX11" s="111">
        <v>0</v>
      </c>
      <c r="EY11" s="111">
        <v>0</v>
      </c>
      <c r="EZ11" s="111">
        <v>0</v>
      </c>
      <c r="FA11" s="111">
        <v>0</v>
      </c>
      <c r="FB11" s="111">
        <v>201</v>
      </c>
    </row>
    <row r="12" spans="1:158" ht="19.5" customHeight="1">
      <c r="A12" s="107">
        <v>9</v>
      </c>
      <c r="B12" s="107" t="s">
        <v>350</v>
      </c>
      <c r="C12" s="107" t="s">
        <v>359</v>
      </c>
      <c r="D12" s="110">
        <v>4557811.75</v>
      </c>
      <c r="E12" s="110">
        <v>245363</v>
      </c>
      <c r="F12" s="110">
        <v>4312448.75</v>
      </c>
      <c r="G12" s="110">
        <v>2283</v>
      </c>
      <c r="H12" s="110">
        <v>78</v>
      </c>
      <c r="I12" s="110">
        <v>7915</v>
      </c>
      <c r="J12" s="110">
        <v>0</v>
      </c>
      <c r="K12" s="110">
        <v>69964.84</v>
      </c>
      <c r="L12" s="110">
        <v>1403523</v>
      </c>
      <c r="M12" s="110">
        <v>30885.25</v>
      </c>
      <c r="N12" s="110">
        <v>38348.17</v>
      </c>
      <c r="O12" s="110">
        <v>7617244.7699999996</v>
      </c>
      <c r="P12" s="110">
        <v>7596368.9100000001</v>
      </c>
      <c r="Q12" s="110">
        <v>7585914.8899999997</v>
      </c>
      <c r="R12" s="110">
        <v>10454.02</v>
      </c>
      <c r="S12" s="110">
        <v>20875.86</v>
      </c>
      <c r="T12" s="110">
        <v>15690.39</v>
      </c>
      <c r="U12" s="110">
        <v>5185.47</v>
      </c>
      <c r="V12" s="110">
        <v>1484883.82</v>
      </c>
      <c r="W12" s="110">
        <v>1464007.96</v>
      </c>
      <c r="X12" s="110">
        <v>1453553.94</v>
      </c>
      <c r="Y12" s="110">
        <v>10454.02</v>
      </c>
      <c r="Z12" s="110">
        <v>20875.86</v>
      </c>
      <c r="AA12" s="110">
        <v>15690.39</v>
      </c>
      <c r="AB12" s="110">
        <v>5185.47</v>
      </c>
      <c r="AC12" s="110">
        <v>1237115.42</v>
      </c>
      <c r="AD12" s="110">
        <v>1225058.56</v>
      </c>
      <c r="AE12" s="110">
        <v>1218083.54</v>
      </c>
      <c r="AF12" s="110">
        <v>6975.02</v>
      </c>
      <c r="AG12" s="110">
        <v>12056.86</v>
      </c>
      <c r="AH12" s="110">
        <v>10932.39</v>
      </c>
      <c r="AI12" s="110">
        <v>1124.47</v>
      </c>
      <c r="AJ12" s="110">
        <v>2405.4</v>
      </c>
      <c r="AK12" s="110">
        <v>2332.4</v>
      </c>
      <c r="AL12" s="110">
        <v>2332.4</v>
      </c>
      <c r="AM12" s="110">
        <v>0</v>
      </c>
      <c r="AN12" s="110">
        <v>73</v>
      </c>
      <c r="AO12" s="110">
        <v>0</v>
      </c>
      <c r="AP12" s="110">
        <v>73</v>
      </c>
      <c r="AQ12" s="110">
        <v>178438</v>
      </c>
      <c r="AR12" s="110">
        <v>170591</v>
      </c>
      <c r="AS12" s="110">
        <v>167487</v>
      </c>
      <c r="AT12" s="110">
        <v>3104</v>
      </c>
      <c r="AU12" s="110">
        <v>7847</v>
      </c>
      <c r="AV12" s="110">
        <v>4034</v>
      </c>
      <c r="AW12" s="110">
        <v>3813</v>
      </c>
      <c r="AX12" s="110">
        <v>66925</v>
      </c>
      <c r="AY12" s="110">
        <v>66026</v>
      </c>
      <c r="AZ12" s="110">
        <v>65651</v>
      </c>
      <c r="BA12" s="110">
        <v>375</v>
      </c>
      <c r="BB12" s="110">
        <v>899</v>
      </c>
      <c r="BC12" s="110">
        <v>724</v>
      </c>
      <c r="BD12" s="110">
        <v>175</v>
      </c>
      <c r="BE12" s="110">
        <v>6132360.9500000002</v>
      </c>
      <c r="BF12" s="110">
        <v>6132360.9500000002</v>
      </c>
      <c r="BG12" s="110">
        <v>6132360.9500000002</v>
      </c>
      <c r="BH12" s="110">
        <v>0</v>
      </c>
      <c r="BI12" s="110">
        <v>0</v>
      </c>
      <c r="BJ12" s="110">
        <v>0</v>
      </c>
      <c r="BK12" s="110">
        <v>0</v>
      </c>
      <c r="BL12" s="110">
        <v>1651385.47</v>
      </c>
      <c r="BM12" s="110">
        <v>1651385.47</v>
      </c>
      <c r="BN12" s="110">
        <v>1651385.47</v>
      </c>
      <c r="BO12" s="110">
        <v>0</v>
      </c>
      <c r="BP12" s="110">
        <v>0</v>
      </c>
      <c r="BQ12" s="110">
        <v>0</v>
      </c>
      <c r="BR12" s="110">
        <v>0</v>
      </c>
      <c r="BS12" s="110">
        <v>168526.73</v>
      </c>
      <c r="BT12" s="110">
        <v>168526.73</v>
      </c>
      <c r="BU12" s="110">
        <v>168526.73</v>
      </c>
      <c r="BV12" s="110">
        <v>0</v>
      </c>
      <c r="BW12" s="110">
        <v>0</v>
      </c>
      <c r="BX12" s="110">
        <v>0</v>
      </c>
      <c r="BY12" s="110">
        <v>0</v>
      </c>
      <c r="BZ12" s="110">
        <v>1637110.5</v>
      </c>
      <c r="CA12" s="110">
        <v>1637110.5</v>
      </c>
      <c r="CB12" s="110">
        <v>1637110.5</v>
      </c>
      <c r="CC12" s="110">
        <v>0</v>
      </c>
      <c r="CD12" s="110">
        <v>0</v>
      </c>
      <c r="CE12" s="110">
        <v>0</v>
      </c>
      <c r="CF12" s="110">
        <v>0</v>
      </c>
      <c r="CG12" s="110">
        <v>2675338.25</v>
      </c>
      <c r="CH12" s="110">
        <v>2675338.25</v>
      </c>
      <c r="CI12" s="110">
        <v>2675338.25</v>
      </c>
      <c r="CJ12" s="110">
        <v>0</v>
      </c>
      <c r="CK12" s="110">
        <v>0</v>
      </c>
      <c r="CL12" s="110">
        <v>0</v>
      </c>
      <c r="CM12" s="110">
        <v>0</v>
      </c>
      <c r="CN12" s="110">
        <v>0</v>
      </c>
      <c r="CO12" s="110">
        <v>1483914.63</v>
      </c>
      <c r="CP12" s="110">
        <v>724.19</v>
      </c>
      <c r="CQ12" s="110">
        <v>245</v>
      </c>
      <c r="CR12" s="110">
        <v>0</v>
      </c>
      <c r="CS12" s="110">
        <v>0</v>
      </c>
      <c r="CT12" s="110">
        <v>0</v>
      </c>
      <c r="CU12" s="110">
        <v>0</v>
      </c>
      <c r="CV12" s="111">
        <v>2283</v>
      </c>
      <c r="CW12" s="111">
        <v>2250</v>
      </c>
      <c r="CX12" s="111">
        <v>2235</v>
      </c>
      <c r="CY12" s="111">
        <v>15</v>
      </c>
      <c r="CZ12" s="111">
        <v>33</v>
      </c>
      <c r="DA12" s="111">
        <v>26</v>
      </c>
      <c r="DB12" s="111">
        <v>7</v>
      </c>
      <c r="DC12" s="111">
        <v>2282</v>
      </c>
      <c r="DD12" s="111">
        <v>0</v>
      </c>
      <c r="DE12" s="111">
        <v>2249</v>
      </c>
      <c r="DF12" s="111">
        <v>2234</v>
      </c>
      <c r="DG12" s="111">
        <v>15</v>
      </c>
      <c r="DH12" s="111">
        <v>33</v>
      </c>
      <c r="DI12" s="111">
        <v>26</v>
      </c>
      <c r="DJ12" s="111">
        <v>7</v>
      </c>
      <c r="DK12" s="111">
        <v>1</v>
      </c>
      <c r="DL12" s="111">
        <v>1</v>
      </c>
      <c r="DM12" s="111">
        <v>1</v>
      </c>
      <c r="DN12" s="111">
        <v>0</v>
      </c>
      <c r="DO12" s="111">
        <v>0</v>
      </c>
      <c r="DP12" s="111">
        <v>0</v>
      </c>
      <c r="DQ12" s="111">
        <v>0</v>
      </c>
      <c r="DR12" s="111">
        <v>0</v>
      </c>
      <c r="DS12" s="111">
        <v>0</v>
      </c>
      <c r="DT12" s="111">
        <v>0</v>
      </c>
      <c r="DU12" s="111">
        <v>0</v>
      </c>
      <c r="DV12" s="111">
        <v>0</v>
      </c>
      <c r="DW12" s="111">
        <v>0</v>
      </c>
      <c r="DX12" s="111">
        <v>0</v>
      </c>
      <c r="DY12" s="111">
        <v>0</v>
      </c>
      <c r="DZ12" s="111">
        <v>0</v>
      </c>
      <c r="EA12" s="111">
        <v>0</v>
      </c>
      <c r="EB12" s="111">
        <v>0</v>
      </c>
      <c r="EC12" s="111">
        <v>0</v>
      </c>
      <c r="ED12" s="111">
        <v>0</v>
      </c>
      <c r="EE12" s="111">
        <v>0</v>
      </c>
      <c r="EF12" s="111">
        <v>0</v>
      </c>
      <c r="EG12" s="111">
        <v>78</v>
      </c>
      <c r="EH12" s="111">
        <v>78</v>
      </c>
      <c r="EI12" s="111">
        <v>78</v>
      </c>
      <c r="EJ12" s="111">
        <v>0</v>
      </c>
      <c r="EK12" s="111">
        <v>0</v>
      </c>
      <c r="EL12" s="111">
        <v>0</v>
      </c>
      <c r="EM12" s="111">
        <v>0</v>
      </c>
      <c r="EN12" s="111">
        <v>37</v>
      </c>
      <c r="EO12" s="111">
        <v>0</v>
      </c>
      <c r="EP12" s="111">
        <v>0</v>
      </c>
      <c r="EQ12" s="111">
        <v>37</v>
      </c>
      <c r="ER12" s="111">
        <v>0</v>
      </c>
      <c r="ES12" s="111">
        <v>0</v>
      </c>
      <c r="ET12" s="111">
        <v>0</v>
      </c>
      <c r="EU12" s="111">
        <v>0</v>
      </c>
      <c r="EV12" s="111">
        <v>0</v>
      </c>
      <c r="EW12" s="111">
        <v>0</v>
      </c>
      <c r="EX12" s="111">
        <v>0</v>
      </c>
      <c r="EY12" s="111">
        <v>0</v>
      </c>
      <c r="EZ12" s="111">
        <v>0</v>
      </c>
      <c r="FA12" s="111">
        <v>0</v>
      </c>
      <c r="FB12" s="111">
        <v>0</v>
      </c>
    </row>
    <row r="13" spans="1:158" ht="19.5" customHeight="1">
      <c r="A13" s="107">
        <v>10</v>
      </c>
      <c r="B13" s="107" t="s">
        <v>350</v>
      </c>
      <c r="C13" s="107" t="s">
        <v>360</v>
      </c>
      <c r="D13" s="110">
        <v>1455771</v>
      </c>
      <c r="E13" s="110">
        <v>468316</v>
      </c>
      <c r="F13" s="110">
        <v>987455</v>
      </c>
      <c r="G13" s="110">
        <v>2719</v>
      </c>
      <c r="H13" s="110">
        <v>66</v>
      </c>
      <c r="I13" s="110">
        <v>36</v>
      </c>
      <c r="J13" s="110">
        <v>0</v>
      </c>
      <c r="K13" s="110">
        <v>0</v>
      </c>
      <c r="L13" s="110">
        <v>49688</v>
      </c>
      <c r="M13" s="110">
        <v>750</v>
      </c>
      <c r="N13" s="110">
        <v>120.4</v>
      </c>
      <c r="O13" s="110">
        <v>2343094.2999999998</v>
      </c>
      <c r="P13" s="110">
        <v>1670102.81</v>
      </c>
      <c r="Q13" s="110">
        <v>1632178.93</v>
      </c>
      <c r="R13" s="110">
        <v>37923.879999999997</v>
      </c>
      <c r="S13" s="110">
        <v>672991.49</v>
      </c>
      <c r="T13" s="110">
        <v>639207.62</v>
      </c>
      <c r="U13" s="110">
        <v>33783.870000000003</v>
      </c>
      <c r="V13" s="110">
        <v>1094619.72</v>
      </c>
      <c r="W13" s="110">
        <v>997831.11</v>
      </c>
      <c r="X13" s="110">
        <v>984348.9</v>
      </c>
      <c r="Y13" s="110">
        <v>13482.21</v>
      </c>
      <c r="Z13" s="110">
        <v>96788.61</v>
      </c>
      <c r="AA13" s="110">
        <v>72001.75</v>
      </c>
      <c r="AB13" s="110">
        <v>24786.86</v>
      </c>
      <c r="AC13" s="110">
        <v>625124.72</v>
      </c>
      <c r="AD13" s="110">
        <v>579636.11</v>
      </c>
      <c r="AE13" s="110">
        <v>575420.9</v>
      </c>
      <c r="AF13" s="110">
        <v>4215.21</v>
      </c>
      <c r="AG13" s="110">
        <v>45488.61</v>
      </c>
      <c r="AH13" s="110">
        <v>39946.75</v>
      </c>
      <c r="AI13" s="110">
        <v>5541.86</v>
      </c>
      <c r="AJ13" s="110">
        <v>1179</v>
      </c>
      <c r="AK13" s="110">
        <v>960</v>
      </c>
      <c r="AL13" s="110">
        <v>887</v>
      </c>
      <c r="AM13" s="110">
        <v>73</v>
      </c>
      <c r="AN13" s="110">
        <v>219</v>
      </c>
      <c r="AO13" s="110">
        <v>73</v>
      </c>
      <c r="AP13" s="110">
        <v>146</v>
      </c>
      <c r="AQ13" s="110">
        <v>394995</v>
      </c>
      <c r="AR13" s="110">
        <v>350885</v>
      </c>
      <c r="AS13" s="110">
        <v>342756</v>
      </c>
      <c r="AT13" s="110">
        <v>8129</v>
      </c>
      <c r="AU13" s="110">
        <v>44110</v>
      </c>
      <c r="AV13" s="110">
        <v>26907</v>
      </c>
      <c r="AW13" s="110">
        <v>17203</v>
      </c>
      <c r="AX13" s="110">
        <v>73321</v>
      </c>
      <c r="AY13" s="110">
        <v>66350</v>
      </c>
      <c r="AZ13" s="110">
        <v>65285</v>
      </c>
      <c r="BA13" s="110">
        <v>1065</v>
      </c>
      <c r="BB13" s="110">
        <v>6971</v>
      </c>
      <c r="BC13" s="110">
        <v>5075</v>
      </c>
      <c r="BD13" s="110">
        <v>1896</v>
      </c>
      <c r="BE13" s="110">
        <v>1248474.58</v>
      </c>
      <c r="BF13" s="110">
        <v>672271.7</v>
      </c>
      <c r="BG13" s="110">
        <v>647830.03</v>
      </c>
      <c r="BH13" s="110">
        <v>24441.67</v>
      </c>
      <c r="BI13" s="110">
        <v>576202.88</v>
      </c>
      <c r="BJ13" s="110">
        <v>567205.87</v>
      </c>
      <c r="BK13" s="110">
        <v>8997.01</v>
      </c>
      <c r="BL13" s="110">
        <v>189065.24</v>
      </c>
      <c r="BM13" s="110">
        <v>113331.38</v>
      </c>
      <c r="BN13" s="110">
        <v>110859.31</v>
      </c>
      <c r="BO13" s="110">
        <v>2472.0700000000002</v>
      </c>
      <c r="BP13" s="110">
        <v>75733.86</v>
      </c>
      <c r="BQ13" s="110">
        <v>75053.210000000006</v>
      </c>
      <c r="BR13" s="110">
        <v>680.65</v>
      </c>
      <c r="BS13" s="110">
        <v>71954.34</v>
      </c>
      <c r="BT13" s="110">
        <v>39321.32</v>
      </c>
      <c r="BU13" s="110">
        <v>38436.720000000001</v>
      </c>
      <c r="BV13" s="110">
        <v>884.6</v>
      </c>
      <c r="BW13" s="110">
        <v>32633.02</v>
      </c>
      <c r="BX13" s="110">
        <v>29910.16</v>
      </c>
      <c r="BY13" s="110">
        <v>2722.86</v>
      </c>
      <c r="BZ13" s="110">
        <v>478370.5</v>
      </c>
      <c r="CA13" s="110">
        <v>239796.5</v>
      </c>
      <c r="CB13" s="110">
        <v>233125.5</v>
      </c>
      <c r="CC13" s="110">
        <v>6671</v>
      </c>
      <c r="CD13" s="110">
        <v>238574</v>
      </c>
      <c r="CE13" s="110">
        <v>236734</v>
      </c>
      <c r="CF13" s="110">
        <v>1840</v>
      </c>
      <c r="CG13" s="110">
        <v>509084.5</v>
      </c>
      <c r="CH13" s="110">
        <v>279822.5</v>
      </c>
      <c r="CI13" s="110">
        <v>265408.5</v>
      </c>
      <c r="CJ13" s="110">
        <v>14414</v>
      </c>
      <c r="CK13" s="110">
        <v>229262</v>
      </c>
      <c r="CL13" s="110">
        <v>225508.5</v>
      </c>
      <c r="CM13" s="110">
        <v>3753.5</v>
      </c>
      <c r="CN13" s="110">
        <v>0</v>
      </c>
      <c r="CO13" s="110">
        <v>953361.62</v>
      </c>
      <c r="CP13" s="110">
        <v>125905.97</v>
      </c>
      <c r="CQ13" s="110">
        <v>898.47</v>
      </c>
      <c r="CR13" s="110">
        <v>14453.66</v>
      </c>
      <c r="CS13" s="110">
        <v>0</v>
      </c>
      <c r="CT13" s="110">
        <v>0</v>
      </c>
      <c r="CU13" s="110">
        <v>0</v>
      </c>
      <c r="CV13" s="111">
        <v>2719</v>
      </c>
      <c r="CW13" s="111">
        <v>2463</v>
      </c>
      <c r="CX13" s="111">
        <v>2421</v>
      </c>
      <c r="CY13" s="111">
        <v>42</v>
      </c>
      <c r="CZ13" s="111">
        <v>256</v>
      </c>
      <c r="DA13" s="111">
        <v>190</v>
      </c>
      <c r="DB13" s="111">
        <v>66</v>
      </c>
      <c r="DC13" s="111">
        <v>2476</v>
      </c>
      <c r="DD13" s="111">
        <v>21</v>
      </c>
      <c r="DE13" s="111">
        <v>2249</v>
      </c>
      <c r="DF13" s="111">
        <v>2214</v>
      </c>
      <c r="DG13" s="111">
        <v>35</v>
      </c>
      <c r="DH13" s="111">
        <v>227</v>
      </c>
      <c r="DI13" s="111">
        <v>171</v>
      </c>
      <c r="DJ13" s="111">
        <v>56</v>
      </c>
      <c r="DK13" s="111">
        <v>207</v>
      </c>
      <c r="DL13" s="111">
        <v>181</v>
      </c>
      <c r="DM13" s="111">
        <v>177</v>
      </c>
      <c r="DN13" s="111">
        <v>4</v>
      </c>
      <c r="DO13" s="111">
        <v>26</v>
      </c>
      <c r="DP13" s="111">
        <v>18</v>
      </c>
      <c r="DQ13" s="111">
        <v>8</v>
      </c>
      <c r="DR13" s="111">
        <v>15</v>
      </c>
      <c r="DS13" s="111">
        <v>0</v>
      </c>
      <c r="DT13" s="111">
        <v>14</v>
      </c>
      <c r="DU13" s="111">
        <v>14</v>
      </c>
      <c r="DV13" s="111">
        <v>0</v>
      </c>
      <c r="DW13" s="111">
        <v>1</v>
      </c>
      <c r="DX13" s="111">
        <v>0</v>
      </c>
      <c r="DY13" s="111">
        <v>1</v>
      </c>
      <c r="DZ13" s="111">
        <v>0</v>
      </c>
      <c r="EA13" s="111">
        <v>0</v>
      </c>
      <c r="EB13" s="111">
        <v>0</v>
      </c>
      <c r="EC13" s="111">
        <v>0</v>
      </c>
      <c r="ED13" s="111">
        <v>0</v>
      </c>
      <c r="EE13" s="111">
        <v>0</v>
      </c>
      <c r="EF13" s="111">
        <v>0</v>
      </c>
      <c r="EG13" s="111">
        <v>66</v>
      </c>
      <c r="EH13" s="111">
        <v>36</v>
      </c>
      <c r="EI13" s="111">
        <v>34</v>
      </c>
      <c r="EJ13" s="111">
        <v>2</v>
      </c>
      <c r="EK13" s="111">
        <v>30</v>
      </c>
      <c r="EL13" s="111">
        <v>29</v>
      </c>
      <c r="EM13" s="111">
        <v>1</v>
      </c>
      <c r="EN13" s="111">
        <v>6</v>
      </c>
      <c r="EO13" s="111">
        <v>0</v>
      </c>
      <c r="EP13" s="111">
        <v>0</v>
      </c>
      <c r="EQ13" s="111">
        <v>6</v>
      </c>
      <c r="ER13" s="111">
        <v>0</v>
      </c>
      <c r="ES13" s="111">
        <v>0</v>
      </c>
      <c r="ET13" s="111">
        <v>0</v>
      </c>
      <c r="EU13" s="111">
        <v>0</v>
      </c>
      <c r="EV13" s="111">
        <v>0</v>
      </c>
      <c r="EW13" s="111">
        <v>0</v>
      </c>
      <c r="EX13" s="111">
        <v>0</v>
      </c>
      <c r="EY13" s="111">
        <v>0</v>
      </c>
      <c r="EZ13" s="111">
        <v>0</v>
      </c>
      <c r="FA13" s="111">
        <v>0</v>
      </c>
      <c r="FB13" s="111">
        <v>0</v>
      </c>
    </row>
    <row r="14" spans="1:158" ht="19.5" customHeight="1">
      <c r="A14" s="107">
        <v>11</v>
      </c>
      <c r="B14" s="107" t="s">
        <v>350</v>
      </c>
      <c r="C14" s="107" t="s">
        <v>422</v>
      </c>
      <c r="D14" s="110">
        <v>6949087.9000000004</v>
      </c>
      <c r="E14" s="110">
        <v>1443144</v>
      </c>
      <c r="F14" s="110">
        <v>5505943.9000000004</v>
      </c>
      <c r="G14" s="110">
        <v>13430</v>
      </c>
      <c r="H14" s="110">
        <v>496</v>
      </c>
      <c r="I14" s="110">
        <v>876</v>
      </c>
      <c r="J14" s="110">
        <v>0</v>
      </c>
      <c r="K14" s="110">
        <v>0</v>
      </c>
      <c r="L14" s="110">
        <v>1268118.5</v>
      </c>
      <c r="M14" s="110">
        <v>10400</v>
      </c>
      <c r="N14" s="110">
        <v>1796.48</v>
      </c>
      <c r="O14" s="110">
        <v>22745123.550000001</v>
      </c>
      <c r="P14" s="110">
        <v>17672498.48</v>
      </c>
      <c r="Q14" s="110">
        <v>17565044.91</v>
      </c>
      <c r="R14" s="110">
        <v>107453.57</v>
      </c>
      <c r="S14" s="110">
        <v>5072625.07</v>
      </c>
      <c r="T14" s="110">
        <v>4914266.04</v>
      </c>
      <c r="U14" s="110">
        <v>158359.03</v>
      </c>
      <c r="V14" s="110">
        <v>6240302.5700000003</v>
      </c>
      <c r="W14" s="110">
        <v>5862403.71</v>
      </c>
      <c r="X14" s="110">
        <v>5783682.2199999997</v>
      </c>
      <c r="Y14" s="110">
        <v>78721.490000000005</v>
      </c>
      <c r="Z14" s="110">
        <v>377898.86</v>
      </c>
      <c r="AA14" s="110">
        <v>290357.26</v>
      </c>
      <c r="AB14" s="110">
        <v>87541.6</v>
      </c>
      <c r="AC14" s="110">
        <v>4796928.37</v>
      </c>
      <c r="AD14" s="110">
        <v>4545028.51</v>
      </c>
      <c r="AE14" s="110">
        <v>4505557.0199999996</v>
      </c>
      <c r="AF14" s="110">
        <v>39471.49</v>
      </c>
      <c r="AG14" s="110">
        <v>251899.86</v>
      </c>
      <c r="AH14" s="110">
        <v>207252.26</v>
      </c>
      <c r="AI14" s="110">
        <v>44647.6</v>
      </c>
      <c r="AJ14" s="110">
        <v>230.2</v>
      </c>
      <c r="AK14" s="110">
        <v>154.19999999999999</v>
      </c>
      <c r="AL14" s="110">
        <v>116.2</v>
      </c>
      <c r="AM14" s="110">
        <v>38</v>
      </c>
      <c r="AN14" s="110">
        <v>76</v>
      </c>
      <c r="AO14" s="110">
        <v>76</v>
      </c>
      <c r="AP14" s="110">
        <v>0</v>
      </c>
      <c r="AQ14" s="110">
        <v>1017769</v>
      </c>
      <c r="AR14" s="110">
        <v>926245</v>
      </c>
      <c r="AS14" s="110">
        <v>898312</v>
      </c>
      <c r="AT14" s="110">
        <v>27933</v>
      </c>
      <c r="AU14" s="110">
        <v>91524</v>
      </c>
      <c r="AV14" s="110">
        <v>59427</v>
      </c>
      <c r="AW14" s="110">
        <v>32097</v>
      </c>
      <c r="AX14" s="110">
        <v>425375</v>
      </c>
      <c r="AY14" s="110">
        <v>390976</v>
      </c>
      <c r="AZ14" s="110">
        <v>379697</v>
      </c>
      <c r="BA14" s="110">
        <v>11279</v>
      </c>
      <c r="BB14" s="110">
        <v>34399</v>
      </c>
      <c r="BC14" s="110">
        <v>23602</v>
      </c>
      <c r="BD14" s="110">
        <v>10797</v>
      </c>
      <c r="BE14" s="110">
        <v>16504820.98</v>
      </c>
      <c r="BF14" s="110">
        <v>11810094.77</v>
      </c>
      <c r="BG14" s="110">
        <v>11781362.689999999</v>
      </c>
      <c r="BH14" s="110">
        <v>28732.080000000002</v>
      </c>
      <c r="BI14" s="110">
        <v>4694726.21</v>
      </c>
      <c r="BJ14" s="110">
        <v>4623908.78</v>
      </c>
      <c r="BK14" s="110">
        <v>70817.429999999993</v>
      </c>
      <c r="BL14" s="110">
        <v>1035442.94</v>
      </c>
      <c r="BM14" s="110">
        <v>783508.88</v>
      </c>
      <c r="BN14" s="110">
        <v>779041.5</v>
      </c>
      <c r="BO14" s="110">
        <v>4467.38</v>
      </c>
      <c r="BP14" s="110">
        <v>251934.06</v>
      </c>
      <c r="BQ14" s="110">
        <v>246626.68</v>
      </c>
      <c r="BR14" s="110">
        <v>5307.38</v>
      </c>
      <c r="BS14" s="110">
        <v>9963434.1400000006</v>
      </c>
      <c r="BT14" s="110">
        <v>7020217.9900000002</v>
      </c>
      <c r="BU14" s="110">
        <v>7012532.29</v>
      </c>
      <c r="BV14" s="110">
        <v>7685.7</v>
      </c>
      <c r="BW14" s="110">
        <v>2943216.15</v>
      </c>
      <c r="BX14" s="110">
        <v>2911079.6</v>
      </c>
      <c r="BY14" s="110">
        <v>32136.55</v>
      </c>
      <c r="BZ14" s="110">
        <v>3690779.4</v>
      </c>
      <c r="CA14" s="110">
        <v>2679918.4</v>
      </c>
      <c r="CB14" s="110">
        <v>2666046.4</v>
      </c>
      <c r="CC14" s="110">
        <v>13872</v>
      </c>
      <c r="CD14" s="110">
        <v>1010861</v>
      </c>
      <c r="CE14" s="110">
        <v>985044</v>
      </c>
      <c r="CF14" s="110">
        <v>25817</v>
      </c>
      <c r="CG14" s="110">
        <v>1815164.5</v>
      </c>
      <c r="CH14" s="110">
        <v>1326449.5</v>
      </c>
      <c r="CI14" s="110">
        <v>1323742.5</v>
      </c>
      <c r="CJ14" s="110">
        <v>2707</v>
      </c>
      <c r="CK14" s="110">
        <v>488715</v>
      </c>
      <c r="CL14" s="110">
        <v>481158.5</v>
      </c>
      <c r="CM14" s="110">
        <v>7556.5</v>
      </c>
      <c r="CN14" s="110">
        <v>0</v>
      </c>
      <c r="CO14" s="110">
        <v>2529722.5699999998</v>
      </c>
      <c r="CP14" s="110">
        <v>2160915.1800000002</v>
      </c>
      <c r="CQ14" s="110">
        <v>1491531.08</v>
      </c>
      <c r="CR14" s="110">
        <v>58133.74</v>
      </c>
      <c r="CS14" s="110">
        <v>0</v>
      </c>
      <c r="CT14" s="110">
        <v>0</v>
      </c>
      <c r="CU14" s="110">
        <v>0</v>
      </c>
      <c r="CV14" s="111">
        <v>13430</v>
      </c>
      <c r="CW14" s="111">
        <v>12523</v>
      </c>
      <c r="CX14" s="111">
        <v>12315</v>
      </c>
      <c r="CY14" s="111">
        <v>208</v>
      </c>
      <c r="CZ14" s="111">
        <v>907</v>
      </c>
      <c r="DA14" s="111">
        <v>674</v>
      </c>
      <c r="DB14" s="111">
        <v>233</v>
      </c>
      <c r="DC14" s="111">
        <v>9298</v>
      </c>
      <c r="DD14" s="111">
        <v>148</v>
      </c>
      <c r="DE14" s="111">
        <v>8757</v>
      </c>
      <c r="DF14" s="111">
        <v>8652</v>
      </c>
      <c r="DG14" s="111">
        <v>105</v>
      </c>
      <c r="DH14" s="111">
        <v>541</v>
      </c>
      <c r="DI14" s="111">
        <v>412</v>
      </c>
      <c r="DJ14" s="111">
        <v>129</v>
      </c>
      <c r="DK14" s="111">
        <v>3915</v>
      </c>
      <c r="DL14" s="111">
        <v>3571</v>
      </c>
      <c r="DM14" s="111">
        <v>3480</v>
      </c>
      <c r="DN14" s="111">
        <v>91</v>
      </c>
      <c r="DO14" s="111">
        <v>344</v>
      </c>
      <c r="DP14" s="111">
        <v>253</v>
      </c>
      <c r="DQ14" s="111">
        <v>91</v>
      </c>
      <c r="DR14" s="111">
        <v>69</v>
      </c>
      <c r="DS14" s="111">
        <v>0</v>
      </c>
      <c r="DT14" s="111">
        <v>54</v>
      </c>
      <c r="DU14" s="111">
        <v>44</v>
      </c>
      <c r="DV14" s="111">
        <v>10</v>
      </c>
      <c r="DW14" s="111">
        <v>15</v>
      </c>
      <c r="DX14" s="111">
        <v>6</v>
      </c>
      <c r="DY14" s="111">
        <v>9</v>
      </c>
      <c r="DZ14" s="111">
        <v>0</v>
      </c>
      <c r="EA14" s="111">
        <v>0</v>
      </c>
      <c r="EB14" s="111">
        <v>0</v>
      </c>
      <c r="EC14" s="111">
        <v>0</v>
      </c>
      <c r="ED14" s="111">
        <v>0</v>
      </c>
      <c r="EE14" s="111">
        <v>0</v>
      </c>
      <c r="EF14" s="111">
        <v>0</v>
      </c>
      <c r="EG14" s="111">
        <v>496</v>
      </c>
      <c r="EH14" s="111">
        <v>359</v>
      </c>
      <c r="EI14" s="111">
        <v>357</v>
      </c>
      <c r="EJ14" s="111">
        <v>2</v>
      </c>
      <c r="EK14" s="111">
        <v>137</v>
      </c>
      <c r="EL14" s="111">
        <v>133</v>
      </c>
      <c r="EM14" s="111">
        <v>4</v>
      </c>
      <c r="EN14" s="111">
        <v>465</v>
      </c>
      <c r="EO14" s="111">
        <v>4</v>
      </c>
      <c r="EP14" s="111">
        <v>265</v>
      </c>
      <c r="EQ14" s="111">
        <v>196</v>
      </c>
      <c r="ER14" s="111">
        <v>0</v>
      </c>
      <c r="ES14" s="111">
        <v>0</v>
      </c>
      <c r="ET14" s="111">
        <v>0</v>
      </c>
      <c r="EU14" s="111">
        <v>181</v>
      </c>
      <c r="EV14" s="111">
        <v>0</v>
      </c>
      <c r="EW14" s="111">
        <v>181</v>
      </c>
      <c r="EX14" s="111">
        <v>0</v>
      </c>
      <c r="EY14" s="111">
        <v>4</v>
      </c>
      <c r="EZ14" s="111">
        <v>3</v>
      </c>
      <c r="FA14" s="111">
        <v>1</v>
      </c>
      <c r="FB14" s="111">
        <v>181</v>
      </c>
    </row>
    <row r="15" spans="1:158" ht="19.5" customHeight="1">
      <c r="A15" s="107">
        <v>12</v>
      </c>
      <c r="B15" s="107" t="s">
        <v>361</v>
      </c>
      <c r="C15" s="107" t="s">
        <v>362</v>
      </c>
      <c r="D15" s="110">
        <v>10451171.75</v>
      </c>
      <c r="E15" s="110">
        <v>1710377.5</v>
      </c>
      <c r="F15" s="110">
        <v>8740794.25</v>
      </c>
      <c r="G15" s="110">
        <v>7932</v>
      </c>
      <c r="H15" s="110">
        <v>845</v>
      </c>
      <c r="I15" s="110">
        <v>136204</v>
      </c>
      <c r="J15" s="110">
        <v>103809</v>
      </c>
      <c r="K15" s="110">
        <v>0</v>
      </c>
      <c r="L15" s="110">
        <v>449359.5</v>
      </c>
      <c r="M15" s="110">
        <v>2328318.75</v>
      </c>
      <c r="N15" s="110">
        <v>1188.58</v>
      </c>
      <c r="O15" s="110">
        <v>23449654.73</v>
      </c>
      <c r="P15" s="110">
        <v>14279339.279999999</v>
      </c>
      <c r="Q15" s="110">
        <v>13958908.35</v>
      </c>
      <c r="R15" s="110">
        <v>320430.93</v>
      </c>
      <c r="S15" s="110">
        <v>9170315.4499999993</v>
      </c>
      <c r="T15" s="110">
        <v>8370535.2400000002</v>
      </c>
      <c r="U15" s="110">
        <v>799780.21</v>
      </c>
      <c r="V15" s="110">
        <v>3329520.73</v>
      </c>
      <c r="W15" s="110">
        <v>2755406.7</v>
      </c>
      <c r="X15" s="110">
        <v>2633891.83</v>
      </c>
      <c r="Y15" s="110">
        <v>121514.87</v>
      </c>
      <c r="Z15" s="110">
        <v>574114.03</v>
      </c>
      <c r="AA15" s="110">
        <v>414268.82</v>
      </c>
      <c r="AB15" s="110">
        <v>159845.21</v>
      </c>
      <c r="AC15" s="110">
        <v>1229897.24</v>
      </c>
      <c r="AD15" s="110">
        <v>1012031.14</v>
      </c>
      <c r="AE15" s="110">
        <v>991668.84</v>
      </c>
      <c r="AF15" s="110">
        <v>20362.3</v>
      </c>
      <c r="AG15" s="110">
        <v>217866.1</v>
      </c>
      <c r="AH15" s="110">
        <v>179928.81</v>
      </c>
      <c r="AI15" s="110">
        <v>37937.29</v>
      </c>
      <c r="AJ15" s="110">
        <v>389245.99</v>
      </c>
      <c r="AK15" s="110">
        <v>365128.06</v>
      </c>
      <c r="AL15" s="110">
        <v>359215.49</v>
      </c>
      <c r="AM15" s="110">
        <v>5912.57</v>
      </c>
      <c r="AN15" s="110">
        <v>24117.93</v>
      </c>
      <c r="AO15" s="110">
        <v>12519.01</v>
      </c>
      <c r="AP15" s="110">
        <v>11598.92</v>
      </c>
      <c r="AQ15" s="110">
        <v>1125660.5</v>
      </c>
      <c r="AR15" s="110">
        <v>886911.5</v>
      </c>
      <c r="AS15" s="110">
        <v>851251.5</v>
      </c>
      <c r="AT15" s="110">
        <v>35660</v>
      </c>
      <c r="AU15" s="110">
        <v>238749</v>
      </c>
      <c r="AV15" s="110">
        <v>172981</v>
      </c>
      <c r="AW15" s="110">
        <v>65768</v>
      </c>
      <c r="AX15" s="110">
        <v>584717</v>
      </c>
      <c r="AY15" s="110">
        <v>491336</v>
      </c>
      <c r="AZ15" s="110">
        <v>431756</v>
      </c>
      <c r="BA15" s="110">
        <v>59580</v>
      </c>
      <c r="BB15" s="110">
        <v>93381</v>
      </c>
      <c r="BC15" s="110">
        <v>48840</v>
      </c>
      <c r="BD15" s="110">
        <v>44541</v>
      </c>
      <c r="BE15" s="110">
        <v>20120134</v>
      </c>
      <c r="BF15" s="110">
        <v>11523932.58</v>
      </c>
      <c r="BG15" s="110">
        <v>11325016.52</v>
      </c>
      <c r="BH15" s="110">
        <v>198916.06</v>
      </c>
      <c r="BI15" s="110">
        <v>8596201.4199999999</v>
      </c>
      <c r="BJ15" s="110">
        <v>7956266.4199999999</v>
      </c>
      <c r="BK15" s="110">
        <v>639935</v>
      </c>
      <c r="BL15" s="110">
        <v>4147709.95</v>
      </c>
      <c r="BM15" s="110">
        <v>2241950.5099999998</v>
      </c>
      <c r="BN15" s="110">
        <v>2216497.12</v>
      </c>
      <c r="BO15" s="110">
        <v>25453.39</v>
      </c>
      <c r="BP15" s="110">
        <v>1905759.44</v>
      </c>
      <c r="BQ15" s="110">
        <v>1779032.45</v>
      </c>
      <c r="BR15" s="110">
        <v>126726.99</v>
      </c>
      <c r="BS15" s="110">
        <v>7231629.7999999998</v>
      </c>
      <c r="BT15" s="110">
        <v>4313594.32</v>
      </c>
      <c r="BU15" s="110">
        <v>4267937.1500000004</v>
      </c>
      <c r="BV15" s="110">
        <v>45657.17</v>
      </c>
      <c r="BW15" s="110">
        <v>2918035.48</v>
      </c>
      <c r="BX15" s="110">
        <v>2715500.72</v>
      </c>
      <c r="BY15" s="110">
        <v>202534.76</v>
      </c>
      <c r="BZ15" s="110">
        <v>3569330.5</v>
      </c>
      <c r="CA15" s="110">
        <v>1830135</v>
      </c>
      <c r="CB15" s="110">
        <v>1815331</v>
      </c>
      <c r="CC15" s="110">
        <v>14804</v>
      </c>
      <c r="CD15" s="110">
        <v>1739195.5</v>
      </c>
      <c r="CE15" s="110">
        <v>1613993</v>
      </c>
      <c r="CF15" s="110">
        <v>125202.5</v>
      </c>
      <c r="CG15" s="110">
        <v>5171463.75</v>
      </c>
      <c r="CH15" s="110">
        <v>3138252.75</v>
      </c>
      <c r="CI15" s="110">
        <v>3025251.25</v>
      </c>
      <c r="CJ15" s="110">
        <v>113001.5</v>
      </c>
      <c r="CK15" s="110">
        <v>2033211</v>
      </c>
      <c r="CL15" s="110">
        <v>1847740.25</v>
      </c>
      <c r="CM15" s="110">
        <v>185470.75</v>
      </c>
      <c r="CN15" s="110">
        <v>692302.32</v>
      </c>
      <c r="CO15" s="110">
        <v>1261887.18</v>
      </c>
      <c r="CP15" s="110">
        <v>853580.42</v>
      </c>
      <c r="CQ15" s="110">
        <v>401644.6</v>
      </c>
      <c r="CR15" s="110">
        <v>115918.37</v>
      </c>
      <c r="CS15" s="110">
        <v>4187.84</v>
      </c>
      <c r="CT15" s="110">
        <v>298402.90000000002</v>
      </c>
      <c r="CU15" s="110">
        <v>0</v>
      </c>
      <c r="CV15" s="111">
        <v>7932</v>
      </c>
      <c r="CW15" s="111">
        <v>6615</v>
      </c>
      <c r="CX15" s="111">
        <v>6356</v>
      </c>
      <c r="CY15" s="111">
        <v>259</v>
      </c>
      <c r="CZ15" s="111">
        <v>1317</v>
      </c>
      <c r="DA15" s="111">
        <v>873</v>
      </c>
      <c r="DB15" s="111">
        <v>444</v>
      </c>
      <c r="DC15" s="111">
        <v>4371</v>
      </c>
      <c r="DD15" s="111">
        <v>21</v>
      </c>
      <c r="DE15" s="111">
        <v>3809</v>
      </c>
      <c r="DF15" s="111">
        <v>3672</v>
      </c>
      <c r="DG15" s="111">
        <v>137</v>
      </c>
      <c r="DH15" s="111">
        <v>562</v>
      </c>
      <c r="DI15" s="111">
        <v>356</v>
      </c>
      <c r="DJ15" s="111">
        <v>206</v>
      </c>
      <c r="DK15" s="111">
        <v>1952</v>
      </c>
      <c r="DL15" s="111">
        <v>1544</v>
      </c>
      <c r="DM15" s="111">
        <v>1496</v>
      </c>
      <c r="DN15" s="111">
        <v>48</v>
      </c>
      <c r="DO15" s="111">
        <v>408</v>
      </c>
      <c r="DP15" s="111">
        <v>278</v>
      </c>
      <c r="DQ15" s="111">
        <v>130</v>
      </c>
      <c r="DR15" s="111">
        <v>157</v>
      </c>
      <c r="DS15" s="111">
        <v>0</v>
      </c>
      <c r="DT15" s="111">
        <v>110</v>
      </c>
      <c r="DU15" s="111">
        <v>72</v>
      </c>
      <c r="DV15" s="111">
        <v>38</v>
      </c>
      <c r="DW15" s="111">
        <v>47</v>
      </c>
      <c r="DX15" s="111">
        <v>22</v>
      </c>
      <c r="DY15" s="111">
        <v>25</v>
      </c>
      <c r="DZ15" s="111">
        <v>1431</v>
      </c>
      <c r="EA15" s="111">
        <v>1137</v>
      </c>
      <c r="EB15" s="111">
        <v>1101</v>
      </c>
      <c r="EC15" s="111">
        <v>36</v>
      </c>
      <c r="ED15" s="111">
        <v>294</v>
      </c>
      <c r="EE15" s="111">
        <v>214</v>
      </c>
      <c r="EF15" s="111">
        <v>80</v>
      </c>
      <c r="EG15" s="111">
        <v>845</v>
      </c>
      <c r="EH15" s="111">
        <v>530</v>
      </c>
      <c r="EI15" s="111">
        <v>519</v>
      </c>
      <c r="EJ15" s="111">
        <v>11</v>
      </c>
      <c r="EK15" s="111">
        <v>315</v>
      </c>
      <c r="EL15" s="111">
        <v>292</v>
      </c>
      <c r="EM15" s="111">
        <v>23</v>
      </c>
      <c r="EN15" s="111">
        <v>793</v>
      </c>
      <c r="EO15" s="111">
        <v>582</v>
      </c>
      <c r="EP15" s="111">
        <v>0</v>
      </c>
      <c r="EQ15" s="111">
        <v>211</v>
      </c>
      <c r="ER15" s="111">
        <v>283</v>
      </c>
      <c r="ES15" s="111">
        <v>0</v>
      </c>
      <c r="ET15" s="111">
        <v>1</v>
      </c>
      <c r="EU15" s="111">
        <v>210</v>
      </c>
      <c r="EV15" s="111">
        <v>152</v>
      </c>
      <c r="EW15" s="111">
        <v>0</v>
      </c>
      <c r="EX15" s="111">
        <v>58</v>
      </c>
      <c r="EY15" s="111">
        <v>172</v>
      </c>
      <c r="EZ15" s="111">
        <v>172</v>
      </c>
      <c r="FA15" s="111">
        <v>0</v>
      </c>
      <c r="FB15" s="111">
        <v>325</v>
      </c>
    </row>
    <row r="16" spans="1:158" ht="19.5" customHeight="1">
      <c r="A16" s="107">
        <v>13</v>
      </c>
      <c r="B16" s="107" t="s">
        <v>361</v>
      </c>
      <c r="C16" s="107" t="s">
        <v>363</v>
      </c>
      <c r="D16" s="110">
        <v>6109671.75</v>
      </c>
      <c r="E16" s="110">
        <v>301390</v>
      </c>
      <c r="F16" s="110">
        <v>5808281.75</v>
      </c>
      <c r="G16" s="110">
        <v>1593</v>
      </c>
      <c r="H16" s="110">
        <v>400</v>
      </c>
      <c r="I16" s="110">
        <v>0</v>
      </c>
      <c r="J16" s="110">
        <v>0</v>
      </c>
      <c r="K16" s="110">
        <v>0</v>
      </c>
      <c r="L16" s="110">
        <v>477840.5</v>
      </c>
      <c r="M16" s="110">
        <v>1513371.75</v>
      </c>
      <c r="N16" s="110">
        <v>0</v>
      </c>
      <c r="O16" s="110">
        <v>20158240.280000001</v>
      </c>
      <c r="P16" s="110">
        <v>10113171.93</v>
      </c>
      <c r="Q16" s="110">
        <v>9779470.8800000008</v>
      </c>
      <c r="R16" s="110">
        <v>333701.05</v>
      </c>
      <c r="S16" s="110">
        <v>10045068.35</v>
      </c>
      <c r="T16" s="110">
        <v>9091637.0299999993</v>
      </c>
      <c r="U16" s="110">
        <v>953431.32</v>
      </c>
      <c r="V16" s="110">
        <v>392203.18</v>
      </c>
      <c r="W16" s="110">
        <v>292809.92</v>
      </c>
      <c r="X16" s="110">
        <v>277192.86</v>
      </c>
      <c r="Y16" s="110">
        <v>15617.06</v>
      </c>
      <c r="Z16" s="110">
        <v>99393.26</v>
      </c>
      <c r="AA16" s="110">
        <v>48775.49</v>
      </c>
      <c r="AB16" s="110">
        <v>50617.77</v>
      </c>
      <c r="AC16" s="110">
        <v>90813.18</v>
      </c>
      <c r="AD16" s="110">
        <v>77661.919999999998</v>
      </c>
      <c r="AE16" s="110">
        <v>75867.86</v>
      </c>
      <c r="AF16" s="110">
        <v>1794.06</v>
      </c>
      <c r="AG16" s="110">
        <v>13151.26</v>
      </c>
      <c r="AH16" s="110">
        <v>8826.49</v>
      </c>
      <c r="AI16" s="110">
        <v>4324.7700000000004</v>
      </c>
      <c r="AJ16" s="110">
        <v>0</v>
      </c>
      <c r="AK16" s="110">
        <v>0</v>
      </c>
      <c r="AL16" s="110">
        <v>0</v>
      </c>
      <c r="AM16" s="110">
        <v>0</v>
      </c>
      <c r="AN16" s="110">
        <v>0</v>
      </c>
      <c r="AO16" s="110">
        <v>0</v>
      </c>
      <c r="AP16" s="110">
        <v>0</v>
      </c>
      <c r="AQ16" s="110">
        <v>237641</v>
      </c>
      <c r="AR16" s="110">
        <v>173168</v>
      </c>
      <c r="AS16" s="110">
        <v>162582</v>
      </c>
      <c r="AT16" s="110">
        <v>10586</v>
      </c>
      <c r="AU16" s="110">
        <v>64473</v>
      </c>
      <c r="AV16" s="110">
        <v>29502</v>
      </c>
      <c r="AW16" s="110">
        <v>34971</v>
      </c>
      <c r="AX16" s="110">
        <v>63749</v>
      </c>
      <c r="AY16" s="110">
        <v>41980</v>
      </c>
      <c r="AZ16" s="110">
        <v>38743</v>
      </c>
      <c r="BA16" s="110">
        <v>3237</v>
      </c>
      <c r="BB16" s="110">
        <v>21769</v>
      </c>
      <c r="BC16" s="110">
        <v>10447</v>
      </c>
      <c r="BD16" s="110">
        <v>11322</v>
      </c>
      <c r="BE16" s="110">
        <v>19766037.100000001</v>
      </c>
      <c r="BF16" s="110">
        <v>9820362.0099999998</v>
      </c>
      <c r="BG16" s="110">
        <v>9502278.0199999996</v>
      </c>
      <c r="BH16" s="110">
        <v>318083.99</v>
      </c>
      <c r="BI16" s="110">
        <v>9945675.0899999999</v>
      </c>
      <c r="BJ16" s="110">
        <v>9042861.5399999991</v>
      </c>
      <c r="BK16" s="110">
        <v>902813.55</v>
      </c>
      <c r="BL16" s="110">
        <v>2924363.51</v>
      </c>
      <c r="BM16" s="110">
        <v>1579210.35</v>
      </c>
      <c r="BN16" s="110">
        <v>1545288.4</v>
      </c>
      <c r="BO16" s="110">
        <v>33921.949999999997</v>
      </c>
      <c r="BP16" s="110">
        <v>1345153.16</v>
      </c>
      <c r="BQ16" s="110">
        <v>1255045.19</v>
      </c>
      <c r="BR16" s="110">
        <v>90107.97</v>
      </c>
      <c r="BS16" s="110">
        <v>11033391.84</v>
      </c>
      <c r="BT16" s="110">
        <v>5621155.9100000001</v>
      </c>
      <c r="BU16" s="110">
        <v>5430433.1200000001</v>
      </c>
      <c r="BV16" s="110">
        <v>190722.79</v>
      </c>
      <c r="BW16" s="110">
        <v>5412235.9299999997</v>
      </c>
      <c r="BX16" s="110">
        <v>4881854.3499999996</v>
      </c>
      <c r="BY16" s="110">
        <v>530381.57999999996</v>
      </c>
      <c r="BZ16" s="110">
        <v>2266983.5</v>
      </c>
      <c r="CA16" s="110">
        <v>1021998</v>
      </c>
      <c r="CB16" s="110">
        <v>1000780</v>
      </c>
      <c r="CC16" s="110">
        <v>21218</v>
      </c>
      <c r="CD16" s="110">
        <v>1244985.5</v>
      </c>
      <c r="CE16" s="110">
        <v>1156863.5</v>
      </c>
      <c r="CF16" s="110">
        <v>88122</v>
      </c>
      <c r="CG16" s="110">
        <v>3541298.25</v>
      </c>
      <c r="CH16" s="110">
        <v>1597997.75</v>
      </c>
      <c r="CI16" s="110">
        <v>1525776.5</v>
      </c>
      <c r="CJ16" s="110">
        <v>72221.25</v>
      </c>
      <c r="CK16" s="110">
        <v>1943300.5</v>
      </c>
      <c r="CL16" s="110">
        <v>1749098.5</v>
      </c>
      <c r="CM16" s="110">
        <v>194202</v>
      </c>
      <c r="CN16" s="110">
        <v>49</v>
      </c>
      <c r="CO16" s="110">
        <v>195617.03</v>
      </c>
      <c r="CP16" s="110">
        <v>164354.94</v>
      </c>
      <c r="CQ16" s="110">
        <v>21286.39</v>
      </c>
      <c r="CR16" s="110">
        <v>10920.82</v>
      </c>
      <c r="CS16" s="110">
        <v>0</v>
      </c>
      <c r="CT16" s="110">
        <v>354976.92</v>
      </c>
      <c r="CU16" s="110">
        <v>0</v>
      </c>
      <c r="CV16" s="111">
        <v>1593</v>
      </c>
      <c r="CW16" s="111">
        <v>1140</v>
      </c>
      <c r="CX16" s="111">
        <v>1062</v>
      </c>
      <c r="CY16" s="111">
        <v>78</v>
      </c>
      <c r="CZ16" s="111">
        <v>453</v>
      </c>
      <c r="DA16" s="111">
        <v>225</v>
      </c>
      <c r="DB16" s="111">
        <v>228</v>
      </c>
      <c r="DC16" s="111">
        <v>820</v>
      </c>
      <c r="DD16" s="111">
        <v>14</v>
      </c>
      <c r="DE16" s="111">
        <v>635</v>
      </c>
      <c r="DF16" s="111">
        <v>598</v>
      </c>
      <c r="DG16" s="111">
        <v>37</v>
      </c>
      <c r="DH16" s="111">
        <v>185</v>
      </c>
      <c r="DI16" s="111">
        <v>79</v>
      </c>
      <c r="DJ16" s="111">
        <v>106</v>
      </c>
      <c r="DK16" s="111">
        <v>723</v>
      </c>
      <c r="DL16" s="111">
        <v>477</v>
      </c>
      <c r="DM16" s="111">
        <v>439</v>
      </c>
      <c r="DN16" s="111">
        <v>38</v>
      </c>
      <c r="DO16" s="111">
        <v>246</v>
      </c>
      <c r="DP16" s="111">
        <v>139</v>
      </c>
      <c r="DQ16" s="111">
        <v>107</v>
      </c>
      <c r="DR16" s="111">
        <v>35</v>
      </c>
      <c r="DS16" s="111">
        <v>0</v>
      </c>
      <c r="DT16" s="111">
        <v>15</v>
      </c>
      <c r="DU16" s="111">
        <v>13</v>
      </c>
      <c r="DV16" s="111">
        <v>2</v>
      </c>
      <c r="DW16" s="111">
        <v>20</v>
      </c>
      <c r="DX16" s="111">
        <v>7</v>
      </c>
      <c r="DY16" s="111">
        <v>13</v>
      </c>
      <c r="DZ16" s="111">
        <v>1</v>
      </c>
      <c r="EA16" s="111">
        <v>0</v>
      </c>
      <c r="EB16" s="111">
        <v>0</v>
      </c>
      <c r="EC16" s="111">
        <v>0</v>
      </c>
      <c r="ED16" s="111">
        <v>1</v>
      </c>
      <c r="EE16" s="111">
        <v>0</v>
      </c>
      <c r="EF16" s="111">
        <v>1</v>
      </c>
      <c r="EG16" s="111">
        <v>400</v>
      </c>
      <c r="EH16" s="111">
        <v>179</v>
      </c>
      <c r="EI16" s="111">
        <v>171</v>
      </c>
      <c r="EJ16" s="111">
        <v>8</v>
      </c>
      <c r="EK16" s="111">
        <v>221</v>
      </c>
      <c r="EL16" s="111">
        <v>202</v>
      </c>
      <c r="EM16" s="111">
        <v>19</v>
      </c>
      <c r="EN16" s="111">
        <v>346</v>
      </c>
      <c r="EO16" s="111">
        <v>141</v>
      </c>
      <c r="EP16" s="111">
        <v>129</v>
      </c>
      <c r="EQ16" s="111">
        <v>76</v>
      </c>
      <c r="ER16" s="111">
        <v>65</v>
      </c>
      <c r="ES16" s="111">
        <v>0</v>
      </c>
      <c r="ET16" s="111">
        <v>0</v>
      </c>
      <c r="EU16" s="111">
        <v>34</v>
      </c>
      <c r="EV16" s="111">
        <v>26</v>
      </c>
      <c r="EW16" s="111">
        <v>8</v>
      </c>
      <c r="EX16" s="111">
        <v>0</v>
      </c>
      <c r="EY16" s="111">
        <v>220</v>
      </c>
      <c r="EZ16" s="111">
        <v>99</v>
      </c>
      <c r="FA16" s="111">
        <v>121</v>
      </c>
      <c r="FB16" s="111">
        <v>179</v>
      </c>
    </row>
    <row r="17" spans="1:158" ht="19.5" customHeight="1">
      <c r="A17" s="107">
        <v>14</v>
      </c>
      <c r="B17" s="107" t="s">
        <v>361</v>
      </c>
      <c r="C17" s="107" t="s">
        <v>364</v>
      </c>
      <c r="D17" s="110">
        <v>8160678</v>
      </c>
      <c r="E17" s="110">
        <v>1876852</v>
      </c>
      <c r="F17" s="110">
        <v>6283826</v>
      </c>
      <c r="G17" s="110">
        <v>10307</v>
      </c>
      <c r="H17" s="110">
        <v>736</v>
      </c>
      <c r="I17" s="110">
        <v>33077</v>
      </c>
      <c r="J17" s="110">
        <v>46616</v>
      </c>
      <c r="K17" s="110">
        <v>0</v>
      </c>
      <c r="L17" s="110">
        <v>687214.5</v>
      </c>
      <c r="M17" s="110">
        <v>2381269.5</v>
      </c>
      <c r="N17" s="110">
        <v>0</v>
      </c>
      <c r="O17" s="110">
        <v>31206519.25</v>
      </c>
      <c r="P17" s="110">
        <v>23154583.649999999</v>
      </c>
      <c r="Q17" s="110">
        <v>20233157.789999999</v>
      </c>
      <c r="R17" s="110">
        <v>2921425.86</v>
      </c>
      <c r="S17" s="110">
        <v>8051935.5999999996</v>
      </c>
      <c r="T17" s="110">
        <v>6233187.7599999998</v>
      </c>
      <c r="U17" s="110">
        <v>1818747.84</v>
      </c>
      <c r="V17" s="110">
        <v>3626140.2</v>
      </c>
      <c r="W17" s="110">
        <v>3129136.85</v>
      </c>
      <c r="X17" s="110">
        <v>2800478.94</v>
      </c>
      <c r="Y17" s="110">
        <v>328657.90999999997</v>
      </c>
      <c r="Z17" s="110">
        <v>497003.35</v>
      </c>
      <c r="AA17" s="110">
        <v>224383.61</v>
      </c>
      <c r="AB17" s="110">
        <v>272619.74</v>
      </c>
      <c r="AC17" s="110">
        <v>1287426.93</v>
      </c>
      <c r="AD17" s="110">
        <v>1141362.08</v>
      </c>
      <c r="AE17" s="110">
        <v>1074655.57</v>
      </c>
      <c r="AF17" s="110">
        <v>66706.509999999995</v>
      </c>
      <c r="AG17" s="110">
        <v>146064.85</v>
      </c>
      <c r="AH17" s="110">
        <v>76705.86</v>
      </c>
      <c r="AI17" s="110">
        <v>69358.990000000005</v>
      </c>
      <c r="AJ17" s="110">
        <v>461861.27</v>
      </c>
      <c r="AK17" s="110">
        <v>399830.77</v>
      </c>
      <c r="AL17" s="110">
        <v>328698.37</v>
      </c>
      <c r="AM17" s="110">
        <v>71132.399999999994</v>
      </c>
      <c r="AN17" s="110">
        <v>62030.5</v>
      </c>
      <c r="AO17" s="110">
        <v>24894.75</v>
      </c>
      <c r="AP17" s="110">
        <v>37135.75</v>
      </c>
      <c r="AQ17" s="110">
        <v>1396056</v>
      </c>
      <c r="AR17" s="110">
        <v>1212244</v>
      </c>
      <c r="AS17" s="110">
        <v>1066603</v>
      </c>
      <c r="AT17" s="110">
        <v>145641</v>
      </c>
      <c r="AU17" s="110">
        <v>183812</v>
      </c>
      <c r="AV17" s="110">
        <v>77245</v>
      </c>
      <c r="AW17" s="110">
        <v>106567</v>
      </c>
      <c r="AX17" s="110">
        <v>480796</v>
      </c>
      <c r="AY17" s="110">
        <v>375700</v>
      </c>
      <c r="AZ17" s="110">
        <v>330522</v>
      </c>
      <c r="BA17" s="110">
        <v>45178</v>
      </c>
      <c r="BB17" s="110">
        <v>105096</v>
      </c>
      <c r="BC17" s="110">
        <v>45538</v>
      </c>
      <c r="BD17" s="110">
        <v>59558</v>
      </c>
      <c r="BE17" s="110">
        <v>27580379.050000001</v>
      </c>
      <c r="BF17" s="110">
        <v>20025446.800000001</v>
      </c>
      <c r="BG17" s="110">
        <v>17432678.850000001</v>
      </c>
      <c r="BH17" s="110">
        <v>2592767.9500000002</v>
      </c>
      <c r="BI17" s="110">
        <v>7554932.25</v>
      </c>
      <c r="BJ17" s="110">
        <v>6008804.1500000004</v>
      </c>
      <c r="BK17" s="110">
        <v>1546128.1</v>
      </c>
      <c r="BL17" s="110">
        <v>2553488.4300000002</v>
      </c>
      <c r="BM17" s="110">
        <v>1762249.9</v>
      </c>
      <c r="BN17" s="110">
        <v>1570718.33</v>
      </c>
      <c r="BO17" s="110">
        <v>191531.57</v>
      </c>
      <c r="BP17" s="110">
        <v>791238.53</v>
      </c>
      <c r="BQ17" s="110">
        <v>635124.78</v>
      </c>
      <c r="BR17" s="110">
        <v>156113.75</v>
      </c>
      <c r="BS17" s="110">
        <v>18743064.620000001</v>
      </c>
      <c r="BT17" s="110">
        <v>13825383.65</v>
      </c>
      <c r="BU17" s="110">
        <v>11905701.27</v>
      </c>
      <c r="BV17" s="110">
        <v>1919682.38</v>
      </c>
      <c r="BW17" s="110">
        <v>4917680.97</v>
      </c>
      <c r="BX17" s="110">
        <v>3796898.12</v>
      </c>
      <c r="BY17" s="110">
        <v>1120782.8500000001</v>
      </c>
      <c r="BZ17" s="110">
        <v>1382563.5</v>
      </c>
      <c r="CA17" s="110">
        <v>968453.5</v>
      </c>
      <c r="CB17" s="110">
        <v>866044.5</v>
      </c>
      <c r="CC17" s="110">
        <v>102409</v>
      </c>
      <c r="CD17" s="110">
        <v>414110</v>
      </c>
      <c r="CE17" s="110">
        <v>347238.5</v>
      </c>
      <c r="CF17" s="110">
        <v>66871.5</v>
      </c>
      <c r="CG17" s="110">
        <v>4901262.5</v>
      </c>
      <c r="CH17" s="110">
        <v>3469359.75</v>
      </c>
      <c r="CI17" s="110">
        <v>3090214.75</v>
      </c>
      <c r="CJ17" s="110">
        <v>379145</v>
      </c>
      <c r="CK17" s="110">
        <v>1431902.75</v>
      </c>
      <c r="CL17" s="110">
        <v>1229542.75</v>
      </c>
      <c r="CM17" s="110">
        <v>202360</v>
      </c>
      <c r="CN17" s="110">
        <v>818512.38</v>
      </c>
      <c r="CO17" s="110">
        <v>1451482.07</v>
      </c>
      <c r="CP17" s="110">
        <v>778970.18</v>
      </c>
      <c r="CQ17" s="110">
        <v>462288.62</v>
      </c>
      <c r="CR17" s="110">
        <v>114715.95</v>
      </c>
      <c r="CS17" s="110">
        <v>136</v>
      </c>
      <c r="CT17" s="110">
        <v>0</v>
      </c>
      <c r="CU17" s="110">
        <v>0</v>
      </c>
      <c r="CV17" s="111">
        <v>10307</v>
      </c>
      <c r="CW17" s="111">
        <v>8705</v>
      </c>
      <c r="CX17" s="111">
        <v>7823</v>
      </c>
      <c r="CY17" s="111">
        <v>882</v>
      </c>
      <c r="CZ17" s="111">
        <v>1602</v>
      </c>
      <c r="DA17" s="111">
        <v>714</v>
      </c>
      <c r="DB17" s="111">
        <v>888</v>
      </c>
      <c r="DC17" s="111">
        <v>5034</v>
      </c>
      <c r="DD17" s="111">
        <v>37</v>
      </c>
      <c r="DE17" s="111">
        <v>4473</v>
      </c>
      <c r="DF17" s="111">
        <v>4190</v>
      </c>
      <c r="DG17" s="111">
        <v>283</v>
      </c>
      <c r="DH17" s="111">
        <v>561</v>
      </c>
      <c r="DI17" s="111">
        <v>287</v>
      </c>
      <c r="DJ17" s="111">
        <v>274</v>
      </c>
      <c r="DK17" s="111">
        <v>3253</v>
      </c>
      <c r="DL17" s="111">
        <v>2671</v>
      </c>
      <c r="DM17" s="111">
        <v>2436</v>
      </c>
      <c r="DN17" s="111">
        <v>235</v>
      </c>
      <c r="DO17" s="111">
        <v>582</v>
      </c>
      <c r="DP17" s="111">
        <v>308</v>
      </c>
      <c r="DQ17" s="111">
        <v>274</v>
      </c>
      <c r="DR17" s="111">
        <v>232</v>
      </c>
      <c r="DS17" s="111">
        <v>0</v>
      </c>
      <c r="DT17" s="111">
        <v>106</v>
      </c>
      <c r="DU17" s="111">
        <v>85</v>
      </c>
      <c r="DV17" s="111">
        <v>21</v>
      </c>
      <c r="DW17" s="111">
        <v>126</v>
      </c>
      <c r="DX17" s="111">
        <v>55</v>
      </c>
      <c r="DY17" s="111">
        <v>71</v>
      </c>
      <c r="DZ17" s="111">
        <v>1751</v>
      </c>
      <c r="EA17" s="111">
        <v>1418</v>
      </c>
      <c r="EB17" s="111">
        <v>1076</v>
      </c>
      <c r="EC17" s="111">
        <v>342</v>
      </c>
      <c r="ED17" s="111">
        <v>333</v>
      </c>
      <c r="EE17" s="111">
        <v>64</v>
      </c>
      <c r="EF17" s="111">
        <v>269</v>
      </c>
      <c r="EG17" s="111">
        <v>736</v>
      </c>
      <c r="EH17" s="111">
        <v>567</v>
      </c>
      <c r="EI17" s="111">
        <v>519</v>
      </c>
      <c r="EJ17" s="111">
        <v>48</v>
      </c>
      <c r="EK17" s="111">
        <v>169</v>
      </c>
      <c r="EL17" s="111">
        <v>138</v>
      </c>
      <c r="EM17" s="111">
        <v>31</v>
      </c>
      <c r="EN17" s="111">
        <v>699</v>
      </c>
      <c r="EO17" s="111">
        <v>487</v>
      </c>
      <c r="EP17" s="111">
        <v>0</v>
      </c>
      <c r="EQ17" s="111">
        <v>212</v>
      </c>
      <c r="ER17" s="111">
        <v>193</v>
      </c>
      <c r="ES17" s="111">
        <v>0</v>
      </c>
      <c r="ET17" s="111">
        <v>0</v>
      </c>
      <c r="EU17" s="111">
        <v>193</v>
      </c>
      <c r="EV17" s="111">
        <v>193</v>
      </c>
      <c r="EW17" s="111">
        <v>0</v>
      </c>
      <c r="EX17" s="111">
        <v>0</v>
      </c>
      <c r="EY17" s="111">
        <v>136</v>
      </c>
      <c r="EZ17" s="111">
        <v>136</v>
      </c>
      <c r="FA17" s="111">
        <v>0</v>
      </c>
      <c r="FB17" s="111">
        <v>238</v>
      </c>
    </row>
    <row r="18" spans="1:158" ht="19.5" customHeight="1">
      <c r="A18" s="107">
        <v>15</v>
      </c>
      <c r="B18" s="107" t="s">
        <v>361</v>
      </c>
      <c r="C18" s="107" t="s">
        <v>365</v>
      </c>
      <c r="D18" s="110">
        <v>7799074.25</v>
      </c>
      <c r="E18" s="110">
        <v>1155238.5</v>
      </c>
      <c r="F18" s="110">
        <v>6643835.75</v>
      </c>
      <c r="G18" s="110">
        <v>6268</v>
      </c>
      <c r="H18" s="110">
        <v>547</v>
      </c>
      <c r="I18" s="110">
        <v>78435</v>
      </c>
      <c r="J18" s="110">
        <v>0</v>
      </c>
      <c r="K18" s="110">
        <v>0</v>
      </c>
      <c r="L18" s="110">
        <v>792193</v>
      </c>
      <c r="M18" s="110">
        <v>2958388.75</v>
      </c>
      <c r="N18" s="110">
        <v>0</v>
      </c>
      <c r="O18" s="110">
        <v>16426222.890000001</v>
      </c>
      <c r="P18" s="110">
        <v>9526011.1600000001</v>
      </c>
      <c r="Q18" s="110">
        <v>9353354.0500000007</v>
      </c>
      <c r="R18" s="110">
        <v>172657.11</v>
      </c>
      <c r="S18" s="110">
        <v>6900211.7300000004</v>
      </c>
      <c r="T18" s="110">
        <v>6589267.7599999998</v>
      </c>
      <c r="U18" s="110">
        <v>310943.96999999997</v>
      </c>
      <c r="V18" s="110">
        <v>4574664.84</v>
      </c>
      <c r="W18" s="110">
        <v>3858008.7</v>
      </c>
      <c r="X18" s="110">
        <v>3802940.76</v>
      </c>
      <c r="Y18" s="110">
        <v>55067.94</v>
      </c>
      <c r="Z18" s="110">
        <v>716656.14</v>
      </c>
      <c r="AA18" s="110">
        <v>553354.13</v>
      </c>
      <c r="AB18" s="110">
        <v>163302.01</v>
      </c>
      <c r="AC18" s="110">
        <v>3248174.92</v>
      </c>
      <c r="AD18" s="110">
        <v>2815743.3</v>
      </c>
      <c r="AE18" s="110">
        <v>2796897.36</v>
      </c>
      <c r="AF18" s="110">
        <v>18845.939999999999</v>
      </c>
      <c r="AG18" s="110">
        <v>432431.62</v>
      </c>
      <c r="AH18" s="110">
        <v>370141.91</v>
      </c>
      <c r="AI18" s="110">
        <v>62289.71</v>
      </c>
      <c r="AJ18" s="110">
        <v>171251.42</v>
      </c>
      <c r="AK18" s="110">
        <v>140100.4</v>
      </c>
      <c r="AL18" s="110">
        <v>138154.4</v>
      </c>
      <c r="AM18" s="110">
        <v>1946</v>
      </c>
      <c r="AN18" s="110">
        <v>31151.02</v>
      </c>
      <c r="AO18" s="110">
        <v>24109.22</v>
      </c>
      <c r="AP18" s="110">
        <v>7041.8</v>
      </c>
      <c r="AQ18" s="110">
        <v>800081.5</v>
      </c>
      <c r="AR18" s="110">
        <v>631540</v>
      </c>
      <c r="AS18" s="110">
        <v>611334</v>
      </c>
      <c r="AT18" s="110">
        <v>20206</v>
      </c>
      <c r="AU18" s="110">
        <v>168541.5</v>
      </c>
      <c r="AV18" s="110">
        <v>104405</v>
      </c>
      <c r="AW18" s="110">
        <v>64136.5</v>
      </c>
      <c r="AX18" s="110">
        <v>355157</v>
      </c>
      <c r="AY18" s="110">
        <v>270625</v>
      </c>
      <c r="AZ18" s="110">
        <v>256555</v>
      </c>
      <c r="BA18" s="110">
        <v>14070</v>
      </c>
      <c r="BB18" s="110">
        <v>84532</v>
      </c>
      <c r="BC18" s="110">
        <v>54698</v>
      </c>
      <c r="BD18" s="110">
        <v>29834</v>
      </c>
      <c r="BE18" s="110">
        <v>11851558.050000001</v>
      </c>
      <c r="BF18" s="110">
        <v>5668002.46</v>
      </c>
      <c r="BG18" s="110">
        <v>5550413.29</v>
      </c>
      <c r="BH18" s="110">
        <v>117589.17</v>
      </c>
      <c r="BI18" s="110">
        <v>6183555.5899999999</v>
      </c>
      <c r="BJ18" s="110">
        <v>6035913.6299999999</v>
      </c>
      <c r="BK18" s="110">
        <v>147641.96</v>
      </c>
      <c r="BL18" s="110">
        <v>1541760.86</v>
      </c>
      <c r="BM18" s="110">
        <v>764288.21</v>
      </c>
      <c r="BN18" s="110">
        <v>744256.75</v>
      </c>
      <c r="BO18" s="110">
        <v>20031.46</v>
      </c>
      <c r="BP18" s="110">
        <v>777472.65</v>
      </c>
      <c r="BQ18" s="110">
        <v>737789.41</v>
      </c>
      <c r="BR18" s="110">
        <v>39683.24</v>
      </c>
      <c r="BS18" s="110">
        <v>3665961.44</v>
      </c>
      <c r="BT18" s="110">
        <v>1826157</v>
      </c>
      <c r="BU18" s="110">
        <v>1804428.04</v>
      </c>
      <c r="BV18" s="110">
        <v>21728.959999999999</v>
      </c>
      <c r="BW18" s="110">
        <v>1839804.44</v>
      </c>
      <c r="BX18" s="110">
        <v>1800313.22</v>
      </c>
      <c r="BY18" s="110">
        <v>39491.22</v>
      </c>
      <c r="BZ18" s="110">
        <v>1848353</v>
      </c>
      <c r="CA18" s="110">
        <v>901984</v>
      </c>
      <c r="CB18" s="110">
        <v>891586</v>
      </c>
      <c r="CC18" s="110">
        <v>10398</v>
      </c>
      <c r="CD18" s="110">
        <v>946369</v>
      </c>
      <c r="CE18" s="110">
        <v>924110</v>
      </c>
      <c r="CF18" s="110">
        <v>22259</v>
      </c>
      <c r="CG18" s="110">
        <v>4795482.75</v>
      </c>
      <c r="CH18" s="110">
        <v>2175573.25</v>
      </c>
      <c r="CI18" s="110">
        <v>2110142.5</v>
      </c>
      <c r="CJ18" s="110">
        <v>65430.75</v>
      </c>
      <c r="CK18" s="110">
        <v>2619909.5</v>
      </c>
      <c r="CL18" s="110">
        <v>2573701</v>
      </c>
      <c r="CM18" s="110">
        <v>46208.5</v>
      </c>
      <c r="CN18" s="110">
        <v>-50</v>
      </c>
      <c r="CO18" s="110">
        <v>1526118.65</v>
      </c>
      <c r="CP18" s="110">
        <v>2462513.0299999998</v>
      </c>
      <c r="CQ18" s="110">
        <v>113479.34</v>
      </c>
      <c r="CR18" s="110">
        <v>472553.82</v>
      </c>
      <c r="CS18" s="110">
        <v>0</v>
      </c>
      <c r="CT18" s="110">
        <v>108778.42</v>
      </c>
      <c r="CU18" s="110">
        <v>0</v>
      </c>
      <c r="CV18" s="111">
        <v>6268</v>
      </c>
      <c r="CW18" s="111">
        <v>5365</v>
      </c>
      <c r="CX18" s="111">
        <v>5203</v>
      </c>
      <c r="CY18" s="111">
        <v>162</v>
      </c>
      <c r="CZ18" s="111">
        <v>903</v>
      </c>
      <c r="DA18" s="111">
        <v>615</v>
      </c>
      <c r="DB18" s="111">
        <v>288</v>
      </c>
      <c r="DC18" s="111">
        <v>3354</v>
      </c>
      <c r="DD18" s="111">
        <v>25</v>
      </c>
      <c r="DE18" s="111">
        <v>2999</v>
      </c>
      <c r="DF18" s="111">
        <v>2929</v>
      </c>
      <c r="DG18" s="111">
        <v>70</v>
      </c>
      <c r="DH18" s="111">
        <v>355</v>
      </c>
      <c r="DI18" s="111">
        <v>243</v>
      </c>
      <c r="DJ18" s="111">
        <v>112</v>
      </c>
      <c r="DK18" s="111">
        <v>2567</v>
      </c>
      <c r="DL18" s="111">
        <v>2164</v>
      </c>
      <c r="DM18" s="111">
        <v>2084</v>
      </c>
      <c r="DN18" s="111">
        <v>80</v>
      </c>
      <c r="DO18" s="111">
        <v>403</v>
      </c>
      <c r="DP18" s="111">
        <v>272</v>
      </c>
      <c r="DQ18" s="111">
        <v>131</v>
      </c>
      <c r="DR18" s="111">
        <v>322</v>
      </c>
      <c r="DS18" s="111">
        <v>0</v>
      </c>
      <c r="DT18" s="111">
        <v>178</v>
      </c>
      <c r="DU18" s="111">
        <v>166</v>
      </c>
      <c r="DV18" s="111">
        <v>12</v>
      </c>
      <c r="DW18" s="111">
        <v>144</v>
      </c>
      <c r="DX18" s="111">
        <v>100</v>
      </c>
      <c r="DY18" s="111">
        <v>44</v>
      </c>
      <c r="DZ18" s="111">
        <v>0</v>
      </c>
      <c r="EA18" s="111">
        <v>0</v>
      </c>
      <c r="EB18" s="111">
        <v>0</v>
      </c>
      <c r="EC18" s="111">
        <v>0</v>
      </c>
      <c r="ED18" s="111">
        <v>0</v>
      </c>
      <c r="EE18" s="111">
        <v>0</v>
      </c>
      <c r="EF18" s="111">
        <v>0</v>
      </c>
      <c r="EG18" s="111">
        <v>547</v>
      </c>
      <c r="EH18" s="111">
        <v>324</v>
      </c>
      <c r="EI18" s="111">
        <v>309</v>
      </c>
      <c r="EJ18" s="111">
        <v>15</v>
      </c>
      <c r="EK18" s="111">
        <v>223</v>
      </c>
      <c r="EL18" s="111">
        <v>213</v>
      </c>
      <c r="EM18" s="111">
        <v>10</v>
      </c>
      <c r="EN18" s="111">
        <v>526</v>
      </c>
      <c r="EO18" s="111">
        <v>280</v>
      </c>
      <c r="EP18" s="111">
        <v>0</v>
      </c>
      <c r="EQ18" s="111">
        <v>246</v>
      </c>
      <c r="ER18" s="111">
        <v>103</v>
      </c>
      <c r="ES18" s="111">
        <v>0</v>
      </c>
      <c r="ET18" s="111">
        <v>0</v>
      </c>
      <c r="EU18" s="111">
        <v>135</v>
      </c>
      <c r="EV18" s="111">
        <v>135</v>
      </c>
      <c r="EW18" s="111">
        <v>0</v>
      </c>
      <c r="EX18" s="111">
        <v>0</v>
      </c>
      <c r="EY18" s="111">
        <v>85</v>
      </c>
      <c r="EZ18" s="111">
        <v>85</v>
      </c>
      <c r="FA18" s="111">
        <v>0</v>
      </c>
      <c r="FB18" s="111">
        <v>172</v>
      </c>
    </row>
    <row r="19" spans="1:158" ht="19.5" customHeight="1">
      <c r="A19" s="107">
        <v>16</v>
      </c>
      <c r="B19" s="107" t="s">
        <v>361</v>
      </c>
      <c r="C19" s="107" t="s">
        <v>366</v>
      </c>
      <c r="D19" s="110">
        <v>9862210.9499999993</v>
      </c>
      <c r="E19" s="110">
        <v>631358</v>
      </c>
      <c r="F19" s="110">
        <v>9230852.9499999993</v>
      </c>
      <c r="G19" s="110">
        <v>2544</v>
      </c>
      <c r="H19" s="110">
        <v>326</v>
      </c>
      <c r="I19" s="110">
        <v>2492</v>
      </c>
      <c r="J19" s="110">
        <v>1472</v>
      </c>
      <c r="K19" s="110">
        <v>0</v>
      </c>
      <c r="L19" s="110">
        <v>852279.3</v>
      </c>
      <c r="M19" s="110">
        <v>3194386.75</v>
      </c>
      <c r="N19" s="110">
        <v>0</v>
      </c>
      <c r="O19" s="110">
        <v>28515397</v>
      </c>
      <c r="P19" s="110">
        <v>11357144.41</v>
      </c>
      <c r="Q19" s="110">
        <v>10958239.16</v>
      </c>
      <c r="R19" s="110">
        <v>398905.25</v>
      </c>
      <c r="S19" s="110">
        <v>17158252.59</v>
      </c>
      <c r="T19" s="110">
        <v>16398998.470000001</v>
      </c>
      <c r="U19" s="110">
        <v>759254.12</v>
      </c>
      <c r="V19" s="110">
        <v>904234.55</v>
      </c>
      <c r="W19" s="110">
        <v>555828.97</v>
      </c>
      <c r="X19" s="110">
        <v>527967.1</v>
      </c>
      <c r="Y19" s="110">
        <v>27861.87</v>
      </c>
      <c r="Z19" s="110">
        <v>348405.58</v>
      </c>
      <c r="AA19" s="110">
        <v>225011.95</v>
      </c>
      <c r="AB19" s="110">
        <v>123393.63</v>
      </c>
      <c r="AC19" s="110">
        <v>271602.21000000002</v>
      </c>
      <c r="AD19" s="110">
        <v>192303.61</v>
      </c>
      <c r="AE19" s="110">
        <v>186081.74</v>
      </c>
      <c r="AF19" s="110">
        <v>6221.87</v>
      </c>
      <c r="AG19" s="110">
        <v>79298.600000000006</v>
      </c>
      <c r="AH19" s="110">
        <v>67418.97</v>
      </c>
      <c r="AI19" s="110">
        <v>11879.63</v>
      </c>
      <c r="AJ19" s="110">
        <v>1274.3399999999999</v>
      </c>
      <c r="AK19" s="110">
        <v>590.36</v>
      </c>
      <c r="AL19" s="110">
        <v>552.36</v>
      </c>
      <c r="AM19" s="110">
        <v>38</v>
      </c>
      <c r="AN19" s="110">
        <v>683.98</v>
      </c>
      <c r="AO19" s="110">
        <v>645.98</v>
      </c>
      <c r="AP19" s="110">
        <v>38</v>
      </c>
      <c r="AQ19" s="110">
        <v>506886</v>
      </c>
      <c r="AR19" s="110">
        <v>294274</v>
      </c>
      <c r="AS19" s="110">
        <v>278145</v>
      </c>
      <c r="AT19" s="110">
        <v>16129</v>
      </c>
      <c r="AU19" s="110">
        <v>212612</v>
      </c>
      <c r="AV19" s="110">
        <v>123402</v>
      </c>
      <c r="AW19" s="110">
        <v>89210</v>
      </c>
      <c r="AX19" s="110">
        <v>124472</v>
      </c>
      <c r="AY19" s="110">
        <v>68661</v>
      </c>
      <c r="AZ19" s="110">
        <v>63188</v>
      </c>
      <c r="BA19" s="110">
        <v>5473</v>
      </c>
      <c r="BB19" s="110">
        <v>55811</v>
      </c>
      <c r="BC19" s="110">
        <v>33545</v>
      </c>
      <c r="BD19" s="110">
        <v>22266</v>
      </c>
      <c r="BE19" s="110">
        <v>27611162.449999999</v>
      </c>
      <c r="BF19" s="110">
        <v>10801315.439999999</v>
      </c>
      <c r="BG19" s="110">
        <v>10430272.060000001</v>
      </c>
      <c r="BH19" s="110">
        <v>371043.38</v>
      </c>
      <c r="BI19" s="110">
        <v>16809847.010000002</v>
      </c>
      <c r="BJ19" s="110">
        <v>16173986.52</v>
      </c>
      <c r="BK19" s="110">
        <v>635860.49</v>
      </c>
      <c r="BL19" s="110">
        <v>4322289.87</v>
      </c>
      <c r="BM19" s="110">
        <v>1735569.38</v>
      </c>
      <c r="BN19" s="110">
        <v>1677885.9</v>
      </c>
      <c r="BO19" s="110">
        <v>57683.48</v>
      </c>
      <c r="BP19" s="110">
        <v>2586720.4900000002</v>
      </c>
      <c r="BQ19" s="110">
        <v>2473418.34</v>
      </c>
      <c r="BR19" s="110">
        <v>113302.15</v>
      </c>
      <c r="BS19" s="110">
        <v>14058019.630000001</v>
      </c>
      <c r="BT19" s="110">
        <v>5653492.0599999996</v>
      </c>
      <c r="BU19" s="110">
        <v>5455061.6600000001</v>
      </c>
      <c r="BV19" s="110">
        <v>198430.4</v>
      </c>
      <c r="BW19" s="110">
        <v>8404527.5700000003</v>
      </c>
      <c r="BX19" s="110">
        <v>8068182.2300000004</v>
      </c>
      <c r="BY19" s="110">
        <v>336345.34</v>
      </c>
      <c r="BZ19" s="110">
        <v>3119430.5</v>
      </c>
      <c r="CA19" s="110">
        <v>1144109</v>
      </c>
      <c r="CB19" s="110">
        <v>1112476</v>
      </c>
      <c r="CC19" s="110">
        <v>31633</v>
      </c>
      <c r="CD19" s="110">
        <v>1975321.5</v>
      </c>
      <c r="CE19" s="110">
        <v>1916190.5</v>
      </c>
      <c r="CF19" s="110">
        <v>59131</v>
      </c>
      <c r="CG19" s="110">
        <v>6111422.4500000002</v>
      </c>
      <c r="CH19" s="110">
        <v>2268145</v>
      </c>
      <c r="CI19" s="110">
        <v>2184848.5</v>
      </c>
      <c r="CJ19" s="110">
        <v>83296.5</v>
      </c>
      <c r="CK19" s="110">
        <v>3843277.45</v>
      </c>
      <c r="CL19" s="110">
        <v>3716195.45</v>
      </c>
      <c r="CM19" s="110">
        <v>127082</v>
      </c>
      <c r="CN19" s="110">
        <v>-25</v>
      </c>
      <c r="CO19" s="110">
        <v>258692.68</v>
      </c>
      <c r="CP19" s="110">
        <v>528748.99</v>
      </c>
      <c r="CQ19" s="110">
        <v>70837.23</v>
      </c>
      <c r="CR19" s="110">
        <v>45955.65</v>
      </c>
      <c r="CS19" s="110">
        <v>0</v>
      </c>
      <c r="CT19" s="110">
        <v>0</v>
      </c>
      <c r="CU19" s="110">
        <v>0</v>
      </c>
      <c r="CV19" s="111">
        <v>2544</v>
      </c>
      <c r="CW19" s="111">
        <v>1569</v>
      </c>
      <c r="CX19" s="111">
        <v>1449</v>
      </c>
      <c r="CY19" s="111">
        <v>120</v>
      </c>
      <c r="CZ19" s="111">
        <v>975</v>
      </c>
      <c r="DA19" s="111">
        <v>561</v>
      </c>
      <c r="DB19" s="111">
        <v>414</v>
      </c>
      <c r="DC19" s="111">
        <v>898</v>
      </c>
      <c r="DD19" s="111">
        <v>2</v>
      </c>
      <c r="DE19" s="111">
        <v>625</v>
      </c>
      <c r="DF19" s="111">
        <v>588</v>
      </c>
      <c r="DG19" s="111">
        <v>37</v>
      </c>
      <c r="DH19" s="111">
        <v>273</v>
      </c>
      <c r="DI19" s="111">
        <v>168</v>
      </c>
      <c r="DJ19" s="111">
        <v>105</v>
      </c>
      <c r="DK19" s="111">
        <v>1523</v>
      </c>
      <c r="DL19" s="111">
        <v>910</v>
      </c>
      <c r="DM19" s="111">
        <v>830</v>
      </c>
      <c r="DN19" s="111">
        <v>80</v>
      </c>
      <c r="DO19" s="111">
        <v>613</v>
      </c>
      <c r="DP19" s="111">
        <v>347</v>
      </c>
      <c r="DQ19" s="111">
        <v>266</v>
      </c>
      <c r="DR19" s="111">
        <v>108</v>
      </c>
      <c r="DS19" s="111">
        <v>13</v>
      </c>
      <c r="DT19" s="111">
        <v>34</v>
      </c>
      <c r="DU19" s="111">
        <v>31</v>
      </c>
      <c r="DV19" s="111">
        <v>3</v>
      </c>
      <c r="DW19" s="111">
        <v>74</v>
      </c>
      <c r="DX19" s="111">
        <v>46</v>
      </c>
      <c r="DY19" s="111">
        <v>28</v>
      </c>
      <c r="DZ19" s="111">
        <v>0</v>
      </c>
      <c r="EA19" s="111">
        <v>0</v>
      </c>
      <c r="EB19" s="111">
        <v>0</v>
      </c>
      <c r="EC19" s="111">
        <v>0</v>
      </c>
      <c r="ED19" s="111">
        <v>0</v>
      </c>
      <c r="EE19" s="111">
        <v>0</v>
      </c>
      <c r="EF19" s="111">
        <v>0</v>
      </c>
      <c r="EG19" s="111">
        <v>326</v>
      </c>
      <c r="EH19" s="111">
        <v>110</v>
      </c>
      <c r="EI19" s="111">
        <v>106</v>
      </c>
      <c r="EJ19" s="111">
        <v>4</v>
      </c>
      <c r="EK19" s="111">
        <v>216</v>
      </c>
      <c r="EL19" s="111">
        <v>206</v>
      </c>
      <c r="EM19" s="111">
        <v>10</v>
      </c>
      <c r="EN19" s="111">
        <v>285</v>
      </c>
      <c r="EO19" s="111">
        <v>244</v>
      </c>
      <c r="EP19" s="111">
        <v>6</v>
      </c>
      <c r="EQ19" s="111">
        <v>35</v>
      </c>
      <c r="ER19" s="111">
        <v>173</v>
      </c>
      <c r="ES19" s="111">
        <v>0</v>
      </c>
      <c r="ET19" s="111">
        <v>0</v>
      </c>
      <c r="EU19" s="111">
        <v>2</v>
      </c>
      <c r="EV19" s="111">
        <v>1</v>
      </c>
      <c r="EW19" s="111">
        <v>1</v>
      </c>
      <c r="EX19" s="111">
        <v>0</v>
      </c>
      <c r="EY19" s="111">
        <v>230</v>
      </c>
      <c r="EZ19" s="111">
        <v>226</v>
      </c>
      <c r="FA19" s="111">
        <v>4</v>
      </c>
      <c r="FB19" s="111">
        <v>164</v>
      </c>
    </row>
    <row r="20" spans="1:158" ht="19.5" customHeight="1">
      <c r="A20" s="107">
        <v>17</v>
      </c>
      <c r="B20" s="107" t="s">
        <v>361</v>
      </c>
      <c r="C20" s="107" t="s">
        <v>367</v>
      </c>
      <c r="D20" s="110">
        <v>1698928.85</v>
      </c>
      <c r="E20" s="110">
        <v>1363128.35</v>
      </c>
      <c r="F20" s="110">
        <v>335800.5</v>
      </c>
      <c r="G20" s="110">
        <v>803</v>
      </c>
      <c r="H20" s="110">
        <v>22</v>
      </c>
      <c r="I20" s="110">
        <v>23987</v>
      </c>
      <c r="J20" s="110">
        <v>1298458.3500000001</v>
      </c>
      <c r="K20" s="110">
        <v>0</v>
      </c>
      <c r="L20" s="110">
        <v>27664</v>
      </c>
      <c r="M20" s="110">
        <v>97334</v>
      </c>
      <c r="N20" s="110">
        <v>0</v>
      </c>
      <c r="O20" s="110">
        <v>2173256.9</v>
      </c>
      <c r="P20" s="110">
        <v>1266275.24</v>
      </c>
      <c r="Q20" s="110">
        <v>69974.02</v>
      </c>
      <c r="R20" s="110">
        <v>1196301.22</v>
      </c>
      <c r="S20" s="110">
        <v>906981.66</v>
      </c>
      <c r="T20" s="110">
        <v>67078.09</v>
      </c>
      <c r="U20" s="110">
        <v>839903.57</v>
      </c>
      <c r="V20" s="110">
        <v>1720156.05</v>
      </c>
      <c r="W20" s="110">
        <v>1141273.96</v>
      </c>
      <c r="X20" s="110">
        <v>10631.8</v>
      </c>
      <c r="Y20" s="110">
        <v>1130642.1599999999</v>
      </c>
      <c r="Z20" s="110">
        <v>578882.09</v>
      </c>
      <c r="AA20" s="110">
        <v>0</v>
      </c>
      <c r="AB20" s="110">
        <v>578882.09</v>
      </c>
      <c r="AC20" s="110">
        <v>338224.88</v>
      </c>
      <c r="AD20" s="110">
        <v>232662.84</v>
      </c>
      <c r="AE20" s="110">
        <v>88</v>
      </c>
      <c r="AF20" s="110">
        <v>232574.84</v>
      </c>
      <c r="AG20" s="110">
        <v>105562.04</v>
      </c>
      <c r="AH20" s="110">
        <v>0</v>
      </c>
      <c r="AI20" s="110">
        <v>105562.04</v>
      </c>
      <c r="AJ20" s="110">
        <v>18802.82</v>
      </c>
      <c r="AK20" s="110">
        <v>13976.02</v>
      </c>
      <c r="AL20" s="110">
        <v>591.79999999999995</v>
      </c>
      <c r="AM20" s="110">
        <v>13384.22</v>
      </c>
      <c r="AN20" s="110">
        <v>4826.8</v>
      </c>
      <c r="AO20" s="110">
        <v>0</v>
      </c>
      <c r="AP20" s="110">
        <v>4826.8</v>
      </c>
      <c r="AQ20" s="110">
        <v>4230</v>
      </c>
      <c r="AR20" s="110">
        <v>1875</v>
      </c>
      <c r="AS20" s="110">
        <v>190</v>
      </c>
      <c r="AT20" s="110">
        <v>1685</v>
      </c>
      <c r="AU20" s="110">
        <v>2355</v>
      </c>
      <c r="AV20" s="110">
        <v>0</v>
      </c>
      <c r="AW20" s="110">
        <v>2355</v>
      </c>
      <c r="AX20" s="110">
        <v>1358898.35</v>
      </c>
      <c r="AY20" s="110">
        <v>892760.1</v>
      </c>
      <c r="AZ20" s="110">
        <v>9762</v>
      </c>
      <c r="BA20" s="110">
        <v>882998.1</v>
      </c>
      <c r="BB20" s="110">
        <v>466138.25</v>
      </c>
      <c r="BC20" s="110">
        <v>0</v>
      </c>
      <c r="BD20" s="110">
        <v>466138.25</v>
      </c>
      <c r="BE20" s="110">
        <v>453100.85</v>
      </c>
      <c r="BF20" s="110">
        <v>125001.28</v>
      </c>
      <c r="BG20" s="110">
        <v>59342.22</v>
      </c>
      <c r="BH20" s="110">
        <v>65659.06</v>
      </c>
      <c r="BI20" s="110">
        <v>328099.57</v>
      </c>
      <c r="BJ20" s="110">
        <v>67078.09</v>
      </c>
      <c r="BK20" s="110">
        <v>261021.48</v>
      </c>
      <c r="BL20" s="110">
        <v>46196.07</v>
      </c>
      <c r="BM20" s="110">
        <v>16827.91</v>
      </c>
      <c r="BN20" s="110">
        <v>11518.31</v>
      </c>
      <c r="BO20" s="110">
        <v>5309.6</v>
      </c>
      <c r="BP20" s="110">
        <v>29368.16</v>
      </c>
      <c r="BQ20" s="110">
        <v>3246.25</v>
      </c>
      <c r="BR20" s="110">
        <v>26121.91</v>
      </c>
      <c r="BS20" s="110">
        <v>71104.28</v>
      </c>
      <c r="BT20" s="110">
        <v>26548.87</v>
      </c>
      <c r="BU20" s="110">
        <v>21167.91</v>
      </c>
      <c r="BV20" s="110">
        <v>5380.96</v>
      </c>
      <c r="BW20" s="110">
        <v>44555.41</v>
      </c>
      <c r="BX20" s="110">
        <v>25765.34</v>
      </c>
      <c r="BY20" s="110">
        <v>18790.07</v>
      </c>
      <c r="BZ20" s="110">
        <v>23138</v>
      </c>
      <c r="CA20" s="110">
        <v>7712</v>
      </c>
      <c r="CB20" s="110">
        <v>3809</v>
      </c>
      <c r="CC20" s="110">
        <v>3903</v>
      </c>
      <c r="CD20" s="110">
        <v>15426</v>
      </c>
      <c r="CE20" s="110">
        <v>2641</v>
      </c>
      <c r="CF20" s="110">
        <v>12785</v>
      </c>
      <c r="CG20" s="110">
        <v>312662.5</v>
      </c>
      <c r="CH20" s="110">
        <v>73912.5</v>
      </c>
      <c r="CI20" s="110">
        <v>22847</v>
      </c>
      <c r="CJ20" s="110">
        <v>51065.5</v>
      </c>
      <c r="CK20" s="110">
        <v>238750</v>
      </c>
      <c r="CL20" s="110">
        <v>35425.5</v>
      </c>
      <c r="CM20" s="110">
        <v>203324.5</v>
      </c>
      <c r="CN20" s="110">
        <v>318323.8</v>
      </c>
      <c r="CO20" s="110">
        <v>637422.91</v>
      </c>
      <c r="CP20" s="110">
        <v>379486.59</v>
      </c>
      <c r="CQ20" s="110">
        <v>359528.08</v>
      </c>
      <c r="CR20" s="110">
        <v>25394.67</v>
      </c>
      <c r="CS20" s="110">
        <v>0</v>
      </c>
      <c r="CT20" s="110">
        <v>302772.65999999997</v>
      </c>
      <c r="CU20" s="110">
        <v>0</v>
      </c>
      <c r="CV20" s="111">
        <v>803</v>
      </c>
      <c r="CW20" s="111">
        <v>538</v>
      </c>
      <c r="CX20" s="111">
        <v>10</v>
      </c>
      <c r="CY20" s="111">
        <v>528</v>
      </c>
      <c r="CZ20" s="111">
        <v>265</v>
      </c>
      <c r="DA20" s="111">
        <v>0</v>
      </c>
      <c r="DB20" s="111">
        <v>265</v>
      </c>
      <c r="DC20" s="111">
        <v>470</v>
      </c>
      <c r="DD20" s="111">
        <v>0</v>
      </c>
      <c r="DE20" s="111">
        <v>340</v>
      </c>
      <c r="DF20" s="111">
        <v>6</v>
      </c>
      <c r="DG20" s="111">
        <v>334</v>
      </c>
      <c r="DH20" s="111">
        <v>130</v>
      </c>
      <c r="DI20" s="111">
        <v>0</v>
      </c>
      <c r="DJ20" s="111">
        <v>130</v>
      </c>
      <c r="DK20" s="111">
        <v>185</v>
      </c>
      <c r="DL20" s="111">
        <v>103</v>
      </c>
      <c r="DM20" s="111">
        <v>4</v>
      </c>
      <c r="DN20" s="111">
        <v>99</v>
      </c>
      <c r="DO20" s="111">
        <v>82</v>
      </c>
      <c r="DP20" s="111">
        <v>0</v>
      </c>
      <c r="DQ20" s="111">
        <v>82</v>
      </c>
      <c r="DR20" s="111">
        <v>43</v>
      </c>
      <c r="DS20" s="111">
        <v>0</v>
      </c>
      <c r="DT20" s="111">
        <v>8</v>
      </c>
      <c r="DU20" s="111">
        <v>0</v>
      </c>
      <c r="DV20" s="111">
        <v>8</v>
      </c>
      <c r="DW20" s="111">
        <v>35</v>
      </c>
      <c r="DX20" s="111">
        <v>0</v>
      </c>
      <c r="DY20" s="111">
        <v>35</v>
      </c>
      <c r="DZ20" s="111">
        <v>105</v>
      </c>
      <c r="EA20" s="111">
        <v>87</v>
      </c>
      <c r="EB20" s="111">
        <v>0</v>
      </c>
      <c r="EC20" s="111">
        <v>87</v>
      </c>
      <c r="ED20" s="111">
        <v>18</v>
      </c>
      <c r="EE20" s="111">
        <v>0</v>
      </c>
      <c r="EF20" s="111">
        <v>18</v>
      </c>
      <c r="EG20" s="111">
        <v>22</v>
      </c>
      <c r="EH20" s="111">
        <v>5</v>
      </c>
      <c r="EI20" s="111">
        <v>2</v>
      </c>
      <c r="EJ20" s="111">
        <v>3</v>
      </c>
      <c r="EK20" s="111">
        <v>17</v>
      </c>
      <c r="EL20" s="111">
        <v>3</v>
      </c>
      <c r="EM20" s="111">
        <v>14</v>
      </c>
      <c r="EN20" s="111">
        <v>22</v>
      </c>
      <c r="EO20" s="111">
        <v>16</v>
      </c>
      <c r="EP20" s="111">
        <v>0</v>
      </c>
      <c r="EQ20" s="111">
        <v>6</v>
      </c>
      <c r="ER20" s="111">
        <v>0</v>
      </c>
      <c r="ES20" s="111">
        <v>0</v>
      </c>
      <c r="ET20" s="111">
        <v>0</v>
      </c>
      <c r="EU20" s="111">
        <v>14</v>
      </c>
      <c r="EV20" s="111">
        <v>14</v>
      </c>
      <c r="EW20" s="111">
        <v>0</v>
      </c>
      <c r="EX20" s="111">
        <v>0</v>
      </c>
      <c r="EY20" s="111">
        <v>0</v>
      </c>
      <c r="EZ20" s="111">
        <v>0</v>
      </c>
      <c r="FA20" s="111">
        <v>0</v>
      </c>
      <c r="FB20" s="111">
        <v>0</v>
      </c>
    </row>
    <row r="21" spans="1:158" ht="19.5" customHeight="1">
      <c r="A21" s="107">
        <v>18</v>
      </c>
      <c r="B21" s="107" t="s">
        <v>361</v>
      </c>
      <c r="C21" s="107" t="s">
        <v>368</v>
      </c>
      <c r="D21" s="110">
        <v>5774335.9500000002</v>
      </c>
      <c r="E21" s="110">
        <v>1061208</v>
      </c>
      <c r="F21" s="110">
        <v>4713127.95</v>
      </c>
      <c r="G21" s="110">
        <v>3859</v>
      </c>
      <c r="H21" s="110">
        <v>616</v>
      </c>
      <c r="I21" s="110">
        <v>76055</v>
      </c>
      <c r="J21" s="110">
        <v>172</v>
      </c>
      <c r="K21" s="110">
        <v>509.66</v>
      </c>
      <c r="L21" s="110">
        <v>291023.5</v>
      </c>
      <c r="M21" s="110">
        <v>1319586.25</v>
      </c>
      <c r="N21" s="110">
        <v>26412.74</v>
      </c>
      <c r="O21" s="110">
        <v>13304521.16</v>
      </c>
      <c r="P21" s="110">
        <v>8349490.0599999996</v>
      </c>
      <c r="Q21" s="110">
        <v>8261621.6900000004</v>
      </c>
      <c r="R21" s="110">
        <v>87868.37</v>
      </c>
      <c r="S21" s="110">
        <v>4955031.0999999996</v>
      </c>
      <c r="T21" s="110">
        <v>4714539.9800000004</v>
      </c>
      <c r="U21" s="110">
        <v>240491.12</v>
      </c>
      <c r="V21" s="110">
        <v>2284966.19</v>
      </c>
      <c r="W21" s="110">
        <v>1943673.03</v>
      </c>
      <c r="X21" s="110">
        <v>1915635.74</v>
      </c>
      <c r="Y21" s="110">
        <v>28037.29</v>
      </c>
      <c r="Z21" s="110">
        <v>341293.16</v>
      </c>
      <c r="AA21" s="110">
        <v>250056.93</v>
      </c>
      <c r="AB21" s="110">
        <v>91236.23</v>
      </c>
      <c r="AC21" s="110">
        <v>1105951.46</v>
      </c>
      <c r="AD21" s="110">
        <v>999921.19</v>
      </c>
      <c r="AE21" s="110">
        <v>991198.88</v>
      </c>
      <c r="AF21" s="110">
        <v>8722.31</v>
      </c>
      <c r="AG21" s="110">
        <v>106030.27</v>
      </c>
      <c r="AH21" s="110">
        <v>80228.350000000006</v>
      </c>
      <c r="AI21" s="110">
        <v>25801.919999999998</v>
      </c>
      <c r="AJ21" s="110">
        <v>117806.73</v>
      </c>
      <c r="AK21" s="110">
        <v>82092.84</v>
      </c>
      <c r="AL21" s="110">
        <v>81245.86</v>
      </c>
      <c r="AM21" s="110">
        <v>846.98</v>
      </c>
      <c r="AN21" s="110">
        <v>35713.89</v>
      </c>
      <c r="AO21" s="110">
        <v>25814.58</v>
      </c>
      <c r="AP21" s="110">
        <v>9899.31</v>
      </c>
      <c r="AQ21" s="110">
        <v>831901.5</v>
      </c>
      <c r="AR21" s="110">
        <v>679719.5</v>
      </c>
      <c r="AS21" s="110">
        <v>664966.5</v>
      </c>
      <c r="AT21" s="110">
        <v>14753</v>
      </c>
      <c r="AU21" s="110">
        <v>152182</v>
      </c>
      <c r="AV21" s="110">
        <v>111464</v>
      </c>
      <c r="AW21" s="110">
        <v>40718</v>
      </c>
      <c r="AX21" s="110">
        <v>229306.5</v>
      </c>
      <c r="AY21" s="110">
        <v>181939.5</v>
      </c>
      <c r="AZ21" s="110">
        <v>178224.5</v>
      </c>
      <c r="BA21" s="110">
        <v>3715</v>
      </c>
      <c r="BB21" s="110">
        <v>47367</v>
      </c>
      <c r="BC21" s="110">
        <v>32550</v>
      </c>
      <c r="BD21" s="110">
        <v>14817</v>
      </c>
      <c r="BE21" s="110">
        <v>11019554.970000001</v>
      </c>
      <c r="BF21" s="110">
        <v>6405817.0300000003</v>
      </c>
      <c r="BG21" s="110">
        <v>6345985.9500000002</v>
      </c>
      <c r="BH21" s="110">
        <v>59831.08</v>
      </c>
      <c r="BI21" s="110">
        <v>4613737.9400000004</v>
      </c>
      <c r="BJ21" s="110">
        <v>4464483.05</v>
      </c>
      <c r="BK21" s="110">
        <v>149254.89000000001</v>
      </c>
      <c r="BL21" s="110">
        <v>3052201.25</v>
      </c>
      <c r="BM21" s="110">
        <v>1710929.27</v>
      </c>
      <c r="BN21" s="110">
        <v>1707249.31</v>
      </c>
      <c r="BO21" s="110">
        <v>3679.96</v>
      </c>
      <c r="BP21" s="110">
        <v>1341271.98</v>
      </c>
      <c r="BQ21" s="110">
        <v>1315664.48</v>
      </c>
      <c r="BR21" s="110">
        <v>25607.5</v>
      </c>
      <c r="BS21" s="110">
        <v>3254225.77</v>
      </c>
      <c r="BT21" s="110">
        <v>1931435.06</v>
      </c>
      <c r="BU21" s="110">
        <v>1912056.94</v>
      </c>
      <c r="BV21" s="110">
        <v>19378.12</v>
      </c>
      <c r="BW21" s="110">
        <v>1322790.71</v>
      </c>
      <c r="BX21" s="110">
        <v>1276780.32</v>
      </c>
      <c r="BY21" s="110">
        <v>46010.39</v>
      </c>
      <c r="BZ21" s="110">
        <v>1925371.1</v>
      </c>
      <c r="CA21" s="110">
        <v>1032950.1</v>
      </c>
      <c r="CB21" s="110">
        <v>1031689.1</v>
      </c>
      <c r="CC21" s="110">
        <v>1261</v>
      </c>
      <c r="CD21" s="110">
        <v>892421</v>
      </c>
      <c r="CE21" s="110">
        <v>862110.5</v>
      </c>
      <c r="CF21" s="110">
        <v>30310.5</v>
      </c>
      <c r="CG21" s="110">
        <v>2787756.85</v>
      </c>
      <c r="CH21" s="110">
        <v>1730502.6</v>
      </c>
      <c r="CI21" s="110">
        <v>1694990.6</v>
      </c>
      <c r="CJ21" s="110">
        <v>35512</v>
      </c>
      <c r="CK21" s="110">
        <v>1057254.25</v>
      </c>
      <c r="CL21" s="110">
        <v>1009927.75</v>
      </c>
      <c r="CM21" s="110">
        <v>47326.5</v>
      </c>
      <c r="CN21" s="110">
        <v>106282.45</v>
      </c>
      <c r="CO21" s="110">
        <v>735579.42</v>
      </c>
      <c r="CP21" s="110">
        <v>1178863.81</v>
      </c>
      <c r="CQ21" s="110">
        <v>126158.92</v>
      </c>
      <c r="CR21" s="110">
        <v>137945.59</v>
      </c>
      <c r="CS21" s="110">
        <v>136</v>
      </c>
      <c r="CT21" s="110">
        <v>77298.39</v>
      </c>
      <c r="CU21" s="110">
        <v>0</v>
      </c>
      <c r="CV21" s="111">
        <v>3859</v>
      </c>
      <c r="CW21" s="111">
        <v>3140</v>
      </c>
      <c r="CX21" s="111">
        <v>3048</v>
      </c>
      <c r="CY21" s="111">
        <v>92</v>
      </c>
      <c r="CZ21" s="111">
        <v>719</v>
      </c>
      <c r="DA21" s="111">
        <v>508</v>
      </c>
      <c r="DB21" s="111">
        <v>211</v>
      </c>
      <c r="DC21" s="111">
        <v>2301</v>
      </c>
      <c r="DD21" s="111">
        <v>2</v>
      </c>
      <c r="DE21" s="111">
        <v>1885</v>
      </c>
      <c r="DF21" s="111">
        <v>1827</v>
      </c>
      <c r="DG21" s="111">
        <v>58</v>
      </c>
      <c r="DH21" s="111">
        <v>416</v>
      </c>
      <c r="DI21" s="111">
        <v>301</v>
      </c>
      <c r="DJ21" s="111">
        <v>115</v>
      </c>
      <c r="DK21" s="111">
        <v>1155</v>
      </c>
      <c r="DL21" s="111">
        <v>960</v>
      </c>
      <c r="DM21" s="111">
        <v>933</v>
      </c>
      <c r="DN21" s="111">
        <v>27</v>
      </c>
      <c r="DO21" s="111">
        <v>195</v>
      </c>
      <c r="DP21" s="111">
        <v>126</v>
      </c>
      <c r="DQ21" s="111">
        <v>69</v>
      </c>
      <c r="DR21" s="111">
        <v>132</v>
      </c>
      <c r="DS21" s="111">
        <v>0</v>
      </c>
      <c r="DT21" s="111">
        <v>104</v>
      </c>
      <c r="DU21" s="111">
        <v>102</v>
      </c>
      <c r="DV21" s="111">
        <v>2</v>
      </c>
      <c r="DW21" s="111">
        <v>28</v>
      </c>
      <c r="DX21" s="111">
        <v>11</v>
      </c>
      <c r="DY21" s="111">
        <v>17</v>
      </c>
      <c r="DZ21" s="111">
        <v>269</v>
      </c>
      <c r="EA21" s="111">
        <v>189</v>
      </c>
      <c r="EB21" s="111">
        <v>184</v>
      </c>
      <c r="EC21" s="111">
        <v>5</v>
      </c>
      <c r="ED21" s="111">
        <v>80</v>
      </c>
      <c r="EE21" s="111">
        <v>70</v>
      </c>
      <c r="EF21" s="111">
        <v>10</v>
      </c>
      <c r="EG21" s="111">
        <v>616</v>
      </c>
      <c r="EH21" s="111">
        <v>352</v>
      </c>
      <c r="EI21" s="111">
        <v>347</v>
      </c>
      <c r="EJ21" s="111">
        <v>5</v>
      </c>
      <c r="EK21" s="111">
        <v>264</v>
      </c>
      <c r="EL21" s="111">
        <v>254</v>
      </c>
      <c r="EM21" s="111">
        <v>10</v>
      </c>
      <c r="EN21" s="111">
        <v>598</v>
      </c>
      <c r="EO21" s="111">
        <v>238</v>
      </c>
      <c r="EP21" s="111">
        <v>0</v>
      </c>
      <c r="EQ21" s="111">
        <v>360</v>
      </c>
      <c r="ER21" s="111">
        <v>85</v>
      </c>
      <c r="ES21" s="111">
        <v>0</v>
      </c>
      <c r="ET21" s="111">
        <v>31</v>
      </c>
      <c r="EU21" s="111">
        <v>40</v>
      </c>
      <c r="EV21" s="111">
        <v>17</v>
      </c>
      <c r="EW21" s="111">
        <v>0</v>
      </c>
      <c r="EX21" s="111">
        <v>23</v>
      </c>
      <c r="EY21" s="111">
        <v>82</v>
      </c>
      <c r="EZ21" s="111">
        <v>82</v>
      </c>
      <c r="FA21" s="111">
        <v>0</v>
      </c>
      <c r="FB21" s="111">
        <v>65</v>
      </c>
    </row>
    <row r="22" spans="1:158" ht="19.5" customHeight="1">
      <c r="A22" s="107">
        <v>19</v>
      </c>
      <c r="B22" s="107" t="s">
        <v>361</v>
      </c>
      <c r="C22" s="107" t="s">
        <v>369</v>
      </c>
      <c r="D22" s="110">
        <v>4847143</v>
      </c>
      <c r="E22" s="110">
        <v>992756</v>
      </c>
      <c r="F22" s="110">
        <v>3854387</v>
      </c>
      <c r="G22" s="110">
        <v>4234</v>
      </c>
      <c r="H22" s="110">
        <v>291</v>
      </c>
      <c r="I22" s="110">
        <v>358</v>
      </c>
      <c r="J22" s="110">
        <v>0</v>
      </c>
      <c r="K22" s="110">
        <v>0</v>
      </c>
      <c r="L22" s="110">
        <v>119139</v>
      </c>
      <c r="M22" s="110">
        <v>1811177</v>
      </c>
      <c r="N22" s="110">
        <v>0</v>
      </c>
      <c r="O22" s="110">
        <v>16764353.75</v>
      </c>
      <c r="P22" s="110">
        <v>9376625.3900000006</v>
      </c>
      <c r="Q22" s="110">
        <v>8867312.5199999996</v>
      </c>
      <c r="R22" s="110">
        <v>509312.87</v>
      </c>
      <c r="S22" s="110">
        <v>7387728.3600000003</v>
      </c>
      <c r="T22" s="110">
        <v>6830817.7199999997</v>
      </c>
      <c r="U22" s="110">
        <v>556910.64</v>
      </c>
      <c r="V22" s="110">
        <v>1164577.9099999999</v>
      </c>
      <c r="W22" s="110">
        <v>767285.93</v>
      </c>
      <c r="X22" s="110">
        <v>717755.94</v>
      </c>
      <c r="Y22" s="110">
        <v>49529.99</v>
      </c>
      <c r="Z22" s="110">
        <v>397291.98</v>
      </c>
      <c r="AA22" s="110">
        <v>140398.42000000001</v>
      </c>
      <c r="AB22" s="110">
        <v>256893.56</v>
      </c>
      <c r="AC22" s="110">
        <v>164076.71</v>
      </c>
      <c r="AD22" s="110">
        <v>143405.73000000001</v>
      </c>
      <c r="AE22" s="110">
        <v>140080.74</v>
      </c>
      <c r="AF22" s="110">
        <v>3324.99</v>
      </c>
      <c r="AG22" s="110">
        <v>20670.98</v>
      </c>
      <c r="AH22" s="110">
        <v>12904.42</v>
      </c>
      <c r="AI22" s="110">
        <v>7766.56</v>
      </c>
      <c r="AJ22" s="110">
        <v>7745.2</v>
      </c>
      <c r="AK22" s="110">
        <v>7308.2</v>
      </c>
      <c r="AL22" s="110">
        <v>7028.2</v>
      </c>
      <c r="AM22" s="110">
        <v>280</v>
      </c>
      <c r="AN22" s="110">
        <v>437</v>
      </c>
      <c r="AO22" s="110">
        <v>437</v>
      </c>
      <c r="AP22" s="110">
        <v>0</v>
      </c>
      <c r="AQ22" s="110">
        <v>745966</v>
      </c>
      <c r="AR22" s="110">
        <v>487297</v>
      </c>
      <c r="AS22" s="110">
        <v>455102</v>
      </c>
      <c r="AT22" s="110">
        <v>32195</v>
      </c>
      <c r="AU22" s="110">
        <v>258669</v>
      </c>
      <c r="AV22" s="110">
        <v>89438</v>
      </c>
      <c r="AW22" s="110">
        <v>169231</v>
      </c>
      <c r="AX22" s="110">
        <v>246790</v>
      </c>
      <c r="AY22" s="110">
        <v>129275</v>
      </c>
      <c r="AZ22" s="110">
        <v>115545</v>
      </c>
      <c r="BA22" s="110">
        <v>13730</v>
      </c>
      <c r="BB22" s="110">
        <v>117515</v>
      </c>
      <c r="BC22" s="110">
        <v>37619</v>
      </c>
      <c r="BD22" s="110">
        <v>79896</v>
      </c>
      <c r="BE22" s="110">
        <v>15599775.84</v>
      </c>
      <c r="BF22" s="110">
        <v>8609339.4600000009</v>
      </c>
      <c r="BG22" s="110">
        <v>8149556.5800000001</v>
      </c>
      <c r="BH22" s="110">
        <v>459782.88</v>
      </c>
      <c r="BI22" s="110">
        <v>6990436.3799999999</v>
      </c>
      <c r="BJ22" s="110">
        <v>6690419.2999999998</v>
      </c>
      <c r="BK22" s="110">
        <v>300017.08</v>
      </c>
      <c r="BL22" s="110">
        <v>951671.06</v>
      </c>
      <c r="BM22" s="110">
        <v>526732.03</v>
      </c>
      <c r="BN22" s="110">
        <v>506186.03</v>
      </c>
      <c r="BO22" s="110">
        <v>20546</v>
      </c>
      <c r="BP22" s="110">
        <v>424939.03</v>
      </c>
      <c r="BQ22" s="110">
        <v>405939.34</v>
      </c>
      <c r="BR22" s="110">
        <v>18999.689999999999</v>
      </c>
      <c r="BS22" s="110">
        <v>10793717.779999999</v>
      </c>
      <c r="BT22" s="110">
        <v>5936186.4299999997</v>
      </c>
      <c r="BU22" s="110">
        <v>5575265.0499999998</v>
      </c>
      <c r="BV22" s="110">
        <v>360921.38</v>
      </c>
      <c r="BW22" s="110">
        <v>4857531.3499999996</v>
      </c>
      <c r="BX22" s="110">
        <v>4653622.46</v>
      </c>
      <c r="BY22" s="110">
        <v>203908.89</v>
      </c>
      <c r="BZ22" s="110">
        <v>1063829</v>
      </c>
      <c r="CA22" s="110">
        <v>603314</v>
      </c>
      <c r="CB22" s="110">
        <v>579471</v>
      </c>
      <c r="CC22" s="110">
        <v>23843</v>
      </c>
      <c r="CD22" s="110">
        <v>460515</v>
      </c>
      <c r="CE22" s="110">
        <v>434947</v>
      </c>
      <c r="CF22" s="110">
        <v>25568</v>
      </c>
      <c r="CG22" s="110">
        <v>2790558</v>
      </c>
      <c r="CH22" s="110">
        <v>1543107</v>
      </c>
      <c r="CI22" s="110">
        <v>1488634.5</v>
      </c>
      <c r="CJ22" s="110">
        <v>54472.5</v>
      </c>
      <c r="CK22" s="110">
        <v>1247451</v>
      </c>
      <c r="CL22" s="110">
        <v>1195910.5</v>
      </c>
      <c r="CM22" s="110">
        <v>51540.5</v>
      </c>
      <c r="CN22" s="110">
        <v>0</v>
      </c>
      <c r="CO22" s="110">
        <v>0</v>
      </c>
      <c r="CP22" s="110">
        <v>651327.97</v>
      </c>
      <c r="CQ22" s="110">
        <v>354696.45</v>
      </c>
      <c r="CR22" s="110">
        <v>158037.49</v>
      </c>
      <c r="CS22" s="110">
        <v>516</v>
      </c>
      <c r="CT22" s="110">
        <v>0</v>
      </c>
      <c r="CU22" s="110">
        <v>0</v>
      </c>
      <c r="CV22" s="111">
        <v>4234</v>
      </c>
      <c r="CW22" s="111">
        <v>2752</v>
      </c>
      <c r="CX22" s="111">
        <v>2518</v>
      </c>
      <c r="CY22" s="111">
        <v>234</v>
      </c>
      <c r="CZ22" s="111">
        <v>1482</v>
      </c>
      <c r="DA22" s="111">
        <v>528</v>
      </c>
      <c r="DB22" s="111">
        <v>954</v>
      </c>
      <c r="DC22" s="111">
        <v>1223</v>
      </c>
      <c r="DD22" s="111">
        <v>0</v>
      </c>
      <c r="DE22" s="111">
        <v>936</v>
      </c>
      <c r="DF22" s="111">
        <v>879</v>
      </c>
      <c r="DG22" s="111">
        <v>57</v>
      </c>
      <c r="DH22" s="111">
        <v>287</v>
      </c>
      <c r="DI22" s="111">
        <v>100</v>
      </c>
      <c r="DJ22" s="111">
        <v>187</v>
      </c>
      <c r="DK22" s="111">
        <v>2511</v>
      </c>
      <c r="DL22" s="111">
        <v>1684</v>
      </c>
      <c r="DM22" s="111">
        <v>1534</v>
      </c>
      <c r="DN22" s="111">
        <v>150</v>
      </c>
      <c r="DO22" s="111">
        <v>827</v>
      </c>
      <c r="DP22" s="111">
        <v>320</v>
      </c>
      <c r="DQ22" s="111">
        <v>507</v>
      </c>
      <c r="DR22" s="111">
        <v>500</v>
      </c>
      <c r="DS22" s="111">
        <v>0</v>
      </c>
      <c r="DT22" s="111">
        <v>132</v>
      </c>
      <c r="DU22" s="111">
        <v>105</v>
      </c>
      <c r="DV22" s="111">
        <v>27</v>
      </c>
      <c r="DW22" s="111">
        <v>368</v>
      </c>
      <c r="DX22" s="111">
        <v>108</v>
      </c>
      <c r="DY22" s="111">
        <v>260</v>
      </c>
      <c r="DZ22" s="111">
        <v>0</v>
      </c>
      <c r="EA22" s="111">
        <v>0</v>
      </c>
      <c r="EB22" s="111">
        <v>0</v>
      </c>
      <c r="EC22" s="111">
        <v>0</v>
      </c>
      <c r="ED22" s="111">
        <v>0</v>
      </c>
      <c r="EE22" s="111">
        <v>0</v>
      </c>
      <c r="EF22" s="111">
        <v>0</v>
      </c>
      <c r="EG22" s="111">
        <v>291</v>
      </c>
      <c r="EH22" s="111">
        <v>175</v>
      </c>
      <c r="EI22" s="111">
        <v>163</v>
      </c>
      <c r="EJ22" s="111">
        <v>12</v>
      </c>
      <c r="EK22" s="111">
        <v>116</v>
      </c>
      <c r="EL22" s="111">
        <v>108</v>
      </c>
      <c r="EM22" s="111">
        <v>8</v>
      </c>
      <c r="EN22" s="111">
        <v>258</v>
      </c>
      <c r="EO22" s="111">
        <v>254</v>
      </c>
      <c r="EP22" s="111">
        <v>0</v>
      </c>
      <c r="EQ22" s="111">
        <v>4</v>
      </c>
      <c r="ER22" s="111">
        <v>120</v>
      </c>
      <c r="ES22" s="111">
        <v>0</v>
      </c>
      <c r="ET22" s="111">
        <v>0</v>
      </c>
      <c r="EU22" s="111">
        <v>2</v>
      </c>
      <c r="EV22" s="111">
        <v>2</v>
      </c>
      <c r="EW22" s="111">
        <v>0</v>
      </c>
      <c r="EX22" s="111">
        <v>0</v>
      </c>
      <c r="EY22" s="111">
        <v>244</v>
      </c>
      <c r="EZ22" s="111">
        <v>244</v>
      </c>
      <c r="FA22" s="111">
        <v>0</v>
      </c>
      <c r="FB22" s="111">
        <v>204</v>
      </c>
    </row>
    <row r="23" spans="1:158" ht="19.5" customHeight="1">
      <c r="A23" s="107">
        <v>20</v>
      </c>
      <c r="B23" s="107" t="s">
        <v>361</v>
      </c>
      <c r="C23" s="107" t="s">
        <v>370</v>
      </c>
      <c r="D23" s="110">
        <v>371699.75</v>
      </c>
      <c r="E23" s="110">
        <v>7654</v>
      </c>
      <c r="F23" s="110">
        <v>364045.75</v>
      </c>
      <c r="G23" s="110">
        <v>15</v>
      </c>
      <c r="H23" s="110">
        <v>28</v>
      </c>
      <c r="I23" s="110">
        <v>6</v>
      </c>
      <c r="J23" s="110">
        <v>0</v>
      </c>
      <c r="K23" s="110">
        <v>0</v>
      </c>
      <c r="L23" s="110">
        <v>25002</v>
      </c>
      <c r="M23" s="110">
        <v>94207.75</v>
      </c>
      <c r="N23" s="110">
        <v>0</v>
      </c>
      <c r="O23" s="110">
        <v>784781.58</v>
      </c>
      <c r="P23" s="110">
        <v>260703.88</v>
      </c>
      <c r="Q23" s="110">
        <v>244471.12</v>
      </c>
      <c r="R23" s="110">
        <v>16232.76</v>
      </c>
      <c r="S23" s="110">
        <v>524077.7</v>
      </c>
      <c r="T23" s="110">
        <v>484738.49</v>
      </c>
      <c r="U23" s="110">
        <v>39339.21</v>
      </c>
      <c r="V23" s="110">
        <v>27495.99</v>
      </c>
      <c r="W23" s="110">
        <v>4659.68</v>
      </c>
      <c r="X23" s="110">
        <v>4659.68</v>
      </c>
      <c r="Y23" s="110">
        <v>0</v>
      </c>
      <c r="Z23" s="110">
        <v>22836.31</v>
      </c>
      <c r="AA23" s="110">
        <v>22313.31</v>
      </c>
      <c r="AB23" s="110">
        <v>523</v>
      </c>
      <c r="AC23" s="110">
        <v>19841.990000000002</v>
      </c>
      <c r="AD23" s="110">
        <v>1627.68</v>
      </c>
      <c r="AE23" s="110">
        <v>1627.68</v>
      </c>
      <c r="AF23" s="110">
        <v>0</v>
      </c>
      <c r="AG23" s="110">
        <v>18214.310000000001</v>
      </c>
      <c r="AH23" s="110">
        <v>18214.310000000001</v>
      </c>
      <c r="AI23" s="110">
        <v>0</v>
      </c>
      <c r="AJ23" s="110">
        <v>0</v>
      </c>
      <c r="AK23" s="110">
        <v>0</v>
      </c>
      <c r="AL23" s="110">
        <v>0</v>
      </c>
      <c r="AM23" s="110">
        <v>0</v>
      </c>
      <c r="AN23" s="110">
        <v>0</v>
      </c>
      <c r="AO23" s="110">
        <v>0</v>
      </c>
      <c r="AP23" s="110">
        <v>0</v>
      </c>
      <c r="AQ23" s="110">
        <v>7048</v>
      </c>
      <c r="AR23" s="110">
        <v>2752</v>
      </c>
      <c r="AS23" s="110">
        <v>2752</v>
      </c>
      <c r="AT23" s="110">
        <v>0</v>
      </c>
      <c r="AU23" s="110">
        <v>4296</v>
      </c>
      <c r="AV23" s="110">
        <v>3813</v>
      </c>
      <c r="AW23" s="110">
        <v>483</v>
      </c>
      <c r="AX23" s="110">
        <v>606</v>
      </c>
      <c r="AY23" s="110">
        <v>280</v>
      </c>
      <c r="AZ23" s="110">
        <v>280</v>
      </c>
      <c r="BA23" s="110">
        <v>0</v>
      </c>
      <c r="BB23" s="110">
        <v>326</v>
      </c>
      <c r="BC23" s="110">
        <v>286</v>
      </c>
      <c r="BD23" s="110">
        <v>40</v>
      </c>
      <c r="BE23" s="110">
        <v>757285.59</v>
      </c>
      <c r="BF23" s="110">
        <v>256044.2</v>
      </c>
      <c r="BG23" s="110">
        <v>239811.44</v>
      </c>
      <c r="BH23" s="110">
        <v>16232.76</v>
      </c>
      <c r="BI23" s="110">
        <v>501241.39</v>
      </c>
      <c r="BJ23" s="110">
        <v>462425.18</v>
      </c>
      <c r="BK23" s="110">
        <v>38816.21</v>
      </c>
      <c r="BL23" s="110">
        <v>204720.68</v>
      </c>
      <c r="BM23" s="110">
        <v>61865.32</v>
      </c>
      <c r="BN23" s="110">
        <v>60051.96</v>
      </c>
      <c r="BO23" s="110">
        <v>1813.36</v>
      </c>
      <c r="BP23" s="110">
        <v>142855.35999999999</v>
      </c>
      <c r="BQ23" s="110">
        <v>133243.25</v>
      </c>
      <c r="BR23" s="110">
        <v>9612.11</v>
      </c>
      <c r="BS23" s="110">
        <v>188519.16</v>
      </c>
      <c r="BT23" s="110">
        <v>71958.880000000005</v>
      </c>
      <c r="BU23" s="110">
        <v>63572.98</v>
      </c>
      <c r="BV23" s="110">
        <v>8385.9</v>
      </c>
      <c r="BW23" s="110">
        <v>116560.28</v>
      </c>
      <c r="BX23" s="110">
        <v>110190.68</v>
      </c>
      <c r="BY23" s="110">
        <v>6369.6</v>
      </c>
      <c r="BZ23" s="110">
        <v>122811.5</v>
      </c>
      <c r="CA23" s="110">
        <v>51540.5</v>
      </c>
      <c r="CB23" s="110">
        <v>47968.5</v>
      </c>
      <c r="CC23" s="110">
        <v>3572</v>
      </c>
      <c r="CD23" s="110">
        <v>71271</v>
      </c>
      <c r="CE23" s="110">
        <v>65988</v>
      </c>
      <c r="CF23" s="110">
        <v>5283</v>
      </c>
      <c r="CG23" s="110">
        <v>241234.25</v>
      </c>
      <c r="CH23" s="110">
        <v>70679.5</v>
      </c>
      <c r="CI23" s="110">
        <v>68218</v>
      </c>
      <c r="CJ23" s="110">
        <v>2461.5</v>
      </c>
      <c r="CK23" s="110">
        <v>170554.75</v>
      </c>
      <c r="CL23" s="110">
        <v>153003.25</v>
      </c>
      <c r="CM23" s="110">
        <v>17551.5</v>
      </c>
      <c r="CN23" s="110">
        <v>0</v>
      </c>
      <c r="CO23" s="110">
        <v>0</v>
      </c>
      <c r="CP23" s="110">
        <v>27495.99</v>
      </c>
      <c r="CQ23" s="110">
        <v>0</v>
      </c>
      <c r="CR23" s="110">
        <v>0</v>
      </c>
      <c r="CS23" s="110">
        <v>0</v>
      </c>
      <c r="CT23" s="110">
        <v>0</v>
      </c>
      <c r="CU23" s="110">
        <v>0</v>
      </c>
      <c r="CV23" s="111">
        <v>15</v>
      </c>
      <c r="CW23" s="111">
        <v>7</v>
      </c>
      <c r="CX23" s="111">
        <v>7</v>
      </c>
      <c r="CY23" s="111">
        <v>0</v>
      </c>
      <c r="CZ23" s="111">
        <v>8</v>
      </c>
      <c r="DA23" s="111">
        <v>7</v>
      </c>
      <c r="DB23" s="111">
        <v>1</v>
      </c>
      <c r="DC23" s="111">
        <v>0</v>
      </c>
      <c r="DD23" s="111">
        <v>0</v>
      </c>
      <c r="DE23" s="111">
        <v>0</v>
      </c>
      <c r="DF23" s="111">
        <v>0</v>
      </c>
      <c r="DG23" s="111">
        <v>0</v>
      </c>
      <c r="DH23" s="111">
        <v>0</v>
      </c>
      <c r="DI23" s="111">
        <v>0</v>
      </c>
      <c r="DJ23" s="111">
        <v>0</v>
      </c>
      <c r="DK23" s="111">
        <v>15</v>
      </c>
      <c r="DL23" s="111">
        <v>7</v>
      </c>
      <c r="DM23" s="111">
        <v>7</v>
      </c>
      <c r="DN23" s="111">
        <v>0</v>
      </c>
      <c r="DO23" s="111">
        <v>8</v>
      </c>
      <c r="DP23" s="111">
        <v>7</v>
      </c>
      <c r="DQ23" s="111">
        <v>1</v>
      </c>
      <c r="DR23" s="111">
        <v>0</v>
      </c>
      <c r="DS23" s="111">
        <v>0</v>
      </c>
      <c r="DT23" s="111">
        <v>0</v>
      </c>
      <c r="DU23" s="111">
        <v>0</v>
      </c>
      <c r="DV23" s="111">
        <v>0</v>
      </c>
      <c r="DW23" s="111">
        <v>0</v>
      </c>
      <c r="DX23" s="111">
        <v>0</v>
      </c>
      <c r="DY23" s="111">
        <v>0</v>
      </c>
      <c r="DZ23" s="111">
        <v>0</v>
      </c>
      <c r="EA23" s="111">
        <v>0</v>
      </c>
      <c r="EB23" s="111">
        <v>0</v>
      </c>
      <c r="EC23" s="111">
        <v>0</v>
      </c>
      <c r="ED23" s="111">
        <v>0</v>
      </c>
      <c r="EE23" s="111">
        <v>0</v>
      </c>
      <c r="EF23" s="111">
        <v>0</v>
      </c>
      <c r="EG23" s="111">
        <v>28</v>
      </c>
      <c r="EH23" s="111">
        <v>15</v>
      </c>
      <c r="EI23" s="111">
        <v>15</v>
      </c>
      <c r="EJ23" s="111">
        <v>0</v>
      </c>
      <c r="EK23" s="111">
        <v>13</v>
      </c>
      <c r="EL23" s="111">
        <v>12</v>
      </c>
      <c r="EM23" s="111">
        <v>1</v>
      </c>
      <c r="EN23" s="111">
        <v>22</v>
      </c>
      <c r="EO23" s="111">
        <v>17</v>
      </c>
      <c r="EP23" s="111">
        <v>0</v>
      </c>
      <c r="EQ23" s="111">
        <v>5</v>
      </c>
      <c r="ER23" s="111">
        <v>7</v>
      </c>
      <c r="ES23" s="111">
        <v>0</v>
      </c>
      <c r="ET23" s="111">
        <v>0</v>
      </c>
      <c r="EU23" s="111">
        <v>5</v>
      </c>
      <c r="EV23" s="111">
        <v>5</v>
      </c>
      <c r="EW23" s="111">
        <v>0</v>
      </c>
      <c r="EX23" s="111">
        <v>0</v>
      </c>
      <c r="EY23" s="111">
        <v>6</v>
      </c>
      <c r="EZ23" s="111">
        <v>6</v>
      </c>
      <c r="FA23" s="111">
        <v>0</v>
      </c>
      <c r="FB23" s="111">
        <v>0</v>
      </c>
    </row>
    <row r="24" spans="1:158" ht="19.5" customHeight="1">
      <c r="A24" s="107">
        <v>21</v>
      </c>
      <c r="B24" s="107" t="s">
        <v>361</v>
      </c>
      <c r="C24" s="107" t="s">
        <v>371</v>
      </c>
      <c r="D24" s="110">
        <v>3180368.75</v>
      </c>
      <c r="E24" s="110">
        <v>1477241</v>
      </c>
      <c r="F24" s="110">
        <v>1703127.75</v>
      </c>
      <c r="G24" s="110">
        <v>3797</v>
      </c>
      <c r="H24" s="110">
        <v>296</v>
      </c>
      <c r="I24" s="110">
        <v>6010</v>
      </c>
      <c r="J24" s="110">
        <v>4172</v>
      </c>
      <c r="K24" s="110">
        <v>0</v>
      </c>
      <c r="L24" s="110">
        <v>53619</v>
      </c>
      <c r="M24" s="110">
        <v>456941.25</v>
      </c>
      <c r="N24" s="110">
        <v>0</v>
      </c>
      <c r="O24" s="110">
        <v>6014187.9400000004</v>
      </c>
      <c r="P24" s="110">
        <v>3907299.27</v>
      </c>
      <c r="Q24" s="110">
        <v>3764587.85</v>
      </c>
      <c r="R24" s="110">
        <v>142711.42000000001</v>
      </c>
      <c r="S24" s="110">
        <v>2106888.67</v>
      </c>
      <c r="T24" s="110">
        <v>1879651.19</v>
      </c>
      <c r="U24" s="110">
        <v>227237.48</v>
      </c>
      <c r="V24" s="110">
        <v>2335425.14</v>
      </c>
      <c r="W24" s="110">
        <v>1947116.22</v>
      </c>
      <c r="X24" s="110">
        <v>1901910.6</v>
      </c>
      <c r="Y24" s="110">
        <v>45205.62</v>
      </c>
      <c r="Z24" s="110">
        <v>388308.92</v>
      </c>
      <c r="AA24" s="110">
        <v>269089.37</v>
      </c>
      <c r="AB24" s="110">
        <v>119219.55</v>
      </c>
      <c r="AC24" s="110">
        <v>846740.34</v>
      </c>
      <c r="AD24" s="110">
        <v>746575.42</v>
      </c>
      <c r="AE24" s="110">
        <v>739943.8</v>
      </c>
      <c r="AF24" s="110">
        <v>6631.62</v>
      </c>
      <c r="AG24" s="110">
        <v>100164.92</v>
      </c>
      <c r="AH24" s="110">
        <v>82062.37</v>
      </c>
      <c r="AI24" s="110">
        <v>18102.55</v>
      </c>
      <c r="AJ24" s="110">
        <v>11443.8</v>
      </c>
      <c r="AK24" s="110">
        <v>8405.7999999999993</v>
      </c>
      <c r="AL24" s="110">
        <v>7205.8</v>
      </c>
      <c r="AM24" s="110">
        <v>1200</v>
      </c>
      <c r="AN24" s="110">
        <v>3038</v>
      </c>
      <c r="AO24" s="110">
        <v>638</v>
      </c>
      <c r="AP24" s="110">
        <v>2400</v>
      </c>
      <c r="AQ24" s="110">
        <v>1257715</v>
      </c>
      <c r="AR24" s="110">
        <v>1021216</v>
      </c>
      <c r="AS24" s="110">
        <v>994684</v>
      </c>
      <c r="AT24" s="110">
        <v>26532</v>
      </c>
      <c r="AU24" s="110">
        <v>236499</v>
      </c>
      <c r="AV24" s="110">
        <v>156325</v>
      </c>
      <c r="AW24" s="110">
        <v>80174</v>
      </c>
      <c r="AX24" s="110">
        <v>219526</v>
      </c>
      <c r="AY24" s="110">
        <v>170919</v>
      </c>
      <c r="AZ24" s="110">
        <v>160077</v>
      </c>
      <c r="BA24" s="110">
        <v>10842</v>
      </c>
      <c r="BB24" s="110">
        <v>48607</v>
      </c>
      <c r="BC24" s="110">
        <v>30064</v>
      </c>
      <c r="BD24" s="110">
        <v>18543</v>
      </c>
      <c r="BE24" s="110">
        <v>3678762.8</v>
      </c>
      <c r="BF24" s="110">
        <v>1960183.05</v>
      </c>
      <c r="BG24" s="110">
        <v>1862677.25</v>
      </c>
      <c r="BH24" s="110">
        <v>97505.8</v>
      </c>
      <c r="BI24" s="110">
        <v>1718579.75</v>
      </c>
      <c r="BJ24" s="110">
        <v>1610561.82</v>
      </c>
      <c r="BK24" s="110">
        <v>108017.93</v>
      </c>
      <c r="BL24" s="110">
        <v>1308909.3899999999</v>
      </c>
      <c r="BM24" s="110">
        <v>697598.48</v>
      </c>
      <c r="BN24" s="110">
        <v>672358.53</v>
      </c>
      <c r="BO24" s="110">
        <v>25239.95</v>
      </c>
      <c r="BP24" s="110">
        <v>611310.91</v>
      </c>
      <c r="BQ24" s="110">
        <v>596073.19999999995</v>
      </c>
      <c r="BR24" s="110">
        <v>15237.71</v>
      </c>
      <c r="BS24" s="110">
        <v>666725.66</v>
      </c>
      <c r="BT24" s="110">
        <v>382719.07</v>
      </c>
      <c r="BU24" s="110">
        <v>361866.72</v>
      </c>
      <c r="BV24" s="110">
        <v>20852.349999999999</v>
      </c>
      <c r="BW24" s="110">
        <v>284006.59000000003</v>
      </c>
      <c r="BX24" s="110">
        <v>258692.87</v>
      </c>
      <c r="BY24" s="110">
        <v>25313.72</v>
      </c>
      <c r="BZ24" s="110">
        <v>811907</v>
      </c>
      <c r="CA24" s="110">
        <v>398460</v>
      </c>
      <c r="CB24" s="110">
        <v>376295</v>
      </c>
      <c r="CC24" s="110">
        <v>22165</v>
      </c>
      <c r="CD24" s="110">
        <v>413447</v>
      </c>
      <c r="CE24" s="110">
        <v>374599</v>
      </c>
      <c r="CF24" s="110">
        <v>38848</v>
      </c>
      <c r="CG24" s="110">
        <v>891220.75</v>
      </c>
      <c r="CH24" s="110">
        <v>481405.5</v>
      </c>
      <c r="CI24" s="110">
        <v>452157</v>
      </c>
      <c r="CJ24" s="110">
        <v>29248.5</v>
      </c>
      <c r="CK24" s="110">
        <v>409815.25</v>
      </c>
      <c r="CL24" s="110">
        <v>381196.75</v>
      </c>
      <c r="CM24" s="110">
        <v>28618.5</v>
      </c>
      <c r="CN24" s="110">
        <v>40</v>
      </c>
      <c r="CO24" s="110">
        <v>955387.14</v>
      </c>
      <c r="CP24" s="110">
        <v>1030069.96</v>
      </c>
      <c r="CQ24" s="110">
        <v>51065.37</v>
      </c>
      <c r="CR24" s="110">
        <v>298902.67</v>
      </c>
      <c r="CS24" s="110">
        <v>0</v>
      </c>
      <c r="CT24" s="110">
        <v>0</v>
      </c>
      <c r="CU24" s="110">
        <v>0</v>
      </c>
      <c r="CV24" s="111">
        <v>3797</v>
      </c>
      <c r="CW24" s="111">
        <v>3178</v>
      </c>
      <c r="CX24" s="111">
        <v>3057</v>
      </c>
      <c r="CY24" s="111">
        <v>121</v>
      </c>
      <c r="CZ24" s="111">
        <v>619</v>
      </c>
      <c r="DA24" s="111">
        <v>388</v>
      </c>
      <c r="DB24" s="111">
        <v>231</v>
      </c>
      <c r="DC24" s="111">
        <v>1909</v>
      </c>
      <c r="DD24" s="111">
        <v>9</v>
      </c>
      <c r="DE24" s="111">
        <v>1648</v>
      </c>
      <c r="DF24" s="111">
        <v>1588</v>
      </c>
      <c r="DG24" s="111">
        <v>60</v>
      </c>
      <c r="DH24" s="111">
        <v>261</v>
      </c>
      <c r="DI24" s="111">
        <v>174</v>
      </c>
      <c r="DJ24" s="111">
        <v>87</v>
      </c>
      <c r="DK24" s="111">
        <v>1576</v>
      </c>
      <c r="DL24" s="111">
        <v>1301</v>
      </c>
      <c r="DM24" s="111">
        <v>1257</v>
      </c>
      <c r="DN24" s="111">
        <v>44</v>
      </c>
      <c r="DO24" s="111">
        <v>275</v>
      </c>
      <c r="DP24" s="111">
        <v>168</v>
      </c>
      <c r="DQ24" s="111">
        <v>107</v>
      </c>
      <c r="DR24" s="111">
        <v>303</v>
      </c>
      <c r="DS24" s="111">
        <v>0</v>
      </c>
      <c r="DT24" s="111">
        <v>220</v>
      </c>
      <c r="DU24" s="111">
        <v>203</v>
      </c>
      <c r="DV24" s="111">
        <v>17</v>
      </c>
      <c r="DW24" s="111">
        <v>83</v>
      </c>
      <c r="DX24" s="111">
        <v>46</v>
      </c>
      <c r="DY24" s="111">
        <v>37</v>
      </c>
      <c r="DZ24" s="111">
        <v>0</v>
      </c>
      <c r="EA24" s="111">
        <v>0</v>
      </c>
      <c r="EB24" s="111">
        <v>0</v>
      </c>
      <c r="EC24" s="111">
        <v>0</v>
      </c>
      <c r="ED24" s="111">
        <v>0</v>
      </c>
      <c r="EE24" s="111">
        <v>0</v>
      </c>
      <c r="EF24" s="111">
        <v>0</v>
      </c>
      <c r="EG24" s="111">
        <v>296</v>
      </c>
      <c r="EH24" s="111">
        <v>166</v>
      </c>
      <c r="EI24" s="111">
        <v>161</v>
      </c>
      <c r="EJ24" s="111">
        <v>5</v>
      </c>
      <c r="EK24" s="111">
        <v>130</v>
      </c>
      <c r="EL24" s="111">
        <v>125</v>
      </c>
      <c r="EM24" s="111">
        <v>5</v>
      </c>
      <c r="EN24" s="111">
        <v>283</v>
      </c>
      <c r="EO24" s="111">
        <v>150</v>
      </c>
      <c r="EP24" s="111">
        <v>0</v>
      </c>
      <c r="EQ24" s="111">
        <v>133</v>
      </c>
      <c r="ER24" s="111">
        <v>0</v>
      </c>
      <c r="ES24" s="111">
        <v>0</v>
      </c>
      <c r="ET24" s="111">
        <v>0</v>
      </c>
      <c r="EU24" s="111">
        <v>114</v>
      </c>
      <c r="EV24" s="111">
        <v>114</v>
      </c>
      <c r="EW24" s="111">
        <v>0</v>
      </c>
      <c r="EX24" s="111">
        <v>0</v>
      </c>
      <c r="EY24" s="111">
        <v>2</v>
      </c>
      <c r="EZ24" s="111">
        <v>2</v>
      </c>
      <c r="FA24" s="111">
        <v>0</v>
      </c>
      <c r="FB24" s="111">
        <v>48</v>
      </c>
    </row>
    <row r="25" spans="1:158" ht="19.5" customHeight="1">
      <c r="A25" s="107">
        <v>22</v>
      </c>
      <c r="B25" s="107" t="s">
        <v>361</v>
      </c>
      <c r="C25" s="107" t="s">
        <v>372</v>
      </c>
      <c r="D25" s="110">
        <v>1538225.5</v>
      </c>
      <c r="E25" s="110">
        <v>177936</v>
      </c>
      <c r="F25" s="110">
        <v>1360289.5</v>
      </c>
      <c r="G25" s="110">
        <v>1133</v>
      </c>
      <c r="H25" s="110">
        <v>238</v>
      </c>
      <c r="I25" s="110">
        <v>692</v>
      </c>
      <c r="J25" s="110">
        <v>0</v>
      </c>
      <c r="K25" s="110">
        <v>0</v>
      </c>
      <c r="L25" s="110">
        <v>198854</v>
      </c>
      <c r="M25" s="110">
        <v>146512</v>
      </c>
      <c r="N25" s="110">
        <v>315</v>
      </c>
      <c r="O25" s="110">
        <v>10397280.4</v>
      </c>
      <c r="P25" s="110">
        <v>6871301.0800000001</v>
      </c>
      <c r="Q25" s="110">
        <v>6830368.29</v>
      </c>
      <c r="R25" s="110">
        <v>40932.79</v>
      </c>
      <c r="S25" s="110">
        <v>3525979.32</v>
      </c>
      <c r="T25" s="110">
        <v>3433055.41</v>
      </c>
      <c r="U25" s="110">
        <v>92923.91</v>
      </c>
      <c r="V25" s="110">
        <v>428822.08</v>
      </c>
      <c r="W25" s="110">
        <v>366449.27</v>
      </c>
      <c r="X25" s="110">
        <v>359992.29</v>
      </c>
      <c r="Y25" s="110">
        <v>6456.98</v>
      </c>
      <c r="Z25" s="110">
        <v>62372.81</v>
      </c>
      <c r="AA25" s="110">
        <v>44103.07</v>
      </c>
      <c r="AB25" s="110">
        <v>18269.740000000002</v>
      </c>
      <c r="AC25" s="110">
        <v>250058.08</v>
      </c>
      <c r="AD25" s="110">
        <v>223384.77</v>
      </c>
      <c r="AE25" s="110">
        <v>220462.79</v>
      </c>
      <c r="AF25" s="110">
        <v>2921.98</v>
      </c>
      <c r="AG25" s="110">
        <v>26673.31</v>
      </c>
      <c r="AH25" s="110">
        <v>20745.07</v>
      </c>
      <c r="AI25" s="110">
        <v>5928.24</v>
      </c>
      <c r="AJ25" s="110">
        <v>828</v>
      </c>
      <c r="AK25" s="110">
        <v>580.5</v>
      </c>
      <c r="AL25" s="110">
        <v>580.5</v>
      </c>
      <c r="AM25" s="110">
        <v>0</v>
      </c>
      <c r="AN25" s="110">
        <v>247.5</v>
      </c>
      <c r="AO25" s="110">
        <v>0</v>
      </c>
      <c r="AP25" s="110">
        <v>247.5</v>
      </c>
      <c r="AQ25" s="110">
        <v>129914</v>
      </c>
      <c r="AR25" s="110">
        <v>104082</v>
      </c>
      <c r="AS25" s="110">
        <v>102002</v>
      </c>
      <c r="AT25" s="110">
        <v>2080</v>
      </c>
      <c r="AU25" s="110">
        <v>25832</v>
      </c>
      <c r="AV25" s="110">
        <v>17223</v>
      </c>
      <c r="AW25" s="110">
        <v>8609</v>
      </c>
      <c r="AX25" s="110">
        <v>48022</v>
      </c>
      <c r="AY25" s="110">
        <v>38402</v>
      </c>
      <c r="AZ25" s="110">
        <v>36947</v>
      </c>
      <c r="BA25" s="110">
        <v>1455</v>
      </c>
      <c r="BB25" s="110">
        <v>9620</v>
      </c>
      <c r="BC25" s="110">
        <v>6135</v>
      </c>
      <c r="BD25" s="110">
        <v>3485</v>
      </c>
      <c r="BE25" s="110">
        <v>9968458.3200000003</v>
      </c>
      <c r="BF25" s="110">
        <v>6504851.8099999996</v>
      </c>
      <c r="BG25" s="110">
        <v>6470376</v>
      </c>
      <c r="BH25" s="110">
        <v>34475.81</v>
      </c>
      <c r="BI25" s="110">
        <v>3463606.51</v>
      </c>
      <c r="BJ25" s="110">
        <v>3388952.34</v>
      </c>
      <c r="BK25" s="110">
        <v>74654.17</v>
      </c>
      <c r="BL25" s="110">
        <v>459404.5</v>
      </c>
      <c r="BM25" s="110">
        <v>301068.71000000002</v>
      </c>
      <c r="BN25" s="110">
        <v>299807.40000000002</v>
      </c>
      <c r="BO25" s="110">
        <v>1261.31</v>
      </c>
      <c r="BP25" s="110">
        <v>158335.79</v>
      </c>
      <c r="BQ25" s="110">
        <v>154698.32</v>
      </c>
      <c r="BR25" s="110">
        <v>3637.47</v>
      </c>
      <c r="BS25" s="110">
        <v>8148764.3200000003</v>
      </c>
      <c r="BT25" s="110">
        <v>5360611.0999999996</v>
      </c>
      <c r="BU25" s="110">
        <v>5352502.0999999996</v>
      </c>
      <c r="BV25" s="110">
        <v>8109</v>
      </c>
      <c r="BW25" s="110">
        <v>2788153.22</v>
      </c>
      <c r="BX25" s="110">
        <v>2741765.02</v>
      </c>
      <c r="BY25" s="110">
        <v>46388.2</v>
      </c>
      <c r="BZ25" s="110">
        <v>854052</v>
      </c>
      <c r="CA25" s="110">
        <v>521565</v>
      </c>
      <c r="CB25" s="110">
        <v>510940</v>
      </c>
      <c r="CC25" s="110">
        <v>10625</v>
      </c>
      <c r="CD25" s="110">
        <v>332487</v>
      </c>
      <c r="CE25" s="110">
        <v>311980</v>
      </c>
      <c r="CF25" s="110">
        <v>20507</v>
      </c>
      <c r="CG25" s="110">
        <v>506237.5</v>
      </c>
      <c r="CH25" s="110">
        <v>321607</v>
      </c>
      <c r="CI25" s="110">
        <v>307126.5</v>
      </c>
      <c r="CJ25" s="110">
        <v>14480.5</v>
      </c>
      <c r="CK25" s="110">
        <v>184630.5</v>
      </c>
      <c r="CL25" s="110">
        <v>180509</v>
      </c>
      <c r="CM25" s="110">
        <v>4121.5</v>
      </c>
      <c r="CN25" s="110">
        <v>0</v>
      </c>
      <c r="CO25" s="110">
        <v>834.13</v>
      </c>
      <c r="CP25" s="110">
        <v>300791.78000000003</v>
      </c>
      <c r="CQ25" s="110">
        <v>127196.17</v>
      </c>
      <c r="CR25" s="110">
        <v>0</v>
      </c>
      <c r="CS25" s="110">
        <v>0</v>
      </c>
      <c r="CT25" s="110">
        <v>47968.88</v>
      </c>
      <c r="CU25" s="110">
        <v>0</v>
      </c>
      <c r="CV25" s="111">
        <v>1133</v>
      </c>
      <c r="CW25" s="111">
        <v>927</v>
      </c>
      <c r="CX25" s="111">
        <v>896</v>
      </c>
      <c r="CY25" s="111">
        <v>31</v>
      </c>
      <c r="CZ25" s="111">
        <v>206</v>
      </c>
      <c r="DA25" s="111">
        <v>135</v>
      </c>
      <c r="DB25" s="111">
        <v>71</v>
      </c>
      <c r="DC25" s="111">
        <v>280</v>
      </c>
      <c r="DD25" s="111">
        <v>0</v>
      </c>
      <c r="DE25" s="111">
        <v>253</v>
      </c>
      <c r="DF25" s="111">
        <v>252</v>
      </c>
      <c r="DG25" s="111">
        <v>1</v>
      </c>
      <c r="DH25" s="111">
        <v>27</v>
      </c>
      <c r="DI25" s="111">
        <v>20</v>
      </c>
      <c r="DJ25" s="111">
        <v>7</v>
      </c>
      <c r="DK25" s="111">
        <v>853</v>
      </c>
      <c r="DL25" s="111">
        <v>674</v>
      </c>
      <c r="DM25" s="111">
        <v>644</v>
      </c>
      <c r="DN25" s="111">
        <v>30</v>
      </c>
      <c r="DO25" s="111">
        <v>179</v>
      </c>
      <c r="DP25" s="111">
        <v>115</v>
      </c>
      <c r="DQ25" s="111">
        <v>64</v>
      </c>
      <c r="DR25" s="111">
        <v>0</v>
      </c>
      <c r="DS25" s="111">
        <v>0</v>
      </c>
      <c r="DT25" s="111">
        <v>0</v>
      </c>
      <c r="DU25" s="111">
        <v>0</v>
      </c>
      <c r="DV25" s="111">
        <v>0</v>
      </c>
      <c r="DW25" s="111">
        <v>0</v>
      </c>
      <c r="DX25" s="111">
        <v>0</v>
      </c>
      <c r="DY25" s="111">
        <v>0</v>
      </c>
      <c r="DZ25" s="111">
        <v>0</v>
      </c>
      <c r="EA25" s="111">
        <v>0</v>
      </c>
      <c r="EB25" s="111">
        <v>0</v>
      </c>
      <c r="EC25" s="111">
        <v>0</v>
      </c>
      <c r="ED25" s="111">
        <v>0</v>
      </c>
      <c r="EE25" s="111">
        <v>0</v>
      </c>
      <c r="EF25" s="111">
        <v>0</v>
      </c>
      <c r="EG25" s="111">
        <v>238</v>
      </c>
      <c r="EH25" s="111">
        <v>150</v>
      </c>
      <c r="EI25" s="111">
        <v>147</v>
      </c>
      <c r="EJ25" s="111">
        <v>3</v>
      </c>
      <c r="EK25" s="111">
        <v>88</v>
      </c>
      <c r="EL25" s="111">
        <v>83</v>
      </c>
      <c r="EM25" s="111">
        <v>5</v>
      </c>
      <c r="EN25" s="111">
        <v>311</v>
      </c>
      <c r="EO25" s="111">
        <v>116</v>
      </c>
      <c r="EP25" s="111">
        <v>115</v>
      </c>
      <c r="EQ25" s="111">
        <v>80</v>
      </c>
      <c r="ER25" s="111">
        <v>0</v>
      </c>
      <c r="ES25" s="111">
        <v>0</v>
      </c>
      <c r="ET25" s="111">
        <v>0</v>
      </c>
      <c r="EU25" s="111">
        <v>74</v>
      </c>
      <c r="EV25" s="111">
        <v>0</v>
      </c>
      <c r="EW25" s="111">
        <v>74</v>
      </c>
      <c r="EX25" s="111">
        <v>0</v>
      </c>
      <c r="EY25" s="111">
        <v>18</v>
      </c>
      <c r="EZ25" s="111">
        <v>0</v>
      </c>
      <c r="FA25" s="111">
        <v>18</v>
      </c>
      <c r="FB25" s="111">
        <v>0</v>
      </c>
    </row>
    <row r="26" spans="1:158" ht="19.5" customHeight="1">
      <c r="A26" s="107">
        <v>23</v>
      </c>
      <c r="B26" s="107" t="s">
        <v>361</v>
      </c>
      <c r="C26" s="107" t="s">
        <v>423</v>
      </c>
      <c r="D26" s="110">
        <v>6236700.25</v>
      </c>
      <c r="E26" s="110">
        <v>2444056</v>
      </c>
      <c r="F26" s="110">
        <v>3792644.25</v>
      </c>
      <c r="G26" s="110">
        <v>8080</v>
      </c>
      <c r="H26" s="110">
        <v>521</v>
      </c>
      <c r="I26" s="110">
        <v>61058</v>
      </c>
      <c r="J26" s="110">
        <v>5301</v>
      </c>
      <c r="K26" s="110">
        <v>63870.83</v>
      </c>
      <c r="L26" s="110">
        <v>276964</v>
      </c>
      <c r="M26" s="110">
        <v>1052984.75</v>
      </c>
      <c r="N26" s="110">
        <v>4524.8500000000004</v>
      </c>
      <c r="O26" s="110">
        <v>9975836.9900000002</v>
      </c>
      <c r="P26" s="110">
        <v>7331702.7000000002</v>
      </c>
      <c r="Q26" s="110">
        <v>6945669.3200000003</v>
      </c>
      <c r="R26" s="110">
        <v>386033.38</v>
      </c>
      <c r="S26" s="110">
        <v>2644134.29</v>
      </c>
      <c r="T26" s="110">
        <v>2282179.7000000002</v>
      </c>
      <c r="U26" s="110">
        <v>361954.59</v>
      </c>
      <c r="V26" s="110">
        <v>3436213.71</v>
      </c>
      <c r="W26" s="110">
        <v>2817465.76</v>
      </c>
      <c r="X26" s="110">
        <v>2656149.21</v>
      </c>
      <c r="Y26" s="110">
        <v>161316.54999999999</v>
      </c>
      <c r="Z26" s="110">
        <v>618747.94999999995</v>
      </c>
      <c r="AA26" s="110">
        <v>374924.11</v>
      </c>
      <c r="AB26" s="110">
        <v>243823.84</v>
      </c>
      <c r="AC26" s="110">
        <v>935345.03</v>
      </c>
      <c r="AD26" s="110">
        <v>776658.26</v>
      </c>
      <c r="AE26" s="110">
        <v>747670.71</v>
      </c>
      <c r="AF26" s="110">
        <v>28987.55</v>
      </c>
      <c r="AG26" s="110">
        <v>158686.76999999999</v>
      </c>
      <c r="AH26" s="110">
        <v>107525.11</v>
      </c>
      <c r="AI26" s="110">
        <v>51161.66</v>
      </c>
      <c r="AJ26" s="110">
        <v>56812.68</v>
      </c>
      <c r="AK26" s="110">
        <v>44675.5</v>
      </c>
      <c r="AL26" s="110">
        <v>43119.5</v>
      </c>
      <c r="AM26" s="110">
        <v>1556</v>
      </c>
      <c r="AN26" s="110">
        <v>12137.18</v>
      </c>
      <c r="AO26" s="110">
        <v>7630</v>
      </c>
      <c r="AP26" s="110">
        <v>4507.18</v>
      </c>
      <c r="AQ26" s="110">
        <v>2037350</v>
      </c>
      <c r="AR26" s="110">
        <v>1671938</v>
      </c>
      <c r="AS26" s="110">
        <v>1568738</v>
      </c>
      <c r="AT26" s="110">
        <v>103200</v>
      </c>
      <c r="AU26" s="110">
        <v>365412</v>
      </c>
      <c r="AV26" s="110">
        <v>218516</v>
      </c>
      <c r="AW26" s="110">
        <v>146896</v>
      </c>
      <c r="AX26" s="110">
        <v>406706</v>
      </c>
      <c r="AY26" s="110">
        <v>324194</v>
      </c>
      <c r="AZ26" s="110">
        <v>296621</v>
      </c>
      <c r="BA26" s="110">
        <v>27573</v>
      </c>
      <c r="BB26" s="110">
        <v>82512</v>
      </c>
      <c r="BC26" s="110">
        <v>41253</v>
      </c>
      <c r="BD26" s="110">
        <v>41259</v>
      </c>
      <c r="BE26" s="110">
        <v>6539623.2800000003</v>
      </c>
      <c r="BF26" s="110">
        <v>4514236.9400000004</v>
      </c>
      <c r="BG26" s="110">
        <v>4289520.1100000003</v>
      </c>
      <c r="BH26" s="110">
        <v>224716.83</v>
      </c>
      <c r="BI26" s="110">
        <v>2025386.34</v>
      </c>
      <c r="BJ26" s="110">
        <v>1907255.59</v>
      </c>
      <c r="BK26" s="110">
        <v>118130.75</v>
      </c>
      <c r="BL26" s="110">
        <v>1194621.68</v>
      </c>
      <c r="BM26" s="110">
        <v>756069.5</v>
      </c>
      <c r="BN26" s="110">
        <v>724774.59</v>
      </c>
      <c r="BO26" s="110">
        <v>31294.91</v>
      </c>
      <c r="BP26" s="110">
        <v>438552.18</v>
      </c>
      <c r="BQ26" s="110">
        <v>420719.44</v>
      </c>
      <c r="BR26" s="110">
        <v>17832.740000000002</v>
      </c>
      <c r="BS26" s="110">
        <v>1552357.35</v>
      </c>
      <c r="BT26" s="110">
        <v>1084549.44</v>
      </c>
      <c r="BU26" s="110">
        <v>1031044.77</v>
      </c>
      <c r="BV26" s="110">
        <v>53504.67</v>
      </c>
      <c r="BW26" s="110">
        <v>467807.91</v>
      </c>
      <c r="BX26" s="110">
        <v>441489.4</v>
      </c>
      <c r="BY26" s="110">
        <v>26318.51</v>
      </c>
      <c r="BZ26" s="110">
        <v>1285012.5</v>
      </c>
      <c r="CA26" s="110">
        <v>849792.5</v>
      </c>
      <c r="CB26" s="110">
        <v>822949.5</v>
      </c>
      <c r="CC26" s="110">
        <v>26843</v>
      </c>
      <c r="CD26" s="110">
        <v>435220</v>
      </c>
      <c r="CE26" s="110">
        <v>415295</v>
      </c>
      <c r="CF26" s="110">
        <v>19925</v>
      </c>
      <c r="CG26" s="110">
        <v>2507631.75</v>
      </c>
      <c r="CH26" s="110">
        <v>1823825.5</v>
      </c>
      <c r="CI26" s="110">
        <v>1710751.25</v>
      </c>
      <c r="CJ26" s="110">
        <v>113074.25</v>
      </c>
      <c r="CK26" s="110">
        <v>683806.25</v>
      </c>
      <c r="CL26" s="110">
        <v>629751.75</v>
      </c>
      <c r="CM26" s="110">
        <v>54054.5</v>
      </c>
      <c r="CN26" s="110">
        <v>76913.929999999993</v>
      </c>
      <c r="CO26" s="110">
        <v>1522842.27</v>
      </c>
      <c r="CP26" s="110">
        <v>1309446.8899999999</v>
      </c>
      <c r="CQ26" s="110">
        <v>250949.24</v>
      </c>
      <c r="CR26" s="110">
        <v>276126.38</v>
      </c>
      <c r="CS26" s="110">
        <v>0</v>
      </c>
      <c r="CT26" s="110">
        <v>56591.92</v>
      </c>
      <c r="CU26" s="110">
        <v>0</v>
      </c>
      <c r="CV26" s="111">
        <v>8080</v>
      </c>
      <c r="CW26" s="111">
        <v>6867</v>
      </c>
      <c r="CX26" s="111">
        <v>6385</v>
      </c>
      <c r="CY26" s="111">
        <v>482</v>
      </c>
      <c r="CZ26" s="111">
        <v>1213</v>
      </c>
      <c r="DA26" s="111">
        <v>595</v>
      </c>
      <c r="DB26" s="111">
        <v>618</v>
      </c>
      <c r="DC26" s="111">
        <v>5116</v>
      </c>
      <c r="DD26" s="111">
        <v>51</v>
      </c>
      <c r="DE26" s="111">
        <v>4498</v>
      </c>
      <c r="DF26" s="111">
        <v>4185</v>
      </c>
      <c r="DG26" s="111">
        <v>313</v>
      </c>
      <c r="DH26" s="111">
        <v>618</v>
      </c>
      <c r="DI26" s="111">
        <v>263</v>
      </c>
      <c r="DJ26" s="111">
        <v>355</v>
      </c>
      <c r="DK26" s="111">
        <v>2423</v>
      </c>
      <c r="DL26" s="111">
        <v>1942</v>
      </c>
      <c r="DM26" s="111">
        <v>1798</v>
      </c>
      <c r="DN26" s="111">
        <v>144</v>
      </c>
      <c r="DO26" s="111">
        <v>481</v>
      </c>
      <c r="DP26" s="111">
        <v>276</v>
      </c>
      <c r="DQ26" s="111">
        <v>205</v>
      </c>
      <c r="DR26" s="111">
        <v>302</v>
      </c>
      <c r="DS26" s="111">
        <v>0</v>
      </c>
      <c r="DT26" s="111">
        <v>212</v>
      </c>
      <c r="DU26" s="111">
        <v>203</v>
      </c>
      <c r="DV26" s="111">
        <v>9</v>
      </c>
      <c r="DW26" s="111">
        <v>90</v>
      </c>
      <c r="DX26" s="111">
        <v>50</v>
      </c>
      <c r="DY26" s="111">
        <v>40</v>
      </c>
      <c r="DZ26" s="111">
        <v>188</v>
      </c>
      <c r="EA26" s="111">
        <v>164</v>
      </c>
      <c r="EB26" s="111">
        <v>150</v>
      </c>
      <c r="EC26" s="111">
        <v>14</v>
      </c>
      <c r="ED26" s="111">
        <v>24</v>
      </c>
      <c r="EE26" s="111">
        <v>6</v>
      </c>
      <c r="EF26" s="111">
        <v>18</v>
      </c>
      <c r="EG26" s="111">
        <v>521</v>
      </c>
      <c r="EH26" s="111">
        <v>359</v>
      </c>
      <c r="EI26" s="111">
        <v>336</v>
      </c>
      <c r="EJ26" s="111">
        <v>23</v>
      </c>
      <c r="EK26" s="111">
        <v>162</v>
      </c>
      <c r="EL26" s="111">
        <v>145</v>
      </c>
      <c r="EM26" s="111">
        <v>17</v>
      </c>
      <c r="EN26" s="111">
        <v>522</v>
      </c>
      <c r="EO26" s="111">
        <v>300</v>
      </c>
      <c r="EP26" s="111">
        <v>0</v>
      </c>
      <c r="EQ26" s="111">
        <v>222</v>
      </c>
      <c r="ER26" s="111">
        <v>97</v>
      </c>
      <c r="ES26" s="111">
        <v>0</v>
      </c>
      <c r="ET26" s="111">
        <v>0</v>
      </c>
      <c r="EU26" s="111">
        <v>212</v>
      </c>
      <c r="EV26" s="111">
        <v>212</v>
      </c>
      <c r="EW26" s="111">
        <v>0</v>
      </c>
      <c r="EX26" s="111">
        <v>0</v>
      </c>
      <c r="EY26" s="111">
        <v>57</v>
      </c>
      <c r="EZ26" s="111">
        <v>57</v>
      </c>
      <c r="FA26" s="111">
        <v>0</v>
      </c>
      <c r="FB26" s="111">
        <v>108</v>
      </c>
    </row>
    <row r="27" spans="1:158" ht="19.5" customHeight="1">
      <c r="A27" s="107">
        <v>24</v>
      </c>
      <c r="B27" s="107" t="s">
        <v>374</v>
      </c>
      <c r="C27" s="107" t="s">
        <v>375</v>
      </c>
      <c r="D27" s="110">
        <v>1501288</v>
      </c>
      <c r="E27" s="110">
        <v>1501288</v>
      </c>
      <c r="F27" s="110">
        <v>0</v>
      </c>
      <c r="G27" s="110">
        <v>7126</v>
      </c>
      <c r="H27" s="110">
        <v>0</v>
      </c>
      <c r="I27" s="110">
        <v>25186</v>
      </c>
      <c r="J27" s="110">
        <v>0</v>
      </c>
      <c r="K27" s="110">
        <v>0</v>
      </c>
      <c r="L27" s="110">
        <v>0</v>
      </c>
      <c r="M27" s="110">
        <v>0</v>
      </c>
      <c r="N27" s="110">
        <v>0</v>
      </c>
      <c r="O27" s="110">
        <v>3230569.83</v>
      </c>
      <c r="P27" s="110">
        <v>3063197.84</v>
      </c>
      <c r="Q27" s="110">
        <v>2861616.86</v>
      </c>
      <c r="R27" s="110">
        <v>201580.98</v>
      </c>
      <c r="S27" s="110">
        <v>167371.99</v>
      </c>
      <c r="T27" s="110">
        <v>50637.36</v>
      </c>
      <c r="U27" s="110">
        <v>116734.63</v>
      </c>
      <c r="V27" s="110">
        <v>3230569.83</v>
      </c>
      <c r="W27" s="110">
        <v>3063197.84</v>
      </c>
      <c r="X27" s="110">
        <v>2861616.86</v>
      </c>
      <c r="Y27" s="110">
        <v>201580.98</v>
      </c>
      <c r="Z27" s="110">
        <v>167371.99</v>
      </c>
      <c r="AA27" s="110">
        <v>50637.36</v>
      </c>
      <c r="AB27" s="110">
        <v>116734.63</v>
      </c>
      <c r="AC27" s="110">
        <v>1644048.09</v>
      </c>
      <c r="AD27" s="110">
        <v>1557165.8</v>
      </c>
      <c r="AE27" s="110">
        <v>1449457.18</v>
      </c>
      <c r="AF27" s="110">
        <v>107708.62</v>
      </c>
      <c r="AG27" s="110">
        <v>86882.29</v>
      </c>
      <c r="AH27" s="110">
        <v>23865.439999999999</v>
      </c>
      <c r="AI27" s="110">
        <v>63016.85</v>
      </c>
      <c r="AJ27" s="110">
        <v>85233.74</v>
      </c>
      <c r="AK27" s="110">
        <v>78232.039999999994</v>
      </c>
      <c r="AL27" s="110">
        <v>71474.679999999993</v>
      </c>
      <c r="AM27" s="110">
        <v>6757.36</v>
      </c>
      <c r="AN27" s="110">
        <v>7001.7</v>
      </c>
      <c r="AO27" s="110">
        <v>2758.92</v>
      </c>
      <c r="AP27" s="110">
        <v>4242.78</v>
      </c>
      <c r="AQ27" s="110">
        <v>1285113</v>
      </c>
      <c r="AR27" s="110">
        <v>1228252</v>
      </c>
      <c r="AS27" s="110">
        <v>1159101</v>
      </c>
      <c r="AT27" s="110">
        <v>69151</v>
      </c>
      <c r="AU27" s="110">
        <v>56861</v>
      </c>
      <c r="AV27" s="110">
        <v>18330</v>
      </c>
      <c r="AW27" s="110">
        <v>38531</v>
      </c>
      <c r="AX27" s="110">
        <v>216175</v>
      </c>
      <c r="AY27" s="110">
        <v>199548</v>
      </c>
      <c r="AZ27" s="110">
        <v>181584</v>
      </c>
      <c r="BA27" s="110">
        <v>17964</v>
      </c>
      <c r="BB27" s="110">
        <v>16627</v>
      </c>
      <c r="BC27" s="110">
        <v>5683</v>
      </c>
      <c r="BD27" s="110">
        <v>10944</v>
      </c>
      <c r="BE27" s="110">
        <v>0</v>
      </c>
      <c r="BF27" s="110">
        <v>0</v>
      </c>
      <c r="BG27" s="110">
        <v>0</v>
      </c>
      <c r="BH27" s="110">
        <v>0</v>
      </c>
      <c r="BI27" s="110">
        <v>0</v>
      </c>
      <c r="BJ27" s="110">
        <v>0</v>
      </c>
      <c r="BK27" s="110">
        <v>0</v>
      </c>
      <c r="BL27" s="110">
        <v>0</v>
      </c>
      <c r="BM27" s="110">
        <v>0</v>
      </c>
      <c r="BN27" s="110">
        <v>0</v>
      </c>
      <c r="BO27" s="110">
        <v>0</v>
      </c>
      <c r="BP27" s="110">
        <v>0</v>
      </c>
      <c r="BQ27" s="110">
        <v>0</v>
      </c>
      <c r="BR27" s="110">
        <v>0</v>
      </c>
      <c r="BS27" s="110">
        <v>0</v>
      </c>
      <c r="BT27" s="110">
        <v>0</v>
      </c>
      <c r="BU27" s="110">
        <v>0</v>
      </c>
      <c r="BV27" s="110">
        <v>0</v>
      </c>
      <c r="BW27" s="110">
        <v>0</v>
      </c>
      <c r="BX27" s="110">
        <v>0</v>
      </c>
      <c r="BY27" s="110">
        <v>0</v>
      </c>
      <c r="BZ27" s="110">
        <v>0</v>
      </c>
      <c r="CA27" s="110">
        <v>0</v>
      </c>
      <c r="CB27" s="110">
        <v>0</v>
      </c>
      <c r="CC27" s="110">
        <v>0</v>
      </c>
      <c r="CD27" s="110">
        <v>0</v>
      </c>
      <c r="CE27" s="110">
        <v>0</v>
      </c>
      <c r="CF27" s="110">
        <v>0</v>
      </c>
      <c r="CG27" s="110">
        <v>0</v>
      </c>
      <c r="CH27" s="110">
        <v>0</v>
      </c>
      <c r="CI27" s="110">
        <v>0</v>
      </c>
      <c r="CJ27" s="110">
        <v>0</v>
      </c>
      <c r="CK27" s="110">
        <v>0</v>
      </c>
      <c r="CL27" s="110">
        <v>0</v>
      </c>
      <c r="CM27" s="110">
        <v>0</v>
      </c>
      <c r="CN27" s="110">
        <v>414343.91</v>
      </c>
      <c r="CO27" s="110">
        <v>2675536.31</v>
      </c>
      <c r="CP27" s="110">
        <v>73655.570000000007</v>
      </c>
      <c r="CQ27" s="110">
        <v>5267.18</v>
      </c>
      <c r="CR27" s="110">
        <v>61796.86</v>
      </c>
      <c r="CS27" s="110">
        <v>0</v>
      </c>
      <c r="CT27" s="110">
        <v>0</v>
      </c>
      <c r="CU27" s="110">
        <v>0</v>
      </c>
      <c r="CV27" s="111">
        <v>7126</v>
      </c>
      <c r="CW27" s="111">
        <v>6644</v>
      </c>
      <c r="CX27" s="111">
        <v>6073</v>
      </c>
      <c r="CY27" s="111">
        <v>571</v>
      </c>
      <c r="CZ27" s="111">
        <v>482</v>
      </c>
      <c r="DA27" s="111">
        <v>155</v>
      </c>
      <c r="DB27" s="111">
        <v>327</v>
      </c>
      <c r="DC27" s="111">
        <v>6309</v>
      </c>
      <c r="DD27" s="111">
        <v>1</v>
      </c>
      <c r="DE27" s="111">
        <v>5896</v>
      </c>
      <c r="DF27" s="111">
        <v>5414</v>
      </c>
      <c r="DG27" s="111">
        <v>482</v>
      </c>
      <c r="DH27" s="111">
        <v>413</v>
      </c>
      <c r="DI27" s="111">
        <v>139</v>
      </c>
      <c r="DJ27" s="111">
        <v>274</v>
      </c>
      <c r="DK27" s="111">
        <v>51</v>
      </c>
      <c r="DL27" s="111">
        <v>41</v>
      </c>
      <c r="DM27" s="111">
        <v>28</v>
      </c>
      <c r="DN27" s="111">
        <v>13</v>
      </c>
      <c r="DO27" s="111">
        <v>10</v>
      </c>
      <c r="DP27" s="111">
        <v>1</v>
      </c>
      <c r="DQ27" s="111">
        <v>9</v>
      </c>
      <c r="DR27" s="111">
        <v>14</v>
      </c>
      <c r="DS27" s="111">
        <v>1</v>
      </c>
      <c r="DT27" s="111">
        <v>10</v>
      </c>
      <c r="DU27" s="111">
        <v>7</v>
      </c>
      <c r="DV27" s="111">
        <v>3</v>
      </c>
      <c r="DW27" s="111">
        <v>4</v>
      </c>
      <c r="DX27" s="111">
        <v>2</v>
      </c>
      <c r="DY27" s="111">
        <v>2</v>
      </c>
      <c r="DZ27" s="111">
        <v>750</v>
      </c>
      <c r="EA27" s="111">
        <v>695</v>
      </c>
      <c r="EB27" s="111">
        <v>624</v>
      </c>
      <c r="EC27" s="111">
        <v>71</v>
      </c>
      <c r="ED27" s="111">
        <v>55</v>
      </c>
      <c r="EE27" s="111">
        <v>13</v>
      </c>
      <c r="EF27" s="111">
        <v>42</v>
      </c>
      <c r="EG27" s="111">
        <v>0</v>
      </c>
      <c r="EH27" s="111">
        <v>0</v>
      </c>
      <c r="EI27" s="111">
        <v>0</v>
      </c>
      <c r="EJ27" s="111">
        <v>0</v>
      </c>
      <c r="EK27" s="111">
        <v>0</v>
      </c>
      <c r="EL27" s="111">
        <v>0</v>
      </c>
      <c r="EM27" s="111">
        <v>0</v>
      </c>
      <c r="EN27" s="111">
        <v>1</v>
      </c>
      <c r="EO27" s="111">
        <v>0</v>
      </c>
      <c r="EP27" s="111">
        <v>0</v>
      </c>
      <c r="EQ27" s="111">
        <v>1</v>
      </c>
      <c r="ER27" s="111">
        <v>0</v>
      </c>
      <c r="ES27" s="111">
        <v>0</v>
      </c>
      <c r="ET27" s="111">
        <v>0</v>
      </c>
      <c r="EU27" s="111">
        <v>0</v>
      </c>
      <c r="EV27" s="111">
        <v>0</v>
      </c>
      <c r="EW27" s="111">
        <v>0</v>
      </c>
      <c r="EX27" s="111">
        <v>0</v>
      </c>
      <c r="EY27" s="111">
        <v>0</v>
      </c>
      <c r="EZ27" s="111">
        <v>0</v>
      </c>
      <c r="FA27" s="111">
        <v>0</v>
      </c>
      <c r="FB27" s="111">
        <v>0</v>
      </c>
    </row>
    <row r="28" spans="1:158" ht="19.5" customHeight="1">
      <c r="A28" s="107">
        <v>25</v>
      </c>
      <c r="B28" s="107" t="s">
        <v>374</v>
      </c>
      <c r="C28" s="107" t="s">
        <v>376</v>
      </c>
      <c r="D28" s="110">
        <v>2243254.5</v>
      </c>
      <c r="E28" s="110">
        <v>1061459.5</v>
      </c>
      <c r="F28" s="110">
        <v>1181795</v>
      </c>
      <c r="G28" s="110">
        <v>4305</v>
      </c>
      <c r="H28" s="110">
        <v>130</v>
      </c>
      <c r="I28" s="110">
        <v>10904</v>
      </c>
      <c r="J28" s="110">
        <v>0</v>
      </c>
      <c r="K28" s="110">
        <v>0</v>
      </c>
      <c r="L28" s="110">
        <v>52782</v>
      </c>
      <c r="M28" s="110">
        <v>14211</v>
      </c>
      <c r="N28" s="110">
        <v>158.46</v>
      </c>
      <c r="O28" s="110">
        <v>3446418.33</v>
      </c>
      <c r="P28" s="110">
        <v>2151615.44</v>
      </c>
      <c r="Q28" s="110">
        <v>1954849.86</v>
      </c>
      <c r="R28" s="110">
        <v>196765.58</v>
      </c>
      <c r="S28" s="110">
        <v>1294802.8899999999</v>
      </c>
      <c r="T28" s="110">
        <v>741511.41</v>
      </c>
      <c r="U28" s="110">
        <v>553291.48</v>
      </c>
      <c r="V28" s="110">
        <v>1737277.32</v>
      </c>
      <c r="W28" s="110">
        <v>1522347.71</v>
      </c>
      <c r="X28" s="110">
        <v>1336695.67</v>
      </c>
      <c r="Y28" s="110">
        <v>185652.04</v>
      </c>
      <c r="Z28" s="110">
        <v>214929.61</v>
      </c>
      <c r="AA28" s="110">
        <v>58515.09</v>
      </c>
      <c r="AB28" s="110">
        <v>156414.51999999999</v>
      </c>
      <c r="AC28" s="110">
        <v>640923.22</v>
      </c>
      <c r="AD28" s="110">
        <v>574050.31000000006</v>
      </c>
      <c r="AE28" s="110">
        <v>514206.37</v>
      </c>
      <c r="AF28" s="110">
        <v>59843.94</v>
      </c>
      <c r="AG28" s="110">
        <v>66872.91</v>
      </c>
      <c r="AH28" s="110">
        <v>17420.93</v>
      </c>
      <c r="AI28" s="110">
        <v>49451.98</v>
      </c>
      <c r="AJ28" s="110">
        <v>34894.6</v>
      </c>
      <c r="AK28" s="110">
        <v>31432.9</v>
      </c>
      <c r="AL28" s="110">
        <v>28969.8</v>
      </c>
      <c r="AM28" s="110">
        <v>2463.1</v>
      </c>
      <c r="AN28" s="110">
        <v>3461.7</v>
      </c>
      <c r="AO28" s="110">
        <v>799.16</v>
      </c>
      <c r="AP28" s="110">
        <v>2662.54</v>
      </c>
      <c r="AQ28" s="110">
        <v>815058.5</v>
      </c>
      <c r="AR28" s="110">
        <v>713217.5</v>
      </c>
      <c r="AS28" s="110">
        <v>627120.5</v>
      </c>
      <c r="AT28" s="110">
        <v>86097</v>
      </c>
      <c r="AU28" s="110">
        <v>101841</v>
      </c>
      <c r="AV28" s="110">
        <v>27688</v>
      </c>
      <c r="AW28" s="110">
        <v>74153</v>
      </c>
      <c r="AX28" s="110">
        <v>246401</v>
      </c>
      <c r="AY28" s="110">
        <v>203647</v>
      </c>
      <c r="AZ28" s="110">
        <v>166399</v>
      </c>
      <c r="BA28" s="110">
        <v>37248</v>
      </c>
      <c r="BB28" s="110">
        <v>42754</v>
      </c>
      <c r="BC28" s="110">
        <v>12607</v>
      </c>
      <c r="BD28" s="110">
        <v>30147</v>
      </c>
      <c r="BE28" s="110">
        <v>1709141.01</v>
      </c>
      <c r="BF28" s="110">
        <v>629267.73</v>
      </c>
      <c r="BG28" s="110">
        <v>618154.18999999994</v>
      </c>
      <c r="BH28" s="110">
        <v>11113.54</v>
      </c>
      <c r="BI28" s="110">
        <v>1079873.28</v>
      </c>
      <c r="BJ28" s="110">
        <v>682996.32</v>
      </c>
      <c r="BK28" s="110">
        <v>396876.96</v>
      </c>
      <c r="BL28" s="110">
        <v>331299.32</v>
      </c>
      <c r="BM28" s="110">
        <v>136276.35</v>
      </c>
      <c r="BN28" s="110">
        <v>134207.54999999999</v>
      </c>
      <c r="BO28" s="110">
        <v>2068.8000000000002</v>
      </c>
      <c r="BP28" s="110">
        <v>195022.97</v>
      </c>
      <c r="BQ28" s="110">
        <v>141773.85</v>
      </c>
      <c r="BR28" s="110">
        <v>53249.120000000003</v>
      </c>
      <c r="BS28" s="110">
        <v>196046.69</v>
      </c>
      <c r="BT28" s="110">
        <v>66870.880000000005</v>
      </c>
      <c r="BU28" s="110">
        <v>65540.14</v>
      </c>
      <c r="BV28" s="110">
        <v>1330.74</v>
      </c>
      <c r="BW28" s="110">
        <v>129175.81</v>
      </c>
      <c r="BX28" s="110">
        <v>94266.97</v>
      </c>
      <c r="BY28" s="110">
        <v>34908.839999999997</v>
      </c>
      <c r="BZ28" s="110">
        <v>586563</v>
      </c>
      <c r="CA28" s="110">
        <v>283927</v>
      </c>
      <c r="CB28" s="110">
        <v>279347</v>
      </c>
      <c r="CC28" s="110">
        <v>4580</v>
      </c>
      <c r="CD28" s="110">
        <v>302636</v>
      </c>
      <c r="CE28" s="110">
        <v>228492</v>
      </c>
      <c r="CF28" s="110">
        <v>74144</v>
      </c>
      <c r="CG28" s="110">
        <v>595232</v>
      </c>
      <c r="CH28" s="110">
        <v>142193.5</v>
      </c>
      <c r="CI28" s="110">
        <v>139059.5</v>
      </c>
      <c r="CJ28" s="110">
        <v>3134</v>
      </c>
      <c r="CK28" s="110">
        <v>453038.5</v>
      </c>
      <c r="CL28" s="110">
        <v>218463.5</v>
      </c>
      <c r="CM28" s="110">
        <v>234575</v>
      </c>
      <c r="CN28" s="110">
        <v>321512.93</v>
      </c>
      <c r="CO28" s="110">
        <v>465603.32</v>
      </c>
      <c r="CP28" s="110">
        <v>77203.649999999994</v>
      </c>
      <c r="CQ28" s="110">
        <v>496901.67</v>
      </c>
      <c r="CR28" s="110">
        <v>373842.76</v>
      </c>
      <c r="CS28" s="110">
        <v>2212.9899999999998</v>
      </c>
      <c r="CT28" s="110">
        <v>266985.28000000003</v>
      </c>
      <c r="CU28" s="110">
        <v>0</v>
      </c>
      <c r="CV28" s="111">
        <v>4305</v>
      </c>
      <c r="CW28" s="111">
        <v>3720</v>
      </c>
      <c r="CX28" s="111">
        <v>3180</v>
      </c>
      <c r="CY28" s="111">
        <v>540</v>
      </c>
      <c r="CZ28" s="111">
        <v>585</v>
      </c>
      <c r="DA28" s="111">
        <v>155</v>
      </c>
      <c r="DB28" s="111">
        <v>430</v>
      </c>
      <c r="DC28" s="111">
        <v>2787</v>
      </c>
      <c r="DD28" s="111">
        <v>58</v>
      </c>
      <c r="DE28" s="111">
        <v>2409</v>
      </c>
      <c r="DF28" s="111">
        <v>2068</v>
      </c>
      <c r="DG28" s="111">
        <v>341</v>
      </c>
      <c r="DH28" s="111">
        <v>378</v>
      </c>
      <c r="DI28" s="111">
        <v>89</v>
      </c>
      <c r="DJ28" s="111">
        <v>289</v>
      </c>
      <c r="DK28" s="111">
        <v>187</v>
      </c>
      <c r="DL28" s="111">
        <v>155</v>
      </c>
      <c r="DM28" s="111">
        <v>125</v>
      </c>
      <c r="DN28" s="111">
        <v>30</v>
      </c>
      <c r="DO28" s="111">
        <v>32</v>
      </c>
      <c r="DP28" s="111">
        <v>14</v>
      </c>
      <c r="DQ28" s="111">
        <v>18</v>
      </c>
      <c r="DR28" s="111">
        <v>695</v>
      </c>
      <c r="DS28" s="111">
        <v>0</v>
      </c>
      <c r="DT28" s="111">
        <v>571</v>
      </c>
      <c r="DU28" s="111">
        <v>464</v>
      </c>
      <c r="DV28" s="111">
        <v>107</v>
      </c>
      <c r="DW28" s="111">
        <v>124</v>
      </c>
      <c r="DX28" s="111">
        <v>40</v>
      </c>
      <c r="DY28" s="111">
        <v>84</v>
      </c>
      <c r="DZ28" s="111">
        <v>578</v>
      </c>
      <c r="EA28" s="111">
        <v>535</v>
      </c>
      <c r="EB28" s="111">
        <v>487</v>
      </c>
      <c r="EC28" s="111">
        <v>48</v>
      </c>
      <c r="ED28" s="111">
        <v>43</v>
      </c>
      <c r="EE28" s="111">
        <v>12</v>
      </c>
      <c r="EF28" s="111">
        <v>31</v>
      </c>
      <c r="EG28" s="111">
        <v>130</v>
      </c>
      <c r="EH28" s="111">
        <v>78</v>
      </c>
      <c r="EI28" s="111">
        <v>77</v>
      </c>
      <c r="EJ28" s="111">
        <v>1</v>
      </c>
      <c r="EK28" s="111">
        <v>52</v>
      </c>
      <c r="EL28" s="111">
        <v>41</v>
      </c>
      <c r="EM28" s="111">
        <v>11</v>
      </c>
      <c r="EN28" s="111">
        <v>82</v>
      </c>
      <c r="EO28" s="111">
        <v>1</v>
      </c>
      <c r="EP28" s="111">
        <v>0</v>
      </c>
      <c r="EQ28" s="111">
        <v>81</v>
      </c>
      <c r="ER28" s="111">
        <v>0</v>
      </c>
      <c r="ES28" s="111">
        <v>0</v>
      </c>
      <c r="ET28" s="111">
        <v>0</v>
      </c>
      <c r="EU28" s="111">
        <v>0</v>
      </c>
      <c r="EV28" s="111">
        <v>0</v>
      </c>
      <c r="EW28" s="111">
        <v>0</v>
      </c>
      <c r="EX28" s="111">
        <v>0</v>
      </c>
      <c r="EY28" s="111">
        <v>0</v>
      </c>
      <c r="EZ28" s="111">
        <v>0</v>
      </c>
      <c r="FA28" s="111">
        <v>0</v>
      </c>
      <c r="FB28" s="111">
        <v>27</v>
      </c>
    </row>
    <row r="29" spans="1:158" ht="19.5" customHeight="1">
      <c r="A29" s="107">
        <v>26</v>
      </c>
      <c r="B29" s="107" t="s">
        <v>374</v>
      </c>
      <c r="C29" s="107" t="s">
        <v>377</v>
      </c>
      <c r="D29" s="110">
        <v>5448344</v>
      </c>
      <c r="E29" s="110">
        <v>3195481.5</v>
      </c>
      <c r="F29" s="110">
        <v>2252862.5</v>
      </c>
      <c r="G29" s="110">
        <v>10202</v>
      </c>
      <c r="H29" s="110">
        <v>258</v>
      </c>
      <c r="I29" s="110">
        <v>41138.5</v>
      </c>
      <c r="J29" s="110">
        <v>0</v>
      </c>
      <c r="K29" s="110">
        <v>0</v>
      </c>
      <c r="L29" s="110">
        <v>118201</v>
      </c>
      <c r="M29" s="110">
        <v>276</v>
      </c>
      <c r="N29" s="110">
        <v>228.04</v>
      </c>
      <c r="O29" s="110">
        <v>8397539.5899999999</v>
      </c>
      <c r="P29" s="110">
        <v>7389721.8799999999</v>
      </c>
      <c r="Q29" s="110">
        <v>6394187.5499999998</v>
      </c>
      <c r="R29" s="110">
        <v>995534.33</v>
      </c>
      <c r="S29" s="110">
        <v>1007817.71</v>
      </c>
      <c r="T29" s="110">
        <v>513244.66</v>
      </c>
      <c r="U29" s="110">
        <v>494573.05</v>
      </c>
      <c r="V29" s="110">
        <v>5686953.6900000004</v>
      </c>
      <c r="W29" s="110">
        <v>5089232.6399999997</v>
      </c>
      <c r="X29" s="110">
        <v>4571026.1500000004</v>
      </c>
      <c r="Y29" s="110">
        <v>518206.49</v>
      </c>
      <c r="Z29" s="110">
        <v>597721.05000000005</v>
      </c>
      <c r="AA29" s="110">
        <v>176789.87</v>
      </c>
      <c r="AB29" s="110">
        <v>420931.18</v>
      </c>
      <c r="AC29" s="110">
        <v>2353437.91</v>
      </c>
      <c r="AD29" s="110">
        <v>2136129.56</v>
      </c>
      <c r="AE29" s="110">
        <v>1951932.73</v>
      </c>
      <c r="AF29" s="110">
        <v>184196.83</v>
      </c>
      <c r="AG29" s="110">
        <v>217308.35</v>
      </c>
      <c r="AH29" s="110">
        <v>69318.69</v>
      </c>
      <c r="AI29" s="110">
        <v>147989.66</v>
      </c>
      <c r="AJ29" s="110">
        <v>138034.28</v>
      </c>
      <c r="AK29" s="110">
        <v>123026.58</v>
      </c>
      <c r="AL29" s="110">
        <v>109986.42</v>
      </c>
      <c r="AM29" s="110">
        <v>13040.16</v>
      </c>
      <c r="AN29" s="110">
        <v>15007.7</v>
      </c>
      <c r="AO29" s="110">
        <v>4131.68</v>
      </c>
      <c r="AP29" s="110">
        <v>10876.02</v>
      </c>
      <c r="AQ29" s="110">
        <v>2017667</v>
      </c>
      <c r="AR29" s="110">
        <v>1809199</v>
      </c>
      <c r="AS29" s="110">
        <v>1640867</v>
      </c>
      <c r="AT29" s="110">
        <v>168332</v>
      </c>
      <c r="AU29" s="110">
        <v>208468</v>
      </c>
      <c r="AV29" s="110">
        <v>58164</v>
      </c>
      <c r="AW29" s="110">
        <v>150304</v>
      </c>
      <c r="AX29" s="110">
        <v>1177814.5</v>
      </c>
      <c r="AY29" s="110">
        <v>1020877.5</v>
      </c>
      <c r="AZ29" s="110">
        <v>868240</v>
      </c>
      <c r="BA29" s="110">
        <v>152637.5</v>
      </c>
      <c r="BB29" s="110">
        <v>156937</v>
      </c>
      <c r="BC29" s="110">
        <v>45175.5</v>
      </c>
      <c r="BD29" s="110">
        <v>111761.5</v>
      </c>
      <c r="BE29" s="110">
        <v>2710585.9</v>
      </c>
      <c r="BF29" s="110">
        <v>2300489.2400000002</v>
      </c>
      <c r="BG29" s="110">
        <v>1823161.4</v>
      </c>
      <c r="BH29" s="110">
        <v>477327.84</v>
      </c>
      <c r="BI29" s="110">
        <v>410096.66</v>
      </c>
      <c r="BJ29" s="110">
        <v>336454.79</v>
      </c>
      <c r="BK29" s="110">
        <v>73641.87</v>
      </c>
      <c r="BL29" s="110">
        <v>337135.2</v>
      </c>
      <c r="BM29" s="110">
        <v>277256.03999999998</v>
      </c>
      <c r="BN29" s="110">
        <v>245758</v>
      </c>
      <c r="BO29" s="110">
        <v>31498.04</v>
      </c>
      <c r="BP29" s="110">
        <v>59879.16</v>
      </c>
      <c r="BQ29" s="110">
        <v>50502.49</v>
      </c>
      <c r="BR29" s="110">
        <v>9376.67</v>
      </c>
      <c r="BS29" s="110">
        <v>120588.2</v>
      </c>
      <c r="BT29" s="110">
        <v>101676.7</v>
      </c>
      <c r="BU29" s="110">
        <v>86977.4</v>
      </c>
      <c r="BV29" s="110">
        <v>14699.3</v>
      </c>
      <c r="BW29" s="110">
        <v>18911.5</v>
      </c>
      <c r="BX29" s="110">
        <v>16585.3</v>
      </c>
      <c r="BY29" s="110">
        <v>2326.1999999999998</v>
      </c>
      <c r="BZ29" s="110">
        <v>1350770.5</v>
      </c>
      <c r="CA29" s="110">
        <v>1155952.5</v>
      </c>
      <c r="CB29" s="110">
        <v>1039915.5</v>
      </c>
      <c r="CC29" s="110">
        <v>116037</v>
      </c>
      <c r="CD29" s="110">
        <v>194818</v>
      </c>
      <c r="CE29" s="110">
        <v>167819</v>
      </c>
      <c r="CF29" s="110">
        <v>26999</v>
      </c>
      <c r="CG29" s="110">
        <v>902092</v>
      </c>
      <c r="CH29" s="110">
        <v>765604</v>
      </c>
      <c r="CI29" s="110">
        <v>450510.5</v>
      </c>
      <c r="CJ29" s="110">
        <v>315093.5</v>
      </c>
      <c r="CK29" s="110">
        <v>136488</v>
      </c>
      <c r="CL29" s="110">
        <v>101548</v>
      </c>
      <c r="CM29" s="110">
        <v>34940</v>
      </c>
      <c r="CN29" s="110">
        <v>387020.79</v>
      </c>
      <c r="CO29" s="110">
        <v>1991109.12</v>
      </c>
      <c r="CP29" s="110">
        <v>735941.89</v>
      </c>
      <c r="CQ29" s="110">
        <v>394980.76</v>
      </c>
      <c r="CR29" s="110">
        <v>2177941.13</v>
      </c>
      <c r="CS29" s="110">
        <v>0</v>
      </c>
      <c r="CT29" s="110">
        <v>467012.68</v>
      </c>
      <c r="CU29" s="110">
        <v>0</v>
      </c>
      <c r="CV29" s="111">
        <v>10202</v>
      </c>
      <c r="CW29" s="111">
        <v>9161</v>
      </c>
      <c r="CX29" s="111">
        <v>8162</v>
      </c>
      <c r="CY29" s="111">
        <v>999</v>
      </c>
      <c r="CZ29" s="111">
        <v>1041</v>
      </c>
      <c r="DA29" s="111">
        <v>313</v>
      </c>
      <c r="DB29" s="111">
        <v>728</v>
      </c>
      <c r="DC29" s="111">
        <v>5175</v>
      </c>
      <c r="DD29" s="111">
        <v>63</v>
      </c>
      <c r="DE29" s="111">
        <v>4718</v>
      </c>
      <c r="DF29" s="111">
        <v>4229</v>
      </c>
      <c r="DG29" s="111">
        <v>489</v>
      </c>
      <c r="DH29" s="111">
        <v>457</v>
      </c>
      <c r="DI29" s="111">
        <v>130</v>
      </c>
      <c r="DJ29" s="111">
        <v>327</v>
      </c>
      <c r="DK29" s="111">
        <v>1593</v>
      </c>
      <c r="DL29" s="111">
        <v>1442</v>
      </c>
      <c r="DM29" s="111">
        <v>1311</v>
      </c>
      <c r="DN29" s="111">
        <v>131</v>
      </c>
      <c r="DO29" s="111">
        <v>151</v>
      </c>
      <c r="DP29" s="111">
        <v>49</v>
      </c>
      <c r="DQ29" s="111">
        <v>102</v>
      </c>
      <c r="DR29" s="111">
        <v>2612</v>
      </c>
      <c r="DS29" s="111">
        <v>3</v>
      </c>
      <c r="DT29" s="111">
        <v>2267</v>
      </c>
      <c r="DU29" s="111">
        <v>1978</v>
      </c>
      <c r="DV29" s="111">
        <v>289</v>
      </c>
      <c r="DW29" s="111">
        <v>345</v>
      </c>
      <c r="DX29" s="111">
        <v>103</v>
      </c>
      <c r="DY29" s="111">
        <v>242</v>
      </c>
      <c r="DZ29" s="111">
        <v>756</v>
      </c>
      <c r="EA29" s="111">
        <v>680</v>
      </c>
      <c r="EB29" s="111">
        <v>594</v>
      </c>
      <c r="EC29" s="111">
        <v>86</v>
      </c>
      <c r="ED29" s="111">
        <v>76</v>
      </c>
      <c r="EE29" s="111">
        <v>31</v>
      </c>
      <c r="EF29" s="111">
        <v>45</v>
      </c>
      <c r="EG29" s="111">
        <v>258</v>
      </c>
      <c r="EH29" s="111">
        <v>218</v>
      </c>
      <c r="EI29" s="111">
        <v>187</v>
      </c>
      <c r="EJ29" s="111">
        <v>31</v>
      </c>
      <c r="EK29" s="111">
        <v>40</v>
      </c>
      <c r="EL29" s="111">
        <v>34</v>
      </c>
      <c r="EM29" s="111">
        <v>6</v>
      </c>
      <c r="EN29" s="111">
        <v>7</v>
      </c>
      <c r="EO29" s="111">
        <v>0</v>
      </c>
      <c r="EP29" s="111">
        <v>0</v>
      </c>
      <c r="EQ29" s="111">
        <v>7</v>
      </c>
      <c r="ER29" s="111">
        <v>0</v>
      </c>
      <c r="ES29" s="111">
        <v>0</v>
      </c>
      <c r="ET29" s="111">
        <v>0</v>
      </c>
      <c r="EU29" s="111">
        <v>0</v>
      </c>
      <c r="EV29" s="111">
        <v>0</v>
      </c>
      <c r="EW29" s="111">
        <v>0</v>
      </c>
      <c r="EX29" s="111">
        <v>0</v>
      </c>
      <c r="EY29" s="111">
        <v>0</v>
      </c>
      <c r="EZ29" s="111">
        <v>0</v>
      </c>
      <c r="FA29" s="111">
        <v>0</v>
      </c>
      <c r="FB29" s="111">
        <v>212</v>
      </c>
    </row>
    <row r="30" spans="1:158" ht="19.5" customHeight="1">
      <c r="A30" s="107">
        <v>27</v>
      </c>
      <c r="B30" s="107" t="s">
        <v>374</v>
      </c>
      <c r="C30" s="107" t="s">
        <v>378</v>
      </c>
      <c r="D30" s="110">
        <v>1780776</v>
      </c>
      <c r="E30" s="110">
        <v>1015728.5</v>
      </c>
      <c r="F30" s="110">
        <v>765047.5</v>
      </c>
      <c r="G30" s="110">
        <v>4011</v>
      </c>
      <c r="H30" s="110">
        <v>93</v>
      </c>
      <c r="I30" s="110">
        <v>10725</v>
      </c>
      <c r="J30" s="110">
        <v>0</v>
      </c>
      <c r="K30" s="110">
        <v>0</v>
      </c>
      <c r="L30" s="110">
        <v>13981</v>
      </c>
      <c r="M30" s="110">
        <v>7397</v>
      </c>
      <c r="N30" s="110">
        <v>0</v>
      </c>
      <c r="O30" s="110">
        <v>2872632.93</v>
      </c>
      <c r="P30" s="110">
        <v>2079466.45</v>
      </c>
      <c r="Q30" s="110">
        <v>1919661.19</v>
      </c>
      <c r="R30" s="110">
        <v>159805.26</v>
      </c>
      <c r="S30" s="110">
        <v>793166.48</v>
      </c>
      <c r="T30" s="110">
        <v>532783.82999999996</v>
      </c>
      <c r="U30" s="110">
        <v>260382.65</v>
      </c>
      <c r="V30" s="110">
        <v>1950007.37</v>
      </c>
      <c r="W30" s="110">
        <v>1690115.93</v>
      </c>
      <c r="X30" s="110">
        <v>1530557.17</v>
      </c>
      <c r="Y30" s="110">
        <v>159558.76</v>
      </c>
      <c r="Z30" s="110">
        <v>259891.44</v>
      </c>
      <c r="AA30" s="110">
        <v>74857.710000000006</v>
      </c>
      <c r="AB30" s="110">
        <v>185033.73</v>
      </c>
      <c r="AC30" s="110">
        <v>902802.35</v>
      </c>
      <c r="AD30" s="110">
        <v>786746.39</v>
      </c>
      <c r="AE30" s="110">
        <v>718458.25</v>
      </c>
      <c r="AF30" s="110">
        <v>68288.14</v>
      </c>
      <c r="AG30" s="110">
        <v>116055.96</v>
      </c>
      <c r="AH30" s="110">
        <v>35242.19</v>
      </c>
      <c r="AI30" s="110">
        <v>80813.77</v>
      </c>
      <c r="AJ30" s="110">
        <v>31476.52</v>
      </c>
      <c r="AK30" s="110">
        <v>28666.04</v>
      </c>
      <c r="AL30" s="110">
        <v>25798.42</v>
      </c>
      <c r="AM30" s="110">
        <v>2867.62</v>
      </c>
      <c r="AN30" s="110">
        <v>2810.48</v>
      </c>
      <c r="AO30" s="110">
        <v>554.52</v>
      </c>
      <c r="AP30" s="110">
        <v>2255.96</v>
      </c>
      <c r="AQ30" s="110">
        <v>711061.5</v>
      </c>
      <c r="AR30" s="110">
        <v>626252.5</v>
      </c>
      <c r="AS30" s="110">
        <v>570437.5</v>
      </c>
      <c r="AT30" s="110">
        <v>55815</v>
      </c>
      <c r="AU30" s="110">
        <v>84809</v>
      </c>
      <c r="AV30" s="110">
        <v>24125</v>
      </c>
      <c r="AW30" s="110">
        <v>60684</v>
      </c>
      <c r="AX30" s="110">
        <v>304667</v>
      </c>
      <c r="AY30" s="110">
        <v>248451</v>
      </c>
      <c r="AZ30" s="110">
        <v>215863</v>
      </c>
      <c r="BA30" s="110">
        <v>32588</v>
      </c>
      <c r="BB30" s="110">
        <v>56216</v>
      </c>
      <c r="BC30" s="110">
        <v>14936</v>
      </c>
      <c r="BD30" s="110">
        <v>41280</v>
      </c>
      <c r="BE30" s="110">
        <v>922625.56</v>
      </c>
      <c r="BF30" s="110">
        <v>389350.52</v>
      </c>
      <c r="BG30" s="110">
        <v>389104.02</v>
      </c>
      <c r="BH30" s="110">
        <v>246.5</v>
      </c>
      <c r="BI30" s="110">
        <v>533275.04</v>
      </c>
      <c r="BJ30" s="110">
        <v>457926.12</v>
      </c>
      <c r="BK30" s="110">
        <v>75348.92</v>
      </c>
      <c r="BL30" s="110">
        <v>119312.28</v>
      </c>
      <c r="BM30" s="110">
        <v>47641.96</v>
      </c>
      <c r="BN30" s="110">
        <v>47641.96</v>
      </c>
      <c r="BO30" s="110">
        <v>0</v>
      </c>
      <c r="BP30" s="110">
        <v>71670.320000000007</v>
      </c>
      <c r="BQ30" s="110">
        <v>66469</v>
      </c>
      <c r="BR30" s="110">
        <v>5201.32</v>
      </c>
      <c r="BS30" s="110">
        <v>38265.78</v>
      </c>
      <c r="BT30" s="110">
        <v>9617.56</v>
      </c>
      <c r="BU30" s="110">
        <v>9617.56</v>
      </c>
      <c r="BV30" s="110">
        <v>0</v>
      </c>
      <c r="BW30" s="110">
        <v>28648.22</v>
      </c>
      <c r="BX30" s="110">
        <v>27428.62</v>
      </c>
      <c r="BY30" s="110">
        <v>1219.5999999999999</v>
      </c>
      <c r="BZ30" s="110">
        <v>528813</v>
      </c>
      <c r="CA30" s="110">
        <v>221608.5</v>
      </c>
      <c r="CB30" s="110">
        <v>221438.5</v>
      </c>
      <c r="CC30" s="110">
        <v>170</v>
      </c>
      <c r="CD30" s="110">
        <v>307204.5</v>
      </c>
      <c r="CE30" s="110">
        <v>271386.5</v>
      </c>
      <c r="CF30" s="110">
        <v>35818</v>
      </c>
      <c r="CG30" s="110">
        <v>236234.5</v>
      </c>
      <c r="CH30" s="110">
        <v>110482.5</v>
      </c>
      <c r="CI30" s="110">
        <v>110406</v>
      </c>
      <c r="CJ30" s="110">
        <v>76.5</v>
      </c>
      <c r="CK30" s="110">
        <v>125752</v>
      </c>
      <c r="CL30" s="110">
        <v>92642</v>
      </c>
      <c r="CM30" s="110">
        <v>33110</v>
      </c>
      <c r="CN30" s="110">
        <v>337754.2</v>
      </c>
      <c r="CO30" s="110">
        <v>157699.51</v>
      </c>
      <c r="CP30" s="110">
        <v>961276.01</v>
      </c>
      <c r="CQ30" s="110">
        <v>30135.4</v>
      </c>
      <c r="CR30" s="110">
        <v>463092.25</v>
      </c>
      <c r="CS30" s="110">
        <v>0</v>
      </c>
      <c r="CT30" s="110">
        <v>37985.910000000003</v>
      </c>
      <c r="CU30" s="110">
        <v>0</v>
      </c>
      <c r="CV30" s="111">
        <v>4011</v>
      </c>
      <c r="CW30" s="111">
        <v>3448</v>
      </c>
      <c r="CX30" s="111">
        <v>3056</v>
      </c>
      <c r="CY30" s="111">
        <v>392</v>
      </c>
      <c r="CZ30" s="111">
        <v>563</v>
      </c>
      <c r="DA30" s="111">
        <v>163</v>
      </c>
      <c r="DB30" s="111">
        <v>400</v>
      </c>
      <c r="DC30" s="111">
        <v>658</v>
      </c>
      <c r="DD30" s="111">
        <v>7</v>
      </c>
      <c r="DE30" s="111">
        <v>593</v>
      </c>
      <c r="DF30" s="111">
        <v>535</v>
      </c>
      <c r="DG30" s="111">
        <v>58</v>
      </c>
      <c r="DH30" s="111">
        <v>65</v>
      </c>
      <c r="DI30" s="111">
        <v>22</v>
      </c>
      <c r="DJ30" s="111">
        <v>43</v>
      </c>
      <c r="DK30" s="111">
        <v>1961</v>
      </c>
      <c r="DL30" s="111">
        <v>1638</v>
      </c>
      <c r="DM30" s="111">
        <v>1443</v>
      </c>
      <c r="DN30" s="111">
        <v>195</v>
      </c>
      <c r="DO30" s="111">
        <v>323</v>
      </c>
      <c r="DP30" s="111">
        <v>97</v>
      </c>
      <c r="DQ30" s="111">
        <v>226</v>
      </c>
      <c r="DR30" s="111">
        <v>700</v>
      </c>
      <c r="DS30" s="111">
        <v>0</v>
      </c>
      <c r="DT30" s="111">
        <v>595</v>
      </c>
      <c r="DU30" s="111">
        <v>536</v>
      </c>
      <c r="DV30" s="111">
        <v>59</v>
      </c>
      <c r="DW30" s="111">
        <v>105</v>
      </c>
      <c r="DX30" s="111">
        <v>23</v>
      </c>
      <c r="DY30" s="111">
        <v>82</v>
      </c>
      <c r="DZ30" s="111">
        <v>685</v>
      </c>
      <c r="EA30" s="111">
        <v>621</v>
      </c>
      <c r="EB30" s="111">
        <v>541</v>
      </c>
      <c r="EC30" s="111">
        <v>80</v>
      </c>
      <c r="ED30" s="111">
        <v>64</v>
      </c>
      <c r="EE30" s="111">
        <v>20</v>
      </c>
      <c r="EF30" s="111">
        <v>44</v>
      </c>
      <c r="EG30" s="111">
        <v>93</v>
      </c>
      <c r="EH30" s="111">
        <v>41</v>
      </c>
      <c r="EI30" s="111">
        <v>40</v>
      </c>
      <c r="EJ30" s="111">
        <v>1</v>
      </c>
      <c r="EK30" s="111">
        <v>52</v>
      </c>
      <c r="EL30" s="111">
        <v>46</v>
      </c>
      <c r="EM30" s="111">
        <v>6</v>
      </c>
      <c r="EN30" s="111">
        <v>3</v>
      </c>
      <c r="EO30" s="111">
        <v>0</v>
      </c>
      <c r="EP30" s="111">
        <v>0</v>
      </c>
      <c r="EQ30" s="111">
        <v>3</v>
      </c>
      <c r="ER30" s="111">
        <v>0</v>
      </c>
      <c r="ES30" s="111">
        <v>0</v>
      </c>
      <c r="ET30" s="111">
        <v>0</v>
      </c>
      <c r="EU30" s="111">
        <v>0</v>
      </c>
      <c r="EV30" s="111">
        <v>0</v>
      </c>
      <c r="EW30" s="111">
        <v>0</v>
      </c>
      <c r="EX30" s="111">
        <v>0</v>
      </c>
      <c r="EY30" s="111">
        <v>0</v>
      </c>
      <c r="EZ30" s="111">
        <v>0</v>
      </c>
      <c r="FA30" s="111">
        <v>0</v>
      </c>
      <c r="FB30" s="111">
        <v>18</v>
      </c>
    </row>
    <row r="31" spans="1:158" ht="19.5" customHeight="1">
      <c r="A31" s="107">
        <v>28</v>
      </c>
      <c r="B31" s="107" t="s">
        <v>374</v>
      </c>
      <c r="C31" s="107" t="s">
        <v>379</v>
      </c>
      <c r="D31" s="110">
        <v>3125938</v>
      </c>
      <c r="E31" s="110">
        <v>1114598</v>
      </c>
      <c r="F31" s="110">
        <v>2011340</v>
      </c>
      <c r="G31" s="110">
        <v>4446</v>
      </c>
      <c r="H31" s="110">
        <v>204</v>
      </c>
      <c r="I31" s="110">
        <v>18181</v>
      </c>
      <c r="J31" s="110">
        <v>0</v>
      </c>
      <c r="K31" s="110">
        <v>6056.3</v>
      </c>
      <c r="L31" s="110">
        <v>302055</v>
      </c>
      <c r="M31" s="110">
        <v>0</v>
      </c>
      <c r="N31" s="110">
        <v>4464.8100000000004</v>
      </c>
      <c r="O31" s="110">
        <v>7192456.6500000004</v>
      </c>
      <c r="P31" s="110">
        <v>2496613.79</v>
      </c>
      <c r="Q31" s="110">
        <v>2282181.38</v>
      </c>
      <c r="R31" s="110">
        <v>214432.41</v>
      </c>
      <c r="S31" s="110">
        <v>4695842.8600000003</v>
      </c>
      <c r="T31" s="110">
        <v>4092047.23</v>
      </c>
      <c r="U31" s="110">
        <v>603795.63</v>
      </c>
      <c r="V31" s="110">
        <v>2178773.29</v>
      </c>
      <c r="W31" s="110">
        <v>1487478.18</v>
      </c>
      <c r="X31" s="110">
        <v>1336752.3999999999</v>
      </c>
      <c r="Y31" s="110">
        <v>150725.78</v>
      </c>
      <c r="Z31" s="110">
        <v>691295.11</v>
      </c>
      <c r="AA31" s="110">
        <v>339794.86</v>
      </c>
      <c r="AB31" s="110">
        <v>351500.25</v>
      </c>
      <c r="AC31" s="110">
        <v>981285.39</v>
      </c>
      <c r="AD31" s="110">
        <v>750520.22</v>
      </c>
      <c r="AE31" s="110">
        <v>685563.94</v>
      </c>
      <c r="AF31" s="110">
        <v>64956.28</v>
      </c>
      <c r="AG31" s="110">
        <v>230765.17</v>
      </c>
      <c r="AH31" s="110">
        <v>121604.42</v>
      </c>
      <c r="AI31" s="110">
        <v>109160.75</v>
      </c>
      <c r="AJ31" s="110">
        <v>82889.899999999994</v>
      </c>
      <c r="AK31" s="110">
        <v>54878.96</v>
      </c>
      <c r="AL31" s="110">
        <v>49430.46</v>
      </c>
      <c r="AM31" s="110">
        <v>5448.5</v>
      </c>
      <c r="AN31" s="110">
        <v>28010.94</v>
      </c>
      <c r="AO31" s="110">
        <v>19564.439999999999</v>
      </c>
      <c r="AP31" s="110">
        <v>8446.5</v>
      </c>
      <c r="AQ31" s="110">
        <v>865025</v>
      </c>
      <c r="AR31" s="110">
        <v>511668</v>
      </c>
      <c r="AS31" s="110">
        <v>455110</v>
      </c>
      <c r="AT31" s="110">
        <v>56558</v>
      </c>
      <c r="AU31" s="110">
        <v>353357</v>
      </c>
      <c r="AV31" s="110">
        <v>167010</v>
      </c>
      <c r="AW31" s="110">
        <v>186347</v>
      </c>
      <c r="AX31" s="110">
        <v>249573</v>
      </c>
      <c r="AY31" s="110">
        <v>170411</v>
      </c>
      <c r="AZ31" s="110">
        <v>146648</v>
      </c>
      <c r="BA31" s="110">
        <v>23763</v>
      </c>
      <c r="BB31" s="110">
        <v>79162</v>
      </c>
      <c r="BC31" s="110">
        <v>31616</v>
      </c>
      <c r="BD31" s="110">
        <v>47546</v>
      </c>
      <c r="BE31" s="110">
        <v>5013683.3600000003</v>
      </c>
      <c r="BF31" s="110">
        <v>1009135.61</v>
      </c>
      <c r="BG31" s="110">
        <v>945428.98</v>
      </c>
      <c r="BH31" s="110">
        <v>63706.63</v>
      </c>
      <c r="BI31" s="110">
        <v>4004547.75</v>
      </c>
      <c r="BJ31" s="110">
        <v>3752252.37</v>
      </c>
      <c r="BK31" s="110">
        <v>252295.38</v>
      </c>
      <c r="BL31" s="110">
        <v>2824013.65</v>
      </c>
      <c r="BM31" s="110">
        <v>589221.88</v>
      </c>
      <c r="BN31" s="110">
        <v>579647.43999999994</v>
      </c>
      <c r="BO31" s="110">
        <v>9574.44</v>
      </c>
      <c r="BP31" s="110">
        <v>2234791.77</v>
      </c>
      <c r="BQ31" s="110">
        <v>2093322.04</v>
      </c>
      <c r="BR31" s="110">
        <v>141469.73000000001</v>
      </c>
      <c r="BS31" s="110">
        <v>178329.71</v>
      </c>
      <c r="BT31" s="110">
        <v>29091.73</v>
      </c>
      <c r="BU31" s="110">
        <v>26352.54</v>
      </c>
      <c r="BV31" s="110">
        <v>2739.19</v>
      </c>
      <c r="BW31" s="110">
        <v>149237.98000000001</v>
      </c>
      <c r="BX31" s="110">
        <v>140074.32999999999</v>
      </c>
      <c r="BY31" s="110">
        <v>9163.65</v>
      </c>
      <c r="BZ31" s="110">
        <v>1079181</v>
      </c>
      <c r="CA31" s="110">
        <v>238879</v>
      </c>
      <c r="CB31" s="110">
        <v>219601</v>
      </c>
      <c r="CC31" s="110">
        <v>19278</v>
      </c>
      <c r="CD31" s="110">
        <v>840302</v>
      </c>
      <c r="CE31" s="110">
        <v>793692</v>
      </c>
      <c r="CF31" s="110">
        <v>46610</v>
      </c>
      <c r="CG31" s="110">
        <v>932159</v>
      </c>
      <c r="CH31" s="110">
        <v>151943</v>
      </c>
      <c r="CI31" s="110">
        <v>119828</v>
      </c>
      <c r="CJ31" s="110">
        <v>32115</v>
      </c>
      <c r="CK31" s="110">
        <v>780216</v>
      </c>
      <c r="CL31" s="110">
        <v>725164</v>
      </c>
      <c r="CM31" s="110">
        <v>55052</v>
      </c>
      <c r="CN31" s="110">
        <v>234840.92</v>
      </c>
      <c r="CO31" s="110">
        <v>644939.67000000004</v>
      </c>
      <c r="CP31" s="110">
        <v>757733.82</v>
      </c>
      <c r="CQ31" s="110">
        <v>221371.06</v>
      </c>
      <c r="CR31" s="110">
        <v>319912.82</v>
      </c>
      <c r="CS31" s="110">
        <v>0</v>
      </c>
      <c r="CT31" s="110">
        <v>121114.74</v>
      </c>
      <c r="CU31" s="110">
        <v>0</v>
      </c>
      <c r="CV31" s="111">
        <v>4446</v>
      </c>
      <c r="CW31" s="111">
        <v>3518</v>
      </c>
      <c r="CX31" s="111">
        <v>3106</v>
      </c>
      <c r="CY31" s="111">
        <v>412</v>
      </c>
      <c r="CZ31" s="111">
        <v>928</v>
      </c>
      <c r="DA31" s="111">
        <v>410</v>
      </c>
      <c r="DB31" s="111">
        <v>518</v>
      </c>
      <c r="DC31" s="111">
        <v>2003</v>
      </c>
      <c r="DD31" s="111">
        <v>6</v>
      </c>
      <c r="DE31" s="111">
        <v>1634</v>
      </c>
      <c r="DF31" s="111">
        <v>1470</v>
      </c>
      <c r="DG31" s="111">
        <v>164</v>
      </c>
      <c r="DH31" s="111">
        <v>369</v>
      </c>
      <c r="DI31" s="111">
        <v>169</v>
      </c>
      <c r="DJ31" s="111">
        <v>200</v>
      </c>
      <c r="DK31" s="111">
        <v>1376</v>
      </c>
      <c r="DL31" s="111">
        <v>1009</v>
      </c>
      <c r="DM31" s="111">
        <v>878</v>
      </c>
      <c r="DN31" s="111">
        <v>131</v>
      </c>
      <c r="DO31" s="111">
        <v>367</v>
      </c>
      <c r="DP31" s="111">
        <v>175</v>
      </c>
      <c r="DQ31" s="111">
        <v>192</v>
      </c>
      <c r="DR31" s="111">
        <v>376</v>
      </c>
      <c r="DS31" s="111">
        <v>0</v>
      </c>
      <c r="DT31" s="111">
        <v>252</v>
      </c>
      <c r="DU31" s="111">
        <v>221</v>
      </c>
      <c r="DV31" s="111">
        <v>31</v>
      </c>
      <c r="DW31" s="111">
        <v>124</v>
      </c>
      <c r="DX31" s="111">
        <v>46</v>
      </c>
      <c r="DY31" s="111">
        <v>78</v>
      </c>
      <c r="DZ31" s="111">
        <v>685</v>
      </c>
      <c r="EA31" s="111">
        <v>620</v>
      </c>
      <c r="EB31" s="111">
        <v>535</v>
      </c>
      <c r="EC31" s="111">
        <v>85</v>
      </c>
      <c r="ED31" s="111">
        <v>65</v>
      </c>
      <c r="EE31" s="111">
        <v>20</v>
      </c>
      <c r="EF31" s="111">
        <v>45</v>
      </c>
      <c r="EG31" s="111">
        <v>204</v>
      </c>
      <c r="EH31" s="111">
        <v>43</v>
      </c>
      <c r="EI31" s="111">
        <v>38</v>
      </c>
      <c r="EJ31" s="111">
        <v>5</v>
      </c>
      <c r="EK31" s="111">
        <v>161</v>
      </c>
      <c r="EL31" s="111">
        <v>145</v>
      </c>
      <c r="EM31" s="111">
        <v>16</v>
      </c>
      <c r="EN31" s="111">
        <v>168</v>
      </c>
      <c r="EO31" s="111">
        <v>0</v>
      </c>
      <c r="EP31" s="111">
        <v>0</v>
      </c>
      <c r="EQ31" s="111">
        <v>168</v>
      </c>
      <c r="ER31" s="111">
        <v>0</v>
      </c>
      <c r="ES31" s="111">
        <v>0</v>
      </c>
      <c r="ET31" s="111">
        <v>0</v>
      </c>
      <c r="EU31" s="111">
        <v>0</v>
      </c>
      <c r="EV31" s="111">
        <v>0</v>
      </c>
      <c r="EW31" s="111">
        <v>0</v>
      </c>
      <c r="EX31" s="111">
        <v>0</v>
      </c>
      <c r="EY31" s="111">
        <v>0</v>
      </c>
      <c r="EZ31" s="111">
        <v>0</v>
      </c>
      <c r="FA31" s="111">
        <v>0</v>
      </c>
      <c r="FB31" s="111">
        <v>14</v>
      </c>
    </row>
    <row r="32" spans="1:158" ht="19.5" customHeight="1">
      <c r="A32" s="107">
        <v>29</v>
      </c>
      <c r="B32" s="107" t="s">
        <v>374</v>
      </c>
      <c r="C32" s="107" t="s">
        <v>380</v>
      </c>
      <c r="D32" s="110">
        <v>4203712.5</v>
      </c>
      <c r="E32" s="110">
        <v>3462507</v>
      </c>
      <c r="F32" s="110">
        <v>741205.5</v>
      </c>
      <c r="G32" s="110">
        <v>6346</v>
      </c>
      <c r="H32" s="110">
        <v>142</v>
      </c>
      <c r="I32" s="110">
        <v>8020</v>
      </c>
      <c r="J32" s="110">
        <v>0</v>
      </c>
      <c r="K32" s="110">
        <v>9431.98</v>
      </c>
      <c r="L32" s="110">
        <v>11324.5</v>
      </c>
      <c r="M32" s="110">
        <v>0</v>
      </c>
      <c r="N32" s="110">
        <v>0</v>
      </c>
      <c r="O32" s="110">
        <v>7833513.5300000003</v>
      </c>
      <c r="P32" s="110">
        <v>5532705.4199999999</v>
      </c>
      <c r="Q32" s="110">
        <v>4797223.1500000004</v>
      </c>
      <c r="R32" s="110">
        <v>735482.27</v>
      </c>
      <c r="S32" s="110">
        <v>2300808.11</v>
      </c>
      <c r="T32" s="110">
        <v>612407.43000000005</v>
      </c>
      <c r="U32" s="110">
        <v>1688400.68</v>
      </c>
      <c r="V32" s="110">
        <v>6621460.8200000003</v>
      </c>
      <c r="W32" s="110">
        <v>5086116.6100000003</v>
      </c>
      <c r="X32" s="110">
        <v>4667653.6900000004</v>
      </c>
      <c r="Y32" s="110">
        <v>418462.92</v>
      </c>
      <c r="Z32" s="110">
        <v>1535344.21</v>
      </c>
      <c r="AA32" s="110">
        <v>328748.33</v>
      </c>
      <c r="AB32" s="110">
        <v>1206595.8799999999</v>
      </c>
      <c r="AC32" s="110">
        <v>3148400.26</v>
      </c>
      <c r="AD32" s="110">
        <v>2894308.37</v>
      </c>
      <c r="AE32" s="110">
        <v>2815579.13</v>
      </c>
      <c r="AF32" s="110">
        <v>78729.240000000005</v>
      </c>
      <c r="AG32" s="110">
        <v>254091.89</v>
      </c>
      <c r="AH32" s="110">
        <v>66881.350000000006</v>
      </c>
      <c r="AI32" s="110">
        <v>187210.54</v>
      </c>
      <c r="AJ32" s="110">
        <v>10553.56</v>
      </c>
      <c r="AK32" s="110">
        <v>9245.24</v>
      </c>
      <c r="AL32" s="110">
        <v>8569.56</v>
      </c>
      <c r="AM32" s="110">
        <v>675.68</v>
      </c>
      <c r="AN32" s="110">
        <v>1308.32</v>
      </c>
      <c r="AO32" s="110">
        <v>526.98</v>
      </c>
      <c r="AP32" s="110">
        <v>781.34</v>
      </c>
      <c r="AQ32" s="110">
        <v>2599127</v>
      </c>
      <c r="AR32" s="110">
        <v>1617498</v>
      </c>
      <c r="AS32" s="110">
        <v>1363957</v>
      </c>
      <c r="AT32" s="110">
        <v>253541</v>
      </c>
      <c r="AU32" s="110">
        <v>981629</v>
      </c>
      <c r="AV32" s="110">
        <v>184796</v>
      </c>
      <c r="AW32" s="110">
        <v>796833</v>
      </c>
      <c r="AX32" s="110">
        <v>863380</v>
      </c>
      <c r="AY32" s="110">
        <v>565065</v>
      </c>
      <c r="AZ32" s="110">
        <v>479548</v>
      </c>
      <c r="BA32" s="110">
        <v>85517</v>
      </c>
      <c r="BB32" s="110">
        <v>298315</v>
      </c>
      <c r="BC32" s="110">
        <v>76544</v>
      </c>
      <c r="BD32" s="110">
        <v>221771</v>
      </c>
      <c r="BE32" s="110">
        <v>1212052.71</v>
      </c>
      <c r="BF32" s="110">
        <v>446588.81</v>
      </c>
      <c r="BG32" s="110">
        <v>129569.46</v>
      </c>
      <c r="BH32" s="110">
        <v>317019.34999999998</v>
      </c>
      <c r="BI32" s="110">
        <v>765463.9</v>
      </c>
      <c r="BJ32" s="110">
        <v>283659.09999999998</v>
      </c>
      <c r="BK32" s="110">
        <v>481804.79999999999</v>
      </c>
      <c r="BL32" s="110">
        <v>455076.39</v>
      </c>
      <c r="BM32" s="110">
        <v>144941.32</v>
      </c>
      <c r="BN32" s="110">
        <v>3783.15</v>
      </c>
      <c r="BO32" s="110">
        <v>141158.17000000001</v>
      </c>
      <c r="BP32" s="110">
        <v>310135.07</v>
      </c>
      <c r="BQ32" s="110">
        <v>60959.77</v>
      </c>
      <c r="BR32" s="110">
        <v>249175.3</v>
      </c>
      <c r="BS32" s="110">
        <v>15770.82</v>
      </c>
      <c r="BT32" s="110">
        <v>6300.99</v>
      </c>
      <c r="BU32" s="110">
        <v>3181.81</v>
      </c>
      <c r="BV32" s="110">
        <v>3119.18</v>
      </c>
      <c r="BW32" s="110">
        <v>9469.83</v>
      </c>
      <c r="BX32" s="110">
        <v>4952.83</v>
      </c>
      <c r="BY32" s="110">
        <v>4517</v>
      </c>
      <c r="BZ32" s="110">
        <v>502447</v>
      </c>
      <c r="CA32" s="110">
        <v>217640</v>
      </c>
      <c r="CB32" s="110">
        <v>93677</v>
      </c>
      <c r="CC32" s="110">
        <v>123963</v>
      </c>
      <c r="CD32" s="110">
        <v>284807</v>
      </c>
      <c r="CE32" s="110">
        <v>159883</v>
      </c>
      <c r="CF32" s="110">
        <v>124924</v>
      </c>
      <c r="CG32" s="110">
        <v>238758.5</v>
      </c>
      <c r="CH32" s="110">
        <v>77706.5</v>
      </c>
      <c r="CI32" s="110">
        <v>28927.5</v>
      </c>
      <c r="CJ32" s="110">
        <v>48779</v>
      </c>
      <c r="CK32" s="110">
        <v>161052</v>
      </c>
      <c r="CL32" s="110">
        <v>57863.5</v>
      </c>
      <c r="CM32" s="110">
        <v>103188.5</v>
      </c>
      <c r="CN32" s="110">
        <v>332540.78000000003</v>
      </c>
      <c r="CO32" s="110">
        <v>1465238.16</v>
      </c>
      <c r="CP32" s="110">
        <v>2395153.34</v>
      </c>
      <c r="CQ32" s="110">
        <v>84379.9</v>
      </c>
      <c r="CR32" s="110">
        <v>2344148.64</v>
      </c>
      <c r="CS32" s="110">
        <v>0</v>
      </c>
      <c r="CT32" s="110">
        <v>254353.84</v>
      </c>
      <c r="CU32" s="110">
        <v>0</v>
      </c>
      <c r="CV32" s="111">
        <v>6346</v>
      </c>
      <c r="CW32" s="111">
        <v>4570</v>
      </c>
      <c r="CX32" s="111">
        <v>3899</v>
      </c>
      <c r="CY32" s="111">
        <v>671</v>
      </c>
      <c r="CZ32" s="111">
        <v>1776</v>
      </c>
      <c r="DA32" s="111">
        <v>388</v>
      </c>
      <c r="DB32" s="111">
        <v>1388</v>
      </c>
      <c r="DC32" s="111">
        <v>1014</v>
      </c>
      <c r="DD32" s="111">
        <v>17</v>
      </c>
      <c r="DE32" s="111">
        <v>805</v>
      </c>
      <c r="DF32" s="111">
        <v>670</v>
      </c>
      <c r="DG32" s="111">
        <v>135</v>
      </c>
      <c r="DH32" s="111">
        <v>209</v>
      </c>
      <c r="DI32" s="111">
        <v>14</v>
      </c>
      <c r="DJ32" s="111">
        <v>195</v>
      </c>
      <c r="DK32" s="111">
        <v>2461</v>
      </c>
      <c r="DL32" s="111">
        <v>1677</v>
      </c>
      <c r="DM32" s="111">
        <v>1417</v>
      </c>
      <c r="DN32" s="111">
        <v>260</v>
      </c>
      <c r="DO32" s="111">
        <v>784</v>
      </c>
      <c r="DP32" s="111">
        <v>155</v>
      </c>
      <c r="DQ32" s="111">
        <v>629</v>
      </c>
      <c r="DR32" s="111">
        <v>2144</v>
      </c>
      <c r="DS32" s="111">
        <v>0</v>
      </c>
      <c r="DT32" s="111">
        <v>1452</v>
      </c>
      <c r="DU32" s="111">
        <v>1252</v>
      </c>
      <c r="DV32" s="111">
        <v>200</v>
      </c>
      <c r="DW32" s="111">
        <v>692</v>
      </c>
      <c r="DX32" s="111">
        <v>189</v>
      </c>
      <c r="DY32" s="111">
        <v>503</v>
      </c>
      <c r="DZ32" s="111">
        <v>710</v>
      </c>
      <c r="EA32" s="111">
        <v>621</v>
      </c>
      <c r="EB32" s="111">
        <v>547</v>
      </c>
      <c r="EC32" s="111">
        <v>74</v>
      </c>
      <c r="ED32" s="111">
        <v>89</v>
      </c>
      <c r="EE32" s="111">
        <v>30</v>
      </c>
      <c r="EF32" s="111">
        <v>59</v>
      </c>
      <c r="EG32" s="111">
        <v>142</v>
      </c>
      <c r="EH32" s="111">
        <v>52</v>
      </c>
      <c r="EI32" s="111">
        <v>23</v>
      </c>
      <c r="EJ32" s="111">
        <v>29</v>
      </c>
      <c r="EK32" s="111">
        <v>90</v>
      </c>
      <c r="EL32" s="111">
        <v>35</v>
      </c>
      <c r="EM32" s="111">
        <v>55</v>
      </c>
      <c r="EN32" s="111">
        <v>0</v>
      </c>
      <c r="EO32" s="111">
        <v>0</v>
      </c>
      <c r="EP32" s="111">
        <v>0</v>
      </c>
      <c r="EQ32" s="111">
        <v>0</v>
      </c>
      <c r="ER32" s="111">
        <v>0</v>
      </c>
      <c r="ES32" s="111">
        <v>0</v>
      </c>
      <c r="ET32" s="111">
        <v>0</v>
      </c>
      <c r="EU32" s="111">
        <v>0</v>
      </c>
      <c r="EV32" s="111">
        <v>0</v>
      </c>
      <c r="EW32" s="111">
        <v>0</v>
      </c>
      <c r="EX32" s="111">
        <v>0</v>
      </c>
      <c r="EY32" s="111">
        <v>0</v>
      </c>
      <c r="EZ32" s="111">
        <v>0</v>
      </c>
      <c r="FA32" s="111">
        <v>0</v>
      </c>
      <c r="FB32" s="111">
        <v>21</v>
      </c>
    </row>
    <row r="33" spans="1:158" ht="19.5" customHeight="1">
      <c r="A33" s="107">
        <v>30</v>
      </c>
      <c r="B33" s="107" t="s">
        <v>374</v>
      </c>
      <c r="C33" s="107" t="s">
        <v>381</v>
      </c>
      <c r="D33" s="110">
        <v>5963686.75</v>
      </c>
      <c r="E33" s="110">
        <v>1856872</v>
      </c>
      <c r="F33" s="110">
        <v>4106814.75</v>
      </c>
      <c r="G33" s="110">
        <v>7691</v>
      </c>
      <c r="H33" s="110">
        <v>274</v>
      </c>
      <c r="I33" s="110">
        <v>28675</v>
      </c>
      <c r="J33" s="110">
        <v>0</v>
      </c>
      <c r="K33" s="110">
        <v>0</v>
      </c>
      <c r="L33" s="110">
        <v>488505</v>
      </c>
      <c r="M33" s="110">
        <v>79031</v>
      </c>
      <c r="N33" s="110">
        <v>0</v>
      </c>
      <c r="O33" s="110">
        <v>8169250.4500000002</v>
      </c>
      <c r="P33" s="110">
        <v>5812175.3200000003</v>
      </c>
      <c r="Q33" s="110">
        <v>3457594.23</v>
      </c>
      <c r="R33" s="110">
        <v>2354581.09</v>
      </c>
      <c r="S33" s="110">
        <v>2357075.13</v>
      </c>
      <c r="T33" s="110">
        <v>1399258.59</v>
      </c>
      <c r="U33" s="110">
        <v>957816.54</v>
      </c>
      <c r="V33" s="110">
        <v>3323672.75</v>
      </c>
      <c r="W33" s="110">
        <v>3073599.7</v>
      </c>
      <c r="X33" s="110">
        <v>2669394.09</v>
      </c>
      <c r="Y33" s="110">
        <v>404205.61</v>
      </c>
      <c r="Z33" s="110">
        <v>250073.05</v>
      </c>
      <c r="AA33" s="110">
        <v>70891.289999999994</v>
      </c>
      <c r="AB33" s="110">
        <v>179181.76</v>
      </c>
      <c r="AC33" s="110">
        <v>1380370.09</v>
      </c>
      <c r="AD33" s="110">
        <v>1298017.52</v>
      </c>
      <c r="AE33" s="110">
        <v>1163115.99</v>
      </c>
      <c r="AF33" s="110">
        <v>134901.53</v>
      </c>
      <c r="AG33" s="110">
        <v>82352.570000000007</v>
      </c>
      <c r="AH33" s="110">
        <v>19613.61</v>
      </c>
      <c r="AI33" s="110">
        <v>62738.96</v>
      </c>
      <c r="AJ33" s="110">
        <v>86430.66</v>
      </c>
      <c r="AK33" s="110">
        <v>80554.179999999993</v>
      </c>
      <c r="AL33" s="110">
        <v>72631.100000000006</v>
      </c>
      <c r="AM33" s="110">
        <v>7923.08</v>
      </c>
      <c r="AN33" s="110">
        <v>5876.48</v>
      </c>
      <c r="AO33" s="110">
        <v>1603.68</v>
      </c>
      <c r="AP33" s="110">
        <v>4272.8</v>
      </c>
      <c r="AQ33" s="110">
        <v>1351672</v>
      </c>
      <c r="AR33" s="110">
        <v>1242570</v>
      </c>
      <c r="AS33" s="110">
        <v>1081730</v>
      </c>
      <c r="AT33" s="110">
        <v>160840</v>
      </c>
      <c r="AU33" s="110">
        <v>109102</v>
      </c>
      <c r="AV33" s="110">
        <v>32234</v>
      </c>
      <c r="AW33" s="110">
        <v>76868</v>
      </c>
      <c r="AX33" s="110">
        <v>505200</v>
      </c>
      <c r="AY33" s="110">
        <v>452458</v>
      </c>
      <c r="AZ33" s="110">
        <v>351917</v>
      </c>
      <c r="BA33" s="110">
        <v>100541</v>
      </c>
      <c r="BB33" s="110">
        <v>52742</v>
      </c>
      <c r="BC33" s="110">
        <v>17440</v>
      </c>
      <c r="BD33" s="110">
        <v>35302</v>
      </c>
      <c r="BE33" s="110">
        <v>4845577.7</v>
      </c>
      <c r="BF33" s="110">
        <v>2738575.62</v>
      </c>
      <c r="BG33" s="110">
        <v>788200.14</v>
      </c>
      <c r="BH33" s="110">
        <v>1950375.48</v>
      </c>
      <c r="BI33" s="110">
        <v>2107002.08</v>
      </c>
      <c r="BJ33" s="110">
        <v>1328367.3</v>
      </c>
      <c r="BK33" s="110">
        <v>778634.78</v>
      </c>
      <c r="BL33" s="110">
        <v>450129.95</v>
      </c>
      <c r="BM33" s="110">
        <v>185118.83</v>
      </c>
      <c r="BN33" s="110">
        <v>56589.89</v>
      </c>
      <c r="BO33" s="110">
        <v>128528.94</v>
      </c>
      <c r="BP33" s="110">
        <v>265011.12</v>
      </c>
      <c r="BQ33" s="110">
        <v>185750.83</v>
      </c>
      <c r="BR33" s="110">
        <v>79260.289999999994</v>
      </c>
      <c r="BS33" s="110">
        <v>288633</v>
      </c>
      <c r="BT33" s="110">
        <v>119242.04</v>
      </c>
      <c r="BU33" s="110">
        <v>42688</v>
      </c>
      <c r="BV33" s="110">
        <v>76554.039999999994</v>
      </c>
      <c r="BW33" s="110">
        <v>169390.96</v>
      </c>
      <c r="BX33" s="110">
        <v>122865.47</v>
      </c>
      <c r="BY33" s="110">
        <v>46525.49</v>
      </c>
      <c r="BZ33" s="110">
        <v>1786645</v>
      </c>
      <c r="CA33" s="110">
        <v>1082471</v>
      </c>
      <c r="CB33" s="110">
        <v>383486</v>
      </c>
      <c r="CC33" s="110">
        <v>698985</v>
      </c>
      <c r="CD33" s="110">
        <v>704174</v>
      </c>
      <c r="CE33" s="110">
        <v>448917.5</v>
      </c>
      <c r="CF33" s="110">
        <v>255256.5</v>
      </c>
      <c r="CG33" s="110">
        <v>2320169.75</v>
      </c>
      <c r="CH33" s="110">
        <v>1351743.75</v>
      </c>
      <c r="CI33" s="110">
        <v>305436.25</v>
      </c>
      <c r="CJ33" s="110">
        <v>1046307.5</v>
      </c>
      <c r="CK33" s="110">
        <v>968426</v>
      </c>
      <c r="CL33" s="110">
        <v>570833.5</v>
      </c>
      <c r="CM33" s="110">
        <v>397592.5</v>
      </c>
      <c r="CN33" s="110">
        <v>749459.56</v>
      </c>
      <c r="CO33" s="110">
        <v>952709.72</v>
      </c>
      <c r="CP33" s="110">
        <v>880254.66</v>
      </c>
      <c r="CQ33" s="110">
        <v>792.75</v>
      </c>
      <c r="CR33" s="110">
        <v>722762.32</v>
      </c>
      <c r="CS33" s="110">
        <v>17177.740000000002</v>
      </c>
      <c r="CT33" s="110">
        <v>766905.7</v>
      </c>
      <c r="CU33" s="110">
        <v>0</v>
      </c>
      <c r="CV33" s="111">
        <v>7691</v>
      </c>
      <c r="CW33" s="111">
        <v>6998</v>
      </c>
      <c r="CX33" s="111">
        <v>5900</v>
      </c>
      <c r="CY33" s="111">
        <v>1098</v>
      </c>
      <c r="CZ33" s="111">
        <v>693</v>
      </c>
      <c r="DA33" s="111">
        <v>175</v>
      </c>
      <c r="DB33" s="111">
        <v>518</v>
      </c>
      <c r="DC33" s="111">
        <v>2481</v>
      </c>
      <c r="DD33" s="111">
        <v>331</v>
      </c>
      <c r="DE33" s="111">
        <v>2310</v>
      </c>
      <c r="DF33" s="111">
        <v>2054</v>
      </c>
      <c r="DG33" s="111">
        <v>256</v>
      </c>
      <c r="DH33" s="111">
        <v>171</v>
      </c>
      <c r="DI33" s="111">
        <v>45</v>
      </c>
      <c r="DJ33" s="111">
        <v>126</v>
      </c>
      <c r="DK33" s="111">
        <v>1826</v>
      </c>
      <c r="DL33" s="111">
        <v>1674</v>
      </c>
      <c r="DM33" s="111">
        <v>1412</v>
      </c>
      <c r="DN33" s="111">
        <v>262</v>
      </c>
      <c r="DO33" s="111">
        <v>152</v>
      </c>
      <c r="DP33" s="111">
        <v>41</v>
      </c>
      <c r="DQ33" s="111">
        <v>111</v>
      </c>
      <c r="DR33" s="111">
        <v>1126</v>
      </c>
      <c r="DS33" s="111">
        <v>22</v>
      </c>
      <c r="DT33" s="111">
        <v>1018</v>
      </c>
      <c r="DU33" s="111">
        <v>779</v>
      </c>
      <c r="DV33" s="111">
        <v>239</v>
      </c>
      <c r="DW33" s="111">
        <v>108</v>
      </c>
      <c r="DX33" s="111">
        <v>37</v>
      </c>
      <c r="DY33" s="111">
        <v>71</v>
      </c>
      <c r="DZ33" s="111">
        <v>1905</v>
      </c>
      <c r="EA33" s="111">
        <v>1706</v>
      </c>
      <c r="EB33" s="111">
        <v>1492</v>
      </c>
      <c r="EC33" s="111">
        <v>214</v>
      </c>
      <c r="ED33" s="111">
        <v>199</v>
      </c>
      <c r="EE33" s="111">
        <v>52</v>
      </c>
      <c r="EF33" s="111">
        <v>147</v>
      </c>
      <c r="EG33" s="111">
        <v>274</v>
      </c>
      <c r="EH33" s="111">
        <v>184</v>
      </c>
      <c r="EI33" s="111">
        <v>59</v>
      </c>
      <c r="EJ33" s="111">
        <v>125</v>
      </c>
      <c r="EK33" s="111">
        <v>90</v>
      </c>
      <c r="EL33" s="111">
        <v>53</v>
      </c>
      <c r="EM33" s="111">
        <v>37</v>
      </c>
      <c r="EN33" s="111">
        <v>175</v>
      </c>
      <c r="EO33" s="111">
        <v>0</v>
      </c>
      <c r="EP33" s="111">
        <v>0</v>
      </c>
      <c r="EQ33" s="111">
        <v>175</v>
      </c>
      <c r="ER33" s="111">
        <v>0</v>
      </c>
      <c r="ES33" s="111">
        <v>0</v>
      </c>
      <c r="ET33" s="111">
        <v>0</v>
      </c>
      <c r="EU33" s="111">
        <v>0</v>
      </c>
      <c r="EV33" s="111">
        <v>0</v>
      </c>
      <c r="EW33" s="111">
        <v>0</v>
      </c>
      <c r="EX33" s="111">
        <v>0</v>
      </c>
      <c r="EY33" s="111">
        <v>0</v>
      </c>
      <c r="EZ33" s="111">
        <v>0</v>
      </c>
      <c r="FA33" s="111">
        <v>0</v>
      </c>
      <c r="FB33" s="111">
        <v>156</v>
      </c>
    </row>
    <row r="34" spans="1:158" ht="19.5" customHeight="1">
      <c r="A34" s="107">
        <v>31</v>
      </c>
      <c r="B34" s="107" t="s">
        <v>382</v>
      </c>
      <c r="C34" s="107" t="s">
        <v>383</v>
      </c>
      <c r="D34" s="110">
        <v>2331945.25</v>
      </c>
      <c r="E34" s="110">
        <v>656357</v>
      </c>
      <c r="F34" s="110">
        <v>1675588.25</v>
      </c>
      <c r="G34" s="110">
        <v>1586</v>
      </c>
      <c r="H34" s="110">
        <v>111</v>
      </c>
      <c r="I34" s="110">
        <v>1586</v>
      </c>
      <c r="J34" s="110">
        <v>0</v>
      </c>
      <c r="K34" s="110">
        <v>0</v>
      </c>
      <c r="L34" s="110">
        <v>232043</v>
      </c>
      <c r="M34" s="110">
        <v>217719.75</v>
      </c>
      <c r="N34" s="110">
        <v>0</v>
      </c>
      <c r="O34" s="110">
        <v>3799668.42</v>
      </c>
      <c r="P34" s="110">
        <v>1166268.8999999999</v>
      </c>
      <c r="Q34" s="110">
        <v>1015770.14</v>
      </c>
      <c r="R34" s="110">
        <v>150498.76</v>
      </c>
      <c r="S34" s="110">
        <v>2633399.52</v>
      </c>
      <c r="T34" s="110">
        <v>2286282.4</v>
      </c>
      <c r="U34" s="110">
        <v>347117.12</v>
      </c>
      <c r="V34" s="110">
        <v>777124.55</v>
      </c>
      <c r="W34" s="110">
        <v>536300.97</v>
      </c>
      <c r="X34" s="110">
        <v>392766.34</v>
      </c>
      <c r="Y34" s="110">
        <v>143534.63</v>
      </c>
      <c r="Z34" s="110">
        <v>240823.58</v>
      </c>
      <c r="AA34" s="110">
        <v>54327.79</v>
      </c>
      <c r="AB34" s="110">
        <v>186495.79</v>
      </c>
      <c r="AC34" s="110">
        <v>115426.73</v>
      </c>
      <c r="AD34" s="110">
        <v>100978.77</v>
      </c>
      <c r="AE34" s="110">
        <v>88689.44</v>
      </c>
      <c r="AF34" s="110">
        <v>12289.33</v>
      </c>
      <c r="AG34" s="110">
        <v>14447.96</v>
      </c>
      <c r="AH34" s="110">
        <v>5478.61</v>
      </c>
      <c r="AI34" s="110">
        <v>8969.35</v>
      </c>
      <c r="AJ34" s="110">
        <v>5340.82</v>
      </c>
      <c r="AK34" s="110">
        <v>4659.2</v>
      </c>
      <c r="AL34" s="110">
        <v>3732.9</v>
      </c>
      <c r="AM34" s="110">
        <v>926.3</v>
      </c>
      <c r="AN34" s="110">
        <v>681.62</v>
      </c>
      <c r="AO34" s="110">
        <v>179.18</v>
      </c>
      <c r="AP34" s="110">
        <v>502.44</v>
      </c>
      <c r="AQ34" s="110">
        <v>427912</v>
      </c>
      <c r="AR34" s="110">
        <v>293300</v>
      </c>
      <c r="AS34" s="110">
        <v>221499</v>
      </c>
      <c r="AT34" s="110">
        <v>71801</v>
      </c>
      <c r="AU34" s="110">
        <v>134612</v>
      </c>
      <c r="AV34" s="110">
        <v>31886</v>
      </c>
      <c r="AW34" s="110">
        <v>102726</v>
      </c>
      <c r="AX34" s="110">
        <v>228445</v>
      </c>
      <c r="AY34" s="110">
        <v>137363</v>
      </c>
      <c r="AZ34" s="110">
        <v>78845</v>
      </c>
      <c r="BA34" s="110">
        <v>58518</v>
      </c>
      <c r="BB34" s="110">
        <v>91082</v>
      </c>
      <c r="BC34" s="110">
        <v>16784</v>
      </c>
      <c r="BD34" s="110">
        <v>74298</v>
      </c>
      <c r="BE34" s="110">
        <v>3022543.87</v>
      </c>
      <c r="BF34" s="110">
        <v>629967.93000000005</v>
      </c>
      <c r="BG34" s="110">
        <v>623003.80000000005</v>
      </c>
      <c r="BH34" s="110">
        <v>6964.13</v>
      </c>
      <c r="BI34" s="110">
        <v>2392575.94</v>
      </c>
      <c r="BJ34" s="110">
        <v>2231954.61</v>
      </c>
      <c r="BK34" s="110">
        <v>160621.32999999999</v>
      </c>
      <c r="BL34" s="110">
        <v>270181.01</v>
      </c>
      <c r="BM34" s="110">
        <v>58125.29</v>
      </c>
      <c r="BN34" s="110">
        <v>57709.760000000002</v>
      </c>
      <c r="BO34" s="110">
        <v>415.53</v>
      </c>
      <c r="BP34" s="110">
        <v>212055.72</v>
      </c>
      <c r="BQ34" s="110">
        <v>201536.58</v>
      </c>
      <c r="BR34" s="110">
        <v>10519.14</v>
      </c>
      <c r="BS34" s="110">
        <v>1076774.6100000001</v>
      </c>
      <c r="BT34" s="110">
        <v>197038.64</v>
      </c>
      <c r="BU34" s="110">
        <v>196900.54</v>
      </c>
      <c r="BV34" s="110">
        <v>138.1</v>
      </c>
      <c r="BW34" s="110">
        <v>879735.97</v>
      </c>
      <c r="BX34" s="110">
        <v>842697.03</v>
      </c>
      <c r="BY34" s="110">
        <v>37038.94</v>
      </c>
      <c r="BZ34" s="110">
        <v>818454</v>
      </c>
      <c r="CA34" s="110">
        <v>207458</v>
      </c>
      <c r="CB34" s="110">
        <v>204141</v>
      </c>
      <c r="CC34" s="110">
        <v>3317</v>
      </c>
      <c r="CD34" s="110">
        <v>610996</v>
      </c>
      <c r="CE34" s="110">
        <v>561284</v>
      </c>
      <c r="CF34" s="110">
        <v>49712</v>
      </c>
      <c r="CG34" s="110">
        <v>857134.25</v>
      </c>
      <c r="CH34" s="110">
        <v>167346</v>
      </c>
      <c r="CI34" s="110">
        <v>164252.5</v>
      </c>
      <c r="CJ34" s="110">
        <v>3093.5</v>
      </c>
      <c r="CK34" s="110">
        <v>689788.25</v>
      </c>
      <c r="CL34" s="110">
        <v>626437</v>
      </c>
      <c r="CM34" s="110">
        <v>63351.25</v>
      </c>
      <c r="CN34" s="110">
        <v>710</v>
      </c>
      <c r="CO34" s="110">
        <v>19710.3</v>
      </c>
      <c r="CP34" s="110">
        <v>378911.51</v>
      </c>
      <c r="CQ34" s="110">
        <v>23428.73</v>
      </c>
      <c r="CR34" s="110">
        <v>354364.01</v>
      </c>
      <c r="CS34" s="110">
        <v>0</v>
      </c>
      <c r="CT34" s="110">
        <v>6219.99</v>
      </c>
      <c r="CU34" s="110">
        <v>0</v>
      </c>
      <c r="CV34" s="111">
        <v>1586</v>
      </c>
      <c r="CW34" s="111">
        <v>1152</v>
      </c>
      <c r="CX34" s="111">
        <v>900</v>
      </c>
      <c r="CY34" s="111">
        <v>252</v>
      </c>
      <c r="CZ34" s="111">
        <v>434</v>
      </c>
      <c r="DA34" s="111">
        <v>98</v>
      </c>
      <c r="DB34" s="111">
        <v>336</v>
      </c>
      <c r="DC34" s="111">
        <v>145</v>
      </c>
      <c r="DD34" s="111">
        <v>4</v>
      </c>
      <c r="DE34" s="111">
        <v>114</v>
      </c>
      <c r="DF34" s="111">
        <v>94</v>
      </c>
      <c r="DG34" s="111">
        <v>20</v>
      </c>
      <c r="DH34" s="111">
        <v>31</v>
      </c>
      <c r="DI34" s="111">
        <v>6</v>
      </c>
      <c r="DJ34" s="111">
        <v>25</v>
      </c>
      <c r="DK34" s="111">
        <v>985</v>
      </c>
      <c r="DL34" s="111">
        <v>754</v>
      </c>
      <c r="DM34" s="111">
        <v>632</v>
      </c>
      <c r="DN34" s="111">
        <v>122</v>
      </c>
      <c r="DO34" s="111">
        <v>231</v>
      </c>
      <c r="DP34" s="111">
        <v>58</v>
      </c>
      <c r="DQ34" s="111">
        <v>173</v>
      </c>
      <c r="DR34" s="111">
        <v>445</v>
      </c>
      <c r="DS34" s="111">
        <v>1</v>
      </c>
      <c r="DT34" s="111">
        <v>278</v>
      </c>
      <c r="DU34" s="111">
        <v>170</v>
      </c>
      <c r="DV34" s="111">
        <v>108</v>
      </c>
      <c r="DW34" s="111">
        <v>167</v>
      </c>
      <c r="DX34" s="111">
        <v>32</v>
      </c>
      <c r="DY34" s="111">
        <v>135</v>
      </c>
      <c r="DZ34" s="111">
        <v>6</v>
      </c>
      <c r="EA34" s="111">
        <v>3</v>
      </c>
      <c r="EB34" s="111">
        <v>3</v>
      </c>
      <c r="EC34" s="111">
        <v>0</v>
      </c>
      <c r="ED34" s="111">
        <v>3</v>
      </c>
      <c r="EE34" s="111">
        <v>2</v>
      </c>
      <c r="EF34" s="111">
        <v>1</v>
      </c>
      <c r="EG34" s="111">
        <v>111</v>
      </c>
      <c r="EH34" s="111">
        <v>45</v>
      </c>
      <c r="EI34" s="111">
        <v>43</v>
      </c>
      <c r="EJ34" s="111">
        <v>2</v>
      </c>
      <c r="EK34" s="111">
        <v>66</v>
      </c>
      <c r="EL34" s="111">
        <v>59</v>
      </c>
      <c r="EM34" s="111">
        <v>7</v>
      </c>
      <c r="EN34" s="111">
        <v>57</v>
      </c>
      <c r="EO34" s="111">
        <v>27</v>
      </c>
      <c r="EP34" s="111">
        <v>21</v>
      </c>
      <c r="EQ34" s="111">
        <v>9</v>
      </c>
      <c r="ER34" s="111">
        <v>1</v>
      </c>
      <c r="ES34" s="111">
        <v>0</v>
      </c>
      <c r="ET34" s="111">
        <v>0</v>
      </c>
      <c r="EU34" s="111">
        <v>13</v>
      </c>
      <c r="EV34" s="111">
        <v>3</v>
      </c>
      <c r="EW34" s="111">
        <v>10</v>
      </c>
      <c r="EX34" s="111">
        <v>0</v>
      </c>
      <c r="EY34" s="111">
        <v>23</v>
      </c>
      <c r="EZ34" s="111">
        <v>21</v>
      </c>
      <c r="FA34" s="111">
        <v>2</v>
      </c>
      <c r="FB34" s="111">
        <v>35</v>
      </c>
    </row>
    <row r="35" spans="1:158" ht="19.5" customHeight="1">
      <c r="A35" s="107">
        <v>32</v>
      </c>
      <c r="B35" s="107" t="s">
        <v>374</v>
      </c>
      <c r="C35" s="107" t="s">
        <v>384</v>
      </c>
      <c r="D35" s="110">
        <v>2641659</v>
      </c>
      <c r="E35" s="110">
        <v>1511128</v>
      </c>
      <c r="F35" s="110">
        <v>1130531</v>
      </c>
      <c r="G35" s="110">
        <v>3837</v>
      </c>
      <c r="H35" s="110">
        <v>246</v>
      </c>
      <c r="I35" s="110">
        <v>8818</v>
      </c>
      <c r="J35" s="110">
        <v>0</v>
      </c>
      <c r="K35" s="110">
        <v>0</v>
      </c>
      <c r="L35" s="110">
        <v>39229.5</v>
      </c>
      <c r="M35" s="110">
        <v>0</v>
      </c>
      <c r="N35" s="110">
        <v>2386.38</v>
      </c>
      <c r="O35" s="110">
        <v>4775695.88</v>
      </c>
      <c r="P35" s="110">
        <v>2793211.91</v>
      </c>
      <c r="Q35" s="110">
        <v>2379968.3199999998</v>
      </c>
      <c r="R35" s="110">
        <v>413243.59</v>
      </c>
      <c r="S35" s="110">
        <v>1982483.97</v>
      </c>
      <c r="T35" s="110">
        <v>1299427.3600000001</v>
      </c>
      <c r="U35" s="110">
        <v>683056.61</v>
      </c>
      <c r="V35" s="110">
        <v>2305066.85</v>
      </c>
      <c r="W35" s="110">
        <v>1656780.79</v>
      </c>
      <c r="X35" s="110">
        <v>1437984.37</v>
      </c>
      <c r="Y35" s="110">
        <v>218796.42</v>
      </c>
      <c r="Z35" s="110">
        <v>648286.06000000006</v>
      </c>
      <c r="AA35" s="110">
        <v>173399.23</v>
      </c>
      <c r="AB35" s="110">
        <v>474886.83</v>
      </c>
      <c r="AC35" s="110">
        <v>767868.31</v>
      </c>
      <c r="AD35" s="110">
        <v>582472.41</v>
      </c>
      <c r="AE35" s="110">
        <v>516205.43</v>
      </c>
      <c r="AF35" s="110">
        <v>66266.98</v>
      </c>
      <c r="AG35" s="110">
        <v>185395.9</v>
      </c>
      <c r="AH35" s="110">
        <v>52565.43</v>
      </c>
      <c r="AI35" s="110">
        <v>132830.47</v>
      </c>
      <c r="AJ35" s="110">
        <v>26070.54</v>
      </c>
      <c r="AK35" s="110">
        <v>22417.38</v>
      </c>
      <c r="AL35" s="110">
        <v>19661.939999999999</v>
      </c>
      <c r="AM35" s="110">
        <v>2755.44</v>
      </c>
      <c r="AN35" s="110">
        <v>3653.16</v>
      </c>
      <c r="AO35" s="110">
        <v>1938.8</v>
      </c>
      <c r="AP35" s="110">
        <v>1714.36</v>
      </c>
      <c r="AQ35" s="110">
        <v>983448</v>
      </c>
      <c r="AR35" s="110">
        <v>725077</v>
      </c>
      <c r="AS35" s="110">
        <v>632346</v>
      </c>
      <c r="AT35" s="110">
        <v>92731</v>
      </c>
      <c r="AU35" s="110">
        <v>258371</v>
      </c>
      <c r="AV35" s="110">
        <v>69542</v>
      </c>
      <c r="AW35" s="110">
        <v>188829</v>
      </c>
      <c r="AX35" s="110">
        <v>527680</v>
      </c>
      <c r="AY35" s="110">
        <v>326814</v>
      </c>
      <c r="AZ35" s="110">
        <v>269771</v>
      </c>
      <c r="BA35" s="110">
        <v>57043</v>
      </c>
      <c r="BB35" s="110">
        <v>200866</v>
      </c>
      <c r="BC35" s="110">
        <v>49353</v>
      </c>
      <c r="BD35" s="110">
        <v>151513</v>
      </c>
      <c r="BE35" s="110">
        <v>2470629.0299999998</v>
      </c>
      <c r="BF35" s="110">
        <v>1136431.1200000001</v>
      </c>
      <c r="BG35" s="110">
        <v>941983.95</v>
      </c>
      <c r="BH35" s="110">
        <v>194447.17</v>
      </c>
      <c r="BI35" s="110">
        <v>1334197.9099999999</v>
      </c>
      <c r="BJ35" s="110">
        <v>1126028.1299999999</v>
      </c>
      <c r="BK35" s="110">
        <v>208169.78</v>
      </c>
      <c r="BL35" s="110">
        <v>1285355.1100000001</v>
      </c>
      <c r="BM35" s="110">
        <v>545203.14</v>
      </c>
      <c r="BN35" s="110">
        <v>514704.49</v>
      </c>
      <c r="BO35" s="110">
        <v>30498.65</v>
      </c>
      <c r="BP35" s="110">
        <v>740151.97</v>
      </c>
      <c r="BQ35" s="110">
        <v>646687.80000000005</v>
      </c>
      <c r="BR35" s="110">
        <v>93464.17</v>
      </c>
      <c r="BS35" s="110">
        <v>54742.92</v>
      </c>
      <c r="BT35" s="110">
        <v>28793.98</v>
      </c>
      <c r="BU35" s="110">
        <v>23910.46</v>
      </c>
      <c r="BV35" s="110">
        <v>4883.5200000000004</v>
      </c>
      <c r="BW35" s="110">
        <v>25948.94</v>
      </c>
      <c r="BX35" s="110">
        <v>22360.83</v>
      </c>
      <c r="BY35" s="110">
        <v>3588.11</v>
      </c>
      <c r="BZ35" s="110">
        <v>538662</v>
      </c>
      <c r="CA35" s="110">
        <v>234974</v>
      </c>
      <c r="CB35" s="110">
        <v>209599</v>
      </c>
      <c r="CC35" s="110">
        <v>25375</v>
      </c>
      <c r="CD35" s="110">
        <v>303688</v>
      </c>
      <c r="CE35" s="110">
        <v>256730</v>
      </c>
      <c r="CF35" s="110">
        <v>46958</v>
      </c>
      <c r="CG35" s="110">
        <v>591869</v>
      </c>
      <c r="CH35" s="110">
        <v>327460</v>
      </c>
      <c r="CI35" s="110">
        <v>193770</v>
      </c>
      <c r="CJ35" s="110">
        <v>133690</v>
      </c>
      <c r="CK35" s="110">
        <v>264409</v>
      </c>
      <c r="CL35" s="110">
        <v>200249.5</v>
      </c>
      <c r="CM35" s="110">
        <v>64159.5</v>
      </c>
      <c r="CN35" s="110">
        <v>392995.82</v>
      </c>
      <c r="CO35" s="110">
        <v>190648.64</v>
      </c>
      <c r="CP35" s="110">
        <v>496170.12</v>
      </c>
      <c r="CQ35" s="110">
        <v>86186.33</v>
      </c>
      <c r="CR35" s="110">
        <v>1138549.94</v>
      </c>
      <c r="CS35" s="110">
        <v>516</v>
      </c>
      <c r="CT35" s="110">
        <v>291903.40000000002</v>
      </c>
      <c r="CU35" s="110">
        <v>0</v>
      </c>
      <c r="CV35" s="111">
        <v>3837</v>
      </c>
      <c r="CW35" s="111">
        <v>2867</v>
      </c>
      <c r="CX35" s="111">
        <v>2467</v>
      </c>
      <c r="CY35" s="111">
        <v>400</v>
      </c>
      <c r="CZ35" s="111">
        <v>970</v>
      </c>
      <c r="DA35" s="111">
        <v>252</v>
      </c>
      <c r="DB35" s="111">
        <v>718</v>
      </c>
      <c r="DC35" s="111">
        <v>846</v>
      </c>
      <c r="DD35" s="111">
        <v>77</v>
      </c>
      <c r="DE35" s="111">
        <v>748</v>
      </c>
      <c r="DF35" s="111">
        <v>658</v>
      </c>
      <c r="DG35" s="111">
        <v>90</v>
      </c>
      <c r="DH35" s="111">
        <v>98</v>
      </c>
      <c r="DI35" s="111">
        <v>24</v>
      </c>
      <c r="DJ35" s="111">
        <v>74</v>
      </c>
      <c r="DK35" s="111">
        <v>1016</v>
      </c>
      <c r="DL35" s="111">
        <v>714</v>
      </c>
      <c r="DM35" s="111">
        <v>616</v>
      </c>
      <c r="DN35" s="111">
        <v>98</v>
      </c>
      <c r="DO35" s="111">
        <v>302</v>
      </c>
      <c r="DP35" s="111">
        <v>100</v>
      </c>
      <c r="DQ35" s="111">
        <v>202</v>
      </c>
      <c r="DR35" s="111">
        <v>1149</v>
      </c>
      <c r="DS35" s="111">
        <v>23</v>
      </c>
      <c r="DT35" s="111">
        <v>715</v>
      </c>
      <c r="DU35" s="111">
        <v>589</v>
      </c>
      <c r="DV35" s="111">
        <v>126</v>
      </c>
      <c r="DW35" s="111">
        <v>434</v>
      </c>
      <c r="DX35" s="111">
        <v>104</v>
      </c>
      <c r="DY35" s="111">
        <v>330</v>
      </c>
      <c r="DZ35" s="111">
        <v>726</v>
      </c>
      <c r="EA35" s="111">
        <v>644</v>
      </c>
      <c r="EB35" s="111">
        <v>564</v>
      </c>
      <c r="EC35" s="111">
        <v>80</v>
      </c>
      <c r="ED35" s="111">
        <v>82</v>
      </c>
      <c r="EE35" s="111">
        <v>23</v>
      </c>
      <c r="EF35" s="111">
        <v>59</v>
      </c>
      <c r="EG35" s="111">
        <v>246</v>
      </c>
      <c r="EH35" s="111">
        <v>122</v>
      </c>
      <c r="EI35" s="111">
        <v>98</v>
      </c>
      <c r="EJ35" s="111">
        <v>24</v>
      </c>
      <c r="EK35" s="111">
        <v>124</v>
      </c>
      <c r="EL35" s="111">
        <v>90</v>
      </c>
      <c r="EM35" s="111">
        <v>34</v>
      </c>
      <c r="EN35" s="111">
        <v>156</v>
      </c>
      <c r="EO35" s="111">
        <v>0</v>
      </c>
      <c r="EP35" s="111">
        <v>0</v>
      </c>
      <c r="EQ35" s="111">
        <v>156</v>
      </c>
      <c r="ER35" s="111">
        <v>0</v>
      </c>
      <c r="ES35" s="111">
        <v>0</v>
      </c>
      <c r="ET35" s="111">
        <v>0</v>
      </c>
      <c r="EU35" s="111">
        <v>0</v>
      </c>
      <c r="EV35" s="111">
        <v>0</v>
      </c>
      <c r="EW35" s="111">
        <v>0</v>
      </c>
      <c r="EX35" s="111">
        <v>0</v>
      </c>
      <c r="EY35" s="111">
        <v>0</v>
      </c>
      <c r="EZ35" s="111">
        <v>0</v>
      </c>
      <c r="FA35" s="111">
        <v>0</v>
      </c>
      <c r="FB35" s="111">
        <v>87</v>
      </c>
    </row>
    <row r="36" spans="1:158" ht="19.5" customHeight="1">
      <c r="A36" s="107">
        <v>33</v>
      </c>
      <c r="B36" s="107" t="s">
        <v>374</v>
      </c>
      <c r="C36" s="107" t="s">
        <v>385</v>
      </c>
      <c r="D36" s="110">
        <v>2873730</v>
      </c>
      <c r="E36" s="110">
        <v>1046273</v>
      </c>
      <c r="F36" s="110">
        <v>1827457</v>
      </c>
      <c r="G36" s="110">
        <v>3868</v>
      </c>
      <c r="H36" s="110">
        <v>213</v>
      </c>
      <c r="I36" s="110">
        <v>14152</v>
      </c>
      <c r="J36" s="110">
        <v>0</v>
      </c>
      <c r="K36" s="110">
        <v>0</v>
      </c>
      <c r="L36" s="110">
        <v>42568</v>
      </c>
      <c r="M36" s="110">
        <v>1380</v>
      </c>
      <c r="N36" s="110">
        <v>0</v>
      </c>
      <c r="O36" s="110">
        <v>4160591.69</v>
      </c>
      <c r="P36" s="110">
        <v>3487091.72</v>
      </c>
      <c r="Q36" s="110">
        <v>2497862.62</v>
      </c>
      <c r="R36" s="110">
        <v>989229.1</v>
      </c>
      <c r="S36" s="110">
        <v>673499.97</v>
      </c>
      <c r="T36" s="110">
        <v>308002.71000000002</v>
      </c>
      <c r="U36" s="110">
        <v>365497.26</v>
      </c>
      <c r="V36" s="110">
        <v>1967886.71</v>
      </c>
      <c r="W36" s="110">
        <v>1847484.4</v>
      </c>
      <c r="X36" s="110">
        <v>1640004.13</v>
      </c>
      <c r="Y36" s="110">
        <v>207480.27</v>
      </c>
      <c r="Z36" s="110">
        <v>120402.31</v>
      </c>
      <c r="AA36" s="110">
        <v>29403.47</v>
      </c>
      <c r="AB36" s="110">
        <v>90998.84</v>
      </c>
      <c r="AC36" s="110">
        <v>874631.77</v>
      </c>
      <c r="AD36" s="110">
        <v>826856.38</v>
      </c>
      <c r="AE36" s="110">
        <v>740903.59</v>
      </c>
      <c r="AF36" s="110">
        <v>85952.79</v>
      </c>
      <c r="AG36" s="110">
        <v>47775.39</v>
      </c>
      <c r="AH36" s="110">
        <v>11430.41</v>
      </c>
      <c r="AI36" s="110">
        <v>36344.980000000003</v>
      </c>
      <c r="AJ36" s="110">
        <v>46981.94</v>
      </c>
      <c r="AK36" s="110">
        <v>42355.02</v>
      </c>
      <c r="AL36" s="110">
        <v>38367.54</v>
      </c>
      <c r="AM36" s="110">
        <v>3987.48</v>
      </c>
      <c r="AN36" s="110">
        <v>4626.92</v>
      </c>
      <c r="AO36" s="110">
        <v>2481.06</v>
      </c>
      <c r="AP36" s="110">
        <v>2145.86</v>
      </c>
      <c r="AQ36" s="110">
        <v>711073</v>
      </c>
      <c r="AR36" s="110">
        <v>666083</v>
      </c>
      <c r="AS36" s="110">
        <v>596209</v>
      </c>
      <c r="AT36" s="110">
        <v>69874</v>
      </c>
      <c r="AU36" s="110">
        <v>44990</v>
      </c>
      <c r="AV36" s="110">
        <v>10787</v>
      </c>
      <c r="AW36" s="110">
        <v>34203</v>
      </c>
      <c r="AX36" s="110">
        <v>335200</v>
      </c>
      <c r="AY36" s="110">
        <v>312190</v>
      </c>
      <c r="AZ36" s="110">
        <v>264524</v>
      </c>
      <c r="BA36" s="110">
        <v>47666</v>
      </c>
      <c r="BB36" s="110">
        <v>23010</v>
      </c>
      <c r="BC36" s="110">
        <v>4705</v>
      </c>
      <c r="BD36" s="110">
        <v>18305</v>
      </c>
      <c r="BE36" s="110">
        <v>2192704.98</v>
      </c>
      <c r="BF36" s="110">
        <v>1639607.32</v>
      </c>
      <c r="BG36" s="110">
        <v>857858.49</v>
      </c>
      <c r="BH36" s="110">
        <v>781748.83</v>
      </c>
      <c r="BI36" s="110">
        <v>553097.66</v>
      </c>
      <c r="BJ36" s="110">
        <v>278599.24</v>
      </c>
      <c r="BK36" s="110">
        <v>274498.42</v>
      </c>
      <c r="BL36" s="110">
        <v>288513.03000000003</v>
      </c>
      <c r="BM36" s="110">
        <v>175341.77</v>
      </c>
      <c r="BN36" s="110">
        <v>108003.99</v>
      </c>
      <c r="BO36" s="110">
        <v>67337.78</v>
      </c>
      <c r="BP36" s="110">
        <v>113171.26</v>
      </c>
      <c r="BQ36" s="110">
        <v>58027.94</v>
      </c>
      <c r="BR36" s="110">
        <v>55143.32</v>
      </c>
      <c r="BS36" s="110">
        <v>76734.95</v>
      </c>
      <c r="BT36" s="110">
        <v>53573.55</v>
      </c>
      <c r="BU36" s="110">
        <v>36693</v>
      </c>
      <c r="BV36" s="110">
        <v>16880.55</v>
      </c>
      <c r="BW36" s="110">
        <v>23161.4</v>
      </c>
      <c r="BX36" s="110">
        <v>12615.3</v>
      </c>
      <c r="BY36" s="110">
        <v>10546.1</v>
      </c>
      <c r="BZ36" s="110">
        <v>891950</v>
      </c>
      <c r="CA36" s="110">
        <v>663771</v>
      </c>
      <c r="CB36" s="110">
        <v>530820</v>
      </c>
      <c r="CC36" s="110">
        <v>132951</v>
      </c>
      <c r="CD36" s="110">
        <v>228179</v>
      </c>
      <c r="CE36" s="110">
        <v>168183</v>
      </c>
      <c r="CF36" s="110">
        <v>59996</v>
      </c>
      <c r="CG36" s="110">
        <v>935507</v>
      </c>
      <c r="CH36" s="110">
        <v>746921</v>
      </c>
      <c r="CI36" s="110">
        <v>182341.5</v>
      </c>
      <c r="CJ36" s="110">
        <v>564579.5</v>
      </c>
      <c r="CK36" s="110">
        <v>188586</v>
      </c>
      <c r="CL36" s="110">
        <v>39773</v>
      </c>
      <c r="CM36" s="110">
        <v>148813</v>
      </c>
      <c r="CN36" s="110">
        <v>177046.08</v>
      </c>
      <c r="CO36" s="110">
        <v>375815.08</v>
      </c>
      <c r="CP36" s="110">
        <v>476976.04</v>
      </c>
      <c r="CQ36" s="110">
        <v>10001.56</v>
      </c>
      <c r="CR36" s="110">
        <v>928047.95</v>
      </c>
      <c r="CS36" s="110">
        <v>0</v>
      </c>
      <c r="CT36" s="110">
        <v>973498.61</v>
      </c>
      <c r="CU36" s="110">
        <v>0</v>
      </c>
      <c r="CV36" s="111">
        <v>3868</v>
      </c>
      <c r="CW36" s="111">
        <v>3567</v>
      </c>
      <c r="CX36" s="111">
        <v>3136</v>
      </c>
      <c r="CY36" s="111">
        <v>431</v>
      </c>
      <c r="CZ36" s="111">
        <v>301</v>
      </c>
      <c r="DA36" s="111">
        <v>76</v>
      </c>
      <c r="DB36" s="111">
        <v>225</v>
      </c>
      <c r="DC36" s="111">
        <v>1168</v>
      </c>
      <c r="DD36" s="111">
        <v>0</v>
      </c>
      <c r="DE36" s="111">
        <v>1063</v>
      </c>
      <c r="DF36" s="111">
        <v>928</v>
      </c>
      <c r="DG36" s="111">
        <v>135</v>
      </c>
      <c r="DH36" s="111">
        <v>105</v>
      </c>
      <c r="DI36" s="111">
        <v>23</v>
      </c>
      <c r="DJ36" s="111">
        <v>82</v>
      </c>
      <c r="DK36" s="111">
        <v>954</v>
      </c>
      <c r="DL36" s="111">
        <v>875</v>
      </c>
      <c r="DM36" s="111">
        <v>765</v>
      </c>
      <c r="DN36" s="111">
        <v>110</v>
      </c>
      <c r="DO36" s="111">
        <v>79</v>
      </c>
      <c r="DP36" s="111">
        <v>22</v>
      </c>
      <c r="DQ36" s="111">
        <v>57</v>
      </c>
      <c r="DR36" s="111">
        <v>1297</v>
      </c>
      <c r="DS36" s="111">
        <v>0</v>
      </c>
      <c r="DT36" s="111">
        <v>1234</v>
      </c>
      <c r="DU36" s="111">
        <v>1096</v>
      </c>
      <c r="DV36" s="111">
        <v>138</v>
      </c>
      <c r="DW36" s="111">
        <v>63</v>
      </c>
      <c r="DX36" s="111">
        <v>10</v>
      </c>
      <c r="DY36" s="111">
        <v>53</v>
      </c>
      <c r="DZ36" s="111">
        <v>449</v>
      </c>
      <c r="EA36" s="111">
        <v>395</v>
      </c>
      <c r="EB36" s="111">
        <v>347</v>
      </c>
      <c r="EC36" s="111">
        <v>48</v>
      </c>
      <c r="ED36" s="111">
        <v>54</v>
      </c>
      <c r="EE36" s="111">
        <v>21</v>
      </c>
      <c r="EF36" s="111">
        <v>33</v>
      </c>
      <c r="EG36" s="111">
        <v>213</v>
      </c>
      <c r="EH36" s="111">
        <v>171</v>
      </c>
      <c r="EI36" s="111">
        <v>113</v>
      </c>
      <c r="EJ36" s="111">
        <v>58</v>
      </c>
      <c r="EK36" s="111">
        <v>42</v>
      </c>
      <c r="EL36" s="111">
        <v>28</v>
      </c>
      <c r="EM36" s="111">
        <v>14</v>
      </c>
      <c r="EN36" s="111">
        <v>8</v>
      </c>
      <c r="EO36" s="111">
        <v>0</v>
      </c>
      <c r="EP36" s="111">
        <v>0</v>
      </c>
      <c r="EQ36" s="111">
        <v>8</v>
      </c>
      <c r="ER36" s="111">
        <v>0</v>
      </c>
      <c r="ES36" s="111">
        <v>0</v>
      </c>
      <c r="ET36" s="111">
        <v>0</v>
      </c>
      <c r="EU36" s="111">
        <v>0</v>
      </c>
      <c r="EV36" s="111">
        <v>0</v>
      </c>
      <c r="EW36" s="111">
        <v>0</v>
      </c>
      <c r="EX36" s="111">
        <v>0</v>
      </c>
      <c r="EY36" s="111">
        <v>0</v>
      </c>
      <c r="EZ36" s="111">
        <v>0</v>
      </c>
      <c r="FA36" s="111">
        <v>0</v>
      </c>
      <c r="FB36" s="111">
        <v>75</v>
      </c>
    </row>
    <row r="37" spans="1:158" ht="19.5" customHeight="1">
      <c r="A37" s="107">
        <v>34</v>
      </c>
      <c r="B37" s="107" t="s">
        <v>374</v>
      </c>
      <c r="C37" s="107" t="s">
        <v>386</v>
      </c>
      <c r="D37" s="110">
        <v>5616347.75</v>
      </c>
      <c r="E37" s="110">
        <v>1208766</v>
      </c>
      <c r="F37" s="110">
        <v>4407581.75</v>
      </c>
      <c r="G37" s="110">
        <v>4414</v>
      </c>
      <c r="H37" s="110">
        <v>27</v>
      </c>
      <c r="I37" s="110">
        <v>50370</v>
      </c>
      <c r="J37" s="110">
        <v>0</v>
      </c>
      <c r="K37" s="110">
        <v>0</v>
      </c>
      <c r="L37" s="110">
        <v>524893.5</v>
      </c>
      <c r="M37" s="110">
        <v>840668.25</v>
      </c>
      <c r="N37" s="110">
        <v>3835.58</v>
      </c>
      <c r="O37" s="110">
        <v>8784352.3599999994</v>
      </c>
      <c r="P37" s="110">
        <v>3932415.73</v>
      </c>
      <c r="Q37" s="110">
        <v>3442347.11</v>
      </c>
      <c r="R37" s="110">
        <v>490068.62</v>
      </c>
      <c r="S37" s="110">
        <v>4851936.63</v>
      </c>
      <c r="T37" s="110">
        <v>4200209.6900000004</v>
      </c>
      <c r="U37" s="110">
        <v>651726.93999999994</v>
      </c>
      <c r="V37" s="110">
        <v>2233685.85</v>
      </c>
      <c r="W37" s="110">
        <v>2054392.36</v>
      </c>
      <c r="X37" s="110">
        <v>1796931.2</v>
      </c>
      <c r="Y37" s="110">
        <v>257461.16</v>
      </c>
      <c r="Z37" s="110">
        <v>179293.49</v>
      </c>
      <c r="AA37" s="110">
        <v>63363.8</v>
      </c>
      <c r="AB37" s="110">
        <v>115929.69</v>
      </c>
      <c r="AC37" s="110">
        <v>956147.85</v>
      </c>
      <c r="AD37" s="110">
        <v>901934.46</v>
      </c>
      <c r="AE37" s="110">
        <v>825893.48</v>
      </c>
      <c r="AF37" s="110">
        <v>76040.98</v>
      </c>
      <c r="AG37" s="110">
        <v>54213.39</v>
      </c>
      <c r="AH37" s="110">
        <v>17388.7</v>
      </c>
      <c r="AI37" s="110">
        <v>36824.69</v>
      </c>
      <c r="AJ37" s="110">
        <v>68772</v>
      </c>
      <c r="AK37" s="110">
        <v>61826.9</v>
      </c>
      <c r="AL37" s="110">
        <v>53885.22</v>
      </c>
      <c r="AM37" s="110">
        <v>7941.68</v>
      </c>
      <c r="AN37" s="110">
        <v>6945.1</v>
      </c>
      <c r="AO37" s="110">
        <v>2613.1</v>
      </c>
      <c r="AP37" s="110">
        <v>4332</v>
      </c>
      <c r="AQ37" s="110">
        <v>939870</v>
      </c>
      <c r="AR37" s="110">
        <v>850957</v>
      </c>
      <c r="AS37" s="110">
        <v>735323</v>
      </c>
      <c r="AT37" s="110">
        <v>115634</v>
      </c>
      <c r="AU37" s="110">
        <v>88913</v>
      </c>
      <c r="AV37" s="110">
        <v>35715</v>
      </c>
      <c r="AW37" s="110">
        <v>53198</v>
      </c>
      <c r="AX37" s="110">
        <v>268896</v>
      </c>
      <c r="AY37" s="110">
        <v>239674</v>
      </c>
      <c r="AZ37" s="110">
        <v>181829.5</v>
      </c>
      <c r="BA37" s="110">
        <v>57844.5</v>
      </c>
      <c r="BB37" s="110">
        <v>29222</v>
      </c>
      <c r="BC37" s="110">
        <v>7647</v>
      </c>
      <c r="BD37" s="110">
        <v>21575</v>
      </c>
      <c r="BE37" s="110">
        <v>6550666.5099999998</v>
      </c>
      <c r="BF37" s="110">
        <v>1878023.37</v>
      </c>
      <c r="BG37" s="110">
        <v>1645415.91</v>
      </c>
      <c r="BH37" s="110">
        <v>232607.46</v>
      </c>
      <c r="BI37" s="110">
        <v>4672643.1399999997</v>
      </c>
      <c r="BJ37" s="110">
        <v>4136845.89</v>
      </c>
      <c r="BK37" s="110">
        <v>535797.25</v>
      </c>
      <c r="BL37" s="110">
        <v>1006639.87</v>
      </c>
      <c r="BM37" s="110">
        <v>408861.46</v>
      </c>
      <c r="BN37" s="110">
        <v>373429.68</v>
      </c>
      <c r="BO37" s="110">
        <v>35431.78</v>
      </c>
      <c r="BP37" s="110">
        <v>597778.41</v>
      </c>
      <c r="BQ37" s="110">
        <v>532720.82999999996</v>
      </c>
      <c r="BR37" s="110">
        <v>65057.58</v>
      </c>
      <c r="BS37" s="110">
        <v>1136444.8899999999</v>
      </c>
      <c r="BT37" s="110">
        <v>238508.91</v>
      </c>
      <c r="BU37" s="110">
        <v>215447.98</v>
      </c>
      <c r="BV37" s="110">
        <v>23060.93</v>
      </c>
      <c r="BW37" s="110">
        <v>897935.98</v>
      </c>
      <c r="BX37" s="110">
        <v>816042.06</v>
      </c>
      <c r="BY37" s="110">
        <v>81893.919999999998</v>
      </c>
      <c r="BZ37" s="110">
        <v>1809630</v>
      </c>
      <c r="CA37" s="110">
        <v>613769</v>
      </c>
      <c r="CB37" s="110">
        <v>551626</v>
      </c>
      <c r="CC37" s="110">
        <v>62143</v>
      </c>
      <c r="CD37" s="110">
        <v>1195861</v>
      </c>
      <c r="CE37" s="110">
        <v>1064297.5</v>
      </c>
      <c r="CF37" s="110">
        <v>131563.5</v>
      </c>
      <c r="CG37" s="110">
        <v>2597951.75</v>
      </c>
      <c r="CH37" s="110">
        <v>616884</v>
      </c>
      <c r="CI37" s="110">
        <v>504912.25</v>
      </c>
      <c r="CJ37" s="110">
        <v>111971.75</v>
      </c>
      <c r="CK37" s="110">
        <v>1981067.75</v>
      </c>
      <c r="CL37" s="110">
        <v>1723785.5</v>
      </c>
      <c r="CM37" s="110">
        <v>257282.25</v>
      </c>
      <c r="CN37" s="110">
        <v>834841.57</v>
      </c>
      <c r="CO37" s="110">
        <v>908862.78</v>
      </c>
      <c r="CP37" s="110">
        <v>190947.98</v>
      </c>
      <c r="CQ37" s="110">
        <v>451.27</v>
      </c>
      <c r="CR37" s="110">
        <v>298582.25</v>
      </c>
      <c r="CS37" s="110">
        <v>0</v>
      </c>
      <c r="CT37" s="110">
        <v>214390.48</v>
      </c>
      <c r="CU37" s="110">
        <v>0</v>
      </c>
      <c r="CV37" s="111">
        <v>4414</v>
      </c>
      <c r="CW37" s="111">
        <v>4001</v>
      </c>
      <c r="CX37" s="111">
        <v>3435</v>
      </c>
      <c r="CY37" s="111">
        <v>566</v>
      </c>
      <c r="CZ37" s="111">
        <v>413</v>
      </c>
      <c r="DA37" s="111">
        <v>123</v>
      </c>
      <c r="DB37" s="111">
        <v>290</v>
      </c>
      <c r="DC37" s="111">
        <v>2134</v>
      </c>
      <c r="DD37" s="111">
        <v>0</v>
      </c>
      <c r="DE37" s="111">
        <v>1978</v>
      </c>
      <c r="DF37" s="111">
        <v>1768</v>
      </c>
      <c r="DG37" s="111">
        <v>210</v>
      </c>
      <c r="DH37" s="111">
        <v>156</v>
      </c>
      <c r="DI37" s="111">
        <v>43</v>
      </c>
      <c r="DJ37" s="111">
        <v>113</v>
      </c>
      <c r="DK37" s="111">
        <v>365</v>
      </c>
      <c r="DL37" s="111">
        <v>332</v>
      </c>
      <c r="DM37" s="111">
        <v>296</v>
      </c>
      <c r="DN37" s="111">
        <v>36</v>
      </c>
      <c r="DO37" s="111">
        <v>33</v>
      </c>
      <c r="DP37" s="111">
        <v>8</v>
      </c>
      <c r="DQ37" s="111">
        <v>25</v>
      </c>
      <c r="DR37" s="111">
        <v>433</v>
      </c>
      <c r="DS37" s="111">
        <v>0</v>
      </c>
      <c r="DT37" s="111">
        <v>405</v>
      </c>
      <c r="DU37" s="111">
        <v>322</v>
      </c>
      <c r="DV37" s="111">
        <v>83</v>
      </c>
      <c r="DW37" s="111">
        <v>28</v>
      </c>
      <c r="DX37" s="111">
        <v>5</v>
      </c>
      <c r="DY37" s="111">
        <v>23</v>
      </c>
      <c r="DZ37" s="111">
        <v>1482</v>
      </c>
      <c r="EA37" s="111">
        <v>1286</v>
      </c>
      <c r="EB37" s="111">
        <v>1049</v>
      </c>
      <c r="EC37" s="111">
        <v>237</v>
      </c>
      <c r="ED37" s="111">
        <v>196</v>
      </c>
      <c r="EE37" s="111">
        <v>67</v>
      </c>
      <c r="EF37" s="111">
        <v>129</v>
      </c>
      <c r="EG37" s="111">
        <v>27</v>
      </c>
      <c r="EH37" s="111">
        <v>16</v>
      </c>
      <c r="EI37" s="111">
        <v>8</v>
      </c>
      <c r="EJ37" s="111">
        <v>8</v>
      </c>
      <c r="EK37" s="111">
        <v>11</v>
      </c>
      <c r="EL37" s="111">
        <v>5</v>
      </c>
      <c r="EM37" s="111">
        <v>6</v>
      </c>
      <c r="EN37" s="111">
        <v>19</v>
      </c>
      <c r="EO37" s="111">
        <v>0</v>
      </c>
      <c r="EP37" s="111">
        <v>0</v>
      </c>
      <c r="EQ37" s="111">
        <v>19</v>
      </c>
      <c r="ER37" s="111">
        <v>0</v>
      </c>
      <c r="ES37" s="111">
        <v>0</v>
      </c>
      <c r="ET37" s="111">
        <v>0</v>
      </c>
      <c r="EU37" s="111">
        <v>0</v>
      </c>
      <c r="EV37" s="111">
        <v>0</v>
      </c>
      <c r="EW37" s="111">
        <v>0</v>
      </c>
      <c r="EX37" s="111">
        <v>0</v>
      </c>
      <c r="EY37" s="111">
        <v>0</v>
      </c>
      <c r="EZ37" s="111">
        <v>0</v>
      </c>
      <c r="FA37" s="111">
        <v>0</v>
      </c>
      <c r="FB37" s="111">
        <v>0</v>
      </c>
    </row>
    <row r="38" spans="1:158" ht="19.5" customHeight="1">
      <c r="A38" s="107">
        <v>35</v>
      </c>
      <c r="B38" s="107" t="s">
        <v>382</v>
      </c>
      <c r="C38" s="107" t="s">
        <v>387</v>
      </c>
      <c r="D38" s="110">
        <v>3086636</v>
      </c>
      <c r="E38" s="110">
        <v>584085.5</v>
      </c>
      <c r="F38" s="110">
        <v>2502550.5</v>
      </c>
      <c r="G38" s="110">
        <v>3433</v>
      </c>
      <c r="H38" s="110">
        <v>304</v>
      </c>
      <c r="I38" s="110">
        <v>37214</v>
      </c>
      <c r="J38" s="110">
        <v>17854</v>
      </c>
      <c r="K38" s="110">
        <v>0</v>
      </c>
      <c r="L38" s="110">
        <v>140820</v>
      </c>
      <c r="M38" s="110">
        <v>512015</v>
      </c>
      <c r="N38" s="110">
        <v>265.25</v>
      </c>
      <c r="O38" s="110">
        <v>4776557.1100000003</v>
      </c>
      <c r="P38" s="110">
        <v>2182982.71</v>
      </c>
      <c r="Q38" s="110">
        <v>1711918.31</v>
      </c>
      <c r="R38" s="110">
        <v>471064.4</v>
      </c>
      <c r="S38" s="110">
        <v>2593574.4</v>
      </c>
      <c r="T38" s="110">
        <v>1749969.93</v>
      </c>
      <c r="U38" s="110">
        <v>843604.47</v>
      </c>
      <c r="V38" s="110">
        <v>842648.65</v>
      </c>
      <c r="W38" s="110">
        <v>646585.76</v>
      </c>
      <c r="X38" s="110">
        <v>520743.85</v>
      </c>
      <c r="Y38" s="110">
        <v>125841.91</v>
      </c>
      <c r="Z38" s="110">
        <v>196062.89</v>
      </c>
      <c r="AA38" s="110">
        <v>49611.71</v>
      </c>
      <c r="AB38" s="110">
        <v>146451.18</v>
      </c>
      <c r="AC38" s="110">
        <v>117071.17</v>
      </c>
      <c r="AD38" s="110">
        <v>99040.22</v>
      </c>
      <c r="AE38" s="110">
        <v>83703.990000000005</v>
      </c>
      <c r="AF38" s="110">
        <v>15336.23</v>
      </c>
      <c r="AG38" s="110">
        <v>18030.95</v>
      </c>
      <c r="AH38" s="110">
        <v>4506.8500000000004</v>
      </c>
      <c r="AI38" s="110">
        <v>13524.1</v>
      </c>
      <c r="AJ38" s="110">
        <v>141491.98000000001</v>
      </c>
      <c r="AK38" s="110">
        <v>126520.54</v>
      </c>
      <c r="AL38" s="110">
        <v>108300.36</v>
      </c>
      <c r="AM38" s="110">
        <v>18220.18</v>
      </c>
      <c r="AN38" s="110">
        <v>14971.44</v>
      </c>
      <c r="AO38" s="110">
        <v>3712.36</v>
      </c>
      <c r="AP38" s="110">
        <v>11259.08</v>
      </c>
      <c r="AQ38" s="110">
        <v>326849.5</v>
      </c>
      <c r="AR38" s="110">
        <v>239554</v>
      </c>
      <c r="AS38" s="110">
        <v>187345.5</v>
      </c>
      <c r="AT38" s="110">
        <v>52208.5</v>
      </c>
      <c r="AU38" s="110">
        <v>87295.5</v>
      </c>
      <c r="AV38" s="110">
        <v>21985.5</v>
      </c>
      <c r="AW38" s="110">
        <v>65310</v>
      </c>
      <c r="AX38" s="110">
        <v>257236</v>
      </c>
      <c r="AY38" s="110">
        <v>181471</v>
      </c>
      <c r="AZ38" s="110">
        <v>141394</v>
      </c>
      <c r="BA38" s="110">
        <v>40077</v>
      </c>
      <c r="BB38" s="110">
        <v>75765</v>
      </c>
      <c r="BC38" s="110">
        <v>19407</v>
      </c>
      <c r="BD38" s="110">
        <v>56358</v>
      </c>
      <c r="BE38" s="110">
        <v>3933908.46</v>
      </c>
      <c r="BF38" s="110">
        <v>1536396.95</v>
      </c>
      <c r="BG38" s="110">
        <v>1191174.46</v>
      </c>
      <c r="BH38" s="110">
        <v>345222.49</v>
      </c>
      <c r="BI38" s="110">
        <v>2397511.5099999998</v>
      </c>
      <c r="BJ38" s="110">
        <v>1700358.22</v>
      </c>
      <c r="BK38" s="110">
        <v>697153.29</v>
      </c>
      <c r="BL38" s="110">
        <v>495602.47</v>
      </c>
      <c r="BM38" s="110">
        <v>239971.77</v>
      </c>
      <c r="BN38" s="110">
        <v>222880.54</v>
      </c>
      <c r="BO38" s="110">
        <v>17091.23</v>
      </c>
      <c r="BP38" s="110">
        <v>255630.7</v>
      </c>
      <c r="BQ38" s="110">
        <v>185167.3</v>
      </c>
      <c r="BR38" s="110">
        <v>70463.399999999994</v>
      </c>
      <c r="BS38" s="110">
        <v>935755.49</v>
      </c>
      <c r="BT38" s="110">
        <v>324269.93</v>
      </c>
      <c r="BU38" s="110">
        <v>289549.42</v>
      </c>
      <c r="BV38" s="110">
        <v>34720.51</v>
      </c>
      <c r="BW38" s="110">
        <v>611485.56000000006</v>
      </c>
      <c r="BX38" s="110">
        <v>530345.67000000004</v>
      </c>
      <c r="BY38" s="110">
        <v>81139.89</v>
      </c>
      <c r="BZ38" s="110">
        <v>700658</v>
      </c>
      <c r="CA38" s="110">
        <v>259657.5</v>
      </c>
      <c r="CB38" s="110">
        <v>220863</v>
      </c>
      <c r="CC38" s="110">
        <v>38794.5</v>
      </c>
      <c r="CD38" s="110">
        <v>441000.5</v>
      </c>
      <c r="CE38" s="110">
        <v>330814.5</v>
      </c>
      <c r="CF38" s="110">
        <v>110186</v>
      </c>
      <c r="CG38" s="110">
        <v>1801892.5</v>
      </c>
      <c r="CH38" s="110">
        <v>712497.75</v>
      </c>
      <c r="CI38" s="110">
        <v>457881.5</v>
      </c>
      <c r="CJ38" s="110">
        <v>254616.25</v>
      </c>
      <c r="CK38" s="110">
        <v>1089394.75</v>
      </c>
      <c r="CL38" s="110">
        <v>654030.75</v>
      </c>
      <c r="CM38" s="110">
        <v>435364</v>
      </c>
      <c r="CN38" s="110">
        <v>370618.07</v>
      </c>
      <c r="CO38" s="110">
        <v>191639.35</v>
      </c>
      <c r="CP38" s="110">
        <v>105888.49</v>
      </c>
      <c r="CQ38" s="110">
        <v>21424.959999999999</v>
      </c>
      <c r="CR38" s="110">
        <v>151323.98000000001</v>
      </c>
      <c r="CS38" s="110">
        <v>1723.8</v>
      </c>
      <c r="CT38" s="110">
        <v>717627.94</v>
      </c>
      <c r="CU38" s="110">
        <v>0</v>
      </c>
      <c r="CV38" s="111">
        <v>3433</v>
      </c>
      <c r="CW38" s="111">
        <v>2698</v>
      </c>
      <c r="CX38" s="111">
        <v>2181</v>
      </c>
      <c r="CY38" s="111">
        <v>517</v>
      </c>
      <c r="CZ38" s="111">
        <v>735</v>
      </c>
      <c r="DA38" s="111">
        <v>229</v>
      </c>
      <c r="DB38" s="111">
        <v>506</v>
      </c>
      <c r="DC38" s="111">
        <v>965</v>
      </c>
      <c r="DD38" s="111">
        <v>7</v>
      </c>
      <c r="DE38" s="111">
        <v>769</v>
      </c>
      <c r="DF38" s="111">
        <v>646</v>
      </c>
      <c r="DG38" s="111">
        <v>123</v>
      </c>
      <c r="DH38" s="111">
        <v>196</v>
      </c>
      <c r="DI38" s="111">
        <v>74</v>
      </c>
      <c r="DJ38" s="111">
        <v>122</v>
      </c>
      <c r="DK38" s="111">
        <v>538</v>
      </c>
      <c r="DL38" s="111">
        <v>320</v>
      </c>
      <c r="DM38" s="111">
        <v>226</v>
      </c>
      <c r="DN38" s="111">
        <v>94</v>
      </c>
      <c r="DO38" s="111">
        <v>218</v>
      </c>
      <c r="DP38" s="111">
        <v>74</v>
      </c>
      <c r="DQ38" s="111">
        <v>144</v>
      </c>
      <c r="DR38" s="111">
        <v>302</v>
      </c>
      <c r="DS38" s="111">
        <v>0</v>
      </c>
      <c r="DT38" s="111">
        <v>163</v>
      </c>
      <c r="DU38" s="111">
        <v>114</v>
      </c>
      <c r="DV38" s="111">
        <v>49</v>
      </c>
      <c r="DW38" s="111">
        <v>139</v>
      </c>
      <c r="DX38" s="111">
        <v>27</v>
      </c>
      <c r="DY38" s="111">
        <v>112</v>
      </c>
      <c r="DZ38" s="111">
        <v>1621</v>
      </c>
      <c r="EA38" s="111">
        <v>1440</v>
      </c>
      <c r="EB38" s="111">
        <v>1192</v>
      </c>
      <c r="EC38" s="111">
        <v>248</v>
      </c>
      <c r="ED38" s="111">
        <v>181</v>
      </c>
      <c r="EE38" s="111">
        <v>54</v>
      </c>
      <c r="EF38" s="111">
        <v>127</v>
      </c>
      <c r="EG38" s="111">
        <v>304</v>
      </c>
      <c r="EH38" s="111">
        <v>127</v>
      </c>
      <c r="EI38" s="111">
        <v>103</v>
      </c>
      <c r="EJ38" s="111">
        <v>24</v>
      </c>
      <c r="EK38" s="111">
        <v>177</v>
      </c>
      <c r="EL38" s="111">
        <v>128</v>
      </c>
      <c r="EM38" s="111">
        <v>49</v>
      </c>
      <c r="EN38" s="111">
        <v>221</v>
      </c>
      <c r="EO38" s="111">
        <v>196</v>
      </c>
      <c r="EP38" s="111">
        <v>0</v>
      </c>
      <c r="EQ38" s="111">
        <v>25</v>
      </c>
      <c r="ER38" s="111">
        <v>89</v>
      </c>
      <c r="ES38" s="111">
        <v>0</v>
      </c>
      <c r="ET38" s="111">
        <v>0</v>
      </c>
      <c r="EU38" s="111">
        <v>42</v>
      </c>
      <c r="EV38" s="111">
        <v>42</v>
      </c>
      <c r="EW38" s="111">
        <v>0</v>
      </c>
      <c r="EX38" s="111">
        <v>0</v>
      </c>
      <c r="EY38" s="111">
        <v>41</v>
      </c>
      <c r="EZ38" s="111">
        <v>41</v>
      </c>
      <c r="FA38" s="111">
        <v>0</v>
      </c>
      <c r="FB38" s="111">
        <v>21</v>
      </c>
    </row>
    <row r="39" spans="1:158" ht="19.5" customHeight="1">
      <c r="A39" s="107">
        <v>36</v>
      </c>
      <c r="B39" s="107" t="s">
        <v>382</v>
      </c>
      <c r="C39" s="107" t="s">
        <v>388</v>
      </c>
      <c r="D39" s="110">
        <v>1483178</v>
      </c>
      <c r="E39" s="110">
        <v>146220.5</v>
      </c>
      <c r="F39" s="110">
        <v>1336957.5</v>
      </c>
      <c r="G39" s="110">
        <v>1359</v>
      </c>
      <c r="H39" s="110">
        <v>155</v>
      </c>
      <c r="I39" s="110">
        <v>720</v>
      </c>
      <c r="J39" s="110">
        <v>172</v>
      </c>
      <c r="K39" s="110">
        <v>124.59</v>
      </c>
      <c r="L39" s="110">
        <v>50028</v>
      </c>
      <c r="M39" s="110">
        <v>371621</v>
      </c>
      <c r="N39" s="110">
        <v>0</v>
      </c>
      <c r="O39" s="110">
        <v>2069273.22</v>
      </c>
      <c r="P39" s="110">
        <v>939198.15</v>
      </c>
      <c r="Q39" s="110">
        <v>551055.99</v>
      </c>
      <c r="R39" s="110">
        <v>388142.16</v>
      </c>
      <c r="S39" s="110">
        <v>1130075.07</v>
      </c>
      <c r="T39" s="110">
        <v>748185.32</v>
      </c>
      <c r="U39" s="110">
        <v>381889.75</v>
      </c>
      <c r="V39" s="110">
        <v>163188.48000000001</v>
      </c>
      <c r="W39" s="110">
        <v>102486.49</v>
      </c>
      <c r="X39" s="110">
        <v>81075.350000000006</v>
      </c>
      <c r="Y39" s="110">
        <v>21411.14</v>
      </c>
      <c r="Z39" s="110">
        <v>60701.99</v>
      </c>
      <c r="AA39" s="110">
        <v>17067.87</v>
      </c>
      <c r="AB39" s="110">
        <v>43634.12</v>
      </c>
      <c r="AC39" s="110">
        <v>16484.78</v>
      </c>
      <c r="AD39" s="110">
        <v>10354.790000000001</v>
      </c>
      <c r="AE39" s="110">
        <v>9127.65</v>
      </c>
      <c r="AF39" s="110">
        <v>1227.1400000000001</v>
      </c>
      <c r="AG39" s="110">
        <v>6129.99</v>
      </c>
      <c r="AH39" s="110">
        <v>964.87</v>
      </c>
      <c r="AI39" s="110">
        <v>5165.12</v>
      </c>
      <c r="AJ39" s="110">
        <v>483.2</v>
      </c>
      <c r="AK39" s="110">
        <v>156.19999999999999</v>
      </c>
      <c r="AL39" s="110">
        <v>156.19999999999999</v>
      </c>
      <c r="AM39" s="110">
        <v>0</v>
      </c>
      <c r="AN39" s="110">
        <v>327</v>
      </c>
      <c r="AO39" s="110">
        <v>60</v>
      </c>
      <c r="AP39" s="110">
        <v>267</v>
      </c>
      <c r="AQ39" s="110">
        <v>50972</v>
      </c>
      <c r="AR39" s="110">
        <v>30790</v>
      </c>
      <c r="AS39" s="110">
        <v>24677</v>
      </c>
      <c r="AT39" s="110">
        <v>6113</v>
      </c>
      <c r="AU39" s="110">
        <v>20182</v>
      </c>
      <c r="AV39" s="110">
        <v>4965</v>
      </c>
      <c r="AW39" s="110">
        <v>15217</v>
      </c>
      <c r="AX39" s="110">
        <v>95248.5</v>
      </c>
      <c r="AY39" s="110">
        <v>61185.5</v>
      </c>
      <c r="AZ39" s="110">
        <v>47114.5</v>
      </c>
      <c r="BA39" s="110">
        <v>14071</v>
      </c>
      <c r="BB39" s="110">
        <v>34063</v>
      </c>
      <c r="BC39" s="110">
        <v>11078</v>
      </c>
      <c r="BD39" s="110">
        <v>22985</v>
      </c>
      <c r="BE39" s="110">
        <v>1906084.74</v>
      </c>
      <c r="BF39" s="110">
        <v>836711.66</v>
      </c>
      <c r="BG39" s="110">
        <v>469980.64</v>
      </c>
      <c r="BH39" s="110">
        <v>366731.02</v>
      </c>
      <c r="BI39" s="110">
        <v>1069373.08</v>
      </c>
      <c r="BJ39" s="110">
        <v>731117.45</v>
      </c>
      <c r="BK39" s="110">
        <v>338255.63</v>
      </c>
      <c r="BL39" s="110">
        <v>187933.95</v>
      </c>
      <c r="BM39" s="110">
        <v>76331.02</v>
      </c>
      <c r="BN39" s="110">
        <v>52949.85</v>
      </c>
      <c r="BO39" s="110">
        <v>23381.17</v>
      </c>
      <c r="BP39" s="110">
        <v>111602.93</v>
      </c>
      <c r="BQ39" s="110">
        <v>88061.19</v>
      </c>
      <c r="BR39" s="110">
        <v>23541.74</v>
      </c>
      <c r="BS39" s="110">
        <v>381193.29</v>
      </c>
      <c r="BT39" s="110">
        <v>163301.64000000001</v>
      </c>
      <c r="BU39" s="110">
        <v>113692.29</v>
      </c>
      <c r="BV39" s="110">
        <v>49609.35</v>
      </c>
      <c r="BW39" s="110">
        <v>217891.65</v>
      </c>
      <c r="BX39" s="110">
        <v>173963.26</v>
      </c>
      <c r="BY39" s="110">
        <v>43928.39</v>
      </c>
      <c r="BZ39" s="110">
        <v>243382</v>
      </c>
      <c r="CA39" s="110">
        <v>82721</v>
      </c>
      <c r="CB39" s="110">
        <v>55936</v>
      </c>
      <c r="CC39" s="110">
        <v>26785</v>
      </c>
      <c r="CD39" s="110">
        <v>160661</v>
      </c>
      <c r="CE39" s="110">
        <v>120067</v>
      </c>
      <c r="CF39" s="110">
        <v>40594</v>
      </c>
      <c r="CG39" s="110">
        <v>1093575.5</v>
      </c>
      <c r="CH39" s="110">
        <v>514358</v>
      </c>
      <c r="CI39" s="110">
        <v>247402.5</v>
      </c>
      <c r="CJ39" s="110">
        <v>266955.5</v>
      </c>
      <c r="CK39" s="110">
        <v>579217.5</v>
      </c>
      <c r="CL39" s="110">
        <v>349026</v>
      </c>
      <c r="CM39" s="110">
        <v>230191.5</v>
      </c>
      <c r="CN39" s="110">
        <v>0</v>
      </c>
      <c r="CO39" s="110">
        <v>53954.73</v>
      </c>
      <c r="CP39" s="110">
        <v>41061.440000000002</v>
      </c>
      <c r="CQ39" s="110">
        <v>4346.74</v>
      </c>
      <c r="CR39" s="110">
        <v>63825.57</v>
      </c>
      <c r="CS39" s="110">
        <v>0</v>
      </c>
      <c r="CT39" s="110">
        <v>568841.46</v>
      </c>
      <c r="CU39" s="110">
        <v>0</v>
      </c>
      <c r="CV39" s="111">
        <v>1359</v>
      </c>
      <c r="CW39" s="111">
        <v>956</v>
      </c>
      <c r="CX39" s="111">
        <v>800</v>
      </c>
      <c r="CY39" s="111">
        <v>156</v>
      </c>
      <c r="CZ39" s="111">
        <v>403</v>
      </c>
      <c r="DA39" s="111">
        <v>131</v>
      </c>
      <c r="DB39" s="111">
        <v>272</v>
      </c>
      <c r="DC39" s="111">
        <v>704</v>
      </c>
      <c r="DD39" s="111">
        <v>8</v>
      </c>
      <c r="DE39" s="111">
        <v>537</v>
      </c>
      <c r="DF39" s="111">
        <v>467</v>
      </c>
      <c r="DG39" s="111">
        <v>70</v>
      </c>
      <c r="DH39" s="111">
        <v>167</v>
      </c>
      <c r="DI39" s="111">
        <v>49</v>
      </c>
      <c r="DJ39" s="111">
        <v>118</v>
      </c>
      <c r="DK39" s="111">
        <v>470</v>
      </c>
      <c r="DL39" s="111">
        <v>314</v>
      </c>
      <c r="DM39" s="111">
        <v>254</v>
      </c>
      <c r="DN39" s="111">
        <v>60</v>
      </c>
      <c r="DO39" s="111">
        <v>156</v>
      </c>
      <c r="DP39" s="111">
        <v>57</v>
      </c>
      <c r="DQ39" s="111">
        <v>99</v>
      </c>
      <c r="DR39" s="111">
        <v>167</v>
      </c>
      <c r="DS39" s="111">
        <v>0</v>
      </c>
      <c r="DT39" s="111">
        <v>97</v>
      </c>
      <c r="DU39" s="111">
        <v>73</v>
      </c>
      <c r="DV39" s="111">
        <v>24</v>
      </c>
      <c r="DW39" s="111">
        <v>70</v>
      </c>
      <c r="DX39" s="111">
        <v>22</v>
      </c>
      <c r="DY39" s="111">
        <v>48</v>
      </c>
      <c r="DZ39" s="111">
        <v>10</v>
      </c>
      <c r="EA39" s="111">
        <v>3</v>
      </c>
      <c r="EB39" s="111">
        <v>3</v>
      </c>
      <c r="EC39" s="111">
        <v>0</v>
      </c>
      <c r="ED39" s="111">
        <v>7</v>
      </c>
      <c r="EE39" s="111">
        <v>3</v>
      </c>
      <c r="EF39" s="111">
        <v>4</v>
      </c>
      <c r="EG39" s="111">
        <v>155</v>
      </c>
      <c r="EH39" s="111">
        <v>63</v>
      </c>
      <c r="EI39" s="111">
        <v>42</v>
      </c>
      <c r="EJ39" s="111">
        <v>21</v>
      </c>
      <c r="EK39" s="111">
        <v>92</v>
      </c>
      <c r="EL39" s="111">
        <v>69</v>
      </c>
      <c r="EM39" s="111">
        <v>23</v>
      </c>
      <c r="EN39" s="111">
        <v>134</v>
      </c>
      <c r="EO39" s="111">
        <v>96</v>
      </c>
      <c r="EP39" s="111">
        <v>0</v>
      </c>
      <c r="EQ39" s="111">
        <v>38</v>
      </c>
      <c r="ER39" s="111">
        <v>40</v>
      </c>
      <c r="ES39" s="111">
        <v>0</v>
      </c>
      <c r="ET39" s="111">
        <v>0</v>
      </c>
      <c r="EU39" s="111">
        <v>39</v>
      </c>
      <c r="EV39" s="111">
        <v>39</v>
      </c>
      <c r="EW39" s="111">
        <v>0</v>
      </c>
      <c r="EX39" s="111">
        <v>0</v>
      </c>
      <c r="EY39" s="111">
        <v>23</v>
      </c>
      <c r="EZ39" s="111">
        <v>23</v>
      </c>
      <c r="FA39" s="111">
        <v>0</v>
      </c>
      <c r="FB39" s="111">
        <v>12</v>
      </c>
    </row>
    <row r="40" spans="1:158" ht="19.5" customHeight="1">
      <c r="A40" s="107">
        <v>37</v>
      </c>
      <c r="B40" s="107" t="s">
        <v>382</v>
      </c>
      <c r="C40" s="107" t="s">
        <v>389</v>
      </c>
      <c r="D40" s="110">
        <v>3352860.75</v>
      </c>
      <c r="E40" s="110">
        <v>1182090</v>
      </c>
      <c r="F40" s="110">
        <v>2170770.75</v>
      </c>
      <c r="G40" s="110">
        <v>6599</v>
      </c>
      <c r="H40" s="110">
        <v>188</v>
      </c>
      <c r="I40" s="110">
        <v>44117</v>
      </c>
      <c r="J40" s="110">
        <v>74984</v>
      </c>
      <c r="K40" s="110">
        <v>0</v>
      </c>
      <c r="L40" s="110">
        <v>130192</v>
      </c>
      <c r="M40" s="110">
        <v>1073961.75</v>
      </c>
      <c r="N40" s="110">
        <v>0</v>
      </c>
      <c r="O40" s="110">
        <v>7989515.0300000003</v>
      </c>
      <c r="P40" s="110">
        <v>4085748.37</v>
      </c>
      <c r="Q40" s="110">
        <v>3510265.64</v>
      </c>
      <c r="R40" s="110">
        <v>575482.73</v>
      </c>
      <c r="S40" s="110">
        <v>3903766.66</v>
      </c>
      <c r="T40" s="110">
        <v>2834584.26</v>
      </c>
      <c r="U40" s="110">
        <v>1069182.3999999999</v>
      </c>
      <c r="V40" s="110">
        <v>1936002.81</v>
      </c>
      <c r="W40" s="110">
        <v>1532244.4</v>
      </c>
      <c r="X40" s="110">
        <v>1312860.03</v>
      </c>
      <c r="Y40" s="110">
        <v>219384.37</v>
      </c>
      <c r="Z40" s="110">
        <v>403758.41</v>
      </c>
      <c r="AA40" s="110">
        <v>114264.28</v>
      </c>
      <c r="AB40" s="110">
        <v>289494.13</v>
      </c>
      <c r="AC40" s="110">
        <v>84034.53</v>
      </c>
      <c r="AD40" s="110">
        <v>74577.95</v>
      </c>
      <c r="AE40" s="110">
        <v>60283.25</v>
      </c>
      <c r="AF40" s="110">
        <v>14294.7</v>
      </c>
      <c r="AG40" s="110">
        <v>9456.58</v>
      </c>
      <c r="AH40" s="110">
        <v>1703.25</v>
      </c>
      <c r="AI40" s="110">
        <v>7753.33</v>
      </c>
      <c r="AJ40" s="110">
        <v>669878.28</v>
      </c>
      <c r="AK40" s="110">
        <v>617199.44999999995</v>
      </c>
      <c r="AL40" s="110">
        <v>564916.78</v>
      </c>
      <c r="AM40" s="110">
        <v>52282.67</v>
      </c>
      <c r="AN40" s="110">
        <v>52678.83</v>
      </c>
      <c r="AO40" s="110">
        <v>8707.0300000000007</v>
      </c>
      <c r="AP40" s="110">
        <v>43971.8</v>
      </c>
      <c r="AQ40" s="110">
        <v>639345</v>
      </c>
      <c r="AR40" s="110">
        <v>475347</v>
      </c>
      <c r="AS40" s="110">
        <v>389130</v>
      </c>
      <c r="AT40" s="110">
        <v>86217</v>
      </c>
      <c r="AU40" s="110">
        <v>163998</v>
      </c>
      <c r="AV40" s="110">
        <v>48070</v>
      </c>
      <c r="AW40" s="110">
        <v>115928</v>
      </c>
      <c r="AX40" s="110">
        <v>542745</v>
      </c>
      <c r="AY40" s="110">
        <v>365120</v>
      </c>
      <c r="AZ40" s="110">
        <v>298530</v>
      </c>
      <c r="BA40" s="110">
        <v>66590</v>
      </c>
      <c r="BB40" s="110">
        <v>177625</v>
      </c>
      <c r="BC40" s="110">
        <v>55784</v>
      </c>
      <c r="BD40" s="110">
        <v>121841</v>
      </c>
      <c r="BE40" s="110">
        <v>6053512.2199999997</v>
      </c>
      <c r="BF40" s="110">
        <v>2553503.9700000002</v>
      </c>
      <c r="BG40" s="110">
        <v>2197405.61</v>
      </c>
      <c r="BH40" s="110">
        <v>356098.36</v>
      </c>
      <c r="BI40" s="110">
        <v>3500008.25</v>
      </c>
      <c r="BJ40" s="110">
        <v>2720319.98</v>
      </c>
      <c r="BK40" s="110">
        <v>779688.27</v>
      </c>
      <c r="BL40" s="110">
        <v>465314.26</v>
      </c>
      <c r="BM40" s="110">
        <v>200219.33</v>
      </c>
      <c r="BN40" s="110">
        <v>177490.95</v>
      </c>
      <c r="BO40" s="110">
        <v>22728.38</v>
      </c>
      <c r="BP40" s="110">
        <v>265094.93</v>
      </c>
      <c r="BQ40" s="110">
        <v>211810.53</v>
      </c>
      <c r="BR40" s="110">
        <v>53284.4</v>
      </c>
      <c r="BS40" s="110">
        <v>3417427.21</v>
      </c>
      <c r="BT40" s="110">
        <v>1505572.39</v>
      </c>
      <c r="BU40" s="110">
        <v>1326152.6599999999</v>
      </c>
      <c r="BV40" s="110">
        <v>179419.73</v>
      </c>
      <c r="BW40" s="110">
        <v>1911854.82</v>
      </c>
      <c r="BX40" s="110">
        <v>1489120.95</v>
      </c>
      <c r="BY40" s="110">
        <v>422733.87</v>
      </c>
      <c r="BZ40" s="110">
        <v>421465</v>
      </c>
      <c r="CA40" s="110">
        <v>153167</v>
      </c>
      <c r="CB40" s="110">
        <v>130906</v>
      </c>
      <c r="CC40" s="110">
        <v>22261</v>
      </c>
      <c r="CD40" s="110">
        <v>268298</v>
      </c>
      <c r="CE40" s="110">
        <v>216661</v>
      </c>
      <c r="CF40" s="110">
        <v>51637</v>
      </c>
      <c r="CG40" s="110">
        <v>1749305.75</v>
      </c>
      <c r="CH40" s="110">
        <v>694545.25</v>
      </c>
      <c r="CI40" s="110">
        <v>562856</v>
      </c>
      <c r="CJ40" s="110">
        <v>131689.25</v>
      </c>
      <c r="CK40" s="110">
        <v>1054760.5</v>
      </c>
      <c r="CL40" s="110">
        <v>802727.5</v>
      </c>
      <c r="CM40" s="110">
        <v>252033</v>
      </c>
      <c r="CN40" s="110">
        <v>1060943.56</v>
      </c>
      <c r="CO40" s="110">
        <v>192465.91</v>
      </c>
      <c r="CP40" s="110">
        <v>306631.76</v>
      </c>
      <c r="CQ40" s="110">
        <v>33469.050000000003</v>
      </c>
      <c r="CR40" s="110">
        <v>342517.53</v>
      </c>
      <c r="CS40" s="110">
        <v>0</v>
      </c>
      <c r="CT40" s="110">
        <v>176682.2</v>
      </c>
      <c r="CU40" s="110">
        <v>0</v>
      </c>
      <c r="CV40" s="111">
        <v>6599</v>
      </c>
      <c r="CW40" s="111">
        <v>5400</v>
      </c>
      <c r="CX40" s="111">
        <v>4533</v>
      </c>
      <c r="CY40" s="111">
        <v>867</v>
      </c>
      <c r="CZ40" s="111">
        <v>1199</v>
      </c>
      <c r="DA40" s="111">
        <v>342</v>
      </c>
      <c r="DB40" s="111">
        <v>857</v>
      </c>
      <c r="DC40" s="111">
        <v>1244</v>
      </c>
      <c r="DD40" s="111">
        <v>4</v>
      </c>
      <c r="DE40" s="111">
        <v>1107</v>
      </c>
      <c r="DF40" s="111">
        <v>928</v>
      </c>
      <c r="DG40" s="111">
        <v>179</v>
      </c>
      <c r="DH40" s="111">
        <v>137</v>
      </c>
      <c r="DI40" s="111">
        <v>27</v>
      </c>
      <c r="DJ40" s="111">
        <v>110</v>
      </c>
      <c r="DK40" s="111">
        <v>1716</v>
      </c>
      <c r="DL40" s="111">
        <v>1123</v>
      </c>
      <c r="DM40" s="111">
        <v>920</v>
      </c>
      <c r="DN40" s="111">
        <v>203</v>
      </c>
      <c r="DO40" s="111">
        <v>593</v>
      </c>
      <c r="DP40" s="111">
        <v>195</v>
      </c>
      <c r="DQ40" s="111">
        <v>398</v>
      </c>
      <c r="DR40" s="111">
        <v>437</v>
      </c>
      <c r="DS40" s="111">
        <v>1</v>
      </c>
      <c r="DT40" s="111">
        <v>290</v>
      </c>
      <c r="DU40" s="111">
        <v>227</v>
      </c>
      <c r="DV40" s="111">
        <v>63</v>
      </c>
      <c r="DW40" s="111">
        <v>147</v>
      </c>
      <c r="DX40" s="111">
        <v>44</v>
      </c>
      <c r="DY40" s="111">
        <v>103</v>
      </c>
      <c r="DZ40" s="111">
        <v>3197</v>
      </c>
      <c r="EA40" s="111">
        <v>2878</v>
      </c>
      <c r="EB40" s="111">
        <v>2457</v>
      </c>
      <c r="EC40" s="111">
        <v>421</v>
      </c>
      <c r="ED40" s="111">
        <v>319</v>
      </c>
      <c r="EE40" s="111">
        <v>76</v>
      </c>
      <c r="EF40" s="111">
        <v>243</v>
      </c>
      <c r="EG40" s="111">
        <v>188</v>
      </c>
      <c r="EH40" s="111">
        <v>90</v>
      </c>
      <c r="EI40" s="111">
        <v>74</v>
      </c>
      <c r="EJ40" s="111">
        <v>16</v>
      </c>
      <c r="EK40" s="111">
        <v>98</v>
      </c>
      <c r="EL40" s="111">
        <v>76</v>
      </c>
      <c r="EM40" s="111">
        <v>22</v>
      </c>
      <c r="EN40" s="111">
        <v>168</v>
      </c>
      <c r="EO40" s="111">
        <v>165</v>
      </c>
      <c r="EP40" s="111">
        <v>0</v>
      </c>
      <c r="EQ40" s="111">
        <v>3</v>
      </c>
      <c r="ER40" s="111">
        <v>12</v>
      </c>
      <c r="ES40" s="111">
        <v>0</v>
      </c>
      <c r="ET40" s="111">
        <v>0</v>
      </c>
      <c r="EU40" s="111">
        <v>108</v>
      </c>
      <c r="EV40" s="111">
        <v>108</v>
      </c>
      <c r="EW40" s="111">
        <v>0</v>
      </c>
      <c r="EX40" s="111">
        <v>0</v>
      </c>
      <c r="EY40" s="111">
        <v>14</v>
      </c>
      <c r="EZ40" s="111">
        <v>14</v>
      </c>
      <c r="FA40" s="111">
        <v>0</v>
      </c>
      <c r="FB40" s="111">
        <v>10</v>
      </c>
    </row>
    <row r="41" spans="1:158" ht="19.5" customHeight="1">
      <c r="A41" s="107">
        <v>38</v>
      </c>
      <c r="B41" s="107" t="s">
        <v>382</v>
      </c>
      <c r="C41" s="107" t="s">
        <v>390</v>
      </c>
      <c r="D41" s="110">
        <v>3458018.5</v>
      </c>
      <c r="E41" s="110">
        <v>998023</v>
      </c>
      <c r="F41" s="110">
        <v>2459995.5</v>
      </c>
      <c r="G41" s="110">
        <v>3726</v>
      </c>
      <c r="H41" s="110">
        <v>220</v>
      </c>
      <c r="I41" s="110">
        <v>15373</v>
      </c>
      <c r="J41" s="110">
        <v>0</v>
      </c>
      <c r="K41" s="110">
        <v>0</v>
      </c>
      <c r="L41" s="110">
        <v>70840.5</v>
      </c>
      <c r="M41" s="110">
        <v>683004.5</v>
      </c>
      <c r="N41" s="110">
        <v>0</v>
      </c>
      <c r="O41" s="110">
        <v>7948953.5199999996</v>
      </c>
      <c r="P41" s="110">
        <v>1143281.1000000001</v>
      </c>
      <c r="Q41" s="110">
        <v>832326.41</v>
      </c>
      <c r="R41" s="110">
        <v>310954.69</v>
      </c>
      <c r="S41" s="110">
        <v>6805672.4199999999</v>
      </c>
      <c r="T41" s="110">
        <v>5640576.4199999999</v>
      </c>
      <c r="U41" s="110">
        <v>1165096</v>
      </c>
      <c r="V41" s="110">
        <v>1143067.3999999999</v>
      </c>
      <c r="W41" s="110">
        <v>478277.85</v>
      </c>
      <c r="X41" s="110">
        <v>345854.71999999997</v>
      </c>
      <c r="Y41" s="110">
        <v>132423.13</v>
      </c>
      <c r="Z41" s="110">
        <v>664789.55000000005</v>
      </c>
      <c r="AA41" s="110">
        <v>160956.88</v>
      </c>
      <c r="AB41" s="110">
        <v>503832.67</v>
      </c>
      <c r="AC41" s="110">
        <v>56794.42</v>
      </c>
      <c r="AD41" s="110">
        <v>38347.67</v>
      </c>
      <c r="AE41" s="110">
        <v>28144.54</v>
      </c>
      <c r="AF41" s="110">
        <v>10203.129999999999</v>
      </c>
      <c r="AG41" s="110">
        <v>18446.75</v>
      </c>
      <c r="AH41" s="110">
        <v>7074.08</v>
      </c>
      <c r="AI41" s="110">
        <v>11372.67</v>
      </c>
      <c r="AJ41" s="110">
        <v>88249.98</v>
      </c>
      <c r="AK41" s="110">
        <v>70526.179999999993</v>
      </c>
      <c r="AL41" s="110">
        <v>47832.18</v>
      </c>
      <c r="AM41" s="110">
        <v>22694</v>
      </c>
      <c r="AN41" s="110">
        <v>17723.8</v>
      </c>
      <c r="AO41" s="110">
        <v>3440.8</v>
      </c>
      <c r="AP41" s="110">
        <v>14283</v>
      </c>
      <c r="AQ41" s="110">
        <v>659962</v>
      </c>
      <c r="AR41" s="110">
        <v>255109</v>
      </c>
      <c r="AS41" s="110">
        <v>191692</v>
      </c>
      <c r="AT41" s="110">
        <v>63417</v>
      </c>
      <c r="AU41" s="110">
        <v>404853</v>
      </c>
      <c r="AV41" s="110">
        <v>92928</v>
      </c>
      <c r="AW41" s="110">
        <v>311925</v>
      </c>
      <c r="AX41" s="110">
        <v>338061</v>
      </c>
      <c r="AY41" s="110">
        <v>114295</v>
      </c>
      <c r="AZ41" s="110">
        <v>78186</v>
      </c>
      <c r="BA41" s="110">
        <v>36109</v>
      </c>
      <c r="BB41" s="110">
        <v>223766</v>
      </c>
      <c r="BC41" s="110">
        <v>57514</v>
      </c>
      <c r="BD41" s="110">
        <v>166252</v>
      </c>
      <c r="BE41" s="110">
        <v>6805886.1200000001</v>
      </c>
      <c r="BF41" s="110">
        <v>665003.25</v>
      </c>
      <c r="BG41" s="110">
        <v>486471.69</v>
      </c>
      <c r="BH41" s="110">
        <v>178531.56</v>
      </c>
      <c r="BI41" s="110">
        <v>6140882.8700000001</v>
      </c>
      <c r="BJ41" s="110">
        <v>5479619.54</v>
      </c>
      <c r="BK41" s="110">
        <v>661263.32999999996</v>
      </c>
      <c r="BL41" s="110">
        <v>1103842.8600000001</v>
      </c>
      <c r="BM41" s="110">
        <v>83369.679999999993</v>
      </c>
      <c r="BN41" s="110">
        <v>56484.160000000003</v>
      </c>
      <c r="BO41" s="110">
        <v>26885.52</v>
      </c>
      <c r="BP41" s="110">
        <v>1020473.18</v>
      </c>
      <c r="BQ41" s="110">
        <v>958910.08</v>
      </c>
      <c r="BR41" s="110">
        <v>61563.1</v>
      </c>
      <c r="BS41" s="110">
        <v>3242047.76</v>
      </c>
      <c r="BT41" s="110">
        <v>292425.07</v>
      </c>
      <c r="BU41" s="110">
        <v>228996.03</v>
      </c>
      <c r="BV41" s="110">
        <v>63429.04</v>
      </c>
      <c r="BW41" s="110">
        <v>2949622.69</v>
      </c>
      <c r="BX41" s="110">
        <v>2642474.96</v>
      </c>
      <c r="BY41" s="110">
        <v>307147.73</v>
      </c>
      <c r="BZ41" s="110">
        <v>693474</v>
      </c>
      <c r="CA41" s="110">
        <v>68643</v>
      </c>
      <c r="CB41" s="110">
        <v>50203</v>
      </c>
      <c r="CC41" s="110">
        <v>18440</v>
      </c>
      <c r="CD41" s="110">
        <v>624831</v>
      </c>
      <c r="CE41" s="110">
        <v>548023</v>
      </c>
      <c r="CF41" s="110">
        <v>76808</v>
      </c>
      <c r="CG41" s="110">
        <v>1766521.5</v>
      </c>
      <c r="CH41" s="110">
        <v>220565.5</v>
      </c>
      <c r="CI41" s="110">
        <v>150788.5</v>
      </c>
      <c r="CJ41" s="110">
        <v>69777</v>
      </c>
      <c r="CK41" s="110">
        <v>1545956</v>
      </c>
      <c r="CL41" s="110">
        <v>1330211.5</v>
      </c>
      <c r="CM41" s="110">
        <v>215744.5</v>
      </c>
      <c r="CN41" s="110">
        <v>319470.99</v>
      </c>
      <c r="CO41" s="110">
        <v>111654.55</v>
      </c>
      <c r="CP41" s="110">
        <v>333069.13</v>
      </c>
      <c r="CQ41" s="110">
        <v>17677.28</v>
      </c>
      <c r="CR41" s="110">
        <v>361195.45</v>
      </c>
      <c r="CS41" s="110">
        <v>0</v>
      </c>
      <c r="CT41" s="110">
        <v>189457.6</v>
      </c>
      <c r="CU41" s="110">
        <v>0</v>
      </c>
      <c r="CV41" s="111">
        <v>3726</v>
      </c>
      <c r="CW41" s="111">
        <v>1945</v>
      </c>
      <c r="CX41" s="111">
        <v>1401</v>
      </c>
      <c r="CY41" s="111">
        <v>544</v>
      </c>
      <c r="CZ41" s="111">
        <v>1781</v>
      </c>
      <c r="DA41" s="111">
        <v>500</v>
      </c>
      <c r="DB41" s="111">
        <v>1281</v>
      </c>
      <c r="DC41" s="111">
        <v>488</v>
      </c>
      <c r="DD41" s="111">
        <v>6</v>
      </c>
      <c r="DE41" s="111">
        <v>315</v>
      </c>
      <c r="DF41" s="111">
        <v>256</v>
      </c>
      <c r="DG41" s="111">
        <v>59</v>
      </c>
      <c r="DH41" s="111">
        <v>173</v>
      </c>
      <c r="DI41" s="111">
        <v>48</v>
      </c>
      <c r="DJ41" s="111">
        <v>125</v>
      </c>
      <c r="DK41" s="111">
        <v>1422</v>
      </c>
      <c r="DL41" s="111">
        <v>513</v>
      </c>
      <c r="DM41" s="111">
        <v>348</v>
      </c>
      <c r="DN41" s="111">
        <v>165</v>
      </c>
      <c r="DO41" s="111">
        <v>909</v>
      </c>
      <c r="DP41" s="111">
        <v>269</v>
      </c>
      <c r="DQ41" s="111">
        <v>640</v>
      </c>
      <c r="DR41" s="111">
        <v>584</v>
      </c>
      <c r="DS41" s="111">
        <v>0</v>
      </c>
      <c r="DT41" s="111">
        <v>120</v>
      </c>
      <c r="DU41" s="111">
        <v>76</v>
      </c>
      <c r="DV41" s="111">
        <v>44</v>
      </c>
      <c r="DW41" s="111">
        <v>464</v>
      </c>
      <c r="DX41" s="111">
        <v>114</v>
      </c>
      <c r="DY41" s="111">
        <v>350</v>
      </c>
      <c r="DZ41" s="111">
        <v>1226</v>
      </c>
      <c r="EA41" s="111">
        <v>995</v>
      </c>
      <c r="EB41" s="111">
        <v>720</v>
      </c>
      <c r="EC41" s="111">
        <v>275</v>
      </c>
      <c r="ED41" s="111">
        <v>231</v>
      </c>
      <c r="EE41" s="111">
        <v>69</v>
      </c>
      <c r="EF41" s="111">
        <v>162</v>
      </c>
      <c r="EG41" s="111">
        <v>220</v>
      </c>
      <c r="EH41" s="111">
        <v>32</v>
      </c>
      <c r="EI41" s="111">
        <v>19</v>
      </c>
      <c r="EJ41" s="111">
        <v>13</v>
      </c>
      <c r="EK41" s="111">
        <v>188</v>
      </c>
      <c r="EL41" s="111">
        <v>163</v>
      </c>
      <c r="EM41" s="111">
        <v>25</v>
      </c>
      <c r="EN41" s="111">
        <v>197</v>
      </c>
      <c r="EO41" s="111">
        <v>160</v>
      </c>
      <c r="EP41" s="111">
        <v>2</v>
      </c>
      <c r="EQ41" s="111">
        <v>35</v>
      </c>
      <c r="ER41" s="111">
        <v>103</v>
      </c>
      <c r="ES41" s="111">
        <v>0</v>
      </c>
      <c r="ET41" s="111">
        <v>0</v>
      </c>
      <c r="EU41" s="111">
        <v>27</v>
      </c>
      <c r="EV41" s="111">
        <v>25</v>
      </c>
      <c r="EW41" s="111">
        <v>2</v>
      </c>
      <c r="EX41" s="111">
        <v>0</v>
      </c>
      <c r="EY41" s="111">
        <v>116</v>
      </c>
      <c r="EZ41" s="111">
        <v>116</v>
      </c>
      <c r="FA41" s="111">
        <v>0</v>
      </c>
      <c r="FB41" s="111">
        <v>12</v>
      </c>
    </row>
    <row r="42" spans="1:158" ht="19.5" customHeight="1">
      <c r="A42" s="107">
        <v>39</v>
      </c>
      <c r="B42" s="107" t="s">
        <v>374</v>
      </c>
      <c r="C42" s="107" t="s">
        <v>391</v>
      </c>
      <c r="D42" s="110">
        <v>3558819</v>
      </c>
      <c r="E42" s="110">
        <v>3558819</v>
      </c>
      <c r="F42" s="110">
        <v>0</v>
      </c>
      <c r="G42" s="110">
        <v>9880</v>
      </c>
      <c r="H42" s="110">
        <v>0</v>
      </c>
      <c r="I42" s="110">
        <v>320780</v>
      </c>
      <c r="J42" s="110">
        <v>0</v>
      </c>
      <c r="K42" s="110">
        <v>0</v>
      </c>
      <c r="L42" s="110">
        <v>0</v>
      </c>
      <c r="M42" s="110">
        <v>0</v>
      </c>
      <c r="N42" s="110">
        <v>0</v>
      </c>
      <c r="O42" s="110">
        <v>4922149.71</v>
      </c>
      <c r="P42" s="110">
        <v>3810044</v>
      </c>
      <c r="Q42" s="110">
        <v>3293897.94</v>
      </c>
      <c r="R42" s="110">
        <v>516146.06</v>
      </c>
      <c r="S42" s="110">
        <v>1112105.71</v>
      </c>
      <c r="T42" s="110">
        <v>312184.43</v>
      </c>
      <c r="U42" s="110">
        <v>799921.28</v>
      </c>
      <c r="V42" s="110">
        <v>4922149.71</v>
      </c>
      <c r="W42" s="110">
        <v>3810044</v>
      </c>
      <c r="X42" s="110">
        <v>3293897.94</v>
      </c>
      <c r="Y42" s="110">
        <v>516146.06</v>
      </c>
      <c r="Z42" s="110">
        <v>1112105.71</v>
      </c>
      <c r="AA42" s="110">
        <v>312184.43</v>
      </c>
      <c r="AB42" s="110">
        <v>799921.28</v>
      </c>
      <c r="AC42" s="110">
        <v>1362868.51</v>
      </c>
      <c r="AD42" s="110">
        <v>1202428.8</v>
      </c>
      <c r="AE42" s="110">
        <v>1136834.74</v>
      </c>
      <c r="AF42" s="110">
        <v>65594.06</v>
      </c>
      <c r="AG42" s="110">
        <v>160439.71</v>
      </c>
      <c r="AH42" s="110">
        <v>44641.43</v>
      </c>
      <c r="AI42" s="110">
        <v>115798.28</v>
      </c>
      <c r="AJ42" s="110">
        <v>462.2</v>
      </c>
      <c r="AK42" s="110">
        <v>2.2000000000000002</v>
      </c>
      <c r="AL42" s="110">
        <v>2.2000000000000002</v>
      </c>
      <c r="AM42" s="110">
        <v>0</v>
      </c>
      <c r="AN42" s="110">
        <v>460</v>
      </c>
      <c r="AO42" s="110">
        <v>460</v>
      </c>
      <c r="AP42" s="110">
        <v>0</v>
      </c>
      <c r="AQ42" s="110">
        <v>2506815</v>
      </c>
      <c r="AR42" s="110">
        <v>1811605</v>
      </c>
      <c r="AS42" s="110">
        <v>1494820</v>
      </c>
      <c r="AT42" s="110">
        <v>316785</v>
      </c>
      <c r="AU42" s="110">
        <v>695210</v>
      </c>
      <c r="AV42" s="110">
        <v>195608</v>
      </c>
      <c r="AW42" s="110">
        <v>499602</v>
      </c>
      <c r="AX42" s="110">
        <v>1052004</v>
      </c>
      <c r="AY42" s="110">
        <v>796008</v>
      </c>
      <c r="AZ42" s="110">
        <v>662241</v>
      </c>
      <c r="BA42" s="110">
        <v>133767</v>
      </c>
      <c r="BB42" s="110">
        <v>255996</v>
      </c>
      <c r="BC42" s="110">
        <v>71475</v>
      </c>
      <c r="BD42" s="110">
        <v>184521</v>
      </c>
      <c r="BE42" s="110">
        <v>0</v>
      </c>
      <c r="BF42" s="110">
        <v>0</v>
      </c>
      <c r="BG42" s="110">
        <v>0</v>
      </c>
      <c r="BH42" s="110">
        <v>0</v>
      </c>
      <c r="BI42" s="110">
        <v>0</v>
      </c>
      <c r="BJ42" s="110">
        <v>0</v>
      </c>
      <c r="BK42" s="110">
        <v>0</v>
      </c>
      <c r="BL42" s="110">
        <v>0</v>
      </c>
      <c r="BM42" s="110">
        <v>0</v>
      </c>
      <c r="BN42" s="110">
        <v>0</v>
      </c>
      <c r="BO42" s="110">
        <v>0</v>
      </c>
      <c r="BP42" s="110">
        <v>0</v>
      </c>
      <c r="BQ42" s="110">
        <v>0</v>
      </c>
      <c r="BR42" s="110">
        <v>0</v>
      </c>
      <c r="BS42" s="110">
        <v>0</v>
      </c>
      <c r="BT42" s="110">
        <v>0</v>
      </c>
      <c r="BU42" s="110">
        <v>0</v>
      </c>
      <c r="BV42" s="110">
        <v>0</v>
      </c>
      <c r="BW42" s="110">
        <v>0</v>
      </c>
      <c r="BX42" s="110">
        <v>0</v>
      </c>
      <c r="BY42" s="110">
        <v>0</v>
      </c>
      <c r="BZ42" s="110">
        <v>0</v>
      </c>
      <c r="CA42" s="110">
        <v>0</v>
      </c>
      <c r="CB42" s="110">
        <v>0</v>
      </c>
      <c r="CC42" s="110">
        <v>0</v>
      </c>
      <c r="CD42" s="110">
        <v>0</v>
      </c>
      <c r="CE42" s="110">
        <v>0</v>
      </c>
      <c r="CF42" s="110">
        <v>0</v>
      </c>
      <c r="CG42" s="110">
        <v>0</v>
      </c>
      <c r="CH42" s="110">
        <v>0</v>
      </c>
      <c r="CI42" s="110">
        <v>0</v>
      </c>
      <c r="CJ42" s="110">
        <v>0</v>
      </c>
      <c r="CK42" s="110">
        <v>0</v>
      </c>
      <c r="CL42" s="110">
        <v>0</v>
      </c>
      <c r="CM42" s="110">
        <v>0</v>
      </c>
      <c r="CN42" s="110">
        <v>-40</v>
      </c>
      <c r="CO42" s="110">
        <v>2061793.75</v>
      </c>
      <c r="CP42" s="110">
        <v>1130613.56</v>
      </c>
      <c r="CQ42" s="110">
        <v>418336.74</v>
      </c>
      <c r="CR42" s="110">
        <v>1262998.6599999999</v>
      </c>
      <c r="CS42" s="110">
        <v>48407</v>
      </c>
      <c r="CT42" s="110">
        <v>0</v>
      </c>
      <c r="CU42" s="110">
        <v>0</v>
      </c>
      <c r="CV42" s="111">
        <v>9880</v>
      </c>
      <c r="CW42" s="111">
        <v>8448</v>
      </c>
      <c r="CX42" s="111">
        <v>7093</v>
      </c>
      <c r="CY42" s="111">
        <v>1355</v>
      </c>
      <c r="CZ42" s="111">
        <v>1432</v>
      </c>
      <c r="DA42" s="111">
        <v>396</v>
      </c>
      <c r="DB42" s="111">
        <v>1036</v>
      </c>
      <c r="DC42" s="111">
        <v>6405</v>
      </c>
      <c r="DD42" s="111">
        <v>80</v>
      </c>
      <c r="DE42" s="111">
        <v>5742</v>
      </c>
      <c r="DF42" s="111">
        <v>4861</v>
      </c>
      <c r="DG42" s="111">
        <v>881</v>
      </c>
      <c r="DH42" s="111">
        <v>663</v>
      </c>
      <c r="DI42" s="111">
        <v>176</v>
      </c>
      <c r="DJ42" s="111">
        <v>487</v>
      </c>
      <c r="DK42" s="111">
        <v>2111</v>
      </c>
      <c r="DL42" s="111">
        <v>1780</v>
      </c>
      <c r="DM42" s="111">
        <v>1510</v>
      </c>
      <c r="DN42" s="111">
        <v>270</v>
      </c>
      <c r="DO42" s="111">
        <v>331</v>
      </c>
      <c r="DP42" s="111">
        <v>111</v>
      </c>
      <c r="DQ42" s="111">
        <v>220</v>
      </c>
      <c r="DR42" s="111">
        <v>1284</v>
      </c>
      <c r="DS42" s="111">
        <v>0</v>
      </c>
      <c r="DT42" s="111">
        <v>863</v>
      </c>
      <c r="DU42" s="111">
        <v>665</v>
      </c>
      <c r="DV42" s="111">
        <v>198</v>
      </c>
      <c r="DW42" s="111">
        <v>421</v>
      </c>
      <c r="DX42" s="111">
        <v>109</v>
      </c>
      <c r="DY42" s="111">
        <v>312</v>
      </c>
      <c r="DZ42" s="111">
        <v>0</v>
      </c>
      <c r="EA42" s="111">
        <v>0</v>
      </c>
      <c r="EB42" s="111">
        <v>0</v>
      </c>
      <c r="EC42" s="111">
        <v>0</v>
      </c>
      <c r="ED42" s="111">
        <v>0</v>
      </c>
      <c r="EE42" s="111">
        <v>0</v>
      </c>
      <c r="EF42" s="111">
        <v>0</v>
      </c>
      <c r="EG42" s="111">
        <v>0</v>
      </c>
      <c r="EH42" s="111">
        <v>0</v>
      </c>
      <c r="EI42" s="111">
        <v>0</v>
      </c>
      <c r="EJ42" s="111">
        <v>0</v>
      </c>
      <c r="EK42" s="111">
        <v>0</v>
      </c>
      <c r="EL42" s="111">
        <v>0</v>
      </c>
      <c r="EM42" s="111">
        <v>0</v>
      </c>
      <c r="EN42" s="111">
        <v>0</v>
      </c>
      <c r="EO42" s="111">
        <v>0</v>
      </c>
      <c r="EP42" s="111">
        <v>0</v>
      </c>
      <c r="EQ42" s="111">
        <v>0</v>
      </c>
      <c r="ER42" s="111">
        <v>0</v>
      </c>
      <c r="ES42" s="111">
        <v>0</v>
      </c>
      <c r="ET42" s="111">
        <v>0</v>
      </c>
      <c r="EU42" s="111">
        <v>0</v>
      </c>
      <c r="EV42" s="111">
        <v>0</v>
      </c>
      <c r="EW42" s="111">
        <v>0</v>
      </c>
      <c r="EX42" s="111">
        <v>0</v>
      </c>
      <c r="EY42" s="111">
        <v>0</v>
      </c>
      <c r="EZ42" s="111">
        <v>0</v>
      </c>
      <c r="FA42" s="111">
        <v>0</v>
      </c>
      <c r="FB42" s="111">
        <v>0</v>
      </c>
    </row>
    <row r="43" spans="1:158" ht="19.5" customHeight="1">
      <c r="A43" s="107">
        <v>40</v>
      </c>
      <c r="B43" s="107" t="s">
        <v>361</v>
      </c>
      <c r="C43" s="107" t="s">
        <v>392</v>
      </c>
      <c r="D43" s="110">
        <v>10875509.25</v>
      </c>
      <c r="E43" s="110">
        <v>5334049</v>
      </c>
      <c r="F43" s="110">
        <v>5541460.25</v>
      </c>
      <c r="G43" s="110">
        <v>20240</v>
      </c>
      <c r="H43" s="110">
        <v>851</v>
      </c>
      <c r="I43" s="110">
        <v>455571</v>
      </c>
      <c r="J43" s="110">
        <v>152594</v>
      </c>
      <c r="K43" s="110">
        <v>15462.57</v>
      </c>
      <c r="L43" s="110">
        <v>81711</v>
      </c>
      <c r="M43" s="110">
        <v>2794677.75</v>
      </c>
      <c r="N43" s="110">
        <v>0</v>
      </c>
      <c r="O43" s="110">
        <v>15896399.300000001</v>
      </c>
      <c r="P43" s="110">
        <v>8266895.8799999999</v>
      </c>
      <c r="Q43" s="110">
        <v>7564882.6799999997</v>
      </c>
      <c r="R43" s="110">
        <v>702013.2</v>
      </c>
      <c r="S43" s="110">
        <v>7629503.4199999999</v>
      </c>
      <c r="T43" s="110">
        <v>3331378.85</v>
      </c>
      <c r="U43" s="110">
        <v>4298124.57</v>
      </c>
      <c r="V43" s="110">
        <v>7613386.2000000002</v>
      </c>
      <c r="W43" s="110">
        <v>5070226.54</v>
      </c>
      <c r="X43" s="110">
        <v>4742955.78</v>
      </c>
      <c r="Y43" s="110">
        <v>327270.76</v>
      </c>
      <c r="Z43" s="110">
        <v>2543159.66</v>
      </c>
      <c r="AA43" s="110">
        <v>1069032.79</v>
      </c>
      <c r="AB43" s="110">
        <v>1474126.87</v>
      </c>
      <c r="AC43" s="110">
        <v>2278269.9</v>
      </c>
      <c r="AD43" s="110">
        <v>1768218.78</v>
      </c>
      <c r="AE43" s="110">
        <v>1700139.4</v>
      </c>
      <c r="AF43" s="110">
        <v>68079.38</v>
      </c>
      <c r="AG43" s="110">
        <v>510051.12</v>
      </c>
      <c r="AH43" s="110">
        <v>289783.78999999998</v>
      </c>
      <c r="AI43" s="110">
        <v>220267.33</v>
      </c>
      <c r="AJ43" s="110">
        <v>1067.3</v>
      </c>
      <c r="AK43" s="110">
        <v>687.76</v>
      </c>
      <c r="AL43" s="110">
        <v>598.38</v>
      </c>
      <c r="AM43" s="110">
        <v>89.38</v>
      </c>
      <c r="AN43" s="110">
        <v>379.54</v>
      </c>
      <c r="AO43" s="110">
        <v>100</v>
      </c>
      <c r="AP43" s="110">
        <v>279.54000000000002</v>
      </c>
      <c r="AQ43" s="110">
        <v>3249090</v>
      </c>
      <c r="AR43" s="110">
        <v>2123473</v>
      </c>
      <c r="AS43" s="110">
        <v>1972096</v>
      </c>
      <c r="AT43" s="110">
        <v>151377</v>
      </c>
      <c r="AU43" s="110">
        <v>1125617</v>
      </c>
      <c r="AV43" s="110">
        <v>454479</v>
      </c>
      <c r="AW43" s="110">
        <v>671138</v>
      </c>
      <c r="AX43" s="110">
        <v>2084959</v>
      </c>
      <c r="AY43" s="110">
        <v>1177847</v>
      </c>
      <c r="AZ43" s="110">
        <v>1070122</v>
      </c>
      <c r="BA43" s="110">
        <v>107725</v>
      </c>
      <c r="BB43" s="110">
        <v>907112</v>
      </c>
      <c r="BC43" s="110">
        <v>324670</v>
      </c>
      <c r="BD43" s="110">
        <v>582442</v>
      </c>
      <c r="BE43" s="110">
        <v>8283013.0999999996</v>
      </c>
      <c r="BF43" s="110">
        <v>3196669.34</v>
      </c>
      <c r="BG43" s="110">
        <v>2821926.9</v>
      </c>
      <c r="BH43" s="110">
        <v>374742.44</v>
      </c>
      <c r="BI43" s="110">
        <v>5086343.76</v>
      </c>
      <c r="BJ43" s="110">
        <v>2262346.06</v>
      </c>
      <c r="BK43" s="110">
        <v>2823997.7</v>
      </c>
      <c r="BL43" s="110">
        <v>427681.94</v>
      </c>
      <c r="BM43" s="110">
        <v>103336.32000000001</v>
      </c>
      <c r="BN43" s="110">
        <v>71969.77</v>
      </c>
      <c r="BO43" s="110">
        <v>31366.55</v>
      </c>
      <c r="BP43" s="110">
        <v>324345.62</v>
      </c>
      <c r="BQ43" s="110">
        <v>149986.42000000001</v>
      </c>
      <c r="BR43" s="110">
        <v>174359.2</v>
      </c>
      <c r="BS43" s="110">
        <v>2313870.91</v>
      </c>
      <c r="BT43" s="110">
        <v>996974.77</v>
      </c>
      <c r="BU43" s="110">
        <v>930474.63</v>
      </c>
      <c r="BV43" s="110">
        <v>66500.14</v>
      </c>
      <c r="BW43" s="110">
        <v>1316896.1399999999</v>
      </c>
      <c r="BX43" s="110">
        <v>729517.89</v>
      </c>
      <c r="BY43" s="110">
        <v>587378.25</v>
      </c>
      <c r="BZ43" s="110">
        <v>60544</v>
      </c>
      <c r="CA43" s="110">
        <v>11673.5</v>
      </c>
      <c r="CB43" s="110">
        <v>6466.5</v>
      </c>
      <c r="CC43" s="110">
        <v>5207</v>
      </c>
      <c r="CD43" s="110">
        <v>48870.5</v>
      </c>
      <c r="CE43" s="110">
        <v>18990.5</v>
      </c>
      <c r="CF43" s="110">
        <v>29880</v>
      </c>
      <c r="CG43" s="110">
        <v>5480916.25</v>
      </c>
      <c r="CH43" s="110">
        <v>2084684.75</v>
      </c>
      <c r="CI43" s="110">
        <v>1813016</v>
      </c>
      <c r="CJ43" s="110">
        <v>271668.75</v>
      </c>
      <c r="CK43" s="110">
        <v>3396231.5</v>
      </c>
      <c r="CL43" s="110">
        <v>1363851.25</v>
      </c>
      <c r="CM43" s="110">
        <v>2032380.25</v>
      </c>
      <c r="CN43" s="110">
        <v>228000.96</v>
      </c>
      <c r="CO43" s="110">
        <v>2408454.5</v>
      </c>
      <c r="CP43" s="110">
        <v>3146048.3</v>
      </c>
      <c r="CQ43" s="110">
        <v>145292.87</v>
      </c>
      <c r="CR43" s="110">
        <v>1671738.57</v>
      </c>
      <c r="CS43" s="110">
        <v>13881</v>
      </c>
      <c r="CT43" s="110">
        <v>2481437.67</v>
      </c>
      <c r="CU43" s="110">
        <v>0</v>
      </c>
      <c r="CV43" s="111">
        <v>20240</v>
      </c>
      <c r="CW43" s="111">
        <v>15770</v>
      </c>
      <c r="CX43" s="111">
        <v>14633</v>
      </c>
      <c r="CY43" s="111">
        <v>1137</v>
      </c>
      <c r="CZ43" s="111">
        <v>4470</v>
      </c>
      <c r="DA43" s="111">
        <v>1654</v>
      </c>
      <c r="DB43" s="111">
        <v>2816</v>
      </c>
      <c r="DC43" s="111">
        <v>10229</v>
      </c>
      <c r="DD43" s="111">
        <v>0</v>
      </c>
      <c r="DE43" s="111">
        <v>8797</v>
      </c>
      <c r="DF43" s="111">
        <v>8324</v>
      </c>
      <c r="DG43" s="111">
        <v>473</v>
      </c>
      <c r="DH43" s="111">
        <v>1432</v>
      </c>
      <c r="DI43" s="111">
        <v>506</v>
      </c>
      <c r="DJ43" s="111">
        <v>926</v>
      </c>
      <c r="DK43" s="111">
        <v>6420</v>
      </c>
      <c r="DL43" s="111">
        <v>4907</v>
      </c>
      <c r="DM43" s="111">
        <v>4510</v>
      </c>
      <c r="DN43" s="111">
        <v>397</v>
      </c>
      <c r="DO43" s="111">
        <v>1513</v>
      </c>
      <c r="DP43" s="111">
        <v>701</v>
      </c>
      <c r="DQ43" s="111">
        <v>812</v>
      </c>
      <c r="DR43" s="111">
        <v>2014</v>
      </c>
      <c r="DS43" s="111">
        <v>0</v>
      </c>
      <c r="DT43" s="111">
        <v>717</v>
      </c>
      <c r="DU43" s="111">
        <v>589</v>
      </c>
      <c r="DV43" s="111">
        <v>128</v>
      </c>
      <c r="DW43" s="111">
        <v>1297</v>
      </c>
      <c r="DX43" s="111">
        <v>382</v>
      </c>
      <c r="DY43" s="111">
        <v>915</v>
      </c>
      <c r="DZ43" s="111">
        <v>1577</v>
      </c>
      <c r="EA43" s="111">
        <v>1349</v>
      </c>
      <c r="EB43" s="111">
        <v>1210</v>
      </c>
      <c r="EC43" s="111">
        <v>139</v>
      </c>
      <c r="ED43" s="111">
        <v>228</v>
      </c>
      <c r="EE43" s="111">
        <v>65</v>
      </c>
      <c r="EF43" s="111">
        <v>163</v>
      </c>
      <c r="EG43" s="111">
        <v>851</v>
      </c>
      <c r="EH43" s="111">
        <v>440</v>
      </c>
      <c r="EI43" s="111">
        <v>398</v>
      </c>
      <c r="EJ43" s="111">
        <v>42</v>
      </c>
      <c r="EK43" s="111">
        <v>411</v>
      </c>
      <c r="EL43" s="111">
        <v>262</v>
      </c>
      <c r="EM43" s="111">
        <v>149</v>
      </c>
      <c r="EN43" s="111">
        <v>873</v>
      </c>
      <c r="EO43" s="111">
        <v>859</v>
      </c>
      <c r="EP43" s="111">
        <v>0</v>
      </c>
      <c r="EQ43" s="111">
        <v>14</v>
      </c>
      <c r="ER43" s="111">
        <v>0</v>
      </c>
      <c r="ES43" s="111">
        <v>0</v>
      </c>
      <c r="ET43" s="111">
        <v>0</v>
      </c>
      <c r="EU43" s="111">
        <v>200</v>
      </c>
      <c r="EV43" s="111">
        <v>200</v>
      </c>
      <c r="EW43" s="111">
        <v>0</v>
      </c>
      <c r="EX43" s="111">
        <v>0</v>
      </c>
      <c r="EY43" s="111">
        <v>209</v>
      </c>
      <c r="EZ43" s="111">
        <v>209</v>
      </c>
      <c r="FA43" s="111">
        <v>0</v>
      </c>
      <c r="FB43" s="111">
        <v>617</v>
      </c>
    </row>
    <row r="44" spans="1:158" ht="19.5" customHeight="1">
      <c r="A44" s="107">
        <v>41</v>
      </c>
      <c r="B44" s="107" t="s">
        <v>361</v>
      </c>
      <c r="C44" s="107" t="s">
        <v>393</v>
      </c>
      <c r="D44" s="110">
        <v>6942972</v>
      </c>
      <c r="E44" s="110">
        <v>2825161</v>
      </c>
      <c r="F44" s="110">
        <v>4117811</v>
      </c>
      <c r="G44" s="110">
        <v>17224</v>
      </c>
      <c r="H44" s="110">
        <v>401</v>
      </c>
      <c r="I44" s="110">
        <v>344606</v>
      </c>
      <c r="J44" s="110">
        <v>30039</v>
      </c>
      <c r="K44" s="110">
        <v>37711</v>
      </c>
      <c r="L44" s="110">
        <v>97804.5</v>
      </c>
      <c r="M44" s="110">
        <v>1494120</v>
      </c>
      <c r="N44" s="110">
        <v>0</v>
      </c>
      <c r="O44" s="110">
        <v>12749341.9</v>
      </c>
      <c r="P44" s="110">
        <v>9117657.7699999996</v>
      </c>
      <c r="Q44" s="110">
        <v>8701786.1099999994</v>
      </c>
      <c r="R44" s="110">
        <v>415871.66</v>
      </c>
      <c r="S44" s="110">
        <v>3631684.13</v>
      </c>
      <c r="T44" s="110">
        <v>2884610.59</v>
      </c>
      <c r="U44" s="110">
        <v>747073.54</v>
      </c>
      <c r="V44" s="110">
        <v>5368848.7300000004</v>
      </c>
      <c r="W44" s="110">
        <v>4602508.83</v>
      </c>
      <c r="X44" s="110">
        <v>4286482.08</v>
      </c>
      <c r="Y44" s="110">
        <v>316026.75</v>
      </c>
      <c r="Z44" s="110">
        <v>766339.9</v>
      </c>
      <c r="AA44" s="110">
        <v>330396.11</v>
      </c>
      <c r="AB44" s="110">
        <v>435943.79</v>
      </c>
      <c r="AC44" s="110">
        <v>2493702.5</v>
      </c>
      <c r="AD44" s="110">
        <v>2215035.9</v>
      </c>
      <c r="AE44" s="110">
        <v>2083952.05</v>
      </c>
      <c r="AF44" s="110">
        <v>131083.85</v>
      </c>
      <c r="AG44" s="110">
        <v>278666.59999999998</v>
      </c>
      <c r="AH44" s="110">
        <v>117376.91</v>
      </c>
      <c r="AI44" s="110">
        <v>161289.69</v>
      </c>
      <c r="AJ44" s="110">
        <v>49985.23</v>
      </c>
      <c r="AK44" s="110">
        <v>43718.93</v>
      </c>
      <c r="AL44" s="110">
        <v>42037.03</v>
      </c>
      <c r="AM44" s="110">
        <v>1681.9</v>
      </c>
      <c r="AN44" s="110">
        <v>6266.3</v>
      </c>
      <c r="AO44" s="110">
        <v>4306.2</v>
      </c>
      <c r="AP44" s="110">
        <v>1960.1</v>
      </c>
      <c r="AQ44" s="110">
        <v>1649141</v>
      </c>
      <c r="AR44" s="110">
        <v>1360549</v>
      </c>
      <c r="AS44" s="110">
        <v>1255240</v>
      </c>
      <c r="AT44" s="110">
        <v>105309</v>
      </c>
      <c r="AU44" s="110">
        <v>288592</v>
      </c>
      <c r="AV44" s="110">
        <v>126138</v>
      </c>
      <c r="AW44" s="110">
        <v>162454</v>
      </c>
      <c r="AX44" s="110">
        <v>1176020</v>
      </c>
      <c r="AY44" s="110">
        <v>983205</v>
      </c>
      <c r="AZ44" s="110">
        <v>905253</v>
      </c>
      <c r="BA44" s="110">
        <v>77952</v>
      </c>
      <c r="BB44" s="110">
        <v>192815</v>
      </c>
      <c r="BC44" s="110">
        <v>82575</v>
      </c>
      <c r="BD44" s="110">
        <v>110240</v>
      </c>
      <c r="BE44" s="110">
        <v>7380493.1699999999</v>
      </c>
      <c r="BF44" s="110">
        <v>4515148.9400000004</v>
      </c>
      <c r="BG44" s="110">
        <v>4415304.03</v>
      </c>
      <c r="BH44" s="110">
        <v>99844.91</v>
      </c>
      <c r="BI44" s="110">
        <v>2865344.23</v>
      </c>
      <c r="BJ44" s="110">
        <v>2554214.48</v>
      </c>
      <c r="BK44" s="110">
        <v>311129.75</v>
      </c>
      <c r="BL44" s="110">
        <v>1118509.82</v>
      </c>
      <c r="BM44" s="110">
        <v>698601.25</v>
      </c>
      <c r="BN44" s="110">
        <v>687225.04</v>
      </c>
      <c r="BO44" s="110">
        <v>11376.21</v>
      </c>
      <c r="BP44" s="110">
        <v>419908.57</v>
      </c>
      <c r="BQ44" s="110">
        <v>386942.11</v>
      </c>
      <c r="BR44" s="110">
        <v>32966.46</v>
      </c>
      <c r="BS44" s="110">
        <v>2144172.35</v>
      </c>
      <c r="BT44" s="110">
        <v>1357217.19</v>
      </c>
      <c r="BU44" s="110">
        <v>1333289.74</v>
      </c>
      <c r="BV44" s="110">
        <v>23927.45</v>
      </c>
      <c r="BW44" s="110">
        <v>786955.16</v>
      </c>
      <c r="BX44" s="110">
        <v>729528.37</v>
      </c>
      <c r="BY44" s="110">
        <v>57426.79</v>
      </c>
      <c r="BZ44" s="110">
        <v>1284505</v>
      </c>
      <c r="CA44" s="110">
        <v>766665</v>
      </c>
      <c r="CB44" s="110">
        <v>753617</v>
      </c>
      <c r="CC44" s="110">
        <v>13048</v>
      </c>
      <c r="CD44" s="110">
        <v>517840</v>
      </c>
      <c r="CE44" s="110">
        <v>483431</v>
      </c>
      <c r="CF44" s="110">
        <v>34409</v>
      </c>
      <c r="CG44" s="110">
        <v>2833306</v>
      </c>
      <c r="CH44" s="110">
        <v>1692665.5</v>
      </c>
      <c r="CI44" s="110">
        <v>1641172.25</v>
      </c>
      <c r="CJ44" s="110">
        <v>51493.25</v>
      </c>
      <c r="CK44" s="110">
        <v>1140640.5</v>
      </c>
      <c r="CL44" s="110">
        <v>954313</v>
      </c>
      <c r="CM44" s="110">
        <v>186327.5</v>
      </c>
      <c r="CN44" s="110">
        <v>554992.03</v>
      </c>
      <c r="CO44" s="110">
        <v>1685046.79</v>
      </c>
      <c r="CP44" s="110">
        <v>1150875.02</v>
      </c>
      <c r="CQ44" s="110">
        <v>1310310.69</v>
      </c>
      <c r="CR44" s="110">
        <v>667674.19999999995</v>
      </c>
      <c r="CS44" s="110">
        <v>0</v>
      </c>
      <c r="CT44" s="110">
        <v>214358</v>
      </c>
      <c r="CU44" s="110">
        <v>0</v>
      </c>
      <c r="CV44" s="111">
        <v>17224</v>
      </c>
      <c r="CW44" s="111">
        <v>15073</v>
      </c>
      <c r="CX44" s="111">
        <v>13974</v>
      </c>
      <c r="CY44" s="111">
        <v>1099</v>
      </c>
      <c r="CZ44" s="111">
        <v>2151</v>
      </c>
      <c r="DA44" s="111">
        <v>878</v>
      </c>
      <c r="DB44" s="111">
        <v>1273</v>
      </c>
      <c r="DC44" s="111">
        <v>9503</v>
      </c>
      <c r="DD44" s="111">
        <v>71</v>
      </c>
      <c r="DE44" s="111">
        <v>8568</v>
      </c>
      <c r="DF44" s="111">
        <v>8062</v>
      </c>
      <c r="DG44" s="111">
        <v>506</v>
      </c>
      <c r="DH44" s="111">
        <v>935</v>
      </c>
      <c r="DI44" s="111">
        <v>396</v>
      </c>
      <c r="DJ44" s="111">
        <v>539</v>
      </c>
      <c r="DK44" s="111">
        <v>3644</v>
      </c>
      <c r="DL44" s="111">
        <v>2980</v>
      </c>
      <c r="DM44" s="111">
        <v>2700</v>
      </c>
      <c r="DN44" s="111">
        <v>280</v>
      </c>
      <c r="DO44" s="111">
        <v>664</v>
      </c>
      <c r="DP44" s="111">
        <v>295</v>
      </c>
      <c r="DQ44" s="111">
        <v>369</v>
      </c>
      <c r="DR44" s="111">
        <v>1166</v>
      </c>
      <c r="DS44" s="111">
        <v>0</v>
      </c>
      <c r="DT44" s="111">
        <v>917</v>
      </c>
      <c r="DU44" s="111">
        <v>812</v>
      </c>
      <c r="DV44" s="111">
        <v>105</v>
      </c>
      <c r="DW44" s="111">
        <v>249</v>
      </c>
      <c r="DX44" s="111">
        <v>96</v>
      </c>
      <c r="DY44" s="111">
        <v>153</v>
      </c>
      <c r="DZ44" s="111">
        <v>2840</v>
      </c>
      <c r="EA44" s="111">
        <v>2541</v>
      </c>
      <c r="EB44" s="111">
        <v>2337</v>
      </c>
      <c r="EC44" s="111">
        <v>204</v>
      </c>
      <c r="ED44" s="111">
        <v>299</v>
      </c>
      <c r="EE44" s="111">
        <v>91</v>
      </c>
      <c r="EF44" s="111">
        <v>208</v>
      </c>
      <c r="EG44" s="111">
        <v>401</v>
      </c>
      <c r="EH44" s="111">
        <v>262</v>
      </c>
      <c r="EI44" s="111">
        <v>256</v>
      </c>
      <c r="EJ44" s="111">
        <v>6</v>
      </c>
      <c r="EK44" s="111">
        <v>139</v>
      </c>
      <c r="EL44" s="111">
        <v>122</v>
      </c>
      <c r="EM44" s="111">
        <v>17</v>
      </c>
      <c r="EN44" s="111">
        <v>398</v>
      </c>
      <c r="EO44" s="111">
        <v>377</v>
      </c>
      <c r="EP44" s="111">
        <v>0</v>
      </c>
      <c r="EQ44" s="111">
        <v>21</v>
      </c>
      <c r="ER44" s="111">
        <v>0</v>
      </c>
      <c r="ES44" s="111">
        <v>0</v>
      </c>
      <c r="ET44" s="111">
        <v>0</v>
      </c>
      <c r="EU44" s="111">
        <v>264</v>
      </c>
      <c r="EV44" s="111">
        <v>264</v>
      </c>
      <c r="EW44" s="111">
        <v>0</v>
      </c>
      <c r="EX44" s="111">
        <v>0</v>
      </c>
      <c r="EY44" s="111">
        <v>34</v>
      </c>
      <c r="EZ44" s="111">
        <v>34</v>
      </c>
      <c r="FA44" s="111">
        <v>0</v>
      </c>
      <c r="FB44" s="111">
        <v>28</v>
      </c>
    </row>
    <row r="45" spans="1:158" ht="19.5" customHeight="1">
      <c r="A45" s="107">
        <v>42</v>
      </c>
      <c r="B45" s="107" t="s">
        <v>350</v>
      </c>
      <c r="C45" s="107" t="s">
        <v>394</v>
      </c>
      <c r="D45" s="110">
        <v>4671848</v>
      </c>
      <c r="E45" s="110">
        <v>4580817</v>
      </c>
      <c r="F45" s="110">
        <v>91031</v>
      </c>
      <c r="G45" s="110">
        <v>9496</v>
      </c>
      <c r="H45" s="110">
        <v>6</v>
      </c>
      <c r="I45" s="110">
        <v>2831890</v>
      </c>
      <c r="J45" s="110">
        <v>823145</v>
      </c>
      <c r="K45" s="110">
        <v>0</v>
      </c>
      <c r="L45" s="110">
        <v>39168</v>
      </c>
      <c r="M45" s="110">
        <v>2717</v>
      </c>
      <c r="N45" s="110">
        <v>0</v>
      </c>
      <c r="O45" s="110">
        <v>5062071.54</v>
      </c>
      <c r="P45" s="110">
        <v>4341329.49</v>
      </c>
      <c r="Q45" s="110">
        <v>2666813.9900000002</v>
      </c>
      <c r="R45" s="110">
        <v>1674515.5</v>
      </c>
      <c r="S45" s="110">
        <v>720742.05</v>
      </c>
      <c r="T45" s="110">
        <v>147933.07</v>
      </c>
      <c r="U45" s="110">
        <v>572808.98</v>
      </c>
      <c r="V45" s="110">
        <v>4954488.6500000004</v>
      </c>
      <c r="W45" s="110">
        <v>4289861.99</v>
      </c>
      <c r="X45" s="110">
        <v>2666813.9900000002</v>
      </c>
      <c r="Y45" s="110">
        <v>1623048</v>
      </c>
      <c r="Z45" s="110">
        <v>664626.66</v>
      </c>
      <c r="AA45" s="110">
        <v>147933.07</v>
      </c>
      <c r="AB45" s="110">
        <v>516693.59</v>
      </c>
      <c r="AC45" s="110">
        <v>162192.45000000001</v>
      </c>
      <c r="AD45" s="110">
        <v>137810.29</v>
      </c>
      <c r="AE45" s="110">
        <v>129523.59</v>
      </c>
      <c r="AF45" s="110">
        <v>8286.7000000000007</v>
      </c>
      <c r="AG45" s="110">
        <v>24382.16</v>
      </c>
      <c r="AH45" s="110">
        <v>7628.87</v>
      </c>
      <c r="AI45" s="110">
        <v>16753.29</v>
      </c>
      <c r="AJ45" s="110">
        <v>211479.2</v>
      </c>
      <c r="AK45" s="110">
        <v>198245.7</v>
      </c>
      <c r="AL45" s="110">
        <v>19539.400000000001</v>
      </c>
      <c r="AM45" s="110">
        <v>178706.3</v>
      </c>
      <c r="AN45" s="110">
        <v>13233.5</v>
      </c>
      <c r="AO45" s="110">
        <v>430.2</v>
      </c>
      <c r="AP45" s="110">
        <v>12803.3</v>
      </c>
      <c r="AQ45" s="110">
        <v>355421</v>
      </c>
      <c r="AR45" s="110">
        <v>326558</v>
      </c>
      <c r="AS45" s="110">
        <v>253768</v>
      </c>
      <c r="AT45" s="110">
        <v>72790</v>
      </c>
      <c r="AU45" s="110">
        <v>28863</v>
      </c>
      <c r="AV45" s="110">
        <v>11627</v>
      </c>
      <c r="AW45" s="110">
        <v>17236</v>
      </c>
      <c r="AX45" s="110">
        <v>4225396</v>
      </c>
      <c r="AY45" s="110">
        <v>3627248</v>
      </c>
      <c r="AZ45" s="110">
        <v>2263983</v>
      </c>
      <c r="BA45" s="110">
        <v>1363265</v>
      </c>
      <c r="BB45" s="110">
        <v>598148</v>
      </c>
      <c r="BC45" s="110">
        <v>128247</v>
      </c>
      <c r="BD45" s="110">
        <v>469901</v>
      </c>
      <c r="BE45" s="110">
        <v>107582.89</v>
      </c>
      <c r="BF45" s="110">
        <v>51467.5</v>
      </c>
      <c r="BG45" s="110">
        <v>0</v>
      </c>
      <c r="BH45" s="110">
        <v>51467.5</v>
      </c>
      <c r="BI45" s="110">
        <v>56115.39</v>
      </c>
      <c r="BJ45" s="110">
        <v>0</v>
      </c>
      <c r="BK45" s="110">
        <v>56115.39</v>
      </c>
      <c r="BL45" s="110">
        <v>8012.26</v>
      </c>
      <c r="BM45" s="110">
        <v>4327.49</v>
      </c>
      <c r="BN45" s="110">
        <v>0</v>
      </c>
      <c r="BO45" s="110">
        <v>4327.49</v>
      </c>
      <c r="BP45" s="110">
        <v>3684.77</v>
      </c>
      <c r="BQ45" s="110">
        <v>0</v>
      </c>
      <c r="BR45" s="110">
        <v>3684.77</v>
      </c>
      <c r="BS45" s="110">
        <v>8539.6299999999992</v>
      </c>
      <c r="BT45" s="110">
        <v>4012.01</v>
      </c>
      <c r="BU45" s="110">
        <v>0</v>
      </c>
      <c r="BV45" s="110">
        <v>4012.01</v>
      </c>
      <c r="BW45" s="110">
        <v>4527.62</v>
      </c>
      <c r="BX45" s="110">
        <v>0</v>
      </c>
      <c r="BY45" s="110">
        <v>4527.62</v>
      </c>
      <c r="BZ45" s="110">
        <v>1021</v>
      </c>
      <c r="CA45" s="110">
        <v>403</v>
      </c>
      <c r="CB45" s="110">
        <v>0</v>
      </c>
      <c r="CC45" s="110">
        <v>403</v>
      </c>
      <c r="CD45" s="110">
        <v>618</v>
      </c>
      <c r="CE45" s="110">
        <v>0</v>
      </c>
      <c r="CF45" s="110">
        <v>618</v>
      </c>
      <c r="CG45" s="110">
        <v>90010</v>
      </c>
      <c r="CH45" s="110">
        <v>42725</v>
      </c>
      <c r="CI45" s="110">
        <v>0</v>
      </c>
      <c r="CJ45" s="110">
        <v>42725</v>
      </c>
      <c r="CK45" s="110">
        <v>47285</v>
      </c>
      <c r="CL45" s="110">
        <v>0</v>
      </c>
      <c r="CM45" s="110">
        <v>47285</v>
      </c>
      <c r="CN45" s="110">
        <v>25</v>
      </c>
      <c r="CO45" s="110">
        <v>2197285.42</v>
      </c>
      <c r="CP45" s="110">
        <v>575930.22</v>
      </c>
      <c r="CQ45" s="110">
        <v>1475387.84</v>
      </c>
      <c r="CR45" s="110">
        <v>674484.69</v>
      </c>
      <c r="CS45" s="110">
        <v>31400.48</v>
      </c>
      <c r="CT45" s="110">
        <v>107582.89</v>
      </c>
      <c r="CU45" s="110">
        <v>0</v>
      </c>
      <c r="CV45" s="111">
        <v>9496</v>
      </c>
      <c r="CW45" s="111">
        <v>8353</v>
      </c>
      <c r="CX45" s="111">
        <v>6757</v>
      </c>
      <c r="CY45" s="111">
        <v>1596</v>
      </c>
      <c r="CZ45" s="111">
        <v>1143</v>
      </c>
      <c r="DA45" s="111">
        <v>329</v>
      </c>
      <c r="DB45" s="111">
        <v>814</v>
      </c>
      <c r="DC45" s="111">
        <v>7294</v>
      </c>
      <c r="DD45" s="111">
        <v>1</v>
      </c>
      <c r="DE45" s="111">
        <v>6692</v>
      </c>
      <c r="DF45" s="111">
        <v>5542</v>
      </c>
      <c r="DG45" s="111">
        <v>1150</v>
      </c>
      <c r="DH45" s="111">
        <v>602</v>
      </c>
      <c r="DI45" s="111">
        <v>220</v>
      </c>
      <c r="DJ45" s="111">
        <v>382</v>
      </c>
      <c r="DK45" s="111">
        <v>1180</v>
      </c>
      <c r="DL45" s="111">
        <v>1028</v>
      </c>
      <c r="DM45" s="111">
        <v>756</v>
      </c>
      <c r="DN45" s="111">
        <v>272</v>
      </c>
      <c r="DO45" s="111">
        <v>152</v>
      </c>
      <c r="DP45" s="111">
        <v>48</v>
      </c>
      <c r="DQ45" s="111">
        <v>104</v>
      </c>
      <c r="DR45" s="111">
        <v>1021</v>
      </c>
      <c r="DS45" s="111">
        <v>0</v>
      </c>
      <c r="DT45" s="111">
        <v>632</v>
      </c>
      <c r="DU45" s="111">
        <v>458</v>
      </c>
      <c r="DV45" s="111">
        <v>174</v>
      </c>
      <c r="DW45" s="111">
        <v>389</v>
      </c>
      <c r="DX45" s="111">
        <v>61</v>
      </c>
      <c r="DY45" s="111">
        <v>328</v>
      </c>
      <c r="DZ45" s="111">
        <v>0</v>
      </c>
      <c r="EA45" s="111">
        <v>0</v>
      </c>
      <c r="EB45" s="111">
        <v>0</v>
      </c>
      <c r="EC45" s="111">
        <v>0</v>
      </c>
      <c r="ED45" s="111">
        <v>0</v>
      </c>
      <c r="EE45" s="111">
        <v>0</v>
      </c>
      <c r="EF45" s="111">
        <v>0</v>
      </c>
      <c r="EG45" s="111">
        <v>6</v>
      </c>
      <c r="EH45" s="111">
        <v>3</v>
      </c>
      <c r="EI45" s="111">
        <v>0</v>
      </c>
      <c r="EJ45" s="111">
        <v>3</v>
      </c>
      <c r="EK45" s="111">
        <v>3</v>
      </c>
      <c r="EL45" s="111">
        <v>0</v>
      </c>
      <c r="EM45" s="111">
        <v>3</v>
      </c>
      <c r="EN45" s="111">
        <v>11</v>
      </c>
      <c r="EO45" s="111">
        <v>3</v>
      </c>
      <c r="EP45" s="111">
        <v>0</v>
      </c>
      <c r="EQ45" s="111">
        <v>8</v>
      </c>
      <c r="ER45" s="111">
        <v>0</v>
      </c>
      <c r="ES45" s="111">
        <v>0</v>
      </c>
      <c r="ET45" s="111">
        <v>0</v>
      </c>
      <c r="EU45" s="111">
        <v>0</v>
      </c>
      <c r="EV45" s="111">
        <v>0</v>
      </c>
      <c r="EW45" s="111">
        <v>0</v>
      </c>
      <c r="EX45" s="111">
        <v>0</v>
      </c>
      <c r="EY45" s="111">
        <v>0</v>
      </c>
      <c r="EZ45" s="111">
        <v>0</v>
      </c>
      <c r="FA45" s="111">
        <v>0</v>
      </c>
      <c r="FB45" s="111">
        <v>0</v>
      </c>
    </row>
    <row r="46" spans="1:158" ht="19.5" customHeight="1">
      <c r="A46" s="107">
        <v>43</v>
      </c>
      <c r="B46" s="107" t="s">
        <v>350</v>
      </c>
      <c r="C46" s="107" t="s">
        <v>395</v>
      </c>
      <c r="D46" s="110">
        <v>9042307.5999999996</v>
      </c>
      <c r="E46" s="110">
        <v>8007456.3499999996</v>
      </c>
      <c r="F46" s="110">
        <v>1034851.25</v>
      </c>
      <c r="G46" s="110">
        <v>43981</v>
      </c>
      <c r="H46" s="110">
        <v>130</v>
      </c>
      <c r="I46" s="110">
        <v>2457250.9</v>
      </c>
      <c r="J46" s="110">
        <v>1088787.45</v>
      </c>
      <c r="K46" s="110">
        <v>17587.7</v>
      </c>
      <c r="L46" s="110">
        <v>37762</v>
      </c>
      <c r="M46" s="110">
        <v>212495.75</v>
      </c>
      <c r="N46" s="110">
        <v>484.9</v>
      </c>
      <c r="O46" s="110">
        <v>13529200.02</v>
      </c>
      <c r="P46" s="110">
        <v>11084274.869999999</v>
      </c>
      <c r="Q46" s="110">
        <v>9306130.9199999999</v>
      </c>
      <c r="R46" s="110">
        <v>1778143.95</v>
      </c>
      <c r="S46" s="110">
        <v>2444925.15</v>
      </c>
      <c r="T46" s="110">
        <v>1060585.17</v>
      </c>
      <c r="U46" s="110">
        <v>1384339.98</v>
      </c>
      <c r="V46" s="110">
        <v>12240744.85</v>
      </c>
      <c r="W46" s="110">
        <v>10350445.5</v>
      </c>
      <c r="X46" s="110">
        <v>8740815.9499999993</v>
      </c>
      <c r="Y46" s="110">
        <v>1609629.55</v>
      </c>
      <c r="Z46" s="110">
        <v>1890299.35</v>
      </c>
      <c r="AA46" s="110">
        <v>678433.79</v>
      </c>
      <c r="AB46" s="110">
        <v>1211865.56</v>
      </c>
      <c r="AC46" s="110">
        <v>4051935.62</v>
      </c>
      <c r="AD46" s="110">
        <v>3536953.61</v>
      </c>
      <c r="AE46" s="110">
        <v>3272736.01</v>
      </c>
      <c r="AF46" s="110">
        <v>264217.59999999998</v>
      </c>
      <c r="AG46" s="110">
        <v>514982.01</v>
      </c>
      <c r="AH46" s="110">
        <v>210752.89</v>
      </c>
      <c r="AI46" s="110">
        <v>304229.12</v>
      </c>
      <c r="AJ46" s="110">
        <v>181352.88</v>
      </c>
      <c r="AK46" s="110">
        <v>156787.89000000001</v>
      </c>
      <c r="AL46" s="110">
        <v>138208.69</v>
      </c>
      <c r="AM46" s="110">
        <v>18579.2</v>
      </c>
      <c r="AN46" s="110">
        <v>24564.99</v>
      </c>
      <c r="AO46" s="110">
        <v>8042.15</v>
      </c>
      <c r="AP46" s="110">
        <v>16522.84</v>
      </c>
      <c r="AQ46" s="110">
        <v>1896128</v>
      </c>
      <c r="AR46" s="110">
        <v>1553058</v>
      </c>
      <c r="AS46" s="110">
        <v>1410717</v>
      </c>
      <c r="AT46" s="110">
        <v>142341</v>
      </c>
      <c r="AU46" s="110">
        <v>343070</v>
      </c>
      <c r="AV46" s="110">
        <v>157221</v>
      </c>
      <c r="AW46" s="110">
        <v>185849</v>
      </c>
      <c r="AX46" s="110">
        <v>6111328.3499999996</v>
      </c>
      <c r="AY46" s="110">
        <v>5103646</v>
      </c>
      <c r="AZ46" s="110">
        <v>3919154.25</v>
      </c>
      <c r="BA46" s="110">
        <v>1184491.75</v>
      </c>
      <c r="BB46" s="110">
        <v>1007682.35</v>
      </c>
      <c r="BC46" s="110">
        <v>302417.75</v>
      </c>
      <c r="BD46" s="110">
        <v>705264.6</v>
      </c>
      <c r="BE46" s="110">
        <v>1288455.17</v>
      </c>
      <c r="BF46" s="110">
        <v>733829.37</v>
      </c>
      <c r="BG46" s="110">
        <v>565314.97</v>
      </c>
      <c r="BH46" s="110">
        <v>168514.4</v>
      </c>
      <c r="BI46" s="110">
        <v>554625.80000000005</v>
      </c>
      <c r="BJ46" s="110">
        <v>382151.38</v>
      </c>
      <c r="BK46" s="110">
        <v>172474.42</v>
      </c>
      <c r="BL46" s="110">
        <v>185409.92000000001</v>
      </c>
      <c r="BM46" s="110">
        <v>90275.05</v>
      </c>
      <c r="BN46" s="110">
        <v>79957.17</v>
      </c>
      <c r="BO46" s="110">
        <v>10317.879999999999</v>
      </c>
      <c r="BP46" s="110">
        <v>95134.87</v>
      </c>
      <c r="BQ46" s="110">
        <v>75650.490000000005</v>
      </c>
      <c r="BR46" s="110">
        <v>19484.38</v>
      </c>
      <c r="BS46" s="110">
        <v>68194</v>
      </c>
      <c r="BT46" s="110">
        <v>35538.57</v>
      </c>
      <c r="BU46" s="110">
        <v>18793.8</v>
      </c>
      <c r="BV46" s="110">
        <v>16744.77</v>
      </c>
      <c r="BW46" s="110">
        <v>32655.43</v>
      </c>
      <c r="BX46" s="110">
        <v>21017.64</v>
      </c>
      <c r="BY46" s="110">
        <v>11637.79</v>
      </c>
      <c r="BZ46" s="110">
        <v>443501</v>
      </c>
      <c r="CA46" s="110">
        <v>273451</v>
      </c>
      <c r="CB46" s="110">
        <v>257993</v>
      </c>
      <c r="CC46" s="110">
        <v>15458</v>
      </c>
      <c r="CD46" s="110">
        <v>170050</v>
      </c>
      <c r="CE46" s="110">
        <v>139726</v>
      </c>
      <c r="CF46" s="110">
        <v>30324</v>
      </c>
      <c r="CG46" s="110">
        <v>591350.25</v>
      </c>
      <c r="CH46" s="110">
        <v>334564.75</v>
      </c>
      <c r="CI46" s="110">
        <v>208571</v>
      </c>
      <c r="CJ46" s="110">
        <v>125993.75</v>
      </c>
      <c r="CK46" s="110">
        <v>256785.5</v>
      </c>
      <c r="CL46" s="110">
        <v>145757.25</v>
      </c>
      <c r="CM46" s="110">
        <v>111028.25</v>
      </c>
      <c r="CN46" s="110">
        <v>352973.9</v>
      </c>
      <c r="CO46" s="110">
        <v>4692727.3099999996</v>
      </c>
      <c r="CP46" s="110">
        <v>1287907.54</v>
      </c>
      <c r="CQ46" s="110">
        <v>1895496.45</v>
      </c>
      <c r="CR46" s="110">
        <v>3984810.07</v>
      </c>
      <c r="CS46" s="110">
        <v>26273.58</v>
      </c>
      <c r="CT46" s="110">
        <v>211890.48</v>
      </c>
      <c r="CU46" s="110">
        <v>0</v>
      </c>
      <c r="CV46" s="111">
        <v>43981</v>
      </c>
      <c r="CW46" s="111">
        <v>38078</v>
      </c>
      <c r="CX46" s="111">
        <v>33311</v>
      </c>
      <c r="CY46" s="111">
        <v>4767</v>
      </c>
      <c r="CZ46" s="111">
        <v>5903</v>
      </c>
      <c r="DA46" s="111">
        <v>2091</v>
      </c>
      <c r="DB46" s="111">
        <v>3812</v>
      </c>
      <c r="DC46" s="111">
        <v>26561</v>
      </c>
      <c r="DD46" s="111">
        <v>1851</v>
      </c>
      <c r="DE46" s="111">
        <v>23651</v>
      </c>
      <c r="DF46" s="111">
        <v>21130</v>
      </c>
      <c r="DG46" s="111">
        <v>2521</v>
      </c>
      <c r="DH46" s="111">
        <v>2910</v>
      </c>
      <c r="DI46" s="111">
        <v>1131</v>
      </c>
      <c r="DJ46" s="111">
        <v>1779</v>
      </c>
      <c r="DK46" s="111">
        <v>2979</v>
      </c>
      <c r="DL46" s="111">
        <v>2505</v>
      </c>
      <c r="DM46" s="111">
        <v>2021</v>
      </c>
      <c r="DN46" s="111">
        <v>484</v>
      </c>
      <c r="DO46" s="111">
        <v>474</v>
      </c>
      <c r="DP46" s="111">
        <v>169</v>
      </c>
      <c r="DQ46" s="111">
        <v>305</v>
      </c>
      <c r="DR46" s="111">
        <v>9023</v>
      </c>
      <c r="DS46" s="111">
        <v>28</v>
      </c>
      <c r="DT46" s="111">
        <v>7248</v>
      </c>
      <c r="DU46" s="111">
        <v>6151</v>
      </c>
      <c r="DV46" s="111">
        <v>1097</v>
      </c>
      <c r="DW46" s="111">
        <v>1775</v>
      </c>
      <c r="DX46" s="111">
        <v>631</v>
      </c>
      <c r="DY46" s="111">
        <v>1144</v>
      </c>
      <c r="DZ46" s="111">
        <v>3539</v>
      </c>
      <c r="EA46" s="111">
        <v>3098</v>
      </c>
      <c r="EB46" s="111">
        <v>2869</v>
      </c>
      <c r="EC46" s="111">
        <v>229</v>
      </c>
      <c r="ED46" s="111">
        <v>441</v>
      </c>
      <c r="EE46" s="111">
        <v>150</v>
      </c>
      <c r="EF46" s="111">
        <v>291</v>
      </c>
      <c r="EG46" s="111">
        <v>130</v>
      </c>
      <c r="EH46" s="111">
        <v>82</v>
      </c>
      <c r="EI46" s="111">
        <v>63</v>
      </c>
      <c r="EJ46" s="111">
        <v>19</v>
      </c>
      <c r="EK46" s="111">
        <v>48</v>
      </c>
      <c r="EL46" s="111">
        <v>33</v>
      </c>
      <c r="EM46" s="111">
        <v>15</v>
      </c>
      <c r="EN46" s="111">
        <v>101</v>
      </c>
      <c r="EO46" s="111">
        <v>86</v>
      </c>
      <c r="EP46" s="111">
        <v>0</v>
      </c>
      <c r="EQ46" s="111">
        <v>15</v>
      </c>
      <c r="ER46" s="111">
        <v>0</v>
      </c>
      <c r="ES46" s="111">
        <v>0</v>
      </c>
      <c r="ET46" s="111">
        <v>0</v>
      </c>
      <c r="EU46" s="111">
        <v>0</v>
      </c>
      <c r="EV46" s="111">
        <v>0</v>
      </c>
      <c r="EW46" s="111">
        <v>0</v>
      </c>
      <c r="EX46" s="111">
        <v>0</v>
      </c>
      <c r="EY46" s="111">
        <v>0</v>
      </c>
      <c r="EZ46" s="111">
        <v>0</v>
      </c>
      <c r="FA46" s="111">
        <v>0</v>
      </c>
      <c r="FB46" s="111">
        <v>0</v>
      </c>
    </row>
    <row r="47" spans="1:158" ht="19.5" customHeight="1">
      <c r="A47" s="107">
        <v>44</v>
      </c>
      <c r="B47" s="107" t="s">
        <v>350</v>
      </c>
      <c r="C47" s="107" t="s">
        <v>396</v>
      </c>
      <c r="D47" s="110">
        <v>2251850</v>
      </c>
      <c r="E47" s="110">
        <v>2251850</v>
      </c>
      <c r="F47" s="110">
        <v>0</v>
      </c>
      <c r="G47" s="110">
        <v>5596</v>
      </c>
      <c r="H47" s="110">
        <v>0</v>
      </c>
      <c r="I47" s="110">
        <v>377535</v>
      </c>
      <c r="J47" s="110">
        <v>0</v>
      </c>
      <c r="K47" s="110">
        <v>3745.55</v>
      </c>
      <c r="L47" s="110">
        <v>0</v>
      </c>
      <c r="M47" s="110">
        <v>0</v>
      </c>
      <c r="N47" s="110">
        <v>0</v>
      </c>
      <c r="O47" s="110">
        <v>3488260.36</v>
      </c>
      <c r="P47" s="110">
        <v>3089860.39</v>
      </c>
      <c r="Q47" s="110">
        <v>2860915.47</v>
      </c>
      <c r="R47" s="110">
        <v>228944.92</v>
      </c>
      <c r="S47" s="110">
        <v>398399.97</v>
      </c>
      <c r="T47" s="110">
        <v>147482.23999999999</v>
      </c>
      <c r="U47" s="110">
        <v>250917.73</v>
      </c>
      <c r="V47" s="110">
        <v>3488260.36</v>
      </c>
      <c r="W47" s="110">
        <v>3089860.39</v>
      </c>
      <c r="X47" s="110">
        <v>2860915.47</v>
      </c>
      <c r="Y47" s="110">
        <v>228944.92</v>
      </c>
      <c r="Z47" s="110">
        <v>398399.97</v>
      </c>
      <c r="AA47" s="110">
        <v>147482.23999999999</v>
      </c>
      <c r="AB47" s="110">
        <v>250917.73</v>
      </c>
      <c r="AC47" s="110">
        <v>1236410.3600000001</v>
      </c>
      <c r="AD47" s="110">
        <v>1153442.3899999999</v>
      </c>
      <c r="AE47" s="110">
        <v>1103408.47</v>
      </c>
      <c r="AF47" s="110">
        <v>50033.919999999998</v>
      </c>
      <c r="AG47" s="110">
        <v>82967.97</v>
      </c>
      <c r="AH47" s="110">
        <v>34008.239999999998</v>
      </c>
      <c r="AI47" s="110">
        <v>48959.73</v>
      </c>
      <c r="AJ47" s="110">
        <v>0</v>
      </c>
      <c r="AK47" s="110">
        <v>0</v>
      </c>
      <c r="AL47" s="110">
        <v>0</v>
      </c>
      <c r="AM47" s="110">
        <v>0</v>
      </c>
      <c r="AN47" s="110">
        <v>0</v>
      </c>
      <c r="AO47" s="110">
        <v>0</v>
      </c>
      <c r="AP47" s="110">
        <v>0</v>
      </c>
      <c r="AQ47" s="110">
        <v>1589419</v>
      </c>
      <c r="AR47" s="110">
        <v>1371888</v>
      </c>
      <c r="AS47" s="110">
        <v>1231273</v>
      </c>
      <c r="AT47" s="110">
        <v>140615</v>
      </c>
      <c r="AU47" s="110">
        <v>217531</v>
      </c>
      <c r="AV47" s="110">
        <v>71959</v>
      </c>
      <c r="AW47" s="110">
        <v>145572</v>
      </c>
      <c r="AX47" s="110">
        <v>662431</v>
      </c>
      <c r="AY47" s="110">
        <v>564530</v>
      </c>
      <c r="AZ47" s="110">
        <v>526234</v>
      </c>
      <c r="BA47" s="110">
        <v>38296</v>
      </c>
      <c r="BB47" s="110">
        <v>97901</v>
      </c>
      <c r="BC47" s="110">
        <v>41515</v>
      </c>
      <c r="BD47" s="110">
        <v>56386</v>
      </c>
      <c r="BE47" s="110">
        <v>0</v>
      </c>
      <c r="BF47" s="110">
        <v>0</v>
      </c>
      <c r="BG47" s="110">
        <v>0</v>
      </c>
      <c r="BH47" s="110">
        <v>0</v>
      </c>
      <c r="BI47" s="110">
        <v>0</v>
      </c>
      <c r="BJ47" s="110">
        <v>0</v>
      </c>
      <c r="BK47" s="110">
        <v>0</v>
      </c>
      <c r="BL47" s="110">
        <v>0</v>
      </c>
      <c r="BM47" s="110">
        <v>0</v>
      </c>
      <c r="BN47" s="110">
        <v>0</v>
      </c>
      <c r="BO47" s="110">
        <v>0</v>
      </c>
      <c r="BP47" s="110">
        <v>0</v>
      </c>
      <c r="BQ47" s="110">
        <v>0</v>
      </c>
      <c r="BR47" s="110">
        <v>0</v>
      </c>
      <c r="BS47" s="110">
        <v>0</v>
      </c>
      <c r="BT47" s="110">
        <v>0</v>
      </c>
      <c r="BU47" s="110">
        <v>0</v>
      </c>
      <c r="BV47" s="110">
        <v>0</v>
      </c>
      <c r="BW47" s="110">
        <v>0</v>
      </c>
      <c r="BX47" s="110">
        <v>0</v>
      </c>
      <c r="BY47" s="110">
        <v>0</v>
      </c>
      <c r="BZ47" s="110">
        <v>0</v>
      </c>
      <c r="CA47" s="110">
        <v>0</v>
      </c>
      <c r="CB47" s="110">
        <v>0</v>
      </c>
      <c r="CC47" s="110">
        <v>0</v>
      </c>
      <c r="CD47" s="110">
        <v>0</v>
      </c>
      <c r="CE47" s="110">
        <v>0</v>
      </c>
      <c r="CF47" s="110">
        <v>0</v>
      </c>
      <c r="CG47" s="110">
        <v>0</v>
      </c>
      <c r="CH47" s="110">
        <v>0</v>
      </c>
      <c r="CI47" s="110">
        <v>0</v>
      </c>
      <c r="CJ47" s="110">
        <v>0</v>
      </c>
      <c r="CK47" s="110">
        <v>0</v>
      </c>
      <c r="CL47" s="110">
        <v>0</v>
      </c>
      <c r="CM47" s="110">
        <v>0</v>
      </c>
      <c r="CN47" s="110">
        <v>-125</v>
      </c>
      <c r="CO47" s="110">
        <v>2174671.38</v>
      </c>
      <c r="CP47" s="110">
        <v>81658.17</v>
      </c>
      <c r="CQ47" s="110">
        <v>922004.52</v>
      </c>
      <c r="CR47" s="110">
        <v>309926.28999999998</v>
      </c>
      <c r="CS47" s="110">
        <v>0</v>
      </c>
      <c r="CT47" s="110">
        <v>0</v>
      </c>
      <c r="CU47" s="110">
        <v>0</v>
      </c>
      <c r="CV47" s="111">
        <v>5596</v>
      </c>
      <c r="CW47" s="111">
        <v>5038</v>
      </c>
      <c r="CX47" s="111">
        <v>4555</v>
      </c>
      <c r="CY47" s="111">
        <v>483</v>
      </c>
      <c r="CZ47" s="111">
        <v>558</v>
      </c>
      <c r="DA47" s="111">
        <v>209</v>
      </c>
      <c r="DB47" s="111">
        <v>349</v>
      </c>
      <c r="DC47" s="111">
        <v>5142</v>
      </c>
      <c r="DD47" s="111">
        <v>0</v>
      </c>
      <c r="DE47" s="111">
        <v>4709</v>
      </c>
      <c r="DF47" s="111">
        <v>4261</v>
      </c>
      <c r="DG47" s="111">
        <v>448</v>
      </c>
      <c r="DH47" s="111">
        <v>433</v>
      </c>
      <c r="DI47" s="111">
        <v>153</v>
      </c>
      <c r="DJ47" s="111">
        <v>280</v>
      </c>
      <c r="DK47" s="111">
        <v>117</v>
      </c>
      <c r="DL47" s="111">
        <v>97</v>
      </c>
      <c r="DM47" s="111">
        <v>94</v>
      </c>
      <c r="DN47" s="111">
        <v>3</v>
      </c>
      <c r="DO47" s="111">
        <v>20</v>
      </c>
      <c r="DP47" s="111">
        <v>11</v>
      </c>
      <c r="DQ47" s="111">
        <v>9</v>
      </c>
      <c r="DR47" s="111">
        <v>337</v>
      </c>
      <c r="DS47" s="111">
        <v>0</v>
      </c>
      <c r="DT47" s="111">
        <v>232</v>
      </c>
      <c r="DU47" s="111">
        <v>200</v>
      </c>
      <c r="DV47" s="111">
        <v>32</v>
      </c>
      <c r="DW47" s="111">
        <v>105</v>
      </c>
      <c r="DX47" s="111">
        <v>45</v>
      </c>
      <c r="DY47" s="111">
        <v>60</v>
      </c>
      <c r="DZ47" s="111">
        <v>0</v>
      </c>
      <c r="EA47" s="111">
        <v>0</v>
      </c>
      <c r="EB47" s="111">
        <v>0</v>
      </c>
      <c r="EC47" s="111">
        <v>0</v>
      </c>
      <c r="ED47" s="111">
        <v>0</v>
      </c>
      <c r="EE47" s="111">
        <v>0</v>
      </c>
      <c r="EF47" s="111">
        <v>0</v>
      </c>
      <c r="EG47" s="111">
        <v>0</v>
      </c>
      <c r="EH47" s="111">
        <v>0</v>
      </c>
      <c r="EI47" s="111">
        <v>0</v>
      </c>
      <c r="EJ47" s="111">
        <v>0</v>
      </c>
      <c r="EK47" s="111">
        <v>0</v>
      </c>
      <c r="EL47" s="111">
        <v>0</v>
      </c>
      <c r="EM47" s="111">
        <v>0</v>
      </c>
      <c r="EN47" s="111">
        <v>0</v>
      </c>
      <c r="EO47" s="111">
        <v>0</v>
      </c>
      <c r="EP47" s="111">
        <v>0</v>
      </c>
      <c r="EQ47" s="111">
        <v>0</v>
      </c>
      <c r="ER47" s="111">
        <v>0</v>
      </c>
      <c r="ES47" s="111">
        <v>0</v>
      </c>
      <c r="ET47" s="111">
        <v>0</v>
      </c>
      <c r="EU47" s="111">
        <v>0</v>
      </c>
      <c r="EV47" s="111">
        <v>0</v>
      </c>
      <c r="EW47" s="111">
        <v>0</v>
      </c>
      <c r="EX47" s="111">
        <v>0</v>
      </c>
      <c r="EY47" s="111">
        <v>0</v>
      </c>
      <c r="EZ47" s="111">
        <v>0</v>
      </c>
      <c r="FA47" s="111">
        <v>0</v>
      </c>
      <c r="FB47" s="111">
        <v>0</v>
      </c>
    </row>
    <row r="48" spans="1:158" ht="19.5" customHeight="1">
      <c r="A48" s="107">
        <v>45</v>
      </c>
      <c r="B48" s="107" t="s">
        <v>350</v>
      </c>
      <c r="C48" s="107" t="s">
        <v>397</v>
      </c>
      <c r="D48" s="110">
        <v>9836578</v>
      </c>
      <c r="E48" s="110">
        <v>3582788</v>
      </c>
      <c r="F48" s="110">
        <v>6253790</v>
      </c>
      <c r="G48" s="110">
        <v>4749</v>
      </c>
      <c r="H48" s="110">
        <v>1043</v>
      </c>
      <c r="I48" s="110">
        <v>2506548</v>
      </c>
      <c r="J48" s="110">
        <v>378</v>
      </c>
      <c r="K48" s="110">
        <v>3176.52</v>
      </c>
      <c r="L48" s="110">
        <v>4690009</v>
      </c>
      <c r="M48" s="110">
        <v>126</v>
      </c>
      <c r="N48" s="110">
        <v>1993.53</v>
      </c>
      <c r="O48" s="110">
        <v>18616925.379999999</v>
      </c>
      <c r="P48" s="110">
        <v>8900676.1799999997</v>
      </c>
      <c r="Q48" s="110">
        <v>8538334.8499999996</v>
      </c>
      <c r="R48" s="110">
        <v>362341.33</v>
      </c>
      <c r="S48" s="110">
        <v>9716249.1999999993</v>
      </c>
      <c r="T48" s="110">
        <v>9168026.1999999993</v>
      </c>
      <c r="U48" s="110">
        <v>548223</v>
      </c>
      <c r="V48" s="110">
        <v>5865990.3399999999</v>
      </c>
      <c r="W48" s="110">
        <v>4315321.47</v>
      </c>
      <c r="X48" s="110">
        <v>4110213.77</v>
      </c>
      <c r="Y48" s="110">
        <v>205107.7</v>
      </c>
      <c r="Z48" s="110">
        <v>1550668.87</v>
      </c>
      <c r="AA48" s="110">
        <v>1168206.3400000001</v>
      </c>
      <c r="AB48" s="110">
        <v>382462.53</v>
      </c>
      <c r="AC48" s="110">
        <v>2196765.4300000002</v>
      </c>
      <c r="AD48" s="110">
        <v>1751850.36</v>
      </c>
      <c r="AE48" s="110">
        <v>1713009.34</v>
      </c>
      <c r="AF48" s="110">
        <v>38841.019999999997</v>
      </c>
      <c r="AG48" s="110">
        <v>444915.07</v>
      </c>
      <c r="AH48" s="110">
        <v>400240.59</v>
      </c>
      <c r="AI48" s="110">
        <v>44674.48</v>
      </c>
      <c r="AJ48" s="110">
        <v>86436.91</v>
      </c>
      <c r="AK48" s="110">
        <v>59903.11</v>
      </c>
      <c r="AL48" s="110">
        <v>59475.43</v>
      </c>
      <c r="AM48" s="110">
        <v>427.68</v>
      </c>
      <c r="AN48" s="110">
        <v>26533.8</v>
      </c>
      <c r="AO48" s="110">
        <v>23151.75</v>
      </c>
      <c r="AP48" s="110">
        <v>3382.05</v>
      </c>
      <c r="AQ48" s="110">
        <v>853072</v>
      </c>
      <c r="AR48" s="110">
        <v>590317</v>
      </c>
      <c r="AS48" s="110">
        <v>543802</v>
      </c>
      <c r="AT48" s="110">
        <v>46515</v>
      </c>
      <c r="AU48" s="110">
        <v>262755</v>
      </c>
      <c r="AV48" s="110">
        <v>193889</v>
      </c>
      <c r="AW48" s="110">
        <v>68866</v>
      </c>
      <c r="AX48" s="110">
        <v>2729716</v>
      </c>
      <c r="AY48" s="110">
        <v>1913251</v>
      </c>
      <c r="AZ48" s="110">
        <v>1793927</v>
      </c>
      <c r="BA48" s="110">
        <v>119324</v>
      </c>
      <c r="BB48" s="110">
        <v>816465</v>
      </c>
      <c r="BC48" s="110">
        <v>550925</v>
      </c>
      <c r="BD48" s="110">
        <v>265540</v>
      </c>
      <c r="BE48" s="110">
        <v>12750935.039999999</v>
      </c>
      <c r="BF48" s="110">
        <v>4585354.71</v>
      </c>
      <c r="BG48" s="110">
        <v>4428121.08</v>
      </c>
      <c r="BH48" s="110">
        <v>157233.63</v>
      </c>
      <c r="BI48" s="110">
        <v>8165580.3300000001</v>
      </c>
      <c r="BJ48" s="110">
        <v>7999819.8600000003</v>
      </c>
      <c r="BK48" s="110">
        <v>165760.47</v>
      </c>
      <c r="BL48" s="110">
        <v>6156459.1100000003</v>
      </c>
      <c r="BM48" s="110">
        <v>2904959</v>
      </c>
      <c r="BN48" s="110">
        <v>2847345.89</v>
      </c>
      <c r="BO48" s="110">
        <v>57613.11</v>
      </c>
      <c r="BP48" s="110">
        <v>3251500.11</v>
      </c>
      <c r="BQ48" s="110">
        <v>3174607.66</v>
      </c>
      <c r="BR48" s="110">
        <v>76892.45</v>
      </c>
      <c r="BS48" s="110">
        <v>340685.93</v>
      </c>
      <c r="BT48" s="110">
        <v>161130.21</v>
      </c>
      <c r="BU48" s="110">
        <v>160447.69</v>
      </c>
      <c r="BV48" s="110">
        <v>682.52</v>
      </c>
      <c r="BW48" s="110">
        <v>179555.72</v>
      </c>
      <c r="BX48" s="110">
        <v>173144.2</v>
      </c>
      <c r="BY48" s="110">
        <v>6411.52</v>
      </c>
      <c r="BZ48" s="110">
        <v>1147998.5</v>
      </c>
      <c r="CA48" s="110">
        <v>408631.5</v>
      </c>
      <c r="CB48" s="110">
        <v>405621.5</v>
      </c>
      <c r="CC48" s="110">
        <v>3010</v>
      </c>
      <c r="CD48" s="110">
        <v>739367</v>
      </c>
      <c r="CE48" s="110">
        <v>722850</v>
      </c>
      <c r="CF48" s="110">
        <v>16517</v>
      </c>
      <c r="CG48" s="110">
        <v>5105791.5</v>
      </c>
      <c r="CH48" s="110">
        <v>1110634</v>
      </c>
      <c r="CI48" s="110">
        <v>1014706</v>
      </c>
      <c r="CJ48" s="110">
        <v>95928</v>
      </c>
      <c r="CK48" s="110">
        <v>3995157.5</v>
      </c>
      <c r="CL48" s="110">
        <v>3929218</v>
      </c>
      <c r="CM48" s="110">
        <v>65939.5</v>
      </c>
      <c r="CN48" s="110">
        <v>-50</v>
      </c>
      <c r="CO48" s="110">
        <v>3784131.69</v>
      </c>
      <c r="CP48" s="110">
        <v>1822151.87</v>
      </c>
      <c r="CQ48" s="110">
        <v>114236.76</v>
      </c>
      <c r="CR48" s="110">
        <v>80886.89</v>
      </c>
      <c r="CS48" s="110">
        <v>64583.13</v>
      </c>
      <c r="CT48" s="110">
        <v>157233.63</v>
      </c>
      <c r="CU48" s="110">
        <v>0</v>
      </c>
      <c r="CV48" s="111">
        <v>4749</v>
      </c>
      <c r="CW48" s="111">
        <v>3019</v>
      </c>
      <c r="CX48" s="111">
        <v>2903</v>
      </c>
      <c r="CY48" s="111">
        <v>116</v>
      </c>
      <c r="CZ48" s="111">
        <v>1730</v>
      </c>
      <c r="DA48" s="111">
        <v>1371</v>
      </c>
      <c r="DB48" s="111">
        <v>359</v>
      </c>
      <c r="DC48" s="111">
        <v>3374</v>
      </c>
      <c r="DD48" s="111">
        <v>0</v>
      </c>
      <c r="DE48" s="111">
        <v>2033</v>
      </c>
      <c r="DF48" s="111">
        <v>1973</v>
      </c>
      <c r="DG48" s="111">
        <v>60</v>
      </c>
      <c r="DH48" s="111">
        <v>1341</v>
      </c>
      <c r="DI48" s="111">
        <v>1111</v>
      </c>
      <c r="DJ48" s="111">
        <v>230</v>
      </c>
      <c r="DK48" s="111">
        <v>1233</v>
      </c>
      <c r="DL48" s="111">
        <v>927</v>
      </c>
      <c r="DM48" s="111">
        <v>898</v>
      </c>
      <c r="DN48" s="111">
        <v>29</v>
      </c>
      <c r="DO48" s="111">
        <v>306</v>
      </c>
      <c r="DP48" s="111">
        <v>218</v>
      </c>
      <c r="DQ48" s="111">
        <v>88</v>
      </c>
      <c r="DR48" s="111">
        <v>142</v>
      </c>
      <c r="DS48" s="111">
        <v>0</v>
      </c>
      <c r="DT48" s="111">
        <v>59</v>
      </c>
      <c r="DU48" s="111">
        <v>32</v>
      </c>
      <c r="DV48" s="111">
        <v>27</v>
      </c>
      <c r="DW48" s="111">
        <v>83</v>
      </c>
      <c r="DX48" s="111">
        <v>42</v>
      </c>
      <c r="DY48" s="111">
        <v>41</v>
      </c>
      <c r="DZ48" s="111">
        <v>0</v>
      </c>
      <c r="EA48" s="111">
        <v>0</v>
      </c>
      <c r="EB48" s="111">
        <v>0</v>
      </c>
      <c r="EC48" s="111">
        <v>0</v>
      </c>
      <c r="ED48" s="111">
        <v>0</v>
      </c>
      <c r="EE48" s="111">
        <v>0</v>
      </c>
      <c r="EF48" s="111">
        <v>0</v>
      </c>
      <c r="EG48" s="111">
        <v>1043</v>
      </c>
      <c r="EH48" s="111">
        <v>455</v>
      </c>
      <c r="EI48" s="111">
        <v>451</v>
      </c>
      <c r="EJ48" s="111">
        <v>4</v>
      </c>
      <c r="EK48" s="111">
        <v>588</v>
      </c>
      <c r="EL48" s="111">
        <v>573</v>
      </c>
      <c r="EM48" s="111">
        <v>15</v>
      </c>
      <c r="EN48" s="111">
        <v>701</v>
      </c>
      <c r="EO48" s="111">
        <v>0</v>
      </c>
      <c r="EP48" s="111">
        <v>0</v>
      </c>
      <c r="EQ48" s="111">
        <v>701</v>
      </c>
      <c r="ER48" s="111">
        <v>0</v>
      </c>
      <c r="ES48" s="111">
        <v>0</v>
      </c>
      <c r="ET48" s="111">
        <v>0</v>
      </c>
      <c r="EU48" s="111">
        <v>0</v>
      </c>
      <c r="EV48" s="111">
        <v>0</v>
      </c>
      <c r="EW48" s="111">
        <v>0</v>
      </c>
      <c r="EX48" s="111">
        <v>0</v>
      </c>
      <c r="EY48" s="111">
        <v>0</v>
      </c>
      <c r="EZ48" s="111">
        <v>0</v>
      </c>
      <c r="FA48" s="111">
        <v>0</v>
      </c>
      <c r="FB48" s="111">
        <v>0</v>
      </c>
    </row>
    <row r="49" spans="1:158" ht="19.5" customHeight="1">
      <c r="A49" s="107">
        <v>46</v>
      </c>
      <c r="B49" s="107" t="s">
        <v>350</v>
      </c>
      <c r="C49" s="107" t="s">
        <v>398</v>
      </c>
      <c r="D49" s="110">
        <v>9839301.5</v>
      </c>
      <c r="E49" s="110">
        <v>7269801</v>
      </c>
      <c r="F49" s="110">
        <v>2569500.5</v>
      </c>
      <c r="G49" s="110">
        <v>16481</v>
      </c>
      <c r="H49" s="110">
        <v>169</v>
      </c>
      <c r="I49" s="110">
        <v>374125</v>
      </c>
      <c r="J49" s="110">
        <v>13248</v>
      </c>
      <c r="K49" s="110">
        <v>0</v>
      </c>
      <c r="L49" s="110">
        <v>368213</v>
      </c>
      <c r="M49" s="110">
        <v>51027</v>
      </c>
      <c r="N49" s="110">
        <v>721.2</v>
      </c>
      <c r="O49" s="110">
        <v>17512131.57</v>
      </c>
      <c r="P49" s="110">
        <v>15863372.74</v>
      </c>
      <c r="Q49" s="110">
        <v>15355681.470000001</v>
      </c>
      <c r="R49" s="110">
        <v>507691.27</v>
      </c>
      <c r="S49" s="110">
        <v>1648758.83</v>
      </c>
      <c r="T49" s="110">
        <v>1202860.71</v>
      </c>
      <c r="U49" s="110">
        <v>445898.12</v>
      </c>
      <c r="V49" s="110">
        <v>11880355.84</v>
      </c>
      <c r="W49" s="110">
        <v>10882891.18</v>
      </c>
      <c r="X49" s="110">
        <v>10375199.91</v>
      </c>
      <c r="Y49" s="110">
        <v>507691.27</v>
      </c>
      <c r="Z49" s="110">
        <v>997464.66</v>
      </c>
      <c r="AA49" s="110">
        <v>617924.81000000006</v>
      </c>
      <c r="AB49" s="110">
        <v>379539.85</v>
      </c>
      <c r="AC49" s="110">
        <v>3816577.49</v>
      </c>
      <c r="AD49" s="110">
        <v>3542751.21</v>
      </c>
      <c r="AE49" s="110">
        <v>3384421.69</v>
      </c>
      <c r="AF49" s="110">
        <v>158329.51999999999</v>
      </c>
      <c r="AG49" s="110">
        <v>273826.28000000003</v>
      </c>
      <c r="AH49" s="110">
        <v>176294.31</v>
      </c>
      <c r="AI49" s="110">
        <v>97531.97</v>
      </c>
      <c r="AJ49" s="110">
        <v>793977.35</v>
      </c>
      <c r="AK49" s="110">
        <v>705464.97</v>
      </c>
      <c r="AL49" s="110">
        <v>660125.22</v>
      </c>
      <c r="AM49" s="110">
        <v>45339.75</v>
      </c>
      <c r="AN49" s="110">
        <v>88512.38</v>
      </c>
      <c r="AO49" s="110">
        <v>58596.5</v>
      </c>
      <c r="AP49" s="110">
        <v>29915.88</v>
      </c>
      <c r="AQ49" s="110">
        <v>6274282</v>
      </c>
      <c r="AR49" s="110">
        <v>5738113</v>
      </c>
      <c r="AS49" s="110">
        <v>5472606</v>
      </c>
      <c r="AT49" s="110">
        <v>265507</v>
      </c>
      <c r="AU49" s="110">
        <v>536169</v>
      </c>
      <c r="AV49" s="110">
        <v>322562</v>
      </c>
      <c r="AW49" s="110">
        <v>213607</v>
      </c>
      <c r="AX49" s="110">
        <v>995519</v>
      </c>
      <c r="AY49" s="110">
        <v>896562</v>
      </c>
      <c r="AZ49" s="110">
        <v>858047</v>
      </c>
      <c r="BA49" s="110">
        <v>38515</v>
      </c>
      <c r="BB49" s="110">
        <v>98957</v>
      </c>
      <c r="BC49" s="110">
        <v>60472</v>
      </c>
      <c r="BD49" s="110">
        <v>38485</v>
      </c>
      <c r="BE49" s="110">
        <v>5631775.7300000004</v>
      </c>
      <c r="BF49" s="110">
        <v>4980481.5599999996</v>
      </c>
      <c r="BG49" s="110">
        <v>4980481.5599999996</v>
      </c>
      <c r="BH49" s="110">
        <v>0</v>
      </c>
      <c r="BI49" s="110">
        <v>651294.17000000004</v>
      </c>
      <c r="BJ49" s="110">
        <v>584935.9</v>
      </c>
      <c r="BK49" s="110">
        <v>66358.27</v>
      </c>
      <c r="BL49" s="110">
        <v>2630071.7200000002</v>
      </c>
      <c r="BM49" s="110">
        <v>2381662.11</v>
      </c>
      <c r="BN49" s="110">
        <v>2381662.11</v>
      </c>
      <c r="BO49" s="110">
        <v>0</v>
      </c>
      <c r="BP49" s="110">
        <v>248409.61</v>
      </c>
      <c r="BQ49" s="110">
        <v>219519.74</v>
      </c>
      <c r="BR49" s="110">
        <v>28889.87</v>
      </c>
      <c r="BS49" s="110">
        <v>432203.51</v>
      </c>
      <c r="BT49" s="110">
        <v>383776.65</v>
      </c>
      <c r="BU49" s="110">
        <v>383776.65</v>
      </c>
      <c r="BV49" s="110">
        <v>0</v>
      </c>
      <c r="BW49" s="110">
        <v>48426.86</v>
      </c>
      <c r="BX49" s="110">
        <v>45818.96</v>
      </c>
      <c r="BY49" s="110">
        <v>2607.9</v>
      </c>
      <c r="BZ49" s="110">
        <v>1376188.5</v>
      </c>
      <c r="CA49" s="110">
        <v>1170585</v>
      </c>
      <c r="CB49" s="110">
        <v>1170585</v>
      </c>
      <c r="CC49" s="110">
        <v>0</v>
      </c>
      <c r="CD49" s="110">
        <v>205603.5</v>
      </c>
      <c r="CE49" s="110">
        <v>185122.5</v>
      </c>
      <c r="CF49" s="110">
        <v>20481</v>
      </c>
      <c r="CG49" s="110">
        <v>1193312</v>
      </c>
      <c r="CH49" s="110">
        <v>1044457.8</v>
      </c>
      <c r="CI49" s="110">
        <v>1044457.8</v>
      </c>
      <c r="CJ49" s="110">
        <v>0</v>
      </c>
      <c r="CK49" s="110">
        <v>148854.20000000001</v>
      </c>
      <c r="CL49" s="110">
        <v>134474.70000000001</v>
      </c>
      <c r="CM49" s="110">
        <v>14379.5</v>
      </c>
      <c r="CN49" s="110">
        <v>11820643.439999999</v>
      </c>
      <c r="CO49" s="110">
        <v>59760.4</v>
      </c>
      <c r="CP49" s="110">
        <v>42</v>
      </c>
      <c r="CQ49" s="110">
        <v>0</v>
      </c>
      <c r="CR49" s="110">
        <v>0</v>
      </c>
      <c r="CS49" s="110">
        <v>0</v>
      </c>
      <c r="CT49" s="110">
        <v>0</v>
      </c>
      <c r="CU49" s="110">
        <v>0</v>
      </c>
      <c r="CV49" s="111">
        <v>16481</v>
      </c>
      <c r="CW49" s="111">
        <v>14935</v>
      </c>
      <c r="CX49" s="111">
        <v>14219</v>
      </c>
      <c r="CY49" s="111">
        <v>716</v>
      </c>
      <c r="CZ49" s="111">
        <v>1546</v>
      </c>
      <c r="DA49" s="111">
        <v>890</v>
      </c>
      <c r="DB49" s="111">
        <v>656</v>
      </c>
      <c r="DC49" s="111">
        <v>52</v>
      </c>
      <c r="DD49" s="111">
        <v>0</v>
      </c>
      <c r="DE49" s="111">
        <v>41</v>
      </c>
      <c r="DF49" s="111">
        <v>41</v>
      </c>
      <c r="DG49" s="111">
        <v>0</v>
      </c>
      <c r="DH49" s="111">
        <v>11</v>
      </c>
      <c r="DI49" s="111">
        <v>6</v>
      </c>
      <c r="DJ49" s="111">
        <v>5</v>
      </c>
      <c r="DK49" s="111">
        <v>0</v>
      </c>
      <c r="DL49" s="111">
        <v>0</v>
      </c>
      <c r="DM49" s="111">
        <v>0</v>
      </c>
      <c r="DN49" s="111">
        <v>0</v>
      </c>
      <c r="DO49" s="111">
        <v>0</v>
      </c>
      <c r="DP49" s="111">
        <v>0</v>
      </c>
      <c r="DQ49" s="111">
        <v>0</v>
      </c>
      <c r="DR49" s="111">
        <v>0</v>
      </c>
      <c r="DS49" s="111">
        <v>0</v>
      </c>
      <c r="DT49" s="111">
        <v>0</v>
      </c>
      <c r="DU49" s="111">
        <v>0</v>
      </c>
      <c r="DV49" s="111">
        <v>0</v>
      </c>
      <c r="DW49" s="111">
        <v>0</v>
      </c>
      <c r="DX49" s="111">
        <v>0</v>
      </c>
      <c r="DY49" s="111">
        <v>0</v>
      </c>
      <c r="DZ49" s="111">
        <v>16429</v>
      </c>
      <c r="EA49" s="111">
        <v>14894</v>
      </c>
      <c r="EB49" s="111">
        <v>14178</v>
      </c>
      <c r="EC49" s="111">
        <v>716</v>
      </c>
      <c r="ED49" s="111">
        <v>1535</v>
      </c>
      <c r="EE49" s="111">
        <v>884</v>
      </c>
      <c r="EF49" s="111">
        <v>651</v>
      </c>
      <c r="EG49" s="111">
        <v>169</v>
      </c>
      <c r="EH49" s="111">
        <v>145</v>
      </c>
      <c r="EI49" s="111">
        <v>145</v>
      </c>
      <c r="EJ49" s="111">
        <v>0</v>
      </c>
      <c r="EK49" s="111">
        <v>24</v>
      </c>
      <c r="EL49" s="111">
        <v>21</v>
      </c>
      <c r="EM49" s="111">
        <v>3</v>
      </c>
      <c r="EN49" s="111">
        <v>51</v>
      </c>
      <c r="EO49" s="111">
        <v>1</v>
      </c>
      <c r="EP49" s="111">
        <v>0</v>
      </c>
      <c r="EQ49" s="111">
        <v>50</v>
      </c>
      <c r="ER49" s="111">
        <v>0</v>
      </c>
      <c r="ES49" s="111">
        <v>0</v>
      </c>
      <c r="ET49" s="111">
        <v>0</v>
      </c>
      <c r="EU49" s="111">
        <v>0</v>
      </c>
      <c r="EV49" s="111">
        <v>0</v>
      </c>
      <c r="EW49" s="111">
        <v>0</v>
      </c>
      <c r="EX49" s="111">
        <v>0</v>
      </c>
      <c r="EY49" s="111">
        <v>0</v>
      </c>
      <c r="EZ49" s="111">
        <v>0</v>
      </c>
      <c r="FA49" s="111">
        <v>0</v>
      </c>
      <c r="FB49" s="111">
        <v>0</v>
      </c>
    </row>
    <row r="50" spans="1:158" ht="19.5" customHeight="1">
      <c r="A50" s="107">
        <v>47</v>
      </c>
      <c r="B50" s="107" t="s">
        <v>350</v>
      </c>
      <c r="C50" s="107" t="s">
        <v>399</v>
      </c>
      <c r="D50" s="110">
        <v>1231469</v>
      </c>
      <c r="E50" s="110">
        <v>1009030</v>
      </c>
      <c r="F50" s="110">
        <v>222439</v>
      </c>
      <c r="G50" s="110">
        <v>1104</v>
      </c>
      <c r="H50" s="110">
        <v>14</v>
      </c>
      <c r="I50" s="110">
        <v>884335</v>
      </c>
      <c r="J50" s="110">
        <v>0</v>
      </c>
      <c r="K50" s="110">
        <v>0</v>
      </c>
      <c r="L50" s="110">
        <v>177936</v>
      </c>
      <c r="M50" s="110">
        <v>0</v>
      </c>
      <c r="N50" s="110">
        <v>0</v>
      </c>
      <c r="O50" s="110">
        <v>1234511.73</v>
      </c>
      <c r="P50" s="110">
        <v>993849.13</v>
      </c>
      <c r="Q50" s="110">
        <v>944813.58</v>
      </c>
      <c r="R50" s="110">
        <v>49035.55</v>
      </c>
      <c r="S50" s="110">
        <v>240662.6</v>
      </c>
      <c r="T50" s="110">
        <v>164899.79999999999</v>
      </c>
      <c r="U50" s="110">
        <v>75762.8</v>
      </c>
      <c r="V50" s="110">
        <v>1010819.65</v>
      </c>
      <c r="W50" s="110">
        <v>948998.65</v>
      </c>
      <c r="X50" s="110">
        <v>899963.1</v>
      </c>
      <c r="Y50" s="110">
        <v>49035.55</v>
      </c>
      <c r="Z50" s="110">
        <v>61821</v>
      </c>
      <c r="AA50" s="110">
        <v>22836</v>
      </c>
      <c r="AB50" s="110">
        <v>38985</v>
      </c>
      <c r="AC50" s="110">
        <v>383.65</v>
      </c>
      <c r="AD50" s="110">
        <v>383.65</v>
      </c>
      <c r="AE50" s="110">
        <v>24.1</v>
      </c>
      <c r="AF50" s="110">
        <v>359.55</v>
      </c>
      <c r="AG50" s="110">
        <v>0</v>
      </c>
      <c r="AH50" s="110">
        <v>0</v>
      </c>
      <c r="AI50" s="110">
        <v>0</v>
      </c>
      <c r="AJ50" s="110">
        <v>1406</v>
      </c>
      <c r="AK50" s="110">
        <v>1330</v>
      </c>
      <c r="AL50" s="110">
        <v>1330</v>
      </c>
      <c r="AM50" s="110">
        <v>0</v>
      </c>
      <c r="AN50" s="110">
        <v>76</v>
      </c>
      <c r="AO50" s="110">
        <v>0</v>
      </c>
      <c r="AP50" s="110">
        <v>76</v>
      </c>
      <c r="AQ50" s="110">
        <v>81368</v>
      </c>
      <c r="AR50" s="110">
        <v>71683</v>
      </c>
      <c r="AS50" s="110">
        <v>68103</v>
      </c>
      <c r="AT50" s="110">
        <v>3580</v>
      </c>
      <c r="AU50" s="110">
        <v>9685</v>
      </c>
      <c r="AV50" s="110">
        <v>5533</v>
      </c>
      <c r="AW50" s="110">
        <v>4152</v>
      </c>
      <c r="AX50" s="110">
        <v>927662</v>
      </c>
      <c r="AY50" s="110">
        <v>875602</v>
      </c>
      <c r="AZ50" s="110">
        <v>830506</v>
      </c>
      <c r="BA50" s="110">
        <v>45096</v>
      </c>
      <c r="BB50" s="110">
        <v>52060</v>
      </c>
      <c r="BC50" s="110">
        <v>17303</v>
      </c>
      <c r="BD50" s="110">
        <v>34757</v>
      </c>
      <c r="BE50" s="110">
        <v>223692.08</v>
      </c>
      <c r="BF50" s="110">
        <v>44850.48</v>
      </c>
      <c r="BG50" s="110">
        <v>44850.48</v>
      </c>
      <c r="BH50" s="110">
        <v>0</v>
      </c>
      <c r="BI50" s="110">
        <v>178841.60000000001</v>
      </c>
      <c r="BJ50" s="110">
        <v>142063.79999999999</v>
      </c>
      <c r="BK50" s="110">
        <v>36777.800000000003</v>
      </c>
      <c r="BL50" s="110">
        <v>1153.52</v>
      </c>
      <c r="BM50" s="110">
        <v>87.92</v>
      </c>
      <c r="BN50" s="110">
        <v>87.92</v>
      </c>
      <c r="BO50" s="110">
        <v>0</v>
      </c>
      <c r="BP50" s="110">
        <v>1065.5999999999999</v>
      </c>
      <c r="BQ50" s="110">
        <v>991.3</v>
      </c>
      <c r="BR50" s="110">
        <v>74.3</v>
      </c>
      <c r="BS50" s="110">
        <v>99.56</v>
      </c>
      <c r="BT50" s="110">
        <v>99.56</v>
      </c>
      <c r="BU50" s="110">
        <v>99.56</v>
      </c>
      <c r="BV50" s="110">
        <v>0</v>
      </c>
      <c r="BW50" s="110">
        <v>0</v>
      </c>
      <c r="BX50" s="110">
        <v>0</v>
      </c>
      <c r="BY50" s="110">
        <v>0</v>
      </c>
      <c r="BZ50" s="110">
        <v>16488</v>
      </c>
      <c r="CA50" s="110">
        <v>3829</v>
      </c>
      <c r="CB50" s="110">
        <v>3829</v>
      </c>
      <c r="CC50" s="110">
        <v>0</v>
      </c>
      <c r="CD50" s="110">
        <v>12659</v>
      </c>
      <c r="CE50" s="110">
        <v>11173</v>
      </c>
      <c r="CF50" s="110">
        <v>1486</v>
      </c>
      <c r="CG50" s="110">
        <v>205951</v>
      </c>
      <c r="CH50" s="110">
        <v>40834</v>
      </c>
      <c r="CI50" s="110">
        <v>40834</v>
      </c>
      <c r="CJ50" s="110">
        <v>0</v>
      </c>
      <c r="CK50" s="110">
        <v>165117</v>
      </c>
      <c r="CL50" s="110">
        <v>129899.5</v>
      </c>
      <c r="CM50" s="110">
        <v>35217.5</v>
      </c>
      <c r="CN50" s="110">
        <v>0</v>
      </c>
      <c r="CO50" s="110">
        <v>477632</v>
      </c>
      <c r="CP50" s="110">
        <v>84386</v>
      </c>
      <c r="CQ50" s="110">
        <v>382834</v>
      </c>
      <c r="CR50" s="110">
        <v>65967.649999999994</v>
      </c>
      <c r="CS50" s="110">
        <v>0</v>
      </c>
      <c r="CT50" s="110">
        <v>0</v>
      </c>
      <c r="CU50" s="110">
        <v>0</v>
      </c>
      <c r="CV50" s="111">
        <v>1104</v>
      </c>
      <c r="CW50" s="111">
        <v>977</v>
      </c>
      <c r="CX50" s="111">
        <v>917</v>
      </c>
      <c r="CY50" s="111">
        <v>60</v>
      </c>
      <c r="CZ50" s="111">
        <v>127</v>
      </c>
      <c r="DA50" s="111">
        <v>37</v>
      </c>
      <c r="DB50" s="111">
        <v>90</v>
      </c>
      <c r="DC50" s="111">
        <v>947</v>
      </c>
      <c r="DD50" s="111">
        <v>0</v>
      </c>
      <c r="DE50" s="111">
        <v>845</v>
      </c>
      <c r="DF50" s="111">
        <v>802</v>
      </c>
      <c r="DG50" s="111">
        <v>43</v>
      </c>
      <c r="DH50" s="111">
        <v>102</v>
      </c>
      <c r="DI50" s="111">
        <v>28</v>
      </c>
      <c r="DJ50" s="111">
        <v>74</v>
      </c>
      <c r="DK50" s="111">
        <v>120</v>
      </c>
      <c r="DL50" s="111">
        <v>104</v>
      </c>
      <c r="DM50" s="111">
        <v>90</v>
      </c>
      <c r="DN50" s="111">
        <v>14</v>
      </c>
      <c r="DO50" s="111">
        <v>16</v>
      </c>
      <c r="DP50" s="111">
        <v>3</v>
      </c>
      <c r="DQ50" s="111">
        <v>13</v>
      </c>
      <c r="DR50" s="111">
        <v>37</v>
      </c>
      <c r="DS50" s="111">
        <v>0</v>
      </c>
      <c r="DT50" s="111">
        <v>28</v>
      </c>
      <c r="DU50" s="111">
        <v>25</v>
      </c>
      <c r="DV50" s="111">
        <v>3</v>
      </c>
      <c r="DW50" s="111">
        <v>9</v>
      </c>
      <c r="DX50" s="111">
        <v>6</v>
      </c>
      <c r="DY50" s="111">
        <v>3</v>
      </c>
      <c r="DZ50" s="111">
        <v>0</v>
      </c>
      <c r="EA50" s="111">
        <v>0</v>
      </c>
      <c r="EB50" s="111">
        <v>0</v>
      </c>
      <c r="EC50" s="111">
        <v>0</v>
      </c>
      <c r="ED50" s="111">
        <v>0</v>
      </c>
      <c r="EE50" s="111">
        <v>0</v>
      </c>
      <c r="EF50" s="111">
        <v>0</v>
      </c>
      <c r="EG50" s="111">
        <v>14</v>
      </c>
      <c r="EH50" s="111">
        <v>3</v>
      </c>
      <c r="EI50" s="111">
        <v>3</v>
      </c>
      <c r="EJ50" s="111">
        <v>0</v>
      </c>
      <c r="EK50" s="111">
        <v>11</v>
      </c>
      <c r="EL50" s="111">
        <v>10</v>
      </c>
      <c r="EM50" s="111">
        <v>1</v>
      </c>
      <c r="EN50" s="111">
        <v>95</v>
      </c>
      <c r="EO50" s="111">
        <v>0</v>
      </c>
      <c r="EP50" s="111">
        <v>0</v>
      </c>
      <c r="EQ50" s="111">
        <v>95</v>
      </c>
      <c r="ER50" s="111">
        <v>0</v>
      </c>
      <c r="ES50" s="111">
        <v>0</v>
      </c>
      <c r="ET50" s="111">
        <v>0</v>
      </c>
      <c r="EU50" s="111">
        <v>0</v>
      </c>
      <c r="EV50" s="111">
        <v>0</v>
      </c>
      <c r="EW50" s="111">
        <v>0</v>
      </c>
      <c r="EX50" s="111">
        <v>0</v>
      </c>
      <c r="EY50" s="111">
        <v>0</v>
      </c>
      <c r="EZ50" s="111">
        <v>0</v>
      </c>
      <c r="FA50" s="111">
        <v>0</v>
      </c>
      <c r="FB50" s="111">
        <v>0</v>
      </c>
    </row>
    <row r="51" spans="1:158" ht="19.5" customHeight="1">
      <c r="A51" s="107">
        <v>48</v>
      </c>
      <c r="B51" s="107" t="s">
        <v>350</v>
      </c>
      <c r="C51" s="107" t="s">
        <v>400</v>
      </c>
      <c r="D51" s="110">
        <v>3657921</v>
      </c>
      <c r="E51" s="110">
        <v>2440017.5</v>
      </c>
      <c r="F51" s="110">
        <v>1217903.5</v>
      </c>
      <c r="G51" s="110">
        <v>8559</v>
      </c>
      <c r="H51" s="110">
        <v>117</v>
      </c>
      <c r="I51" s="110">
        <v>1613419</v>
      </c>
      <c r="J51" s="110">
        <v>0</v>
      </c>
      <c r="K51" s="110">
        <v>2276035.5</v>
      </c>
      <c r="L51" s="110">
        <v>438036</v>
      </c>
      <c r="M51" s="110">
        <v>1626</v>
      </c>
      <c r="N51" s="110">
        <v>9095.82</v>
      </c>
      <c r="O51" s="110">
        <v>8356304.2800000003</v>
      </c>
      <c r="P51" s="110">
        <v>7436219.25</v>
      </c>
      <c r="Q51" s="110">
        <v>7252942.6299999999</v>
      </c>
      <c r="R51" s="110">
        <v>183276.62</v>
      </c>
      <c r="S51" s="110">
        <v>920085.03</v>
      </c>
      <c r="T51" s="110">
        <v>600989.77</v>
      </c>
      <c r="U51" s="110">
        <v>319095.26</v>
      </c>
      <c r="V51" s="110">
        <v>6878105.5700000003</v>
      </c>
      <c r="W51" s="110">
        <v>6251281.7999999998</v>
      </c>
      <c r="X51" s="110">
        <v>6082422.3099999996</v>
      </c>
      <c r="Y51" s="110">
        <v>168859.49</v>
      </c>
      <c r="Z51" s="110">
        <v>626823.77</v>
      </c>
      <c r="AA51" s="110">
        <v>318214.78000000003</v>
      </c>
      <c r="AB51" s="110">
        <v>308608.99</v>
      </c>
      <c r="AC51" s="110">
        <v>4426951.2699999996</v>
      </c>
      <c r="AD51" s="110">
        <v>4046676</v>
      </c>
      <c r="AE51" s="110">
        <v>3958181.51</v>
      </c>
      <c r="AF51" s="110">
        <v>88494.49</v>
      </c>
      <c r="AG51" s="110">
        <v>380275.27</v>
      </c>
      <c r="AH51" s="110">
        <v>183447.38</v>
      </c>
      <c r="AI51" s="110">
        <v>196827.89</v>
      </c>
      <c r="AJ51" s="110">
        <v>11136.8</v>
      </c>
      <c r="AK51" s="110">
        <v>10302.799999999999</v>
      </c>
      <c r="AL51" s="110">
        <v>10302.799999999999</v>
      </c>
      <c r="AM51" s="110">
        <v>0</v>
      </c>
      <c r="AN51" s="110">
        <v>834</v>
      </c>
      <c r="AO51" s="110">
        <v>32.9</v>
      </c>
      <c r="AP51" s="110">
        <v>801.1</v>
      </c>
      <c r="AQ51" s="110">
        <v>375393</v>
      </c>
      <c r="AR51" s="110">
        <v>326062</v>
      </c>
      <c r="AS51" s="110">
        <v>317999</v>
      </c>
      <c r="AT51" s="110">
        <v>8063</v>
      </c>
      <c r="AU51" s="110">
        <v>49331</v>
      </c>
      <c r="AV51" s="110">
        <v>36379</v>
      </c>
      <c r="AW51" s="110">
        <v>12952</v>
      </c>
      <c r="AX51" s="110">
        <v>2064624.5</v>
      </c>
      <c r="AY51" s="110">
        <v>1868241</v>
      </c>
      <c r="AZ51" s="110">
        <v>1795939</v>
      </c>
      <c r="BA51" s="110">
        <v>72302</v>
      </c>
      <c r="BB51" s="110">
        <v>196383.5</v>
      </c>
      <c r="BC51" s="110">
        <v>98355.5</v>
      </c>
      <c r="BD51" s="110">
        <v>98028</v>
      </c>
      <c r="BE51" s="110">
        <v>1478198.71</v>
      </c>
      <c r="BF51" s="110">
        <v>1184937.45</v>
      </c>
      <c r="BG51" s="110">
        <v>1170520.32</v>
      </c>
      <c r="BH51" s="110">
        <v>14417.13</v>
      </c>
      <c r="BI51" s="110">
        <v>293261.26</v>
      </c>
      <c r="BJ51" s="110">
        <v>282774.99</v>
      </c>
      <c r="BK51" s="110">
        <v>10486.27</v>
      </c>
      <c r="BL51" s="110">
        <v>171267.49</v>
      </c>
      <c r="BM51" s="110">
        <v>132448.07</v>
      </c>
      <c r="BN51" s="110">
        <v>130679.44</v>
      </c>
      <c r="BO51" s="110">
        <v>1768.63</v>
      </c>
      <c r="BP51" s="110">
        <v>38819.42</v>
      </c>
      <c r="BQ51" s="110">
        <v>38197.65</v>
      </c>
      <c r="BR51" s="110">
        <v>621.77</v>
      </c>
      <c r="BS51" s="110">
        <v>89027.72</v>
      </c>
      <c r="BT51" s="110">
        <v>77271.38</v>
      </c>
      <c r="BU51" s="110">
        <v>76966.38</v>
      </c>
      <c r="BV51" s="110">
        <v>305</v>
      </c>
      <c r="BW51" s="110">
        <v>11756.34</v>
      </c>
      <c r="BX51" s="110">
        <v>11756.34</v>
      </c>
      <c r="BY51" s="110">
        <v>0</v>
      </c>
      <c r="BZ51" s="110">
        <v>602906.5</v>
      </c>
      <c r="CA51" s="110">
        <v>460722</v>
      </c>
      <c r="CB51" s="110">
        <v>458812</v>
      </c>
      <c r="CC51" s="110">
        <v>1910</v>
      </c>
      <c r="CD51" s="110">
        <v>142184.5</v>
      </c>
      <c r="CE51" s="110">
        <v>135784.5</v>
      </c>
      <c r="CF51" s="110">
        <v>6400</v>
      </c>
      <c r="CG51" s="110">
        <v>614997</v>
      </c>
      <c r="CH51" s="110">
        <v>514496</v>
      </c>
      <c r="CI51" s="110">
        <v>504062.5</v>
      </c>
      <c r="CJ51" s="110">
        <v>10433.5</v>
      </c>
      <c r="CK51" s="110">
        <v>100501</v>
      </c>
      <c r="CL51" s="110">
        <v>97036.5</v>
      </c>
      <c r="CM51" s="110">
        <v>3464.5</v>
      </c>
      <c r="CN51" s="110">
        <v>-25</v>
      </c>
      <c r="CO51" s="110">
        <v>2712614.33</v>
      </c>
      <c r="CP51" s="110">
        <v>3480440.42</v>
      </c>
      <c r="CQ51" s="110">
        <v>128247.97</v>
      </c>
      <c r="CR51" s="110">
        <v>556562.85</v>
      </c>
      <c r="CS51" s="110">
        <v>240</v>
      </c>
      <c r="CT51" s="110">
        <v>0</v>
      </c>
      <c r="CU51" s="110">
        <v>0</v>
      </c>
      <c r="CV51" s="111">
        <v>8559</v>
      </c>
      <c r="CW51" s="111">
        <v>7758</v>
      </c>
      <c r="CX51" s="111">
        <v>7476</v>
      </c>
      <c r="CY51" s="111">
        <v>282</v>
      </c>
      <c r="CZ51" s="111">
        <v>801</v>
      </c>
      <c r="DA51" s="111">
        <v>390</v>
      </c>
      <c r="DB51" s="111">
        <v>411</v>
      </c>
      <c r="DC51" s="111">
        <v>4550</v>
      </c>
      <c r="DD51" s="111">
        <v>0</v>
      </c>
      <c r="DE51" s="111">
        <v>4185</v>
      </c>
      <c r="DF51" s="111">
        <v>4071</v>
      </c>
      <c r="DG51" s="111">
        <v>114</v>
      </c>
      <c r="DH51" s="111">
        <v>365</v>
      </c>
      <c r="DI51" s="111">
        <v>178</v>
      </c>
      <c r="DJ51" s="111">
        <v>187</v>
      </c>
      <c r="DK51" s="111">
        <v>3584</v>
      </c>
      <c r="DL51" s="111">
        <v>3211</v>
      </c>
      <c r="DM51" s="111">
        <v>3082</v>
      </c>
      <c r="DN51" s="111">
        <v>129</v>
      </c>
      <c r="DO51" s="111">
        <v>373</v>
      </c>
      <c r="DP51" s="111">
        <v>187</v>
      </c>
      <c r="DQ51" s="111">
        <v>186</v>
      </c>
      <c r="DR51" s="111">
        <v>425</v>
      </c>
      <c r="DS51" s="111">
        <v>0</v>
      </c>
      <c r="DT51" s="111">
        <v>362</v>
      </c>
      <c r="DU51" s="111">
        <v>323</v>
      </c>
      <c r="DV51" s="111">
        <v>39</v>
      </c>
      <c r="DW51" s="111">
        <v>63</v>
      </c>
      <c r="DX51" s="111">
        <v>25</v>
      </c>
      <c r="DY51" s="111">
        <v>38</v>
      </c>
      <c r="DZ51" s="111">
        <v>0</v>
      </c>
      <c r="EA51" s="111">
        <v>0</v>
      </c>
      <c r="EB51" s="111">
        <v>0</v>
      </c>
      <c r="EC51" s="111">
        <v>0</v>
      </c>
      <c r="ED51" s="111">
        <v>0</v>
      </c>
      <c r="EE51" s="111">
        <v>0</v>
      </c>
      <c r="EF51" s="111">
        <v>0</v>
      </c>
      <c r="EG51" s="111">
        <v>117</v>
      </c>
      <c r="EH51" s="111">
        <v>91</v>
      </c>
      <c r="EI51" s="111">
        <v>90</v>
      </c>
      <c r="EJ51" s="111">
        <v>1</v>
      </c>
      <c r="EK51" s="111">
        <v>26</v>
      </c>
      <c r="EL51" s="111">
        <v>25</v>
      </c>
      <c r="EM51" s="111">
        <v>1</v>
      </c>
      <c r="EN51" s="111">
        <v>93</v>
      </c>
      <c r="EO51" s="111">
        <v>0</v>
      </c>
      <c r="EP51" s="111">
        <v>0</v>
      </c>
      <c r="EQ51" s="111">
        <v>93</v>
      </c>
      <c r="ER51" s="111">
        <v>0</v>
      </c>
      <c r="ES51" s="111">
        <v>0</v>
      </c>
      <c r="ET51" s="111">
        <v>0</v>
      </c>
      <c r="EU51" s="111">
        <v>0</v>
      </c>
      <c r="EV51" s="111">
        <v>0</v>
      </c>
      <c r="EW51" s="111">
        <v>0</v>
      </c>
      <c r="EX51" s="111">
        <v>0</v>
      </c>
      <c r="EY51" s="111">
        <v>0</v>
      </c>
      <c r="EZ51" s="111">
        <v>0</v>
      </c>
      <c r="FA51" s="111">
        <v>0</v>
      </c>
      <c r="FB51" s="111">
        <v>18</v>
      </c>
    </row>
    <row r="52" spans="1:158" ht="19.5" customHeight="1">
      <c r="A52" s="107">
        <v>49</v>
      </c>
      <c r="B52" s="107" t="s">
        <v>401</v>
      </c>
      <c r="C52" s="107" t="s">
        <v>424</v>
      </c>
      <c r="D52" s="110">
        <v>76773</v>
      </c>
      <c r="E52" s="110">
        <v>426</v>
      </c>
      <c r="F52" s="110">
        <v>76347</v>
      </c>
      <c r="G52" s="110">
        <v>3</v>
      </c>
      <c r="H52" s="110">
        <v>4</v>
      </c>
      <c r="I52" s="110">
        <v>18</v>
      </c>
      <c r="J52" s="110">
        <v>0</v>
      </c>
      <c r="K52" s="110">
        <v>0</v>
      </c>
      <c r="L52" s="110">
        <v>2128</v>
      </c>
      <c r="M52" s="110">
        <v>2000</v>
      </c>
      <c r="N52" s="110">
        <v>0</v>
      </c>
      <c r="O52" s="110">
        <v>92353.31</v>
      </c>
      <c r="P52" s="110">
        <v>49682.94</v>
      </c>
      <c r="Q52" s="110">
        <v>0</v>
      </c>
      <c r="R52" s="110">
        <v>49682.94</v>
      </c>
      <c r="S52" s="110">
        <v>42670.37</v>
      </c>
      <c r="T52" s="110">
        <v>0</v>
      </c>
      <c r="U52" s="110">
        <v>42670.37</v>
      </c>
      <c r="V52" s="110">
        <v>4375.7</v>
      </c>
      <c r="W52" s="110">
        <v>2928.2</v>
      </c>
      <c r="X52" s="110">
        <v>0</v>
      </c>
      <c r="Y52" s="110">
        <v>2928.2</v>
      </c>
      <c r="Z52" s="110">
        <v>1447.5</v>
      </c>
      <c r="AA52" s="110">
        <v>0</v>
      </c>
      <c r="AB52" s="110">
        <v>1447.5</v>
      </c>
      <c r="AC52" s="110">
        <v>3949.7</v>
      </c>
      <c r="AD52" s="110">
        <v>2644.2</v>
      </c>
      <c r="AE52" s="110">
        <v>0</v>
      </c>
      <c r="AF52" s="110">
        <v>2644.2</v>
      </c>
      <c r="AG52" s="110">
        <v>1305.5</v>
      </c>
      <c r="AH52" s="110">
        <v>0</v>
      </c>
      <c r="AI52" s="110">
        <v>1305.5</v>
      </c>
      <c r="AJ52" s="110">
        <v>0</v>
      </c>
      <c r="AK52" s="110">
        <v>0</v>
      </c>
      <c r="AL52" s="110">
        <v>0</v>
      </c>
      <c r="AM52" s="110">
        <v>0</v>
      </c>
      <c r="AN52" s="110">
        <v>0</v>
      </c>
      <c r="AO52" s="110">
        <v>0</v>
      </c>
      <c r="AP52" s="110">
        <v>0</v>
      </c>
      <c r="AQ52" s="110">
        <v>0</v>
      </c>
      <c r="AR52" s="110">
        <v>0</v>
      </c>
      <c r="AS52" s="110">
        <v>0</v>
      </c>
      <c r="AT52" s="110">
        <v>0</v>
      </c>
      <c r="AU52" s="110">
        <v>0</v>
      </c>
      <c r="AV52" s="110">
        <v>0</v>
      </c>
      <c r="AW52" s="110">
        <v>0</v>
      </c>
      <c r="AX52" s="110">
        <v>426</v>
      </c>
      <c r="AY52" s="110">
        <v>284</v>
      </c>
      <c r="AZ52" s="110">
        <v>0</v>
      </c>
      <c r="BA52" s="110">
        <v>284</v>
      </c>
      <c r="BB52" s="110">
        <v>142</v>
      </c>
      <c r="BC52" s="110">
        <v>0</v>
      </c>
      <c r="BD52" s="110">
        <v>142</v>
      </c>
      <c r="BE52" s="110">
        <v>87977.61</v>
      </c>
      <c r="BF52" s="110">
        <v>46754.74</v>
      </c>
      <c r="BG52" s="110">
        <v>0</v>
      </c>
      <c r="BH52" s="110">
        <v>46754.74</v>
      </c>
      <c r="BI52" s="110">
        <v>41222.870000000003</v>
      </c>
      <c r="BJ52" s="110">
        <v>0</v>
      </c>
      <c r="BK52" s="110">
        <v>41222.870000000003</v>
      </c>
      <c r="BL52" s="110">
        <v>3469.52</v>
      </c>
      <c r="BM52" s="110">
        <v>1369.19</v>
      </c>
      <c r="BN52" s="110">
        <v>0</v>
      </c>
      <c r="BO52" s="110">
        <v>1369.19</v>
      </c>
      <c r="BP52" s="110">
        <v>2100.33</v>
      </c>
      <c r="BQ52" s="110">
        <v>0</v>
      </c>
      <c r="BR52" s="110">
        <v>2100.33</v>
      </c>
      <c r="BS52" s="110">
        <v>8161.09</v>
      </c>
      <c r="BT52" s="110">
        <v>6846.55</v>
      </c>
      <c r="BU52" s="110">
        <v>0</v>
      </c>
      <c r="BV52" s="110">
        <v>6846.55</v>
      </c>
      <c r="BW52" s="110">
        <v>1314.54</v>
      </c>
      <c r="BX52" s="110">
        <v>0</v>
      </c>
      <c r="BY52" s="110">
        <v>1314.54</v>
      </c>
      <c r="BZ52" s="110">
        <v>17779</v>
      </c>
      <c r="CA52" s="110">
        <v>5443</v>
      </c>
      <c r="CB52" s="110">
        <v>0</v>
      </c>
      <c r="CC52" s="110">
        <v>5443</v>
      </c>
      <c r="CD52" s="110">
        <v>12336</v>
      </c>
      <c r="CE52" s="110">
        <v>0</v>
      </c>
      <c r="CF52" s="110">
        <v>12336</v>
      </c>
      <c r="CG52" s="110">
        <v>58568</v>
      </c>
      <c r="CH52" s="110">
        <v>33096</v>
      </c>
      <c r="CI52" s="110">
        <v>0</v>
      </c>
      <c r="CJ52" s="110">
        <v>33096</v>
      </c>
      <c r="CK52" s="110">
        <v>25472</v>
      </c>
      <c r="CL52" s="110">
        <v>0</v>
      </c>
      <c r="CM52" s="110">
        <v>25472</v>
      </c>
      <c r="CN52" s="110">
        <v>0</v>
      </c>
      <c r="CO52" s="110">
        <v>0</v>
      </c>
      <c r="CP52" s="110">
        <v>0</v>
      </c>
      <c r="CQ52" s="110">
        <v>33.200000000000003</v>
      </c>
      <c r="CR52" s="110">
        <v>4342.5</v>
      </c>
      <c r="CS52" s="110">
        <v>0</v>
      </c>
      <c r="CT52" s="110">
        <v>87977.61</v>
      </c>
      <c r="CU52" s="110">
        <v>0</v>
      </c>
      <c r="CV52" s="111">
        <v>3</v>
      </c>
      <c r="CW52" s="111">
        <v>2</v>
      </c>
      <c r="CX52" s="111">
        <v>0</v>
      </c>
      <c r="CY52" s="111">
        <v>2</v>
      </c>
      <c r="CZ52" s="111">
        <v>1</v>
      </c>
      <c r="DA52" s="111">
        <v>0</v>
      </c>
      <c r="DB52" s="111">
        <v>1</v>
      </c>
      <c r="DC52" s="111">
        <v>0</v>
      </c>
      <c r="DD52" s="111">
        <v>0</v>
      </c>
      <c r="DE52" s="111">
        <v>0</v>
      </c>
      <c r="DF52" s="111">
        <v>0</v>
      </c>
      <c r="DG52" s="111">
        <v>0</v>
      </c>
      <c r="DH52" s="111">
        <v>0</v>
      </c>
      <c r="DI52" s="111">
        <v>0</v>
      </c>
      <c r="DJ52" s="111">
        <v>0</v>
      </c>
      <c r="DK52" s="111">
        <v>0</v>
      </c>
      <c r="DL52" s="111">
        <v>0</v>
      </c>
      <c r="DM52" s="111">
        <v>0</v>
      </c>
      <c r="DN52" s="111">
        <v>0</v>
      </c>
      <c r="DO52" s="111">
        <v>0</v>
      </c>
      <c r="DP52" s="111">
        <v>0</v>
      </c>
      <c r="DQ52" s="111">
        <v>0</v>
      </c>
      <c r="DR52" s="111">
        <v>3</v>
      </c>
      <c r="DS52" s="111">
        <v>0</v>
      </c>
      <c r="DT52" s="111">
        <v>2</v>
      </c>
      <c r="DU52" s="111">
        <v>0</v>
      </c>
      <c r="DV52" s="111">
        <v>2</v>
      </c>
      <c r="DW52" s="111">
        <v>1</v>
      </c>
      <c r="DX52" s="111">
        <v>0</v>
      </c>
      <c r="DY52" s="111">
        <v>1</v>
      </c>
      <c r="DZ52" s="111">
        <v>0</v>
      </c>
      <c r="EA52" s="111">
        <v>0</v>
      </c>
      <c r="EB52" s="111">
        <v>0</v>
      </c>
      <c r="EC52" s="111">
        <v>0</v>
      </c>
      <c r="ED52" s="111">
        <v>0</v>
      </c>
      <c r="EE52" s="111">
        <v>0</v>
      </c>
      <c r="EF52" s="111">
        <v>0</v>
      </c>
      <c r="EG52" s="111">
        <v>4</v>
      </c>
      <c r="EH52" s="111">
        <v>2</v>
      </c>
      <c r="EI52" s="111">
        <v>0</v>
      </c>
      <c r="EJ52" s="111">
        <v>2</v>
      </c>
      <c r="EK52" s="111">
        <v>2</v>
      </c>
      <c r="EL52" s="111">
        <v>0</v>
      </c>
      <c r="EM52" s="111">
        <v>2</v>
      </c>
      <c r="EN52" s="111">
        <v>0</v>
      </c>
      <c r="EO52" s="111">
        <v>0</v>
      </c>
      <c r="EP52" s="111">
        <v>0</v>
      </c>
      <c r="EQ52" s="111">
        <v>0</v>
      </c>
      <c r="ER52" s="111">
        <v>0</v>
      </c>
      <c r="ES52" s="111">
        <v>0</v>
      </c>
      <c r="ET52" s="111">
        <v>0</v>
      </c>
      <c r="EU52" s="111">
        <v>0</v>
      </c>
      <c r="EV52" s="111">
        <v>0</v>
      </c>
      <c r="EW52" s="111">
        <v>0</v>
      </c>
      <c r="EX52" s="111">
        <v>0</v>
      </c>
      <c r="EY52" s="111">
        <v>0</v>
      </c>
      <c r="EZ52" s="111">
        <v>0</v>
      </c>
      <c r="FA52" s="111">
        <v>0</v>
      </c>
      <c r="FB52" s="111">
        <v>0</v>
      </c>
    </row>
    <row r="53" spans="1:158" ht="19.5" customHeight="1">
      <c r="A53" s="107">
        <v>50</v>
      </c>
      <c r="B53" s="107" t="s">
        <v>401</v>
      </c>
      <c r="C53" s="107" t="s">
        <v>402</v>
      </c>
      <c r="D53" s="110">
        <v>419393</v>
      </c>
      <c r="E53" s="110">
        <v>241243</v>
      </c>
      <c r="F53" s="110">
        <v>178150</v>
      </c>
      <c r="G53" s="110">
        <v>512</v>
      </c>
      <c r="H53" s="110">
        <v>29</v>
      </c>
      <c r="I53" s="110">
        <v>532</v>
      </c>
      <c r="J53" s="110">
        <v>0</v>
      </c>
      <c r="K53" s="110">
        <v>0</v>
      </c>
      <c r="L53" s="110">
        <v>7200</v>
      </c>
      <c r="M53" s="110">
        <v>0</v>
      </c>
      <c r="N53" s="110">
        <v>0</v>
      </c>
      <c r="O53" s="110">
        <v>604175.29</v>
      </c>
      <c r="P53" s="110">
        <v>272292.18</v>
      </c>
      <c r="Q53" s="110">
        <v>256921.89</v>
      </c>
      <c r="R53" s="110">
        <v>15370.29</v>
      </c>
      <c r="S53" s="110">
        <v>331883.11</v>
      </c>
      <c r="T53" s="110">
        <v>250224.1</v>
      </c>
      <c r="U53" s="110">
        <v>81659.009999999995</v>
      </c>
      <c r="V53" s="110">
        <v>313664.2</v>
      </c>
      <c r="W53" s="110">
        <v>175650.41</v>
      </c>
      <c r="X53" s="110">
        <v>160280.12</v>
      </c>
      <c r="Y53" s="110">
        <v>15370.29</v>
      </c>
      <c r="Z53" s="110">
        <v>138013.79</v>
      </c>
      <c r="AA53" s="110">
        <v>56354.78</v>
      </c>
      <c r="AB53" s="110">
        <v>81659.009999999995</v>
      </c>
      <c r="AC53" s="110">
        <v>72364.2</v>
      </c>
      <c r="AD53" s="110">
        <v>42636.41</v>
      </c>
      <c r="AE53" s="110">
        <v>40471.120000000003</v>
      </c>
      <c r="AF53" s="110">
        <v>2165.29</v>
      </c>
      <c r="AG53" s="110">
        <v>29727.79</v>
      </c>
      <c r="AH53" s="110">
        <v>8953.7800000000007</v>
      </c>
      <c r="AI53" s="110">
        <v>20774.009999999998</v>
      </c>
      <c r="AJ53" s="110">
        <v>57</v>
      </c>
      <c r="AK53" s="110">
        <v>0</v>
      </c>
      <c r="AL53" s="110">
        <v>0</v>
      </c>
      <c r="AM53" s="110">
        <v>0</v>
      </c>
      <c r="AN53" s="110">
        <v>57</v>
      </c>
      <c r="AO53" s="110">
        <v>0</v>
      </c>
      <c r="AP53" s="110">
        <v>57</v>
      </c>
      <c r="AQ53" s="110">
        <v>217138</v>
      </c>
      <c r="AR53" s="110">
        <v>118910</v>
      </c>
      <c r="AS53" s="110">
        <v>106882</v>
      </c>
      <c r="AT53" s="110">
        <v>12028</v>
      </c>
      <c r="AU53" s="110">
        <v>98228</v>
      </c>
      <c r="AV53" s="110">
        <v>43259</v>
      </c>
      <c r="AW53" s="110">
        <v>54969</v>
      </c>
      <c r="AX53" s="110">
        <v>24105</v>
      </c>
      <c r="AY53" s="110">
        <v>14104</v>
      </c>
      <c r="AZ53" s="110">
        <v>12927</v>
      </c>
      <c r="BA53" s="110">
        <v>1177</v>
      </c>
      <c r="BB53" s="110">
        <v>10001</v>
      </c>
      <c r="BC53" s="110">
        <v>4142</v>
      </c>
      <c r="BD53" s="110">
        <v>5859</v>
      </c>
      <c r="BE53" s="110">
        <v>290511.09000000003</v>
      </c>
      <c r="BF53" s="110">
        <v>96641.77</v>
      </c>
      <c r="BG53" s="110">
        <v>96641.77</v>
      </c>
      <c r="BH53" s="110">
        <v>0</v>
      </c>
      <c r="BI53" s="110">
        <v>193869.32</v>
      </c>
      <c r="BJ53" s="110">
        <v>193869.32</v>
      </c>
      <c r="BK53" s="110">
        <v>0</v>
      </c>
      <c r="BL53" s="110">
        <v>112361.09</v>
      </c>
      <c r="BM53" s="110">
        <v>35189.269999999997</v>
      </c>
      <c r="BN53" s="110">
        <v>35189.269999999997</v>
      </c>
      <c r="BO53" s="110">
        <v>0</v>
      </c>
      <c r="BP53" s="110">
        <v>77171.820000000007</v>
      </c>
      <c r="BQ53" s="110">
        <v>77171.820000000007</v>
      </c>
      <c r="BR53" s="110">
        <v>0</v>
      </c>
      <c r="BS53" s="110">
        <v>0</v>
      </c>
      <c r="BT53" s="110">
        <v>0</v>
      </c>
      <c r="BU53" s="110">
        <v>0</v>
      </c>
      <c r="BV53" s="110">
        <v>0</v>
      </c>
      <c r="BW53" s="110">
        <v>0</v>
      </c>
      <c r="BX53" s="110">
        <v>0</v>
      </c>
      <c r="BY53" s="110">
        <v>0</v>
      </c>
      <c r="BZ53" s="110">
        <v>159331</v>
      </c>
      <c r="CA53" s="110">
        <v>55103</v>
      </c>
      <c r="CB53" s="110">
        <v>55103</v>
      </c>
      <c r="CC53" s="110">
        <v>0</v>
      </c>
      <c r="CD53" s="110">
        <v>104228</v>
      </c>
      <c r="CE53" s="110">
        <v>104228</v>
      </c>
      <c r="CF53" s="110">
        <v>0</v>
      </c>
      <c r="CG53" s="110">
        <v>18819</v>
      </c>
      <c r="CH53" s="110">
        <v>6349.5</v>
      </c>
      <c r="CI53" s="110">
        <v>6349.5</v>
      </c>
      <c r="CJ53" s="110">
        <v>0</v>
      </c>
      <c r="CK53" s="110">
        <v>12469.5</v>
      </c>
      <c r="CL53" s="110">
        <v>12469.5</v>
      </c>
      <c r="CM53" s="110">
        <v>0</v>
      </c>
      <c r="CN53" s="110">
        <v>0</v>
      </c>
      <c r="CO53" s="110">
        <v>115710.77</v>
      </c>
      <c r="CP53" s="110">
        <v>175960.23</v>
      </c>
      <c r="CQ53" s="110">
        <v>16626.080000000002</v>
      </c>
      <c r="CR53" s="110">
        <v>5367.12</v>
      </c>
      <c r="CS53" s="110">
        <v>0</v>
      </c>
      <c r="CT53" s="110">
        <v>0</v>
      </c>
      <c r="CU53" s="110">
        <v>0</v>
      </c>
      <c r="CV53" s="111">
        <v>512</v>
      </c>
      <c r="CW53" s="111">
        <v>360</v>
      </c>
      <c r="CX53" s="111">
        <v>342</v>
      </c>
      <c r="CY53" s="111">
        <v>18</v>
      </c>
      <c r="CZ53" s="111">
        <v>152</v>
      </c>
      <c r="DA53" s="111">
        <v>61</v>
      </c>
      <c r="DB53" s="111">
        <v>91</v>
      </c>
      <c r="DC53" s="111">
        <v>213</v>
      </c>
      <c r="DD53" s="111">
        <v>0</v>
      </c>
      <c r="DE53" s="111">
        <v>186</v>
      </c>
      <c r="DF53" s="111">
        <v>181</v>
      </c>
      <c r="DG53" s="111">
        <v>5</v>
      </c>
      <c r="DH53" s="111">
        <v>27</v>
      </c>
      <c r="DI53" s="111">
        <v>12</v>
      </c>
      <c r="DJ53" s="111">
        <v>15</v>
      </c>
      <c r="DK53" s="111">
        <v>281</v>
      </c>
      <c r="DL53" s="111">
        <v>170</v>
      </c>
      <c r="DM53" s="111">
        <v>159</v>
      </c>
      <c r="DN53" s="111">
        <v>11</v>
      </c>
      <c r="DO53" s="111">
        <v>111</v>
      </c>
      <c r="DP53" s="111">
        <v>42</v>
      </c>
      <c r="DQ53" s="111">
        <v>69</v>
      </c>
      <c r="DR53" s="111">
        <v>18</v>
      </c>
      <c r="DS53" s="111">
        <v>0</v>
      </c>
      <c r="DT53" s="111">
        <v>4</v>
      </c>
      <c r="DU53" s="111">
        <v>2</v>
      </c>
      <c r="DV53" s="111">
        <v>2</v>
      </c>
      <c r="DW53" s="111">
        <v>14</v>
      </c>
      <c r="DX53" s="111">
        <v>7</v>
      </c>
      <c r="DY53" s="111">
        <v>7</v>
      </c>
      <c r="DZ53" s="111">
        <v>0</v>
      </c>
      <c r="EA53" s="111">
        <v>0</v>
      </c>
      <c r="EB53" s="111">
        <v>0</v>
      </c>
      <c r="EC53" s="111">
        <v>0</v>
      </c>
      <c r="ED53" s="111">
        <v>0</v>
      </c>
      <c r="EE53" s="111">
        <v>0</v>
      </c>
      <c r="EF53" s="111">
        <v>0</v>
      </c>
      <c r="EG53" s="111">
        <v>29</v>
      </c>
      <c r="EH53" s="111">
        <v>11</v>
      </c>
      <c r="EI53" s="111">
        <v>11</v>
      </c>
      <c r="EJ53" s="111">
        <v>0</v>
      </c>
      <c r="EK53" s="111">
        <v>18</v>
      </c>
      <c r="EL53" s="111">
        <v>18</v>
      </c>
      <c r="EM53" s="111">
        <v>0</v>
      </c>
      <c r="EN53" s="111">
        <v>29</v>
      </c>
      <c r="EO53" s="111">
        <v>0</v>
      </c>
      <c r="EP53" s="111">
        <v>0</v>
      </c>
      <c r="EQ53" s="111">
        <v>29</v>
      </c>
      <c r="ER53" s="111">
        <v>0</v>
      </c>
      <c r="ES53" s="111">
        <v>0</v>
      </c>
      <c r="ET53" s="111">
        <v>0</v>
      </c>
      <c r="EU53" s="111">
        <v>0</v>
      </c>
      <c r="EV53" s="111">
        <v>0</v>
      </c>
      <c r="EW53" s="111">
        <v>0</v>
      </c>
      <c r="EX53" s="111">
        <v>0</v>
      </c>
      <c r="EY53" s="111">
        <v>0</v>
      </c>
      <c r="EZ53" s="111">
        <v>0</v>
      </c>
      <c r="FA53" s="111">
        <v>0</v>
      </c>
      <c r="FB53" s="111">
        <v>0</v>
      </c>
    </row>
    <row r="54" spans="1:158" ht="19.5" customHeight="1">
      <c r="A54" s="107">
        <v>51</v>
      </c>
      <c r="B54" s="107" t="s">
        <v>401</v>
      </c>
      <c r="C54" s="107" t="s">
        <v>403</v>
      </c>
      <c r="D54" s="110">
        <v>32431</v>
      </c>
      <c r="E54" s="110">
        <v>32431</v>
      </c>
      <c r="F54" s="110">
        <v>0</v>
      </c>
      <c r="G54" s="110">
        <v>365</v>
      </c>
      <c r="H54" s="110">
        <v>0</v>
      </c>
      <c r="I54" s="110">
        <v>30</v>
      </c>
      <c r="J54" s="110">
        <v>0</v>
      </c>
      <c r="K54" s="110">
        <v>0</v>
      </c>
      <c r="L54" s="110">
        <v>0</v>
      </c>
      <c r="M54" s="110">
        <v>0</v>
      </c>
      <c r="N54" s="110">
        <v>0</v>
      </c>
      <c r="O54" s="110">
        <v>87877.41</v>
      </c>
      <c r="P54" s="110">
        <v>81306.320000000007</v>
      </c>
      <c r="Q54" s="110">
        <v>80148.12</v>
      </c>
      <c r="R54" s="110">
        <v>1158.2</v>
      </c>
      <c r="S54" s="110">
        <v>6571.09</v>
      </c>
      <c r="T54" s="110">
        <v>1668.45</v>
      </c>
      <c r="U54" s="110">
        <v>4902.6400000000003</v>
      </c>
      <c r="V54" s="110">
        <v>87877.41</v>
      </c>
      <c r="W54" s="110">
        <v>81306.320000000007</v>
      </c>
      <c r="X54" s="110">
        <v>80148.12</v>
      </c>
      <c r="Y54" s="110">
        <v>1158.2</v>
      </c>
      <c r="Z54" s="110">
        <v>6571.09</v>
      </c>
      <c r="AA54" s="110">
        <v>1668.45</v>
      </c>
      <c r="AB54" s="110">
        <v>4902.6400000000003</v>
      </c>
      <c r="AC54" s="110">
        <v>55446.41</v>
      </c>
      <c r="AD54" s="110">
        <v>50886.32</v>
      </c>
      <c r="AE54" s="110">
        <v>50594.12</v>
      </c>
      <c r="AF54" s="110">
        <v>292.2</v>
      </c>
      <c r="AG54" s="110">
        <v>4560.09</v>
      </c>
      <c r="AH54" s="110">
        <v>657.45</v>
      </c>
      <c r="AI54" s="110">
        <v>3902.64</v>
      </c>
      <c r="AJ54" s="110">
        <v>0</v>
      </c>
      <c r="AK54" s="110">
        <v>0</v>
      </c>
      <c r="AL54" s="110">
        <v>0</v>
      </c>
      <c r="AM54" s="110">
        <v>0</v>
      </c>
      <c r="AN54" s="110">
        <v>0</v>
      </c>
      <c r="AO54" s="110">
        <v>0</v>
      </c>
      <c r="AP54" s="110">
        <v>0</v>
      </c>
      <c r="AQ54" s="110">
        <v>20498</v>
      </c>
      <c r="AR54" s="110">
        <v>19383</v>
      </c>
      <c r="AS54" s="110">
        <v>19113</v>
      </c>
      <c r="AT54" s="110">
        <v>270</v>
      </c>
      <c r="AU54" s="110">
        <v>1115</v>
      </c>
      <c r="AV54" s="110">
        <v>465</v>
      </c>
      <c r="AW54" s="110">
        <v>650</v>
      </c>
      <c r="AX54" s="110">
        <v>11933</v>
      </c>
      <c r="AY54" s="110">
        <v>11037</v>
      </c>
      <c r="AZ54" s="110">
        <v>10441</v>
      </c>
      <c r="BA54" s="110">
        <v>596</v>
      </c>
      <c r="BB54" s="110">
        <v>896</v>
      </c>
      <c r="BC54" s="110">
        <v>546</v>
      </c>
      <c r="BD54" s="110">
        <v>350</v>
      </c>
      <c r="BE54" s="110">
        <v>0</v>
      </c>
      <c r="BF54" s="110">
        <v>0</v>
      </c>
      <c r="BG54" s="110">
        <v>0</v>
      </c>
      <c r="BH54" s="110">
        <v>0</v>
      </c>
      <c r="BI54" s="110">
        <v>0</v>
      </c>
      <c r="BJ54" s="110">
        <v>0</v>
      </c>
      <c r="BK54" s="110">
        <v>0</v>
      </c>
      <c r="BL54" s="110">
        <v>0</v>
      </c>
      <c r="BM54" s="110">
        <v>0</v>
      </c>
      <c r="BN54" s="110">
        <v>0</v>
      </c>
      <c r="BO54" s="110">
        <v>0</v>
      </c>
      <c r="BP54" s="110">
        <v>0</v>
      </c>
      <c r="BQ54" s="110">
        <v>0</v>
      </c>
      <c r="BR54" s="110">
        <v>0</v>
      </c>
      <c r="BS54" s="110">
        <v>0</v>
      </c>
      <c r="BT54" s="110">
        <v>0</v>
      </c>
      <c r="BU54" s="110">
        <v>0</v>
      </c>
      <c r="BV54" s="110">
        <v>0</v>
      </c>
      <c r="BW54" s="110">
        <v>0</v>
      </c>
      <c r="BX54" s="110">
        <v>0</v>
      </c>
      <c r="BY54" s="110">
        <v>0</v>
      </c>
      <c r="BZ54" s="110">
        <v>0</v>
      </c>
      <c r="CA54" s="110">
        <v>0</v>
      </c>
      <c r="CB54" s="110">
        <v>0</v>
      </c>
      <c r="CC54" s="110">
        <v>0</v>
      </c>
      <c r="CD54" s="110">
        <v>0</v>
      </c>
      <c r="CE54" s="110">
        <v>0</v>
      </c>
      <c r="CF54" s="110">
        <v>0</v>
      </c>
      <c r="CG54" s="110">
        <v>0</v>
      </c>
      <c r="CH54" s="110">
        <v>0</v>
      </c>
      <c r="CI54" s="110">
        <v>0</v>
      </c>
      <c r="CJ54" s="110">
        <v>0</v>
      </c>
      <c r="CK54" s="110">
        <v>0</v>
      </c>
      <c r="CL54" s="110">
        <v>0</v>
      </c>
      <c r="CM54" s="110">
        <v>0</v>
      </c>
      <c r="CN54" s="110">
        <v>0</v>
      </c>
      <c r="CO54" s="110">
        <v>38777.81</v>
      </c>
      <c r="CP54" s="110">
        <v>26967.42</v>
      </c>
      <c r="CQ54" s="110">
        <v>21244.18</v>
      </c>
      <c r="CR54" s="110">
        <v>512</v>
      </c>
      <c r="CS54" s="110">
        <v>376</v>
      </c>
      <c r="CT54" s="110">
        <v>0</v>
      </c>
      <c r="CU54" s="110">
        <v>0</v>
      </c>
      <c r="CV54" s="111">
        <v>365</v>
      </c>
      <c r="CW54" s="111">
        <v>346</v>
      </c>
      <c r="CX54" s="111">
        <v>337</v>
      </c>
      <c r="CY54" s="111">
        <v>9</v>
      </c>
      <c r="CZ54" s="111">
        <v>19</v>
      </c>
      <c r="DA54" s="111">
        <v>9</v>
      </c>
      <c r="DB54" s="111">
        <v>10</v>
      </c>
      <c r="DC54" s="111">
        <v>263</v>
      </c>
      <c r="DD54" s="111">
        <v>0</v>
      </c>
      <c r="DE54" s="111">
        <v>253</v>
      </c>
      <c r="DF54" s="111">
        <v>251</v>
      </c>
      <c r="DG54" s="111">
        <v>2</v>
      </c>
      <c r="DH54" s="111">
        <v>10</v>
      </c>
      <c r="DI54" s="111">
        <v>4</v>
      </c>
      <c r="DJ54" s="111">
        <v>6</v>
      </c>
      <c r="DK54" s="111">
        <v>99</v>
      </c>
      <c r="DL54" s="111">
        <v>91</v>
      </c>
      <c r="DM54" s="111">
        <v>85</v>
      </c>
      <c r="DN54" s="111">
        <v>6</v>
      </c>
      <c r="DO54" s="111">
        <v>8</v>
      </c>
      <c r="DP54" s="111">
        <v>4</v>
      </c>
      <c r="DQ54" s="111">
        <v>4</v>
      </c>
      <c r="DR54" s="111">
        <v>3</v>
      </c>
      <c r="DS54" s="111">
        <v>0</v>
      </c>
      <c r="DT54" s="111">
        <v>2</v>
      </c>
      <c r="DU54" s="111">
        <v>1</v>
      </c>
      <c r="DV54" s="111">
        <v>1</v>
      </c>
      <c r="DW54" s="111">
        <v>1</v>
      </c>
      <c r="DX54" s="111">
        <v>1</v>
      </c>
      <c r="DY54" s="111">
        <v>0</v>
      </c>
      <c r="DZ54" s="111">
        <v>0</v>
      </c>
      <c r="EA54" s="111">
        <v>0</v>
      </c>
      <c r="EB54" s="111">
        <v>0</v>
      </c>
      <c r="EC54" s="111">
        <v>0</v>
      </c>
      <c r="ED54" s="111">
        <v>0</v>
      </c>
      <c r="EE54" s="111">
        <v>0</v>
      </c>
      <c r="EF54" s="111">
        <v>0</v>
      </c>
      <c r="EG54" s="111">
        <v>0</v>
      </c>
      <c r="EH54" s="111">
        <v>0</v>
      </c>
      <c r="EI54" s="111">
        <v>0</v>
      </c>
      <c r="EJ54" s="111">
        <v>0</v>
      </c>
      <c r="EK54" s="111">
        <v>0</v>
      </c>
      <c r="EL54" s="111">
        <v>0</v>
      </c>
      <c r="EM54" s="111">
        <v>0</v>
      </c>
      <c r="EN54" s="111">
        <v>0</v>
      </c>
      <c r="EO54" s="111">
        <v>0</v>
      </c>
      <c r="EP54" s="111">
        <v>0</v>
      </c>
      <c r="EQ54" s="111">
        <v>0</v>
      </c>
      <c r="ER54" s="111">
        <v>0</v>
      </c>
      <c r="ES54" s="111">
        <v>0</v>
      </c>
      <c r="ET54" s="111">
        <v>0</v>
      </c>
      <c r="EU54" s="111">
        <v>0</v>
      </c>
      <c r="EV54" s="111">
        <v>0</v>
      </c>
      <c r="EW54" s="111">
        <v>0</v>
      </c>
      <c r="EX54" s="111">
        <v>0</v>
      </c>
      <c r="EY54" s="111">
        <v>0</v>
      </c>
      <c r="EZ54" s="111">
        <v>0</v>
      </c>
      <c r="FA54" s="111">
        <v>0</v>
      </c>
      <c r="FB54" s="111">
        <v>0</v>
      </c>
    </row>
    <row r="55" spans="1:158" ht="19.5" customHeight="1">
      <c r="A55" s="107">
        <v>52</v>
      </c>
      <c r="B55" s="107" t="s">
        <v>401</v>
      </c>
      <c r="C55" s="107" t="s">
        <v>404</v>
      </c>
      <c r="D55" s="110">
        <v>2522899</v>
      </c>
      <c r="E55" s="110">
        <v>0</v>
      </c>
      <c r="F55" s="110">
        <v>2522899</v>
      </c>
      <c r="G55" s="110">
        <v>0</v>
      </c>
      <c r="H55" s="110">
        <v>0</v>
      </c>
      <c r="I55" s="110">
        <v>0</v>
      </c>
      <c r="J55" s="110">
        <v>0</v>
      </c>
      <c r="K55" s="110">
        <v>0</v>
      </c>
      <c r="L55" s="110">
        <v>387549.1</v>
      </c>
      <c r="M55" s="110">
        <v>695305.5</v>
      </c>
      <c r="N55" s="110">
        <v>480</v>
      </c>
      <c r="O55" s="110">
        <v>5087816.38</v>
      </c>
      <c r="P55" s="110">
        <v>3484040.01</v>
      </c>
      <c r="Q55" s="110">
        <v>2942899.62</v>
      </c>
      <c r="R55" s="110">
        <v>541140.39</v>
      </c>
      <c r="S55" s="110">
        <v>1603776.37</v>
      </c>
      <c r="T55" s="110">
        <v>1226824.8</v>
      </c>
      <c r="U55" s="110">
        <v>376951.57</v>
      </c>
      <c r="V55" s="110">
        <v>0</v>
      </c>
      <c r="W55" s="110">
        <v>0</v>
      </c>
      <c r="X55" s="110">
        <v>0</v>
      </c>
      <c r="Y55" s="110">
        <v>0</v>
      </c>
      <c r="Z55" s="110">
        <v>0</v>
      </c>
      <c r="AA55" s="110">
        <v>0</v>
      </c>
      <c r="AB55" s="110">
        <v>0</v>
      </c>
      <c r="AC55" s="110">
        <v>0</v>
      </c>
      <c r="AD55" s="110">
        <v>0</v>
      </c>
      <c r="AE55" s="110">
        <v>0</v>
      </c>
      <c r="AF55" s="110">
        <v>0</v>
      </c>
      <c r="AG55" s="110">
        <v>0</v>
      </c>
      <c r="AH55" s="110">
        <v>0</v>
      </c>
      <c r="AI55" s="110">
        <v>0</v>
      </c>
      <c r="AJ55" s="110">
        <v>0</v>
      </c>
      <c r="AK55" s="110">
        <v>0</v>
      </c>
      <c r="AL55" s="110">
        <v>0</v>
      </c>
      <c r="AM55" s="110">
        <v>0</v>
      </c>
      <c r="AN55" s="110">
        <v>0</v>
      </c>
      <c r="AO55" s="110">
        <v>0</v>
      </c>
      <c r="AP55" s="110">
        <v>0</v>
      </c>
      <c r="AQ55" s="110">
        <v>0</v>
      </c>
      <c r="AR55" s="110">
        <v>0</v>
      </c>
      <c r="AS55" s="110">
        <v>0</v>
      </c>
      <c r="AT55" s="110">
        <v>0</v>
      </c>
      <c r="AU55" s="110">
        <v>0</v>
      </c>
      <c r="AV55" s="110">
        <v>0</v>
      </c>
      <c r="AW55" s="110">
        <v>0</v>
      </c>
      <c r="AX55" s="110">
        <v>0</v>
      </c>
      <c r="AY55" s="110">
        <v>0</v>
      </c>
      <c r="AZ55" s="110">
        <v>0</v>
      </c>
      <c r="BA55" s="110">
        <v>0</v>
      </c>
      <c r="BB55" s="110">
        <v>0</v>
      </c>
      <c r="BC55" s="110">
        <v>0</v>
      </c>
      <c r="BD55" s="110">
        <v>0</v>
      </c>
      <c r="BE55" s="110">
        <v>5087816.38</v>
      </c>
      <c r="BF55" s="110">
        <v>3484040.01</v>
      </c>
      <c r="BG55" s="110">
        <v>2942899.62</v>
      </c>
      <c r="BH55" s="110">
        <v>541140.39</v>
      </c>
      <c r="BI55" s="110">
        <v>1603776.37</v>
      </c>
      <c r="BJ55" s="110">
        <v>1226824.8</v>
      </c>
      <c r="BK55" s="110">
        <v>376951.57</v>
      </c>
      <c r="BL55" s="110">
        <v>1258081.03</v>
      </c>
      <c r="BM55" s="110">
        <v>893372.84</v>
      </c>
      <c r="BN55" s="110">
        <v>725686.28</v>
      </c>
      <c r="BO55" s="110">
        <v>167686.56</v>
      </c>
      <c r="BP55" s="110">
        <v>364708.19</v>
      </c>
      <c r="BQ55" s="110">
        <v>259453.89</v>
      </c>
      <c r="BR55" s="110">
        <v>105254.3</v>
      </c>
      <c r="BS55" s="110">
        <v>1306836.3500000001</v>
      </c>
      <c r="BT55" s="110">
        <v>892396.97</v>
      </c>
      <c r="BU55" s="110">
        <v>786655.14</v>
      </c>
      <c r="BV55" s="110">
        <v>105741.83</v>
      </c>
      <c r="BW55" s="110">
        <v>414439.38</v>
      </c>
      <c r="BX55" s="110">
        <v>314739.15999999997</v>
      </c>
      <c r="BY55" s="110">
        <v>99700.22</v>
      </c>
      <c r="BZ55" s="110">
        <v>908650</v>
      </c>
      <c r="CA55" s="110">
        <v>603886</v>
      </c>
      <c r="CB55" s="110">
        <v>517465</v>
      </c>
      <c r="CC55" s="110">
        <v>86421</v>
      </c>
      <c r="CD55" s="110">
        <v>304764</v>
      </c>
      <c r="CE55" s="110">
        <v>248894</v>
      </c>
      <c r="CF55" s="110">
        <v>55870</v>
      </c>
      <c r="CG55" s="110">
        <v>1614249</v>
      </c>
      <c r="CH55" s="110">
        <v>1094384.2</v>
      </c>
      <c r="CI55" s="110">
        <v>913093.2</v>
      </c>
      <c r="CJ55" s="110">
        <v>181291</v>
      </c>
      <c r="CK55" s="110">
        <v>519864.8</v>
      </c>
      <c r="CL55" s="110">
        <v>403737.75</v>
      </c>
      <c r="CM55" s="110">
        <v>116127.05</v>
      </c>
      <c r="CN55" s="110">
        <v>0</v>
      </c>
      <c r="CO55" s="110">
        <v>0</v>
      </c>
      <c r="CP55" s="110">
        <v>0</v>
      </c>
      <c r="CQ55" s="110">
        <v>0</v>
      </c>
      <c r="CR55" s="110">
        <v>0</v>
      </c>
      <c r="CS55" s="110">
        <v>0</v>
      </c>
      <c r="CT55" s="110">
        <v>0</v>
      </c>
      <c r="CU55" s="110">
        <v>0</v>
      </c>
      <c r="CV55" s="111">
        <v>0</v>
      </c>
      <c r="CW55" s="111">
        <v>0</v>
      </c>
      <c r="CX55" s="111">
        <v>0</v>
      </c>
      <c r="CY55" s="111">
        <v>0</v>
      </c>
      <c r="CZ55" s="111">
        <v>0</v>
      </c>
      <c r="DA55" s="111">
        <v>0</v>
      </c>
      <c r="DB55" s="111">
        <v>0</v>
      </c>
      <c r="DC55" s="111">
        <v>0</v>
      </c>
      <c r="DD55" s="111">
        <v>0</v>
      </c>
      <c r="DE55" s="111">
        <v>0</v>
      </c>
      <c r="DF55" s="111">
        <v>0</v>
      </c>
      <c r="DG55" s="111">
        <v>0</v>
      </c>
      <c r="DH55" s="111">
        <v>0</v>
      </c>
      <c r="DI55" s="111">
        <v>0</v>
      </c>
      <c r="DJ55" s="111">
        <v>0</v>
      </c>
      <c r="DK55" s="111">
        <v>0</v>
      </c>
      <c r="DL55" s="111">
        <v>0</v>
      </c>
      <c r="DM55" s="111">
        <v>0</v>
      </c>
      <c r="DN55" s="111">
        <v>0</v>
      </c>
      <c r="DO55" s="111">
        <v>0</v>
      </c>
      <c r="DP55" s="111">
        <v>0</v>
      </c>
      <c r="DQ55" s="111">
        <v>0</v>
      </c>
      <c r="DR55" s="111">
        <v>0</v>
      </c>
      <c r="DS55" s="111">
        <v>0</v>
      </c>
      <c r="DT55" s="111">
        <v>0</v>
      </c>
      <c r="DU55" s="111">
        <v>0</v>
      </c>
      <c r="DV55" s="111">
        <v>0</v>
      </c>
      <c r="DW55" s="111">
        <v>0</v>
      </c>
      <c r="DX55" s="111">
        <v>0</v>
      </c>
      <c r="DY55" s="111">
        <v>0</v>
      </c>
      <c r="DZ55" s="111">
        <v>0</v>
      </c>
      <c r="EA55" s="111">
        <v>0</v>
      </c>
      <c r="EB55" s="111">
        <v>0</v>
      </c>
      <c r="EC55" s="111">
        <v>0</v>
      </c>
      <c r="ED55" s="111">
        <v>0</v>
      </c>
      <c r="EE55" s="111">
        <v>0</v>
      </c>
      <c r="EF55" s="111">
        <v>0</v>
      </c>
      <c r="EG55" s="111">
        <v>0</v>
      </c>
      <c r="EH55" s="111">
        <v>0</v>
      </c>
      <c r="EI55" s="111">
        <v>0</v>
      </c>
      <c r="EJ55" s="111">
        <v>0</v>
      </c>
      <c r="EK55" s="111">
        <v>0</v>
      </c>
      <c r="EL55" s="111">
        <v>0</v>
      </c>
      <c r="EM55" s="111">
        <v>0</v>
      </c>
      <c r="EN55" s="111">
        <v>1</v>
      </c>
      <c r="EO55" s="111">
        <v>0</v>
      </c>
      <c r="EP55" s="111">
        <v>0</v>
      </c>
      <c r="EQ55" s="111">
        <v>1</v>
      </c>
      <c r="ER55" s="111">
        <v>0</v>
      </c>
      <c r="ES55" s="111">
        <v>0</v>
      </c>
      <c r="ET55" s="111">
        <v>0</v>
      </c>
      <c r="EU55" s="111">
        <v>0</v>
      </c>
      <c r="EV55" s="111">
        <v>0</v>
      </c>
      <c r="EW55" s="111">
        <v>0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</row>
    <row r="56" spans="1:158" ht="19.5" customHeight="1">
      <c r="A56" s="107">
        <v>53</v>
      </c>
      <c r="B56" s="107" t="s">
        <v>361</v>
      </c>
      <c r="C56" s="107" t="s">
        <v>405</v>
      </c>
      <c r="D56" s="110">
        <v>1654416.5</v>
      </c>
      <c r="E56" s="110">
        <v>314401</v>
      </c>
      <c r="F56" s="110">
        <v>1340015.5</v>
      </c>
      <c r="G56" s="110">
        <v>1845</v>
      </c>
      <c r="H56" s="110">
        <v>244</v>
      </c>
      <c r="I56" s="110">
        <v>25842</v>
      </c>
      <c r="J56" s="110">
        <v>0</v>
      </c>
      <c r="K56" s="110">
        <v>0</v>
      </c>
      <c r="L56" s="110">
        <v>51267</v>
      </c>
      <c r="M56" s="110">
        <v>751353.5</v>
      </c>
      <c r="N56" s="110">
        <v>0</v>
      </c>
      <c r="O56" s="110">
        <v>4817440.28</v>
      </c>
      <c r="P56" s="110">
        <v>3112709.69</v>
      </c>
      <c r="Q56" s="110">
        <v>3041601</v>
      </c>
      <c r="R56" s="110">
        <v>71108.69</v>
      </c>
      <c r="S56" s="110">
        <v>1704730.59</v>
      </c>
      <c r="T56" s="110">
        <v>1645442.36</v>
      </c>
      <c r="U56" s="110">
        <v>59288.23</v>
      </c>
      <c r="V56" s="110">
        <v>726441.49</v>
      </c>
      <c r="W56" s="110">
        <v>610037.62</v>
      </c>
      <c r="X56" s="110">
        <v>591227.85</v>
      </c>
      <c r="Y56" s="110">
        <v>18809.77</v>
      </c>
      <c r="Z56" s="110">
        <v>116403.87</v>
      </c>
      <c r="AA56" s="110">
        <v>75759.7</v>
      </c>
      <c r="AB56" s="110">
        <v>40644.17</v>
      </c>
      <c r="AC56" s="110">
        <v>398756.09</v>
      </c>
      <c r="AD56" s="110">
        <v>345194.52</v>
      </c>
      <c r="AE56" s="110">
        <v>334158.75</v>
      </c>
      <c r="AF56" s="110">
        <v>11035.77</v>
      </c>
      <c r="AG56" s="110">
        <v>53561.57</v>
      </c>
      <c r="AH56" s="110">
        <v>34754.400000000001</v>
      </c>
      <c r="AI56" s="110">
        <v>18807.169999999998</v>
      </c>
      <c r="AJ56" s="110">
        <v>13284.4</v>
      </c>
      <c r="AK56" s="110">
        <v>10772.1</v>
      </c>
      <c r="AL56" s="110">
        <v>10772.1</v>
      </c>
      <c r="AM56" s="110">
        <v>0</v>
      </c>
      <c r="AN56" s="110">
        <v>2512.3000000000002</v>
      </c>
      <c r="AO56" s="110">
        <v>1137.3</v>
      </c>
      <c r="AP56" s="110">
        <v>1375</v>
      </c>
      <c r="AQ56" s="110">
        <v>207785</v>
      </c>
      <c r="AR56" s="110">
        <v>170996</v>
      </c>
      <c r="AS56" s="110">
        <v>167104</v>
      </c>
      <c r="AT56" s="110">
        <v>3892</v>
      </c>
      <c r="AU56" s="110">
        <v>36789</v>
      </c>
      <c r="AV56" s="110">
        <v>25472</v>
      </c>
      <c r="AW56" s="110">
        <v>11317</v>
      </c>
      <c r="AX56" s="110">
        <v>106616</v>
      </c>
      <c r="AY56" s="110">
        <v>83075</v>
      </c>
      <c r="AZ56" s="110">
        <v>79193</v>
      </c>
      <c r="BA56" s="110">
        <v>3882</v>
      </c>
      <c r="BB56" s="110">
        <v>23541</v>
      </c>
      <c r="BC56" s="110">
        <v>14396</v>
      </c>
      <c r="BD56" s="110">
        <v>9145</v>
      </c>
      <c r="BE56" s="110">
        <v>4090998.79</v>
      </c>
      <c r="BF56" s="110">
        <v>2502672.0699999998</v>
      </c>
      <c r="BG56" s="110">
        <v>2450373.15</v>
      </c>
      <c r="BH56" s="110">
        <v>52298.92</v>
      </c>
      <c r="BI56" s="110">
        <v>1588326.72</v>
      </c>
      <c r="BJ56" s="110">
        <v>1569682.66</v>
      </c>
      <c r="BK56" s="110">
        <v>18644.060000000001</v>
      </c>
      <c r="BL56" s="110">
        <v>161410.32999999999</v>
      </c>
      <c r="BM56" s="110">
        <v>94921.17</v>
      </c>
      <c r="BN56" s="110">
        <v>93198.94</v>
      </c>
      <c r="BO56" s="110">
        <v>1722.23</v>
      </c>
      <c r="BP56" s="110">
        <v>66489.16</v>
      </c>
      <c r="BQ56" s="110">
        <v>64884.1</v>
      </c>
      <c r="BR56" s="110">
        <v>1605.06</v>
      </c>
      <c r="BS56" s="110">
        <v>2589572.96</v>
      </c>
      <c r="BT56" s="110">
        <v>1610925.9</v>
      </c>
      <c r="BU56" s="110">
        <v>1576374.71</v>
      </c>
      <c r="BV56" s="110">
        <v>34551.19</v>
      </c>
      <c r="BW56" s="110">
        <v>978647.06</v>
      </c>
      <c r="BX56" s="110">
        <v>968532.06</v>
      </c>
      <c r="BY56" s="110">
        <v>10115</v>
      </c>
      <c r="BZ56" s="110">
        <v>395164</v>
      </c>
      <c r="CA56" s="110">
        <v>221969</v>
      </c>
      <c r="CB56" s="110">
        <v>217665</v>
      </c>
      <c r="CC56" s="110">
        <v>4304</v>
      </c>
      <c r="CD56" s="110">
        <v>173195</v>
      </c>
      <c r="CE56" s="110">
        <v>169742</v>
      </c>
      <c r="CF56" s="110">
        <v>3453</v>
      </c>
      <c r="CG56" s="110">
        <v>944851.5</v>
      </c>
      <c r="CH56" s="110">
        <v>574856</v>
      </c>
      <c r="CI56" s="110">
        <v>563134.5</v>
      </c>
      <c r="CJ56" s="110">
        <v>11721.5</v>
      </c>
      <c r="CK56" s="110">
        <v>369995.5</v>
      </c>
      <c r="CL56" s="110">
        <v>366524.5</v>
      </c>
      <c r="CM56" s="110">
        <v>3471</v>
      </c>
      <c r="CN56" s="110">
        <v>50</v>
      </c>
      <c r="CO56" s="110">
        <v>398196.6</v>
      </c>
      <c r="CP56" s="110">
        <v>247291.92</v>
      </c>
      <c r="CQ56" s="110">
        <v>40088.21</v>
      </c>
      <c r="CR56" s="110">
        <v>40864.76</v>
      </c>
      <c r="CS56" s="110">
        <v>0</v>
      </c>
      <c r="CT56" s="110">
        <v>0</v>
      </c>
      <c r="CU56" s="110">
        <v>0</v>
      </c>
      <c r="CV56" s="111">
        <v>1845</v>
      </c>
      <c r="CW56" s="111">
        <v>1504</v>
      </c>
      <c r="CX56" s="111">
        <v>1437</v>
      </c>
      <c r="CY56" s="111">
        <v>67</v>
      </c>
      <c r="CZ56" s="111">
        <v>341</v>
      </c>
      <c r="DA56" s="111">
        <v>203</v>
      </c>
      <c r="DB56" s="111">
        <v>138</v>
      </c>
      <c r="DC56" s="111">
        <v>1188</v>
      </c>
      <c r="DD56" s="111">
        <v>0</v>
      </c>
      <c r="DE56" s="111">
        <v>1024</v>
      </c>
      <c r="DF56" s="111">
        <v>993</v>
      </c>
      <c r="DG56" s="111">
        <v>31</v>
      </c>
      <c r="DH56" s="111">
        <v>164</v>
      </c>
      <c r="DI56" s="111">
        <v>98</v>
      </c>
      <c r="DJ56" s="111">
        <v>66</v>
      </c>
      <c r="DK56" s="111">
        <v>593</v>
      </c>
      <c r="DL56" s="111">
        <v>442</v>
      </c>
      <c r="DM56" s="111">
        <v>410</v>
      </c>
      <c r="DN56" s="111">
        <v>32</v>
      </c>
      <c r="DO56" s="111">
        <v>151</v>
      </c>
      <c r="DP56" s="111">
        <v>89</v>
      </c>
      <c r="DQ56" s="111">
        <v>62</v>
      </c>
      <c r="DR56" s="111">
        <v>64</v>
      </c>
      <c r="DS56" s="111">
        <v>0</v>
      </c>
      <c r="DT56" s="111">
        <v>38</v>
      </c>
      <c r="DU56" s="111">
        <v>34</v>
      </c>
      <c r="DV56" s="111">
        <v>4</v>
      </c>
      <c r="DW56" s="111">
        <v>26</v>
      </c>
      <c r="DX56" s="111">
        <v>16</v>
      </c>
      <c r="DY56" s="111">
        <v>10</v>
      </c>
      <c r="DZ56" s="111">
        <v>0</v>
      </c>
      <c r="EA56" s="111">
        <v>0</v>
      </c>
      <c r="EB56" s="111">
        <v>0</v>
      </c>
      <c r="EC56" s="111">
        <v>0</v>
      </c>
      <c r="ED56" s="111">
        <v>0</v>
      </c>
      <c r="EE56" s="111">
        <v>0</v>
      </c>
      <c r="EF56" s="111">
        <v>0</v>
      </c>
      <c r="EG56" s="111">
        <v>244</v>
      </c>
      <c r="EH56" s="111">
        <v>152</v>
      </c>
      <c r="EI56" s="111">
        <v>151</v>
      </c>
      <c r="EJ56" s="111">
        <v>1</v>
      </c>
      <c r="EK56" s="111">
        <v>92</v>
      </c>
      <c r="EL56" s="111">
        <v>89</v>
      </c>
      <c r="EM56" s="111">
        <v>3</v>
      </c>
      <c r="EN56" s="111">
        <v>236</v>
      </c>
      <c r="EO56" s="111">
        <v>214</v>
      </c>
      <c r="EP56" s="111">
        <v>0</v>
      </c>
      <c r="EQ56" s="111">
        <v>22</v>
      </c>
      <c r="ER56" s="111">
        <v>10</v>
      </c>
      <c r="ES56" s="111">
        <v>0</v>
      </c>
      <c r="ET56" s="111">
        <v>0</v>
      </c>
      <c r="EU56" s="111">
        <v>15</v>
      </c>
      <c r="EV56" s="111">
        <v>15</v>
      </c>
      <c r="EW56" s="111">
        <v>0</v>
      </c>
      <c r="EX56" s="111">
        <v>0</v>
      </c>
      <c r="EY56" s="111">
        <v>110</v>
      </c>
      <c r="EZ56" s="111">
        <v>110</v>
      </c>
      <c r="FA56" s="111">
        <v>0</v>
      </c>
      <c r="FB56" s="111">
        <v>42</v>
      </c>
    </row>
    <row r="57" spans="1:158" ht="19.5" customHeight="1">
      <c r="A57" s="107">
        <v>54</v>
      </c>
      <c r="B57" s="107" t="s">
        <v>350</v>
      </c>
      <c r="C57" s="107" t="s">
        <v>406</v>
      </c>
      <c r="D57" s="110">
        <v>1775961</v>
      </c>
      <c r="E57" s="110">
        <v>1775961</v>
      </c>
      <c r="F57" s="110">
        <v>0</v>
      </c>
      <c r="G57" s="110">
        <v>1743</v>
      </c>
      <c r="H57" s="110">
        <v>0</v>
      </c>
      <c r="I57" s="110">
        <v>1043085</v>
      </c>
      <c r="J57" s="110">
        <v>6647</v>
      </c>
      <c r="K57" s="110">
        <v>0</v>
      </c>
      <c r="L57" s="110">
        <v>0</v>
      </c>
      <c r="M57" s="110">
        <v>0</v>
      </c>
      <c r="N57" s="110">
        <v>0</v>
      </c>
      <c r="O57" s="110">
        <v>2160552.87</v>
      </c>
      <c r="P57" s="110">
        <v>1658253.17</v>
      </c>
      <c r="Q57" s="110">
        <v>1604877.71</v>
      </c>
      <c r="R57" s="110">
        <v>53375.46</v>
      </c>
      <c r="S57" s="110">
        <v>502299.7</v>
      </c>
      <c r="T57" s="110">
        <v>270038.09999999998</v>
      </c>
      <c r="U57" s="110">
        <v>232261.6</v>
      </c>
      <c r="V57" s="110">
        <v>2160552.87</v>
      </c>
      <c r="W57" s="110">
        <v>1658253.17</v>
      </c>
      <c r="X57" s="110">
        <v>1604877.71</v>
      </c>
      <c r="Y57" s="110">
        <v>53375.46</v>
      </c>
      <c r="Z57" s="110">
        <v>502299.7</v>
      </c>
      <c r="AA57" s="110">
        <v>270038.09999999998</v>
      </c>
      <c r="AB57" s="110">
        <v>232261.6</v>
      </c>
      <c r="AC57" s="110">
        <v>384100.07</v>
      </c>
      <c r="AD57" s="110">
        <v>294290.17</v>
      </c>
      <c r="AE57" s="110">
        <v>291458.71000000002</v>
      </c>
      <c r="AF57" s="110">
        <v>2831.46</v>
      </c>
      <c r="AG57" s="110">
        <v>89809.9</v>
      </c>
      <c r="AH57" s="110">
        <v>61470.1</v>
      </c>
      <c r="AI57" s="110">
        <v>28339.8</v>
      </c>
      <c r="AJ57" s="110">
        <v>491.8</v>
      </c>
      <c r="AK57" s="110">
        <v>397</v>
      </c>
      <c r="AL57" s="110">
        <v>397</v>
      </c>
      <c r="AM57" s="110">
        <v>0</v>
      </c>
      <c r="AN57" s="110">
        <v>94.8</v>
      </c>
      <c r="AO57" s="110">
        <v>66</v>
      </c>
      <c r="AP57" s="110">
        <v>28.8</v>
      </c>
      <c r="AQ57" s="110">
        <v>640398</v>
      </c>
      <c r="AR57" s="110">
        <v>511976</v>
      </c>
      <c r="AS57" s="110">
        <v>495236</v>
      </c>
      <c r="AT57" s="110">
        <v>16740</v>
      </c>
      <c r="AU57" s="110">
        <v>128422</v>
      </c>
      <c r="AV57" s="110">
        <v>54574</v>
      </c>
      <c r="AW57" s="110">
        <v>73848</v>
      </c>
      <c r="AX57" s="110">
        <v>1135563</v>
      </c>
      <c r="AY57" s="110">
        <v>851590</v>
      </c>
      <c r="AZ57" s="110">
        <v>817786</v>
      </c>
      <c r="BA57" s="110">
        <v>33804</v>
      </c>
      <c r="BB57" s="110">
        <v>283973</v>
      </c>
      <c r="BC57" s="110">
        <v>153928</v>
      </c>
      <c r="BD57" s="110">
        <v>130045</v>
      </c>
      <c r="BE57" s="110">
        <v>0</v>
      </c>
      <c r="BF57" s="110">
        <v>0</v>
      </c>
      <c r="BG57" s="110">
        <v>0</v>
      </c>
      <c r="BH57" s="110">
        <v>0</v>
      </c>
      <c r="BI57" s="110">
        <v>0</v>
      </c>
      <c r="BJ57" s="110">
        <v>0</v>
      </c>
      <c r="BK57" s="110">
        <v>0</v>
      </c>
      <c r="BL57" s="110">
        <v>0</v>
      </c>
      <c r="BM57" s="110">
        <v>0</v>
      </c>
      <c r="BN57" s="110">
        <v>0</v>
      </c>
      <c r="BO57" s="110">
        <v>0</v>
      </c>
      <c r="BP57" s="110">
        <v>0</v>
      </c>
      <c r="BQ57" s="110">
        <v>0</v>
      </c>
      <c r="BR57" s="110">
        <v>0</v>
      </c>
      <c r="BS57" s="110">
        <v>0</v>
      </c>
      <c r="BT57" s="110">
        <v>0</v>
      </c>
      <c r="BU57" s="110">
        <v>0</v>
      </c>
      <c r="BV57" s="110">
        <v>0</v>
      </c>
      <c r="BW57" s="110">
        <v>0</v>
      </c>
      <c r="BX57" s="110">
        <v>0</v>
      </c>
      <c r="BY57" s="110">
        <v>0</v>
      </c>
      <c r="BZ57" s="110">
        <v>0</v>
      </c>
      <c r="CA57" s="110">
        <v>0</v>
      </c>
      <c r="CB57" s="110">
        <v>0</v>
      </c>
      <c r="CC57" s="110">
        <v>0</v>
      </c>
      <c r="CD57" s="110">
        <v>0</v>
      </c>
      <c r="CE57" s="110">
        <v>0</v>
      </c>
      <c r="CF57" s="110">
        <v>0</v>
      </c>
      <c r="CG57" s="110">
        <v>0</v>
      </c>
      <c r="CH57" s="110">
        <v>0</v>
      </c>
      <c r="CI57" s="110">
        <v>0</v>
      </c>
      <c r="CJ57" s="110">
        <v>0</v>
      </c>
      <c r="CK57" s="110">
        <v>0</v>
      </c>
      <c r="CL57" s="110">
        <v>0</v>
      </c>
      <c r="CM57" s="110">
        <v>0</v>
      </c>
      <c r="CN57" s="110">
        <v>4232</v>
      </c>
      <c r="CO57" s="110">
        <v>653535.57999999996</v>
      </c>
      <c r="CP57" s="110">
        <v>1040286.79</v>
      </c>
      <c r="CQ57" s="110">
        <v>111975.52</v>
      </c>
      <c r="CR57" s="110">
        <v>350532.98</v>
      </c>
      <c r="CS57" s="110">
        <v>0</v>
      </c>
      <c r="CT57" s="110">
        <v>0</v>
      </c>
      <c r="CU57" s="110">
        <v>0</v>
      </c>
      <c r="CV57" s="111">
        <v>1743</v>
      </c>
      <c r="CW57" s="111">
        <v>1478</v>
      </c>
      <c r="CX57" s="111">
        <v>1408</v>
      </c>
      <c r="CY57" s="111">
        <v>70</v>
      </c>
      <c r="CZ57" s="111">
        <v>265</v>
      </c>
      <c r="DA57" s="111">
        <v>144</v>
      </c>
      <c r="DB57" s="111">
        <v>121</v>
      </c>
      <c r="DC57" s="111">
        <v>787</v>
      </c>
      <c r="DD57" s="111">
        <v>0</v>
      </c>
      <c r="DE57" s="111">
        <v>692</v>
      </c>
      <c r="DF57" s="111">
        <v>652</v>
      </c>
      <c r="DG57" s="111">
        <v>40</v>
      </c>
      <c r="DH57" s="111">
        <v>95</v>
      </c>
      <c r="DI57" s="111">
        <v>48</v>
      </c>
      <c r="DJ57" s="111">
        <v>47</v>
      </c>
      <c r="DK57" s="111">
        <v>887</v>
      </c>
      <c r="DL57" s="111">
        <v>732</v>
      </c>
      <c r="DM57" s="111">
        <v>703</v>
      </c>
      <c r="DN57" s="111">
        <v>29</v>
      </c>
      <c r="DO57" s="111">
        <v>155</v>
      </c>
      <c r="DP57" s="111">
        <v>89</v>
      </c>
      <c r="DQ57" s="111">
        <v>66</v>
      </c>
      <c r="DR57" s="111">
        <v>66</v>
      </c>
      <c r="DS57" s="111">
        <v>0</v>
      </c>
      <c r="DT57" s="111">
        <v>51</v>
      </c>
      <c r="DU57" s="111">
        <v>50</v>
      </c>
      <c r="DV57" s="111">
        <v>1</v>
      </c>
      <c r="DW57" s="111">
        <v>15</v>
      </c>
      <c r="DX57" s="111">
        <v>7</v>
      </c>
      <c r="DY57" s="111">
        <v>8</v>
      </c>
      <c r="DZ57" s="111">
        <v>3</v>
      </c>
      <c r="EA57" s="111">
        <v>3</v>
      </c>
      <c r="EB57" s="111">
        <v>3</v>
      </c>
      <c r="EC57" s="111">
        <v>0</v>
      </c>
      <c r="ED57" s="111">
        <v>0</v>
      </c>
      <c r="EE57" s="111">
        <v>0</v>
      </c>
      <c r="EF57" s="111">
        <v>0</v>
      </c>
      <c r="EG57" s="111">
        <v>0</v>
      </c>
      <c r="EH57" s="111">
        <v>0</v>
      </c>
      <c r="EI57" s="111">
        <v>0</v>
      </c>
      <c r="EJ57" s="111">
        <v>0</v>
      </c>
      <c r="EK57" s="111">
        <v>0</v>
      </c>
      <c r="EL57" s="111">
        <v>0</v>
      </c>
      <c r="EM57" s="111">
        <v>0</v>
      </c>
      <c r="EN57" s="111">
        <v>0</v>
      </c>
      <c r="EO57" s="111">
        <v>0</v>
      </c>
      <c r="EP57" s="111">
        <v>0</v>
      </c>
      <c r="EQ57" s="111">
        <v>0</v>
      </c>
      <c r="ER57" s="111">
        <v>0</v>
      </c>
      <c r="ES57" s="111">
        <v>0</v>
      </c>
      <c r="ET57" s="111">
        <v>0</v>
      </c>
      <c r="EU57" s="111">
        <v>0</v>
      </c>
      <c r="EV57" s="111">
        <v>0</v>
      </c>
      <c r="EW57" s="111">
        <v>0</v>
      </c>
      <c r="EX57" s="111">
        <v>0</v>
      </c>
      <c r="EY57" s="111">
        <v>0</v>
      </c>
      <c r="EZ57" s="111">
        <v>0</v>
      </c>
      <c r="FA57" s="111">
        <v>0</v>
      </c>
      <c r="FB57" s="111">
        <v>0</v>
      </c>
    </row>
    <row r="58" spans="1:158" ht="19.5" customHeight="1">
      <c r="A58" s="107">
        <v>55</v>
      </c>
      <c r="B58" s="107" t="s">
        <v>407</v>
      </c>
      <c r="C58" s="107" t="s">
        <v>408</v>
      </c>
      <c r="D58" s="110">
        <v>100</v>
      </c>
      <c r="E58" s="110">
        <v>100</v>
      </c>
      <c r="F58" s="110">
        <v>0</v>
      </c>
      <c r="G58" s="110">
        <v>4</v>
      </c>
      <c r="H58" s="110">
        <v>0</v>
      </c>
      <c r="I58" s="110">
        <v>0</v>
      </c>
      <c r="J58" s="110">
        <v>0</v>
      </c>
      <c r="K58" s="110">
        <v>0</v>
      </c>
      <c r="L58" s="110">
        <v>0</v>
      </c>
      <c r="M58" s="110">
        <v>0</v>
      </c>
      <c r="N58" s="110">
        <v>0</v>
      </c>
      <c r="O58" s="110">
        <v>100</v>
      </c>
      <c r="P58" s="110">
        <v>75</v>
      </c>
      <c r="Q58" s="110">
        <v>75</v>
      </c>
      <c r="R58" s="110">
        <v>0</v>
      </c>
      <c r="S58" s="110">
        <v>25</v>
      </c>
      <c r="T58" s="110">
        <v>0</v>
      </c>
      <c r="U58" s="110">
        <v>25</v>
      </c>
      <c r="V58" s="110">
        <v>100</v>
      </c>
      <c r="W58" s="110">
        <v>75</v>
      </c>
      <c r="X58" s="110">
        <v>75</v>
      </c>
      <c r="Y58" s="110">
        <v>0</v>
      </c>
      <c r="Z58" s="110">
        <v>25</v>
      </c>
      <c r="AA58" s="110">
        <v>0</v>
      </c>
      <c r="AB58" s="110">
        <v>25</v>
      </c>
      <c r="AC58" s="110">
        <v>0</v>
      </c>
      <c r="AD58" s="110">
        <v>0</v>
      </c>
      <c r="AE58" s="110">
        <v>0</v>
      </c>
      <c r="AF58" s="110">
        <v>0</v>
      </c>
      <c r="AG58" s="110">
        <v>0</v>
      </c>
      <c r="AH58" s="110">
        <v>0</v>
      </c>
      <c r="AI58" s="110">
        <v>0</v>
      </c>
      <c r="AJ58" s="110">
        <v>0</v>
      </c>
      <c r="AK58" s="110">
        <v>0</v>
      </c>
      <c r="AL58" s="110">
        <v>0</v>
      </c>
      <c r="AM58" s="110">
        <v>0</v>
      </c>
      <c r="AN58" s="110">
        <v>0</v>
      </c>
      <c r="AO58" s="110">
        <v>0</v>
      </c>
      <c r="AP58" s="110">
        <v>0</v>
      </c>
      <c r="AQ58" s="110">
        <v>0</v>
      </c>
      <c r="AR58" s="110">
        <v>0</v>
      </c>
      <c r="AS58" s="110">
        <v>0</v>
      </c>
      <c r="AT58" s="110">
        <v>0</v>
      </c>
      <c r="AU58" s="110">
        <v>0</v>
      </c>
      <c r="AV58" s="110">
        <v>0</v>
      </c>
      <c r="AW58" s="110">
        <v>0</v>
      </c>
      <c r="AX58" s="110">
        <v>100</v>
      </c>
      <c r="AY58" s="110">
        <v>75</v>
      </c>
      <c r="AZ58" s="110">
        <v>75</v>
      </c>
      <c r="BA58" s="110">
        <v>0</v>
      </c>
      <c r="BB58" s="110">
        <v>25</v>
      </c>
      <c r="BC58" s="110">
        <v>0</v>
      </c>
      <c r="BD58" s="110">
        <v>25</v>
      </c>
      <c r="BE58" s="110">
        <v>0</v>
      </c>
      <c r="BF58" s="110">
        <v>0</v>
      </c>
      <c r="BG58" s="110">
        <v>0</v>
      </c>
      <c r="BH58" s="110">
        <v>0</v>
      </c>
      <c r="BI58" s="110">
        <v>0</v>
      </c>
      <c r="BJ58" s="110">
        <v>0</v>
      </c>
      <c r="BK58" s="110">
        <v>0</v>
      </c>
      <c r="BL58" s="110">
        <v>0</v>
      </c>
      <c r="BM58" s="110">
        <v>0</v>
      </c>
      <c r="BN58" s="110">
        <v>0</v>
      </c>
      <c r="BO58" s="110">
        <v>0</v>
      </c>
      <c r="BP58" s="110">
        <v>0</v>
      </c>
      <c r="BQ58" s="110">
        <v>0</v>
      </c>
      <c r="BR58" s="110">
        <v>0</v>
      </c>
      <c r="BS58" s="110">
        <v>0</v>
      </c>
      <c r="BT58" s="110">
        <v>0</v>
      </c>
      <c r="BU58" s="110">
        <v>0</v>
      </c>
      <c r="BV58" s="110">
        <v>0</v>
      </c>
      <c r="BW58" s="110">
        <v>0</v>
      </c>
      <c r="BX58" s="110">
        <v>0</v>
      </c>
      <c r="BY58" s="110">
        <v>0</v>
      </c>
      <c r="BZ58" s="110">
        <v>0</v>
      </c>
      <c r="CA58" s="110">
        <v>0</v>
      </c>
      <c r="CB58" s="110">
        <v>0</v>
      </c>
      <c r="CC58" s="110">
        <v>0</v>
      </c>
      <c r="CD58" s="110">
        <v>0</v>
      </c>
      <c r="CE58" s="110">
        <v>0</v>
      </c>
      <c r="CF58" s="110">
        <v>0</v>
      </c>
      <c r="CG58" s="110">
        <v>0</v>
      </c>
      <c r="CH58" s="110">
        <v>0</v>
      </c>
      <c r="CI58" s="110">
        <v>0</v>
      </c>
      <c r="CJ58" s="110">
        <v>0</v>
      </c>
      <c r="CK58" s="110">
        <v>0</v>
      </c>
      <c r="CL58" s="110">
        <v>0</v>
      </c>
      <c r="CM58" s="110">
        <v>0</v>
      </c>
      <c r="CN58" s="110">
        <v>0</v>
      </c>
      <c r="CO58" s="110">
        <v>0</v>
      </c>
      <c r="CP58" s="110">
        <v>0</v>
      </c>
      <c r="CQ58" s="110">
        <v>100</v>
      </c>
      <c r="CR58" s="110">
        <v>0</v>
      </c>
      <c r="CS58" s="110">
        <v>0</v>
      </c>
      <c r="CT58" s="110">
        <v>0</v>
      </c>
      <c r="CU58" s="110">
        <v>0</v>
      </c>
      <c r="CV58" s="111">
        <v>4</v>
      </c>
      <c r="CW58" s="111">
        <v>3</v>
      </c>
      <c r="CX58" s="111">
        <v>3</v>
      </c>
      <c r="CY58" s="111">
        <v>0</v>
      </c>
      <c r="CZ58" s="111">
        <v>1</v>
      </c>
      <c r="DA58" s="111">
        <v>0</v>
      </c>
      <c r="DB58" s="111">
        <v>1</v>
      </c>
      <c r="DC58" s="111">
        <v>4</v>
      </c>
      <c r="DD58" s="111">
        <v>0</v>
      </c>
      <c r="DE58" s="111">
        <v>3</v>
      </c>
      <c r="DF58" s="111">
        <v>3</v>
      </c>
      <c r="DG58" s="111">
        <v>0</v>
      </c>
      <c r="DH58" s="111">
        <v>1</v>
      </c>
      <c r="DI58" s="111">
        <v>0</v>
      </c>
      <c r="DJ58" s="111">
        <v>1</v>
      </c>
      <c r="DK58" s="111">
        <v>0</v>
      </c>
      <c r="DL58" s="111">
        <v>0</v>
      </c>
      <c r="DM58" s="111">
        <v>0</v>
      </c>
      <c r="DN58" s="111">
        <v>0</v>
      </c>
      <c r="DO58" s="111">
        <v>0</v>
      </c>
      <c r="DP58" s="111">
        <v>0</v>
      </c>
      <c r="DQ58" s="111">
        <v>0</v>
      </c>
      <c r="DR58" s="111">
        <v>0</v>
      </c>
      <c r="DS58" s="111">
        <v>0</v>
      </c>
      <c r="DT58" s="111">
        <v>0</v>
      </c>
      <c r="DU58" s="111">
        <v>0</v>
      </c>
      <c r="DV58" s="111">
        <v>0</v>
      </c>
      <c r="DW58" s="111">
        <v>0</v>
      </c>
      <c r="DX58" s="111">
        <v>0</v>
      </c>
      <c r="DY58" s="111">
        <v>0</v>
      </c>
      <c r="DZ58" s="111">
        <v>0</v>
      </c>
      <c r="EA58" s="111">
        <v>0</v>
      </c>
      <c r="EB58" s="111">
        <v>0</v>
      </c>
      <c r="EC58" s="111">
        <v>0</v>
      </c>
      <c r="ED58" s="111">
        <v>0</v>
      </c>
      <c r="EE58" s="111">
        <v>0</v>
      </c>
      <c r="EF58" s="111">
        <v>0</v>
      </c>
      <c r="EG58" s="111">
        <v>0</v>
      </c>
      <c r="EH58" s="111">
        <v>0</v>
      </c>
      <c r="EI58" s="111">
        <v>0</v>
      </c>
      <c r="EJ58" s="111">
        <v>0</v>
      </c>
      <c r="EK58" s="111">
        <v>0</v>
      </c>
      <c r="EL58" s="111">
        <v>0</v>
      </c>
      <c r="EM58" s="111">
        <v>0</v>
      </c>
      <c r="EN58" s="111">
        <v>0</v>
      </c>
      <c r="EO58" s="111">
        <v>0</v>
      </c>
      <c r="EP58" s="111">
        <v>0</v>
      </c>
      <c r="EQ58" s="111">
        <v>0</v>
      </c>
      <c r="ER58" s="111">
        <v>0</v>
      </c>
      <c r="ES58" s="111">
        <v>0</v>
      </c>
      <c r="ET58" s="111">
        <v>0</v>
      </c>
      <c r="EU58" s="111">
        <v>0</v>
      </c>
      <c r="EV58" s="111">
        <v>0</v>
      </c>
      <c r="EW58" s="111">
        <v>0</v>
      </c>
      <c r="EX58" s="111">
        <v>0</v>
      </c>
      <c r="EY58" s="111">
        <v>0</v>
      </c>
      <c r="EZ58" s="111">
        <v>0</v>
      </c>
      <c r="FA58" s="111">
        <v>0</v>
      </c>
      <c r="FB58" s="111">
        <v>0</v>
      </c>
    </row>
    <row r="59" spans="1:158" ht="19.5" customHeight="1">
      <c r="A59" s="107">
        <v>56</v>
      </c>
      <c r="B59" s="107" t="s">
        <v>401</v>
      </c>
      <c r="C59" s="107" t="s">
        <v>425</v>
      </c>
      <c r="D59" s="110">
        <v>2050</v>
      </c>
      <c r="E59" s="110">
        <v>0</v>
      </c>
      <c r="F59" s="110">
        <v>2050</v>
      </c>
      <c r="G59" s="110">
        <v>0</v>
      </c>
      <c r="H59" s="110">
        <v>0</v>
      </c>
      <c r="I59" s="110">
        <v>0</v>
      </c>
      <c r="J59" s="110">
        <v>0</v>
      </c>
      <c r="K59" s="110">
        <v>0</v>
      </c>
      <c r="L59" s="110">
        <v>0</v>
      </c>
      <c r="M59" s="110">
        <v>0</v>
      </c>
      <c r="N59" s="110">
        <v>0</v>
      </c>
      <c r="O59" s="110">
        <v>2123.85</v>
      </c>
      <c r="P59" s="110">
        <v>2123.85</v>
      </c>
      <c r="Q59" s="110">
        <v>0</v>
      </c>
      <c r="R59" s="110">
        <v>2123.85</v>
      </c>
      <c r="S59" s="110">
        <v>0</v>
      </c>
      <c r="T59" s="110">
        <v>0</v>
      </c>
      <c r="U59" s="110">
        <v>0</v>
      </c>
      <c r="V59" s="110">
        <v>0</v>
      </c>
      <c r="W59" s="110">
        <v>0</v>
      </c>
      <c r="X59" s="110">
        <v>0</v>
      </c>
      <c r="Y59" s="110">
        <v>0</v>
      </c>
      <c r="Z59" s="110">
        <v>0</v>
      </c>
      <c r="AA59" s="110">
        <v>0</v>
      </c>
      <c r="AB59" s="110">
        <v>0</v>
      </c>
      <c r="AC59" s="110">
        <v>0</v>
      </c>
      <c r="AD59" s="110">
        <v>0</v>
      </c>
      <c r="AE59" s="110">
        <v>0</v>
      </c>
      <c r="AF59" s="110">
        <v>0</v>
      </c>
      <c r="AG59" s="110">
        <v>0</v>
      </c>
      <c r="AH59" s="110">
        <v>0</v>
      </c>
      <c r="AI59" s="110">
        <v>0</v>
      </c>
      <c r="AJ59" s="110">
        <v>0</v>
      </c>
      <c r="AK59" s="110">
        <v>0</v>
      </c>
      <c r="AL59" s="110">
        <v>0</v>
      </c>
      <c r="AM59" s="110">
        <v>0</v>
      </c>
      <c r="AN59" s="110">
        <v>0</v>
      </c>
      <c r="AO59" s="110">
        <v>0</v>
      </c>
      <c r="AP59" s="110">
        <v>0</v>
      </c>
      <c r="AQ59" s="110">
        <v>0</v>
      </c>
      <c r="AR59" s="110">
        <v>0</v>
      </c>
      <c r="AS59" s="110">
        <v>0</v>
      </c>
      <c r="AT59" s="110">
        <v>0</v>
      </c>
      <c r="AU59" s="110">
        <v>0</v>
      </c>
      <c r="AV59" s="110">
        <v>0</v>
      </c>
      <c r="AW59" s="110">
        <v>0</v>
      </c>
      <c r="AX59" s="110">
        <v>0</v>
      </c>
      <c r="AY59" s="110">
        <v>0</v>
      </c>
      <c r="AZ59" s="110">
        <v>0</v>
      </c>
      <c r="BA59" s="110">
        <v>0</v>
      </c>
      <c r="BB59" s="110">
        <v>0</v>
      </c>
      <c r="BC59" s="110">
        <v>0</v>
      </c>
      <c r="BD59" s="110">
        <v>0</v>
      </c>
      <c r="BE59" s="110">
        <v>2123.85</v>
      </c>
      <c r="BF59" s="110">
        <v>2123.85</v>
      </c>
      <c r="BG59" s="110">
        <v>0</v>
      </c>
      <c r="BH59" s="110">
        <v>2123.85</v>
      </c>
      <c r="BI59" s="110">
        <v>0</v>
      </c>
      <c r="BJ59" s="110">
        <v>0</v>
      </c>
      <c r="BK59" s="110">
        <v>0</v>
      </c>
      <c r="BL59" s="110">
        <v>0</v>
      </c>
      <c r="BM59" s="110">
        <v>0</v>
      </c>
      <c r="BN59" s="110">
        <v>0</v>
      </c>
      <c r="BO59" s="110">
        <v>0</v>
      </c>
      <c r="BP59" s="110">
        <v>0</v>
      </c>
      <c r="BQ59" s="110">
        <v>0</v>
      </c>
      <c r="BR59" s="110">
        <v>0</v>
      </c>
      <c r="BS59" s="110">
        <v>73.849999999999994</v>
      </c>
      <c r="BT59" s="110">
        <v>73.849999999999994</v>
      </c>
      <c r="BU59" s="110">
        <v>0</v>
      </c>
      <c r="BV59" s="110">
        <v>73.849999999999994</v>
      </c>
      <c r="BW59" s="110">
        <v>0</v>
      </c>
      <c r="BX59" s="110">
        <v>0</v>
      </c>
      <c r="BY59" s="110">
        <v>0</v>
      </c>
      <c r="BZ59" s="110">
        <v>0</v>
      </c>
      <c r="CA59" s="110">
        <v>0</v>
      </c>
      <c r="CB59" s="110">
        <v>0</v>
      </c>
      <c r="CC59" s="110">
        <v>0</v>
      </c>
      <c r="CD59" s="110">
        <v>0</v>
      </c>
      <c r="CE59" s="110">
        <v>0</v>
      </c>
      <c r="CF59" s="110">
        <v>0</v>
      </c>
      <c r="CG59" s="110">
        <v>2050</v>
      </c>
      <c r="CH59" s="110">
        <v>2050</v>
      </c>
      <c r="CI59" s="110">
        <v>0</v>
      </c>
      <c r="CJ59" s="110">
        <v>2050</v>
      </c>
      <c r="CK59" s="110">
        <v>0</v>
      </c>
      <c r="CL59" s="110">
        <v>0</v>
      </c>
      <c r="CM59" s="110">
        <v>0</v>
      </c>
      <c r="CN59" s="110">
        <v>0</v>
      </c>
      <c r="CO59" s="110">
        <v>0</v>
      </c>
      <c r="CP59" s="110">
        <v>0</v>
      </c>
      <c r="CQ59" s="110">
        <v>0</v>
      </c>
      <c r="CR59" s="110">
        <v>0</v>
      </c>
      <c r="CS59" s="110">
        <v>0</v>
      </c>
      <c r="CT59" s="110">
        <v>2123.85</v>
      </c>
      <c r="CU59" s="110">
        <v>0</v>
      </c>
      <c r="CV59" s="111">
        <v>0</v>
      </c>
      <c r="CW59" s="111">
        <v>0</v>
      </c>
      <c r="CX59" s="111">
        <v>0</v>
      </c>
      <c r="CY59" s="111">
        <v>0</v>
      </c>
      <c r="CZ59" s="111">
        <v>0</v>
      </c>
      <c r="DA59" s="111">
        <v>0</v>
      </c>
      <c r="DB59" s="111">
        <v>0</v>
      </c>
      <c r="DC59" s="111">
        <v>0</v>
      </c>
      <c r="DD59" s="111">
        <v>0</v>
      </c>
      <c r="DE59" s="111">
        <v>0</v>
      </c>
      <c r="DF59" s="111">
        <v>0</v>
      </c>
      <c r="DG59" s="111">
        <v>0</v>
      </c>
      <c r="DH59" s="111">
        <v>0</v>
      </c>
      <c r="DI59" s="111">
        <v>0</v>
      </c>
      <c r="DJ59" s="111">
        <v>0</v>
      </c>
      <c r="DK59" s="111">
        <v>0</v>
      </c>
      <c r="DL59" s="111">
        <v>0</v>
      </c>
      <c r="DM59" s="111">
        <v>0</v>
      </c>
      <c r="DN59" s="111">
        <v>0</v>
      </c>
      <c r="DO59" s="111">
        <v>0</v>
      </c>
      <c r="DP59" s="111">
        <v>0</v>
      </c>
      <c r="DQ59" s="111">
        <v>0</v>
      </c>
      <c r="DR59" s="111">
        <v>0</v>
      </c>
      <c r="DS59" s="111">
        <v>0</v>
      </c>
      <c r="DT59" s="111">
        <v>0</v>
      </c>
      <c r="DU59" s="111">
        <v>0</v>
      </c>
      <c r="DV59" s="111">
        <v>0</v>
      </c>
      <c r="DW59" s="111">
        <v>0</v>
      </c>
      <c r="DX59" s="111">
        <v>0</v>
      </c>
      <c r="DY59" s="111">
        <v>0</v>
      </c>
      <c r="DZ59" s="111">
        <v>0</v>
      </c>
      <c r="EA59" s="111">
        <v>0</v>
      </c>
      <c r="EB59" s="111">
        <v>0</v>
      </c>
      <c r="EC59" s="111">
        <v>0</v>
      </c>
      <c r="ED59" s="111">
        <v>0</v>
      </c>
      <c r="EE59" s="111">
        <v>0</v>
      </c>
      <c r="EF59" s="111">
        <v>0</v>
      </c>
      <c r="EG59" s="111">
        <v>0</v>
      </c>
      <c r="EH59" s="111">
        <v>0</v>
      </c>
      <c r="EI59" s="111">
        <v>0</v>
      </c>
      <c r="EJ59" s="111">
        <v>0</v>
      </c>
      <c r="EK59" s="111">
        <v>0</v>
      </c>
      <c r="EL59" s="111">
        <v>0</v>
      </c>
      <c r="EM59" s="111">
        <v>0</v>
      </c>
      <c r="EN59" s="111">
        <v>0</v>
      </c>
      <c r="EO59" s="111">
        <v>0</v>
      </c>
      <c r="EP59" s="111">
        <v>0</v>
      </c>
      <c r="EQ59" s="111">
        <v>0</v>
      </c>
      <c r="ER59" s="111">
        <v>0</v>
      </c>
      <c r="ES59" s="111">
        <v>0</v>
      </c>
      <c r="ET59" s="111">
        <v>0</v>
      </c>
      <c r="EU59" s="111">
        <v>0</v>
      </c>
      <c r="EV59" s="111">
        <v>0</v>
      </c>
      <c r="EW59" s="111">
        <v>0</v>
      </c>
      <c r="EX59" s="111">
        <v>0</v>
      </c>
      <c r="EY59" s="111">
        <v>0</v>
      </c>
      <c r="EZ59" s="111">
        <v>0</v>
      </c>
      <c r="FA59" s="111">
        <v>0</v>
      </c>
      <c r="FB59" s="111">
        <v>0</v>
      </c>
    </row>
    <row r="60" spans="1:158" ht="19.5" customHeight="1">
      <c r="A60" s="107">
        <v>57</v>
      </c>
      <c r="B60" s="107" t="s">
        <v>401</v>
      </c>
      <c r="C60" s="107" t="s">
        <v>409</v>
      </c>
      <c r="D60" s="110">
        <v>4187761.61</v>
      </c>
      <c r="E60" s="110">
        <v>4187761.61</v>
      </c>
      <c r="F60" s="110">
        <v>0</v>
      </c>
      <c r="G60" s="110">
        <v>858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4187761.61</v>
      </c>
      <c r="P60" s="110">
        <v>242980.74</v>
      </c>
      <c r="Q60" s="110">
        <v>0</v>
      </c>
      <c r="R60" s="110">
        <v>242980.74</v>
      </c>
      <c r="S60" s="110">
        <v>3944780.87</v>
      </c>
      <c r="T60" s="110">
        <v>0</v>
      </c>
      <c r="U60" s="110">
        <v>3944780.87</v>
      </c>
      <c r="V60" s="110">
        <v>4187761.61</v>
      </c>
      <c r="W60" s="110">
        <v>242980.74</v>
      </c>
      <c r="X60" s="110">
        <v>0</v>
      </c>
      <c r="Y60" s="110">
        <v>242980.74</v>
      </c>
      <c r="Z60" s="110">
        <v>3944780.87</v>
      </c>
      <c r="AA60" s="110">
        <v>0</v>
      </c>
      <c r="AB60" s="110">
        <v>3944780.87</v>
      </c>
      <c r="AC60" s="110">
        <v>0</v>
      </c>
      <c r="AD60" s="110">
        <v>0</v>
      </c>
      <c r="AE60" s="110">
        <v>0</v>
      </c>
      <c r="AF60" s="110">
        <v>0</v>
      </c>
      <c r="AG60" s="110">
        <v>0</v>
      </c>
      <c r="AH60" s="110">
        <v>0</v>
      </c>
      <c r="AI60" s="110">
        <v>0</v>
      </c>
      <c r="AJ60" s="110">
        <v>0</v>
      </c>
      <c r="AK60" s="110">
        <v>0</v>
      </c>
      <c r="AL60" s="110">
        <v>0</v>
      </c>
      <c r="AM60" s="110">
        <v>0</v>
      </c>
      <c r="AN60" s="110">
        <v>0</v>
      </c>
      <c r="AO60" s="110">
        <v>0</v>
      </c>
      <c r="AP60" s="110">
        <v>0</v>
      </c>
      <c r="AQ60" s="110">
        <v>0</v>
      </c>
      <c r="AR60" s="110">
        <v>0</v>
      </c>
      <c r="AS60" s="110">
        <v>0</v>
      </c>
      <c r="AT60" s="110">
        <v>0</v>
      </c>
      <c r="AU60" s="110">
        <v>0</v>
      </c>
      <c r="AV60" s="110">
        <v>0</v>
      </c>
      <c r="AW60" s="110">
        <v>0</v>
      </c>
      <c r="AX60" s="110">
        <v>4187761.61</v>
      </c>
      <c r="AY60" s="110">
        <v>242980.74</v>
      </c>
      <c r="AZ60" s="110">
        <v>0</v>
      </c>
      <c r="BA60" s="110">
        <v>242980.74</v>
      </c>
      <c r="BB60" s="110">
        <v>3944780.87</v>
      </c>
      <c r="BC60" s="110">
        <v>0</v>
      </c>
      <c r="BD60" s="110">
        <v>3944780.87</v>
      </c>
      <c r="BE60" s="110">
        <v>0</v>
      </c>
      <c r="BF60" s="110">
        <v>0</v>
      </c>
      <c r="BG60" s="110">
        <v>0</v>
      </c>
      <c r="BH60" s="110">
        <v>0</v>
      </c>
      <c r="BI60" s="110">
        <v>0</v>
      </c>
      <c r="BJ60" s="110">
        <v>0</v>
      </c>
      <c r="BK60" s="110">
        <v>0</v>
      </c>
      <c r="BL60" s="110">
        <v>0</v>
      </c>
      <c r="BM60" s="110">
        <v>0</v>
      </c>
      <c r="BN60" s="110">
        <v>0</v>
      </c>
      <c r="BO60" s="110">
        <v>0</v>
      </c>
      <c r="BP60" s="110">
        <v>0</v>
      </c>
      <c r="BQ60" s="110">
        <v>0</v>
      </c>
      <c r="BR60" s="110">
        <v>0</v>
      </c>
      <c r="BS60" s="110">
        <v>0</v>
      </c>
      <c r="BT60" s="110">
        <v>0</v>
      </c>
      <c r="BU60" s="110">
        <v>0</v>
      </c>
      <c r="BV60" s="110">
        <v>0</v>
      </c>
      <c r="BW60" s="110">
        <v>0</v>
      </c>
      <c r="BX60" s="110">
        <v>0</v>
      </c>
      <c r="BY60" s="110">
        <v>0</v>
      </c>
      <c r="BZ60" s="110">
        <v>0</v>
      </c>
      <c r="CA60" s="110">
        <v>0</v>
      </c>
      <c r="CB60" s="110">
        <v>0</v>
      </c>
      <c r="CC60" s="110">
        <v>0</v>
      </c>
      <c r="CD60" s="110">
        <v>0</v>
      </c>
      <c r="CE60" s="110">
        <v>0</v>
      </c>
      <c r="CF60" s="110">
        <v>0</v>
      </c>
      <c r="CG60" s="110">
        <v>0</v>
      </c>
      <c r="CH60" s="110">
        <v>0</v>
      </c>
      <c r="CI60" s="110">
        <v>0</v>
      </c>
      <c r="CJ60" s="110">
        <v>0</v>
      </c>
      <c r="CK60" s="110">
        <v>0</v>
      </c>
      <c r="CL60" s="110">
        <v>0</v>
      </c>
      <c r="CM60" s="110">
        <v>0</v>
      </c>
      <c r="CN60" s="110">
        <v>0</v>
      </c>
      <c r="CO60" s="110">
        <v>4187761.61</v>
      </c>
      <c r="CP60" s="110">
        <v>0</v>
      </c>
      <c r="CQ60" s="110">
        <v>0</v>
      </c>
      <c r="CR60" s="110">
        <v>0</v>
      </c>
      <c r="CS60" s="110">
        <v>0</v>
      </c>
      <c r="CT60" s="110">
        <v>0</v>
      </c>
      <c r="CU60" s="110">
        <v>0</v>
      </c>
      <c r="CV60" s="111">
        <v>858</v>
      </c>
      <c r="CW60" s="111">
        <v>261</v>
      </c>
      <c r="CX60" s="111">
        <v>0</v>
      </c>
      <c r="CY60" s="111">
        <v>261</v>
      </c>
      <c r="CZ60" s="111">
        <v>597</v>
      </c>
      <c r="DA60" s="111">
        <v>0</v>
      </c>
      <c r="DB60" s="111">
        <v>597</v>
      </c>
      <c r="DC60" s="111">
        <v>858</v>
      </c>
      <c r="DD60" s="111">
        <v>0</v>
      </c>
      <c r="DE60" s="111">
        <v>261</v>
      </c>
      <c r="DF60" s="111">
        <v>0</v>
      </c>
      <c r="DG60" s="111">
        <v>261</v>
      </c>
      <c r="DH60" s="111">
        <v>597</v>
      </c>
      <c r="DI60" s="111">
        <v>0</v>
      </c>
      <c r="DJ60" s="111">
        <v>597</v>
      </c>
      <c r="DK60" s="111">
        <v>0</v>
      </c>
      <c r="DL60" s="111">
        <v>0</v>
      </c>
      <c r="DM60" s="111">
        <v>0</v>
      </c>
      <c r="DN60" s="111">
        <v>0</v>
      </c>
      <c r="DO60" s="111">
        <v>0</v>
      </c>
      <c r="DP60" s="111">
        <v>0</v>
      </c>
      <c r="DQ60" s="111">
        <v>0</v>
      </c>
      <c r="DR60" s="111">
        <v>0</v>
      </c>
      <c r="DS60" s="111">
        <v>0</v>
      </c>
      <c r="DT60" s="111">
        <v>0</v>
      </c>
      <c r="DU60" s="111">
        <v>0</v>
      </c>
      <c r="DV60" s="111">
        <v>0</v>
      </c>
      <c r="DW60" s="111">
        <v>0</v>
      </c>
      <c r="DX60" s="111">
        <v>0</v>
      </c>
      <c r="DY60" s="111">
        <v>0</v>
      </c>
      <c r="DZ60" s="111">
        <v>0</v>
      </c>
      <c r="EA60" s="111">
        <v>0</v>
      </c>
      <c r="EB60" s="111">
        <v>0</v>
      </c>
      <c r="EC60" s="111">
        <v>0</v>
      </c>
      <c r="ED60" s="111">
        <v>0</v>
      </c>
      <c r="EE60" s="111">
        <v>0</v>
      </c>
      <c r="EF60" s="111">
        <v>0</v>
      </c>
      <c r="EG60" s="111">
        <v>0</v>
      </c>
      <c r="EH60" s="111">
        <v>0</v>
      </c>
      <c r="EI60" s="111">
        <v>0</v>
      </c>
      <c r="EJ60" s="111">
        <v>0</v>
      </c>
      <c r="EK60" s="111">
        <v>0</v>
      </c>
      <c r="EL60" s="111">
        <v>0</v>
      </c>
      <c r="EM60" s="111">
        <v>0</v>
      </c>
      <c r="EN60" s="111">
        <v>0</v>
      </c>
      <c r="EO60" s="111">
        <v>0</v>
      </c>
      <c r="EP60" s="111">
        <v>0</v>
      </c>
      <c r="EQ60" s="111">
        <v>0</v>
      </c>
      <c r="ER60" s="111">
        <v>0</v>
      </c>
      <c r="ES60" s="111">
        <v>0</v>
      </c>
      <c r="ET60" s="111">
        <v>0</v>
      </c>
      <c r="EU60" s="111">
        <v>0</v>
      </c>
      <c r="EV60" s="111">
        <v>0</v>
      </c>
      <c r="EW60" s="111">
        <v>0</v>
      </c>
      <c r="EX60" s="111">
        <v>0</v>
      </c>
      <c r="EY60" s="111">
        <v>0</v>
      </c>
      <c r="EZ60" s="111">
        <v>0</v>
      </c>
      <c r="FA60" s="111">
        <v>0</v>
      </c>
      <c r="FB60" s="111">
        <v>0</v>
      </c>
    </row>
    <row r="61" spans="1:158" ht="19.5" customHeight="1">
      <c r="A61" s="107">
        <v>58</v>
      </c>
      <c r="B61" s="107" t="s">
        <v>350</v>
      </c>
      <c r="C61" s="107" t="s">
        <v>410</v>
      </c>
      <c r="D61" s="110">
        <v>817748.5</v>
      </c>
      <c r="E61" s="110">
        <v>349030</v>
      </c>
      <c r="F61" s="110">
        <v>468718.5</v>
      </c>
      <c r="G61" s="110">
        <v>1521</v>
      </c>
      <c r="H61" s="110">
        <v>40</v>
      </c>
      <c r="I61" s="110">
        <v>6244</v>
      </c>
      <c r="J61" s="110">
        <v>0</v>
      </c>
      <c r="K61" s="110">
        <v>0</v>
      </c>
      <c r="L61" s="110">
        <v>29373</v>
      </c>
      <c r="M61" s="110">
        <v>252</v>
      </c>
      <c r="N61" s="110">
        <v>114.52</v>
      </c>
      <c r="O61" s="110">
        <v>1409475.47</v>
      </c>
      <c r="P61" s="110">
        <v>1334829.01</v>
      </c>
      <c r="Q61" s="110">
        <v>1300376.6200000001</v>
      </c>
      <c r="R61" s="110">
        <v>34452.39</v>
      </c>
      <c r="S61" s="110">
        <v>74646.460000000006</v>
      </c>
      <c r="T61" s="110">
        <v>59025.47</v>
      </c>
      <c r="U61" s="110">
        <v>15620.99</v>
      </c>
      <c r="V61" s="110">
        <v>687261.94</v>
      </c>
      <c r="W61" s="110">
        <v>652948.07999999996</v>
      </c>
      <c r="X61" s="110">
        <v>618495.68999999994</v>
      </c>
      <c r="Y61" s="110">
        <v>34452.39</v>
      </c>
      <c r="Z61" s="110">
        <v>34313.86</v>
      </c>
      <c r="AA61" s="110">
        <v>18692.87</v>
      </c>
      <c r="AB61" s="110">
        <v>15620.99</v>
      </c>
      <c r="AC61" s="110">
        <v>324828.34000000003</v>
      </c>
      <c r="AD61" s="110">
        <v>310040.08</v>
      </c>
      <c r="AE61" s="110">
        <v>283567.09000000003</v>
      </c>
      <c r="AF61" s="110">
        <v>26472.99</v>
      </c>
      <c r="AG61" s="110">
        <v>14788.26</v>
      </c>
      <c r="AH61" s="110">
        <v>9071.67</v>
      </c>
      <c r="AI61" s="110">
        <v>5716.59</v>
      </c>
      <c r="AJ61" s="110">
        <v>13403.6</v>
      </c>
      <c r="AK61" s="110">
        <v>12881</v>
      </c>
      <c r="AL61" s="110">
        <v>12637.6</v>
      </c>
      <c r="AM61" s="110">
        <v>243.4</v>
      </c>
      <c r="AN61" s="110">
        <v>522.6</v>
      </c>
      <c r="AO61" s="110">
        <v>260.2</v>
      </c>
      <c r="AP61" s="110">
        <v>262.39999999999998</v>
      </c>
      <c r="AQ61" s="110">
        <v>299092</v>
      </c>
      <c r="AR61" s="110">
        <v>283282</v>
      </c>
      <c r="AS61" s="110">
        <v>277598</v>
      </c>
      <c r="AT61" s="110">
        <v>5684</v>
      </c>
      <c r="AU61" s="110">
        <v>15810</v>
      </c>
      <c r="AV61" s="110">
        <v>7915</v>
      </c>
      <c r="AW61" s="110">
        <v>7895</v>
      </c>
      <c r="AX61" s="110">
        <v>49938</v>
      </c>
      <c r="AY61" s="110">
        <v>46745</v>
      </c>
      <c r="AZ61" s="110">
        <v>44693</v>
      </c>
      <c r="BA61" s="110">
        <v>2052</v>
      </c>
      <c r="BB61" s="110">
        <v>3193</v>
      </c>
      <c r="BC61" s="110">
        <v>1446</v>
      </c>
      <c r="BD61" s="110">
        <v>1747</v>
      </c>
      <c r="BE61" s="110">
        <v>722213.53</v>
      </c>
      <c r="BF61" s="110">
        <v>681880.93</v>
      </c>
      <c r="BG61" s="110">
        <v>681880.93</v>
      </c>
      <c r="BH61" s="110">
        <v>0</v>
      </c>
      <c r="BI61" s="110">
        <v>40332.6</v>
      </c>
      <c r="BJ61" s="110">
        <v>40332.6</v>
      </c>
      <c r="BK61" s="110">
        <v>0</v>
      </c>
      <c r="BL61" s="110">
        <v>221363.22</v>
      </c>
      <c r="BM61" s="110">
        <v>217761.12</v>
      </c>
      <c r="BN61" s="110">
        <v>217761.12</v>
      </c>
      <c r="BO61" s="110">
        <v>0</v>
      </c>
      <c r="BP61" s="110">
        <v>3602.1</v>
      </c>
      <c r="BQ61" s="110">
        <v>3602.1</v>
      </c>
      <c r="BR61" s="110">
        <v>0</v>
      </c>
      <c r="BS61" s="110">
        <v>32131.81</v>
      </c>
      <c r="BT61" s="110">
        <v>31568.81</v>
      </c>
      <c r="BU61" s="110">
        <v>31568.81</v>
      </c>
      <c r="BV61" s="110">
        <v>0</v>
      </c>
      <c r="BW61" s="110">
        <v>563</v>
      </c>
      <c r="BX61" s="110">
        <v>563</v>
      </c>
      <c r="BY61" s="110">
        <v>0</v>
      </c>
      <c r="BZ61" s="110">
        <v>360298.5</v>
      </c>
      <c r="CA61" s="110">
        <v>328704.5</v>
      </c>
      <c r="CB61" s="110">
        <v>328704.5</v>
      </c>
      <c r="CC61" s="110">
        <v>0</v>
      </c>
      <c r="CD61" s="110">
        <v>31594</v>
      </c>
      <c r="CE61" s="110">
        <v>31594</v>
      </c>
      <c r="CF61" s="110">
        <v>0</v>
      </c>
      <c r="CG61" s="110">
        <v>108420</v>
      </c>
      <c r="CH61" s="110">
        <v>103846.5</v>
      </c>
      <c r="CI61" s="110">
        <v>103846.5</v>
      </c>
      <c r="CJ61" s="110">
        <v>0</v>
      </c>
      <c r="CK61" s="110">
        <v>4573.5</v>
      </c>
      <c r="CL61" s="110">
        <v>4573.5</v>
      </c>
      <c r="CM61" s="110">
        <v>0</v>
      </c>
      <c r="CN61" s="110">
        <v>589884.94999999995</v>
      </c>
      <c r="CO61" s="110">
        <v>100</v>
      </c>
      <c r="CP61" s="110">
        <v>12006.44</v>
      </c>
      <c r="CQ61" s="110">
        <v>83465.55</v>
      </c>
      <c r="CR61" s="110">
        <v>1805</v>
      </c>
      <c r="CS61" s="110">
        <v>0</v>
      </c>
      <c r="CT61" s="110">
        <v>0</v>
      </c>
      <c r="CU61" s="110">
        <v>0</v>
      </c>
      <c r="CV61" s="111">
        <v>1521</v>
      </c>
      <c r="CW61" s="111">
        <v>1415</v>
      </c>
      <c r="CX61" s="111">
        <v>1354</v>
      </c>
      <c r="CY61" s="111">
        <v>61</v>
      </c>
      <c r="CZ61" s="111">
        <v>106</v>
      </c>
      <c r="DA61" s="111">
        <v>46</v>
      </c>
      <c r="DB61" s="111">
        <v>60</v>
      </c>
      <c r="DC61" s="111">
        <v>293</v>
      </c>
      <c r="DD61" s="111">
        <v>0</v>
      </c>
      <c r="DE61" s="111">
        <v>250</v>
      </c>
      <c r="DF61" s="111">
        <v>215</v>
      </c>
      <c r="DG61" s="111">
        <v>35</v>
      </c>
      <c r="DH61" s="111">
        <v>43</v>
      </c>
      <c r="DI61" s="111">
        <v>7</v>
      </c>
      <c r="DJ61" s="111">
        <v>36</v>
      </c>
      <c r="DK61" s="111">
        <v>42</v>
      </c>
      <c r="DL61" s="111">
        <v>37</v>
      </c>
      <c r="DM61" s="111">
        <v>33</v>
      </c>
      <c r="DN61" s="111">
        <v>4</v>
      </c>
      <c r="DO61" s="111">
        <v>5</v>
      </c>
      <c r="DP61" s="111">
        <v>1</v>
      </c>
      <c r="DQ61" s="111">
        <v>4</v>
      </c>
      <c r="DR61" s="111">
        <v>2</v>
      </c>
      <c r="DS61" s="111">
        <v>0</v>
      </c>
      <c r="DT61" s="111">
        <v>2</v>
      </c>
      <c r="DU61" s="111">
        <v>0</v>
      </c>
      <c r="DV61" s="111">
        <v>2</v>
      </c>
      <c r="DW61" s="111">
        <v>0</v>
      </c>
      <c r="DX61" s="111">
        <v>0</v>
      </c>
      <c r="DY61" s="111">
        <v>0</v>
      </c>
      <c r="DZ61" s="111">
        <v>1184</v>
      </c>
      <c r="EA61" s="111">
        <v>1126</v>
      </c>
      <c r="EB61" s="111">
        <v>1106</v>
      </c>
      <c r="EC61" s="111">
        <v>20</v>
      </c>
      <c r="ED61" s="111">
        <v>58</v>
      </c>
      <c r="EE61" s="111">
        <v>38</v>
      </c>
      <c r="EF61" s="111">
        <v>20</v>
      </c>
      <c r="EG61" s="111">
        <v>40</v>
      </c>
      <c r="EH61" s="111">
        <v>36</v>
      </c>
      <c r="EI61" s="111">
        <v>36</v>
      </c>
      <c r="EJ61" s="111">
        <v>0</v>
      </c>
      <c r="EK61" s="111">
        <v>4</v>
      </c>
      <c r="EL61" s="111">
        <v>4</v>
      </c>
      <c r="EM61" s="111">
        <v>0</v>
      </c>
      <c r="EN61" s="111">
        <v>5</v>
      </c>
      <c r="EO61" s="111">
        <v>0</v>
      </c>
      <c r="EP61" s="111">
        <v>0</v>
      </c>
      <c r="EQ61" s="111">
        <v>5</v>
      </c>
      <c r="ER61" s="111">
        <v>0</v>
      </c>
      <c r="ES61" s="111">
        <v>0</v>
      </c>
      <c r="ET61" s="111">
        <v>0</v>
      </c>
      <c r="EU61" s="111">
        <v>0</v>
      </c>
      <c r="EV61" s="111">
        <v>0</v>
      </c>
      <c r="EW61" s="111">
        <v>0</v>
      </c>
      <c r="EX61" s="111">
        <v>0</v>
      </c>
      <c r="EY61" s="111">
        <v>0</v>
      </c>
      <c r="EZ61" s="111">
        <v>0</v>
      </c>
      <c r="FA61" s="111">
        <v>0</v>
      </c>
      <c r="FB61" s="111">
        <v>0</v>
      </c>
    </row>
    <row r="62" spans="1:158" ht="19.5" customHeight="1">
      <c r="A62" s="107">
        <v>59</v>
      </c>
      <c r="B62" s="107" t="s">
        <v>407</v>
      </c>
      <c r="C62" s="107" t="s">
        <v>411</v>
      </c>
      <c r="D62" s="110">
        <v>1436</v>
      </c>
      <c r="E62" s="110">
        <v>1436</v>
      </c>
      <c r="F62" s="110">
        <v>0</v>
      </c>
      <c r="G62" s="110">
        <v>0</v>
      </c>
      <c r="H62" s="110">
        <v>0</v>
      </c>
      <c r="I62" s="110">
        <v>0</v>
      </c>
      <c r="J62" s="110">
        <v>0</v>
      </c>
      <c r="K62" s="110">
        <v>0</v>
      </c>
      <c r="L62" s="110">
        <v>0</v>
      </c>
      <c r="M62" s="110">
        <v>0</v>
      </c>
      <c r="N62" s="110">
        <v>0</v>
      </c>
      <c r="O62" s="110">
        <v>1478.8</v>
      </c>
      <c r="P62" s="110">
        <v>1438</v>
      </c>
      <c r="Q62" s="110">
        <v>1340</v>
      </c>
      <c r="R62" s="110">
        <v>98</v>
      </c>
      <c r="S62" s="110">
        <v>40.799999999999997</v>
      </c>
      <c r="T62" s="110">
        <v>16</v>
      </c>
      <c r="U62" s="110">
        <v>24.8</v>
      </c>
      <c r="V62" s="110">
        <v>1478.8</v>
      </c>
      <c r="W62" s="110">
        <v>1438</v>
      </c>
      <c r="X62" s="110">
        <v>1340</v>
      </c>
      <c r="Y62" s="110">
        <v>98</v>
      </c>
      <c r="Z62" s="110">
        <v>40.799999999999997</v>
      </c>
      <c r="AA62" s="110">
        <v>16</v>
      </c>
      <c r="AB62" s="110">
        <v>24.8</v>
      </c>
      <c r="AC62" s="110">
        <v>42.8</v>
      </c>
      <c r="AD62" s="110">
        <v>18</v>
      </c>
      <c r="AE62" s="110">
        <v>0</v>
      </c>
      <c r="AF62" s="110">
        <v>18</v>
      </c>
      <c r="AG62" s="110">
        <v>24.8</v>
      </c>
      <c r="AH62" s="110">
        <v>0</v>
      </c>
      <c r="AI62" s="110">
        <v>24.8</v>
      </c>
      <c r="AJ62" s="110">
        <v>0</v>
      </c>
      <c r="AK62" s="110">
        <v>0</v>
      </c>
      <c r="AL62" s="110">
        <v>0</v>
      </c>
      <c r="AM62" s="110">
        <v>0</v>
      </c>
      <c r="AN62" s="110">
        <v>0</v>
      </c>
      <c r="AO62" s="110">
        <v>0</v>
      </c>
      <c r="AP62" s="110">
        <v>0</v>
      </c>
      <c r="AQ62" s="110">
        <v>1436</v>
      </c>
      <c r="AR62" s="110">
        <v>1420</v>
      </c>
      <c r="AS62" s="110">
        <v>1340</v>
      </c>
      <c r="AT62" s="110">
        <v>80</v>
      </c>
      <c r="AU62" s="110">
        <v>16</v>
      </c>
      <c r="AV62" s="110">
        <v>16</v>
      </c>
      <c r="AW62" s="110">
        <v>0</v>
      </c>
      <c r="AX62" s="110">
        <v>0</v>
      </c>
      <c r="AY62" s="110">
        <v>0</v>
      </c>
      <c r="AZ62" s="110">
        <v>0</v>
      </c>
      <c r="BA62" s="110">
        <v>0</v>
      </c>
      <c r="BB62" s="110">
        <v>0</v>
      </c>
      <c r="BC62" s="110">
        <v>0</v>
      </c>
      <c r="BD62" s="110">
        <v>0</v>
      </c>
      <c r="BE62" s="110">
        <v>0</v>
      </c>
      <c r="BF62" s="110">
        <v>0</v>
      </c>
      <c r="BG62" s="110">
        <v>0</v>
      </c>
      <c r="BH62" s="110">
        <v>0</v>
      </c>
      <c r="BI62" s="110">
        <v>0</v>
      </c>
      <c r="BJ62" s="110">
        <v>0</v>
      </c>
      <c r="BK62" s="110">
        <v>0</v>
      </c>
      <c r="BL62" s="110">
        <v>0</v>
      </c>
      <c r="BM62" s="110">
        <v>0</v>
      </c>
      <c r="BN62" s="110">
        <v>0</v>
      </c>
      <c r="BO62" s="110">
        <v>0</v>
      </c>
      <c r="BP62" s="110">
        <v>0</v>
      </c>
      <c r="BQ62" s="110">
        <v>0</v>
      </c>
      <c r="BR62" s="110">
        <v>0</v>
      </c>
      <c r="BS62" s="110">
        <v>0</v>
      </c>
      <c r="BT62" s="110">
        <v>0</v>
      </c>
      <c r="BU62" s="110">
        <v>0</v>
      </c>
      <c r="BV62" s="110">
        <v>0</v>
      </c>
      <c r="BW62" s="110">
        <v>0</v>
      </c>
      <c r="BX62" s="110">
        <v>0</v>
      </c>
      <c r="BY62" s="110">
        <v>0</v>
      </c>
      <c r="BZ62" s="110">
        <v>0</v>
      </c>
      <c r="CA62" s="110">
        <v>0</v>
      </c>
      <c r="CB62" s="110">
        <v>0</v>
      </c>
      <c r="CC62" s="110">
        <v>0</v>
      </c>
      <c r="CD62" s="110">
        <v>0</v>
      </c>
      <c r="CE62" s="110">
        <v>0</v>
      </c>
      <c r="CF62" s="110">
        <v>0</v>
      </c>
      <c r="CG62" s="110">
        <v>0</v>
      </c>
      <c r="CH62" s="110">
        <v>0</v>
      </c>
      <c r="CI62" s="110">
        <v>0</v>
      </c>
      <c r="CJ62" s="110">
        <v>0</v>
      </c>
      <c r="CK62" s="110">
        <v>0</v>
      </c>
      <c r="CL62" s="110">
        <v>0</v>
      </c>
      <c r="CM62" s="110">
        <v>0</v>
      </c>
      <c r="CN62" s="110">
        <v>0</v>
      </c>
      <c r="CO62" s="110">
        <v>1478.8</v>
      </c>
      <c r="CP62" s="110">
        <v>0</v>
      </c>
      <c r="CQ62" s="110">
        <v>0</v>
      </c>
      <c r="CR62" s="110">
        <v>0</v>
      </c>
      <c r="CS62" s="110">
        <v>0</v>
      </c>
      <c r="CT62" s="110">
        <v>0</v>
      </c>
      <c r="CU62" s="110">
        <v>0</v>
      </c>
      <c r="CV62" s="111">
        <v>0</v>
      </c>
      <c r="CW62" s="111">
        <v>0</v>
      </c>
      <c r="CX62" s="111">
        <v>0</v>
      </c>
      <c r="CY62" s="111">
        <v>0</v>
      </c>
      <c r="CZ62" s="111">
        <v>0</v>
      </c>
      <c r="DA62" s="111">
        <v>0</v>
      </c>
      <c r="DB62" s="111">
        <v>0</v>
      </c>
      <c r="DC62" s="111">
        <v>0</v>
      </c>
      <c r="DD62" s="111">
        <v>0</v>
      </c>
      <c r="DE62" s="111">
        <v>0</v>
      </c>
      <c r="DF62" s="111">
        <v>0</v>
      </c>
      <c r="DG62" s="111">
        <v>0</v>
      </c>
      <c r="DH62" s="111">
        <v>0</v>
      </c>
      <c r="DI62" s="111">
        <v>0</v>
      </c>
      <c r="DJ62" s="111">
        <v>0</v>
      </c>
      <c r="DK62" s="111">
        <v>0</v>
      </c>
      <c r="DL62" s="111">
        <v>0</v>
      </c>
      <c r="DM62" s="111">
        <v>0</v>
      </c>
      <c r="DN62" s="111">
        <v>0</v>
      </c>
      <c r="DO62" s="111">
        <v>0</v>
      </c>
      <c r="DP62" s="111">
        <v>0</v>
      </c>
      <c r="DQ62" s="111">
        <v>0</v>
      </c>
      <c r="DR62" s="111">
        <v>0</v>
      </c>
      <c r="DS62" s="111">
        <v>0</v>
      </c>
      <c r="DT62" s="111">
        <v>0</v>
      </c>
      <c r="DU62" s="111">
        <v>0</v>
      </c>
      <c r="DV62" s="111">
        <v>0</v>
      </c>
      <c r="DW62" s="111">
        <v>0</v>
      </c>
      <c r="DX62" s="111">
        <v>0</v>
      </c>
      <c r="DY62" s="111">
        <v>0</v>
      </c>
      <c r="DZ62" s="111">
        <v>0</v>
      </c>
      <c r="EA62" s="111">
        <v>0</v>
      </c>
      <c r="EB62" s="111">
        <v>0</v>
      </c>
      <c r="EC62" s="111">
        <v>0</v>
      </c>
      <c r="ED62" s="111">
        <v>0</v>
      </c>
      <c r="EE62" s="111">
        <v>0</v>
      </c>
      <c r="EF62" s="111">
        <v>0</v>
      </c>
      <c r="EG62" s="111">
        <v>0</v>
      </c>
      <c r="EH62" s="111">
        <v>0</v>
      </c>
      <c r="EI62" s="111">
        <v>0</v>
      </c>
      <c r="EJ62" s="111">
        <v>0</v>
      </c>
      <c r="EK62" s="111">
        <v>0</v>
      </c>
      <c r="EL62" s="111">
        <v>0</v>
      </c>
      <c r="EM62" s="111">
        <v>0</v>
      </c>
      <c r="EN62" s="111">
        <v>0</v>
      </c>
      <c r="EO62" s="111">
        <v>0</v>
      </c>
      <c r="EP62" s="111">
        <v>0</v>
      </c>
      <c r="EQ62" s="111">
        <v>0</v>
      </c>
      <c r="ER62" s="111">
        <v>0</v>
      </c>
      <c r="ES62" s="111">
        <v>0</v>
      </c>
      <c r="ET62" s="111">
        <v>0</v>
      </c>
      <c r="EU62" s="111">
        <v>0</v>
      </c>
      <c r="EV62" s="111">
        <v>0</v>
      </c>
      <c r="EW62" s="111">
        <v>0</v>
      </c>
      <c r="EX62" s="111">
        <v>0</v>
      </c>
      <c r="EY62" s="111">
        <v>0</v>
      </c>
      <c r="EZ62" s="111">
        <v>0</v>
      </c>
      <c r="FA62" s="111">
        <v>0</v>
      </c>
      <c r="FB62" s="111">
        <v>0</v>
      </c>
    </row>
    <row r="63" spans="1:158" ht="19.5" customHeight="1">
      <c r="A63" s="107">
        <v>60</v>
      </c>
      <c r="B63" s="107" t="s">
        <v>361</v>
      </c>
      <c r="C63" s="107" t="s">
        <v>412</v>
      </c>
      <c r="D63" s="110">
        <v>5503457.2999999998</v>
      </c>
      <c r="E63" s="110">
        <v>2861816</v>
      </c>
      <c r="F63" s="110">
        <v>2641641.2999999998</v>
      </c>
      <c r="G63" s="110">
        <v>3328</v>
      </c>
      <c r="H63" s="110">
        <v>269</v>
      </c>
      <c r="I63" s="110">
        <v>22870</v>
      </c>
      <c r="J63" s="110">
        <v>0</v>
      </c>
      <c r="K63" s="110">
        <v>0</v>
      </c>
      <c r="L63" s="110">
        <v>140263.5</v>
      </c>
      <c r="M63" s="110">
        <v>248699.5</v>
      </c>
      <c r="N63" s="110">
        <v>1317.52</v>
      </c>
      <c r="O63" s="110">
        <v>6466486.5499999998</v>
      </c>
      <c r="P63" s="110">
        <v>4456736.2</v>
      </c>
      <c r="Q63" s="110">
        <v>1242767.98</v>
      </c>
      <c r="R63" s="110">
        <v>3213968.22</v>
      </c>
      <c r="S63" s="110">
        <v>2009750.35</v>
      </c>
      <c r="T63" s="110">
        <v>467569.24</v>
      </c>
      <c r="U63" s="110">
        <v>1542181.11</v>
      </c>
      <c r="V63" s="110">
        <v>2905644.04</v>
      </c>
      <c r="W63" s="110">
        <v>1895183.3</v>
      </c>
      <c r="X63" s="110">
        <v>17408.05</v>
      </c>
      <c r="Y63" s="110">
        <v>1877775.25</v>
      </c>
      <c r="Z63" s="110">
        <v>1010460.74</v>
      </c>
      <c r="AA63" s="110">
        <v>25</v>
      </c>
      <c r="AB63" s="110">
        <v>1010435.74</v>
      </c>
      <c r="AC63" s="110">
        <v>37134.639999999999</v>
      </c>
      <c r="AD63" s="110">
        <v>29275.9</v>
      </c>
      <c r="AE63" s="110">
        <v>1768.05</v>
      </c>
      <c r="AF63" s="110">
        <v>27507.85</v>
      </c>
      <c r="AG63" s="110">
        <v>7858.74</v>
      </c>
      <c r="AH63" s="110">
        <v>0</v>
      </c>
      <c r="AI63" s="110">
        <v>7858.74</v>
      </c>
      <c r="AJ63" s="110">
        <v>6693.4</v>
      </c>
      <c r="AK63" s="110">
        <v>2716.4</v>
      </c>
      <c r="AL63" s="110">
        <v>97</v>
      </c>
      <c r="AM63" s="110">
        <v>2619.4</v>
      </c>
      <c r="AN63" s="110">
        <v>3977</v>
      </c>
      <c r="AO63" s="110">
        <v>0</v>
      </c>
      <c r="AP63" s="110">
        <v>3977</v>
      </c>
      <c r="AQ63" s="110">
        <v>2328672</v>
      </c>
      <c r="AR63" s="110">
        <v>1584178</v>
      </c>
      <c r="AS63" s="110">
        <v>9739</v>
      </c>
      <c r="AT63" s="110">
        <v>1574439</v>
      </c>
      <c r="AU63" s="110">
        <v>744494</v>
      </c>
      <c r="AV63" s="110">
        <v>0</v>
      </c>
      <c r="AW63" s="110">
        <v>744494</v>
      </c>
      <c r="AX63" s="110">
        <v>533144</v>
      </c>
      <c r="AY63" s="110">
        <v>279013</v>
      </c>
      <c r="AZ63" s="110">
        <v>5804</v>
      </c>
      <c r="BA63" s="110">
        <v>273209</v>
      </c>
      <c r="BB63" s="110">
        <v>254131</v>
      </c>
      <c r="BC63" s="110">
        <v>25</v>
      </c>
      <c r="BD63" s="110">
        <v>254106</v>
      </c>
      <c r="BE63" s="110">
        <v>3560842.51</v>
      </c>
      <c r="BF63" s="110">
        <v>2561552.9</v>
      </c>
      <c r="BG63" s="110">
        <v>1225359.93</v>
      </c>
      <c r="BH63" s="110">
        <v>1336192.97</v>
      </c>
      <c r="BI63" s="110">
        <v>999289.61</v>
      </c>
      <c r="BJ63" s="110">
        <v>467544.24</v>
      </c>
      <c r="BK63" s="110">
        <v>531745.37</v>
      </c>
      <c r="BL63" s="110">
        <v>604926.81000000006</v>
      </c>
      <c r="BM63" s="110">
        <v>428623.88</v>
      </c>
      <c r="BN63" s="110">
        <v>232007.66</v>
      </c>
      <c r="BO63" s="110">
        <v>196616.22</v>
      </c>
      <c r="BP63" s="110">
        <v>176302.93</v>
      </c>
      <c r="BQ63" s="110">
        <v>117875.38</v>
      </c>
      <c r="BR63" s="110">
        <v>58427.55</v>
      </c>
      <c r="BS63" s="110">
        <v>314274.40000000002</v>
      </c>
      <c r="BT63" s="110">
        <v>241665.82</v>
      </c>
      <c r="BU63" s="110">
        <v>107126.27</v>
      </c>
      <c r="BV63" s="110">
        <v>134539.54999999999</v>
      </c>
      <c r="BW63" s="110">
        <v>72608.58</v>
      </c>
      <c r="BX63" s="110">
        <v>41910.36</v>
      </c>
      <c r="BY63" s="110">
        <v>30698.22</v>
      </c>
      <c r="BZ63" s="110">
        <v>790462.8</v>
      </c>
      <c r="CA63" s="110">
        <v>478955.2</v>
      </c>
      <c r="CB63" s="110">
        <v>346306</v>
      </c>
      <c r="CC63" s="110">
        <v>132649.20000000001</v>
      </c>
      <c r="CD63" s="110">
        <v>311507.59999999998</v>
      </c>
      <c r="CE63" s="110">
        <v>145913</v>
      </c>
      <c r="CF63" s="110">
        <v>165594.6</v>
      </c>
      <c r="CG63" s="110">
        <v>1851178.5</v>
      </c>
      <c r="CH63" s="110">
        <v>1412308</v>
      </c>
      <c r="CI63" s="110">
        <v>539920</v>
      </c>
      <c r="CJ63" s="110">
        <v>872388</v>
      </c>
      <c r="CK63" s="110">
        <v>438870.5</v>
      </c>
      <c r="CL63" s="110">
        <v>161845.5</v>
      </c>
      <c r="CM63" s="110">
        <v>277025</v>
      </c>
      <c r="CN63" s="110">
        <v>29799.279999999999</v>
      </c>
      <c r="CO63" s="110">
        <v>318733.17</v>
      </c>
      <c r="CP63" s="110">
        <v>588307.44999999995</v>
      </c>
      <c r="CQ63" s="110">
        <v>682546.22</v>
      </c>
      <c r="CR63" s="110">
        <v>776370.49</v>
      </c>
      <c r="CS63" s="110">
        <v>509862.43</v>
      </c>
      <c r="CT63" s="110">
        <v>154654.45000000001</v>
      </c>
      <c r="CU63" s="110">
        <v>0</v>
      </c>
      <c r="CV63" s="111">
        <v>3328</v>
      </c>
      <c r="CW63" s="111">
        <v>2435</v>
      </c>
      <c r="CX63" s="111">
        <v>57</v>
      </c>
      <c r="CY63" s="111">
        <v>2378</v>
      </c>
      <c r="CZ63" s="111">
        <v>893</v>
      </c>
      <c r="DA63" s="111">
        <v>1</v>
      </c>
      <c r="DB63" s="111">
        <v>892</v>
      </c>
      <c r="DC63" s="111">
        <v>1228</v>
      </c>
      <c r="DD63" s="111">
        <v>0</v>
      </c>
      <c r="DE63" s="111">
        <v>962</v>
      </c>
      <c r="DF63" s="111">
        <v>31</v>
      </c>
      <c r="DG63" s="111">
        <v>931</v>
      </c>
      <c r="DH63" s="111">
        <v>266</v>
      </c>
      <c r="DI63" s="111">
        <v>1</v>
      </c>
      <c r="DJ63" s="111">
        <v>265</v>
      </c>
      <c r="DK63" s="111">
        <v>960</v>
      </c>
      <c r="DL63" s="111">
        <v>768</v>
      </c>
      <c r="DM63" s="111">
        <v>16</v>
      </c>
      <c r="DN63" s="111">
        <v>752</v>
      </c>
      <c r="DO63" s="111">
        <v>192</v>
      </c>
      <c r="DP63" s="111">
        <v>0</v>
      </c>
      <c r="DQ63" s="111">
        <v>192</v>
      </c>
      <c r="DR63" s="111">
        <v>934</v>
      </c>
      <c r="DS63" s="111">
        <v>0</v>
      </c>
      <c r="DT63" s="111">
        <v>547</v>
      </c>
      <c r="DU63" s="111">
        <v>8</v>
      </c>
      <c r="DV63" s="111">
        <v>539</v>
      </c>
      <c r="DW63" s="111">
        <v>387</v>
      </c>
      <c r="DX63" s="111">
        <v>0</v>
      </c>
      <c r="DY63" s="111">
        <v>387</v>
      </c>
      <c r="DZ63" s="111">
        <v>206</v>
      </c>
      <c r="EA63" s="111">
        <v>158</v>
      </c>
      <c r="EB63" s="111">
        <v>2</v>
      </c>
      <c r="EC63" s="111">
        <v>156</v>
      </c>
      <c r="ED63" s="111">
        <v>48</v>
      </c>
      <c r="EE63" s="111">
        <v>0</v>
      </c>
      <c r="EF63" s="111">
        <v>48</v>
      </c>
      <c r="EG63" s="111">
        <v>269</v>
      </c>
      <c r="EH63" s="111">
        <v>210</v>
      </c>
      <c r="EI63" s="111">
        <v>143</v>
      </c>
      <c r="EJ63" s="111">
        <v>67</v>
      </c>
      <c r="EK63" s="111">
        <v>59</v>
      </c>
      <c r="EL63" s="111">
        <v>37</v>
      </c>
      <c r="EM63" s="111">
        <v>22</v>
      </c>
      <c r="EN63" s="111">
        <v>194</v>
      </c>
      <c r="EO63" s="111">
        <v>112</v>
      </c>
      <c r="EP63" s="111">
        <v>0</v>
      </c>
      <c r="EQ63" s="111">
        <v>82</v>
      </c>
      <c r="ER63" s="111">
        <v>1</v>
      </c>
      <c r="ES63" s="111">
        <v>0</v>
      </c>
      <c r="ET63" s="111">
        <v>0</v>
      </c>
      <c r="EU63" s="111">
        <v>16</v>
      </c>
      <c r="EV63" s="111">
        <v>5</v>
      </c>
      <c r="EW63" s="111">
        <v>0</v>
      </c>
      <c r="EX63" s="111">
        <v>11</v>
      </c>
      <c r="EY63" s="111">
        <v>0</v>
      </c>
      <c r="EZ63" s="111">
        <v>0</v>
      </c>
      <c r="FA63" s="111">
        <v>0</v>
      </c>
      <c r="FB63" s="111">
        <v>143</v>
      </c>
    </row>
    <row r="64" spans="1:158" ht="19.5" customHeight="1">
      <c r="A64" s="107">
        <v>61</v>
      </c>
      <c r="B64" s="107" t="s">
        <v>401</v>
      </c>
      <c r="C64" s="107" t="s">
        <v>413</v>
      </c>
      <c r="D64" s="110">
        <v>1413663</v>
      </c>
      <c r="E64" s="110">
        <v>1413663</v>
      </c>
      <c r="F64" s="110">
        <v>0</v>
      </c>
      <c r="G64" s="110">
        <v>2244</v>
      </c>
      <c r="H64" s="110">
        <v>0</v>
      </c>
      <c r="I64" s="110">
        <v>31300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2041255.45</v>
      </c>
      <c r="P64" s="110">
        <v>1604789.09</v>
      </c>
      <c r="Q64" s="110">
        <v>1477377.78</v>
      </c>
      <c r="R64" s="110">
        <v>127411.31</v>
      </c>
      <c r="S64" s="110">
        <v>436466.36</v>
      </c>
      <c r="T64" s="110">
        <v>200620.31</v>
      </c>
      <c r="U64" s="110">
        <v>235846.05</v>
      </c>
      <c r="V64" s="110">
        <v>2041255.45</v>
      </c>
      <c r="W64" s="110">
        <v>1604789.09</v>
      </c>
      <c r="X64" s="110">
        <v>1477377.78</v>
      </c>
      <c r="Y64" s="110">
        <v>127411.31</v>
      </c>
      <c r="Z64" s="110">
        <v>436466.36</v>
      </c>
      <c r="AA64" s="110">
        <v>200620.31</v>
      </c>
      <c r="AB64" s="110">
        <v>235846.05</v>
      </c>
      <c r="AC64" s="110">
        <v>166433.21</v>
      </c>
      <c r="AD64" s="110">
        <v>135020.69</v>
      </c>
      <c r="AE64" s="110">
        <v>129625.42</v>
      </c>
      <c r="AF64" s="110">
        <v>5395.27</v>
      </c>
      <c r="AG64" s="110">
        <v>31412.52</v>
      </c>
      <c r="AH64" s="110">
        <v>16500.55</v>
      </c>
      <c r="AI64" s="110">
        <v>14911.97</v>
      </c>
      <c r="AJ64" s="110">
        <v>461159.24</v>
      </c>
      <c r="AK64" s="110">
        <v>392283.4</v>
      </c>
      <c r="AL64" s="110">
        <v>379558.36</v>
      </c>
      <c r="AM64" s="110">
        <v>12725.04</v>
      </c>
      <c r="AN64" s="110">
        <v>68875.839999999997</v>
      </c>
      <c r="AO64" s="110">
        <v>44603.76</v>
      </c>
      <c r="AP64" s="110">
        <v>24272.080000000002</v>
      </c>
      <c r="AQ64" s="110">
        <v>1323</v>
      </c>
      <c r="AR64" s="110">
        <v>440</v>
      </c>
      <c r="AS64" s="110">
        <v>440</v>
      </c>
      <c r="AT64" s="110">
        <v>0</v>
      </c>
      <c r="AU64" s="110">
        <v>883</v>
      </c>
      <c r="AV64" s="110">
        <v>105</v>
      </c>
      <c r="AW64" s="110">
        <v>778</v>
      </c>
      <c r="AX64" s="110">
        <v>1412340</v>
      </c>
      <c r="AY64" s="110">
        <v>1077045</v>
      </c>
      <c r="AZ64" s="110">
        <v>967754</v>
      </c>
      <c r="BA64" s="110">
        <v>109291</v>
      </c>
      <c r="BB64" s="110">
        <v>335295</v>
      </c>
      <c r="BC64" s="110">
        <v>139411</v>
      </c>
      <c r="BD64" s="110">
        <v>195884</v>
      </c>
      <c r="BE64" s="110">
        <v>0</v>
      </c>
      <c r="BF64" s="110">
        <v>0</v>
      </c>
      <c r="BG64" s="110">
        <v>0</v>
      </c>
      <c r="BH64" s="110">
        <v>0</v>
      </c>
      <c r="BI64" s="110">
        <v>0</v>
      </c>
      <c r="BJ64" s="110">
        <v>0</v>
      </c>
      <c r="BK64" s="110">
        <v>0</v>
      </c>
      <c r="BL64" s="110">
        <v>0</v>
      </c>
      <c r="BM64" s="110">
        <v>0</v>
      </c>
      <c r="BN64" s="110">
        <v>0</v>
      </c>
      <c r="BO64" s="110">
        <v>0</v>
      </c>
      <c r="BP64" s="110">
        <v>0</v>
      </c>
      <c r="BQ64" s="110">
        <v>0</v>
      </c>
      <c r="BR64" s="110">
        <v>0</v>
      </c>
      <c r="BS64" s="110">
        <v>0</v>
      </c>
      <c r="BT64" s="110">
        <v>0</v>
      </c>
      <c r="BU64" s="110">
        <v>0</v>
      </c>
      <c r="BV64" s="110">
        <v>0</v>
      </c>
      <c r="BW64" s="110">
        <v>0</v>
      </c>
      <c r="BX64" s="110">
        <v>0</v>
      </c>
      <c r="BY64" s="110">
        <v>0</v>
      </c>
      <c r="BZ64" s="110">
        <v>0</v>
      </c>
      <c r="CA64" s="110">
        <v>0</v>
      </c>
      <c r="CB64" s="110">
        <v>0</v>
      </c>
      <c r="CC64" s="110">
        <v>0</v>
      </c>
      <c r="CD64" s="110">
        <v>0</v>
      </c>
      <c r="CE64" s="110">
        <v>0</v>
      </c>
      <c r="CF64" s="110">
        <v>0</v>
      </c>
      <c r="CG64" s="110">
        <v>0</v>
      </c>
      <c r="CH64" s="110">
        <v>0</v>
      </c>
      <c r="CI64" s="110">
        <v>0</v>
      </c>
      <c r="CJ64" s="110">
        <v>0</v>
      </c>
      <c r="CK64" s="110">
        <v>0</v>
      </c>
      <c r="CL64" s="110">
        <v>0</v>
      </c>
      <c r="CM64" s="110">
        <v>0</v>
      </c>
      <c r="CN64" s="110">
        <v>-25</v>
      </c>
      <c r="CO64" s="110">
        <v>-25</v>
      </c>
      <c r="CP64" s="110">
        <v>0</v>
      </c>
      <c r="CQ64" s="110">
        <v>1523357.07</v>
      </c>
      <c r="CR64" s="110">
        <v>517923.38</v>
      </c>
      <c r="CS64" s="110">
        <v>0</v>
      </c>
      <c r="CT64" s="110">
        <v>0</v>
      </c>
      <c r="CU64" s="110">
        <v>0</v>
      </c>
      <c r="CV64" s="111">
        <v>2244</v>
      </c>
      <c r="CW64" s="111">
        <v>1695</v>
      </c>
      <c r="CX64" s="111">
        <v>1496</v>
      </c>
      <c r="CY64" s="111">
        <v>199</v>
      </c>
      <c r="CZ64" s="111">
        <v>549</v>
      </c>
      <c r="DA64" s="111">
        <v>222</v>
      </c>
      <c r="DB64" s="111">
        <v>327</v>
      </c>
      <c r="DC64" s="111">
        <v>1759</v>
      </c>
      <c r="DD64" s="111">
        <v>0</v>
      </c>
      <c r="DE64" s="111">
        <v>1305</v>
      </c>
      <c r="DF64" s="111">
        <v>1248</v>
      </c>
      <c r="DG64" s="111">
        <v>57</v>
      </c>
      <c r="DH64" s="111">
        <v>454</v>
      </c>
      <c r="DI64" s="111">
        <v>189</v>
      </c>
      <c r="DJ64" s="111">
        <v>265</v>
      </c>
      <c r="DK64" s="111">
        <v>0</v>
      </c>
      <c r="DL64" s="111">
        <v>0</v>
      </c>
      <c r="DM64" s="111">
        <v>0</v>
      </c>
      <c r="DN64" s="111">
        <v>0</v>
      </c>
      <c r="DO64" s="111">
        <v>0</v>
      </c>
      <c r="DP64" s="111">
        <v>0</v>
      </c>
      <c r="DQ64" s="111">
        <v>0</v>
      </c>
      <c r="DR64" s="111">
        <v>485</v>
      </c>
      <c r="DS64" s="111">
        <v>0</v>
      </c>
      <c r="DT64" s="111">
        <v>390</v>
      </c>
      <c r="DU64" s="111">
        <v>248</v>
      </c>
      <c r="DV64" s="111">
        <v>142</v>
      </c>
      <c r="DW64" s="111">
        <v>95</v>
      </c>
      <c r="DX64" s="111">
        <v>33</v>
      </c>
      <c r="DY64" s="111">
        <v>62</v>
      </c>
      <c r="DZ64" s="111">
        <v>0</v>
      </c>
      <c r="EA64" s="111">
        <v>0</v>
      </c>
      <c r="EB64" s="111">
        <v>0</v>
      </c>
      <c r="EC64" s="111">
        <v>0</v>
      </c>
      <c r="ED64" s="111">
        <v>0</v>
      </c>
      <c r="EE64" s="111">
        <v>0</v>
      </c>
      <c r="EF64" s="111">
        <v>0</v>
      </c>
      <c r="EG64" s="111">
        <v>0</v>
      </c>
      <c r="EH64" s="111">
        <v>0</v>
      </c>
      <c r="EI64" s="111">
        <v>0</v>
      </c>
      <c r="EJ64" s="111">
        <v>0</v>
      </c>
      <c r="EK64" s="111">
        <v>0</v>
      </c>
      <c r="EL64" s="111">
        <v>0</v>
      </c>
      <c r="EM64" s="111">
        <v>0</v>
      </c>
      <c r="EN64" s="111">
        <v>10</v>
      </c>
      <c r="EO64" s="111">
        <v>0</v>
      </c>
      <c r="EP64" s="111">
        <v>0</v>
      </c>
      <c r="EQ64" s="111">
        <v>10</v>
      </c>
      <c r="ER64" s="111">
        <v>0</v>
      </c>
      <c r="ES64" s="111">
        <v>0</v>
      </c>
      <c r="ET64" s="111">
        <v>0</v>
      </c>
      <c r="EU64" s="111">
        <v>0</v>
      </c>
      <c r="EV64" s="111">
        <v>0</v>
      </c>
      <c r="EW64" s="111">
        <v>0</v>
      </c>
      <c r="EX64" s="111">
        <v>0</v>
      </c>
      <c r="EY64" s="111">
        <v>0</v>
      </c>
      <c r="EZ64" s="111">
        <v>0</v>
      </c>
      <c r="FA64" s="111">
        <v>0</v>
      </c>
      <c r="FB64" s="111">
        <v>0</v>
      </c>
    </row>
    <row r="65" spans="1:158" ht="19.5" customHeight="1">
      <c r="A65" s="107">
        <v>62</v>
      </c>
      <c r="B65" s="107" t="s">
        <v>407</v>
      </c>
      <c r="C65" s="107" t="s">
        <v>415</v>
      </c>
      <c r="D65" s="110">
        <v>26432</v>
      </c>
      <c r="E65" s="110">
        <v>26432</v>
      </c>
      <c r="F65" s="110">
        <v>0</v>
      </c>
      <c r="G65" s="110">
        <v>53</v>
      </c>
      <c r="H65" s="110">
        <v>0</v>
      </c>
      <c r="I65" s="110">
        <v>46</v>
      </c>
      <c r="J65" s="110">
        <v>0</v>
      </c>
      <c r="K65" s="110">
        <v>0</v>
      </c>
      <c r="L65" s="110">
        <v>0</v>
      </c>
      <c r="M65" s="110">
        <v>0</v>
      </c>
      <c r="N65" s="110">
        <v>0</v>
      </c>
      <c r="O65" s="110">
        <v>36123.03</v>
      </c>
      <c r="P65" s="110">
        <v>27749.01</v>
      </c>
      <c r="Q65" s="110">
        <v>25175.77</v>
      </c>
      <c r="R65" s="110">
        <v>2573.2399999999998</v>
      </c>
      <c r="S65" s="110">
        <v>8374.02</v>
      </c>
      <c r="T65" s="110">
        <v>1022.46</v>
      </c>
      <c r="U65" s="110">
        <v>7351.56</v>
      </c>
      <c r="V65" s="110">
        <v>36123.03</v>
      </c>
      <c r="W65" s="110">
        <v>27749.01</v>
      </c>
      <c r="X65" s="110">
        <v>25175.77</v>
      </c>
      <c r="Y65" s="110">
        <v>2573.2399999999998</v>
      </c>
      <c r="Z65" s="110">
        <v>8374.02</v>
      </c>
      <c r="AA65" s="110">
        <v>1022.46</v>
      </c>
      <c r="AB65" s="110">
        <v>7351.56</v>
      </c>
      <c r="AC65" s="110">
        <v>9564.0300000000007</v>
      </c>
      <c r="AD65" s="110">
        <v>6731.01</v>
      </c>
      <c r="AE65" s="110">
        <v>6696.77</v>
      </c>
      <c r="AF65" s="110">
        <v>34.24</v>
      </c>
      <c r="AG65" s="110">
        <v>2833.02</v>
      </c>
      <c r="AH65" s="110">
        <v>205.46</v>
      </c>
      <c r="AI65" s="110">
        <v>2627.56</v>
      </c>
      <c r="AJ65" s="110">
        <v>127</v>
      </c>
      <c r="AK65" s="110">
        <v>0</v>
      </c>
      <c r="AL65" s="110">
        <v>0</v>
      </c>
      <c r="AM65" s="110">
        <v>0</v>
      </c>
      <c r="AN65" s="110">
        <v>127</v>
      </c>
      <c r="AO65" s="110">
        <v>0</v>
      </c>
      <c r="AP65" s="110">
        <v>127</v>
      </c>
      <c r="AQ65" s="110">
        <v>9920</v>
      </c>
      <c r="AR65" s="110">
        <v>8720</v>
      </c>
      <c r="AS65" s="110">
        <v>7445</v>
      </c>
      <c r="AT65" s="110">
        <v>1275</v>
      </c>
      <c r="AU65" s="110">
        <v>1200</v>
      </c>
      <c r="AV65" s="110">
        <v>185</v>
      </c>
      <c r="AW65" s="110">
        <v>1015</v>
      </c>
      <c r="AX65" s="110">
        <v>16512</v>
      </c>
      <c r="AY65" s="110">
        <v>12298</v>
      </c>
      <c r="AZ65" s="110">
        <v>11034</v>
      </c>
      <c r="BA65" s="110">
        <v>1264</v>
      </c>
      <c r="BB65" s="110">
        <v>4214</v>
      </c>
      <c r="BC65" s="110">
        <v>632</v>
      </c>
      <c r="BD65" s="110">
        <v>3582</v>
      </c>
      <c r="BE65" s="110">
        <v>0</v>
      </c>
      <c r="BF65" s="110">
        <v>0</v>
      </c>
      <c r="BG65" s="110">
        <v>0</v>
      </c>
      <c r="BH65" s="110">
        <v>0</v>
      </c>
      <c r="BI65" s="110">
        <v>0</v>
      </c>
      <c r="BJ65" s="110">
        <v>0</v>
      </c>
      <c r="BK65" s="110">
        <v>0</v>
      </c>
      <c r="BL65" s="110">
        <v>0</v>
      </c>
      <c r="BM65" s="110">
        <v>0</v>
      </c>
      <c r="BN65" s="110">
        <v>0</v>
      </c>
      <c r="BO65" s="110">
        <v>0</v>
      </c>
      <c r="BP65" s="110">
        <v>0</v>
      </c>
      <c r="BQ65" s="110">
        <v>0</v>
      </c>
      <c r="BR65" s="110">
        <v>0</v>
      </c>
      <c r="BS65" s="110">
        <v>0</v>
      </c>
      <c r="BT65" s="110">
        <v>0</v>
      </c>
      <c r="BU65" s="110">
        <v>0</v>
      </c>
      <c r="BV65" s="110">
        <v>0</v>
      </c>
      <c r="BW65" s="110">
        <v>0</v>
      </c>
      <c r="BX65" s="110">
        <v>0</v>
      </c>
      <c r="BY65" s="110">
        <v>0</v>
      </c>
      <c r="BZ65" s="110">
        <v>0</v>
      </c>
      <c r="CA65" s="110">
        <v>0</v>
      </c>
      <c r="CB65" s="110">
        <v>0</v>
      </c>
      <c r="CC65" s="110">
        <v>0</v>
      </c>
      <c r="CD65" s="110">
        <v>0</v>
      </c>
      <c r="CE65" s="110">
        <v>0</v>
      </c>
      <c r="CF65" s="110">
        <v>0</v>
      </c>
      <c r="CG65" s="110">
        <v>0</v>
      </c>
      <c r="CH65" s="110">
        <v>0</v>
      </c>
      <c r="CI65" s="110">
        <v>0</v>
      </c>
      <c r="CJ65" s="110">
        <v>0</v>
      </c>
      <c r="CK65" s="110">
        <v>0</v>
      </c>
      <c r="CL65" s="110">
        <v>0</v>
      </c>
      <c r="CM65" s="110">
        <v>0</v>
      </c>
      <c r="CN65" s="110">
        <v>0</v>
      </c>
      <c r="CO65" s="110">
        <v>374.41</v>
      </c>
      <c r="CP65" s="110">
        <v>0</v>
      </c>
      <c r="CQ65" s="110">
        <v>0</v>
      </c>
      <c r="CR65" s="110">
        <v>35748.620000000003</v>
      </c>
      <c r="CS65" s="110">
        <v>0</v>
      </c>
      <c r="CT65" s="110">
        <v>0</v>
      </c>
      <c r="CU65" s="110">
        <v>0</v>
      </c>
      <c r="CV65" s="111">
        <v>53</v>
      </c>
      <c r="CW65" s="111">
        <v>40</v>
      </c>
      <c r="CX65" s="111">
        <v>36</v>
      </c>
      <c r="CY65" s="111">
        <v>4</v>
      </c>
      <c r="CZ65" s="111">
        <v>13</v>
      </c>
      <c r="DA65" s="111">
        <v>2</v>
      </c>
      <c r="DB65" s="111">
        <v>11</v>
      </c>
      <c r="DC65" s="111">
        <v>2</v>
      </c>
      <c r="DD65" s="111">
        <v>0</v>
      </c>
      <c r="DE65" s="111">
        <v>2</v>
      </c>
      <c r="DF65" s="111">
        <v>2</v>
      </c>
      <c r="DG65" s="111">
        <v>0</v>
      </c>
      <c r="DH65" s="111">
        <v>0</v>
      </c>
      <c r="DI65" s="111">
        <v>0</v>
      </c>
      <c r="DJ65" s="111">
        <v>0</v>
      </c>
      <c r="DK65" s="111">
        <v>0</v>
      </c>
      <c r="DL65" s="111">
        <v>0</v>
      </c>
      <c r="DM65" s="111">
        <v>0</v>
      </c>
      <c r="DN65" s="111">
        <v>0</v>
      </c>
      <c r="DO65" s="111">
        <v>0</v>
      </c>
      <c r="DP65" s="111">
        <v>0</v>
      </c>
      <c r="DQ65" s="111">
        <v>0</v>
      </c>
      <c r="DR65" s="111">
        <v>51</v>
      </c>
      <c r="DS65" s="111">
        <v>0</v>
      </c>
      <c r="DT65" s="111">
        <v>38</v>
      </c>
      <c r="DU65" s="111">
        <v>34</v>
      </c>
      <c r="DV65" s="111">
        <v>4</v>
      </c>
      <c r="DW65" s="111">
        <v>13</v>
      </c>
      <c r="DX65" s="111">
        <v>2</v>
      </c>
      <c r="DY65" s="111">
        <v>11</v>
      </c>
      <c r="DZ65" s="111">
        <v>0</v>
      </c>
      <c r="EA65" s="111">
        <v>0</v>
      </c>
      <c r="EB65" s="111">
        <v>0</v>
      </c>
      <c r="EC65" s="111">
        <v>0</v>
      </c>
      <c r="ED65" s="111">
        <v>0</v>
      </c>
      <c r="EE65" s="111">
        <v>0</v>
      </c>
      <c r="EF65" s="111">
        <v>0</v>
      </c>
      <c r="EG65" s="111">
        <v>0</v>
      </c>
      <c r="EH65" s="111">
        <v>0</v>
      </c>
      <c r="EI65" s="111">
        <v>0</v>
      </c>
      <c r="EJ65" s="111">
        <v>0</v>
      </c>
      <c r="EK65" s="111">
        <v>0</v>
      </c>
      <c r="EL65" s="111">
        <v>0</v>
      </c>
      <c r="EM65" s="111">
        <v>0</v>
      </c>
      <c r="EN65" s="111">
        <v>0</v>
      </c>
      <c r="EO65" s="111">
        <v>0</v>
      </c>
      <c r="EP65" s="111">
        <v>0</v>
      </c>
      <c r="EQ65" s="111">
        <v>0</v>
      </c>
      <c r="ER65" s="111">
        <v>0</v>
      </c>
      <c r="ES65" s="111">
        <v>0</v>
      </c>
      <c r="ET65" s="111">
        <v>0</v>
      </c>
      <c r="EU65" s="111">
        <v>0</v>
      </c>
      <c r="EV65" s="111">
        <v>0</v>
      </c>
      <c r="EW65" s="111">
        <v>0</v>
      </c>
      <c r="EX65" s="111">
        <v>0</v>
      </c>
      <c r="EY65" s="111">
        <v>0</v>
      </c>
      <c r="EZ65" s="111">
        <v>0</v>
      </c>
      <c r="FA65" s="111">
        <v>0</v>
      </c>
      <c r="FB65" s="111">
        <v>0</v>
      </c>
    </row>
    <row r="66" spans="1:158" ht="19.5" customHeight="1">
      <c r="A66" s="107">
        <v>63</v>
      </c>
      <c r="B66" s="107" t="s">
        <v>401</v>
      </c>
      <c r="C66" s="107" t="s">
        <v>416</v>
      </c>
      <c r="D66" s="110">
        <v>337767</v>
      </c>
      <c r="E66" s="110">
        <v>337767</v>
      </c>
      <c r="F66" s="110">
        <v>0</v>
      </c>
      <c r="G66" s="110">
        <v>267</v>
      </c>
      <c r="H66" s="110">
        <v>0</v>
      </c>
      <c r="I66" s="110">
        <v>0</v>
      </c>
      <c r="J66" s="110">
        <v>0</v>
      </c>
      <c r="K66" s="110">
        <v>0</v>
      </c>
      <c r="L66" s="110">
        <v>0</v>
      </c>
      <c r="M66" s="110">
        <v>0</v>
      </c>
      <c r="N66" s="110">
        <v>0</v>
      </c>
      <c r="O66" s="110">
        <v>337767</v>
      </c>
      <c r="P66" s="110">
        <v>206747</v>
      </c>
      <c r="Q66" s="110">
        <v>179144</v>
      </c>
      <c r="R66" s="110">
        <v>27603</v>
      </c>
      <c r="S66" s="110">
        <v>131020</v>
      </c>
      <c r="T66" s="110">
        <v>76535</v>
      </c>
      <c r="U66" s="110">
        <v>54485</v>
      </c>
      <c r="V66" s="110">
        <v>337767</v>
      </c>
      <c r="W66" s="110">
        <v>206747</v>
      </c>
      <c r="X66" s="110">
        <v>179144</v>
      </c>
      <c r="Y66" s="110">
        <v>27603</v>
      </c>
      <c r="Z66" s="110">
        <v>131020</v>
      </c>
      <c r="AA66" s="110">
        <v>76535</v>
      </c>
      <c r="AB66" s="110">
        <v>54485</v>
      </c>
      <c r="AC66" s="110">
        <v>0</v>
      </c>
      <c r="AD66" s="110">
        <v>0</v>
      </c>
      <c r="AE66" s="110">
        <v>0</v>
      </c>
      <c r="AF66" s="110">
        <v>0</v>
      </c>
      <c r="AG66" s="110">
        <v>0</v>
      </c>
      <c r="AH66" s="110">
        <v>0</v>
      </c>
      <c r="AI66" s="110">
        <v>0</v>
      </c>
      <c r="AJ66" s="110">
        <v>0</v>
      </c>
      <c r="AK66" s="110">
        <v>0</v>
      </c>
      <c r="AL66" s="110">
        <v>0</v>
      </c>
      <c r="AM66" s="110">
        <v>0</v>
      </c>
      <c r="AN66" s="110">
        <v>0</v>
      </c>
      <c r="AO66" s="110">
        <v>0</v>
      </c>
      <c r="AP66" s="110">
        <v>0</v>
      </c>
      <c r="AQ66" s="110">
        <v>315701</v>
      </c>
      <c r="AR66" s="110">
        <v>194153</v>
      </c>
      <c r="AS66" s="110">
        <v>169391</v>
      </c>
      <c r="AT66" s="110">
        <v>24762</v>
      </c>
      <c r="AU66" s="110">
        <v>121548</v>
      </c>
      <c r="AV66" s="110">
        <v>72951</v>
      </c>
      <c r="AW66" s="110">
        <v>48597</v>
      </c>
      <c r="AX66" s="110">
        <v>22066</v>
      </c>
      <c r="AY66" s="110">
        <v>12594</v>
      </c>
      <c r="AZ66" s="110">
        <v>9753</v>
      </c>
      <c r="BA66" s="110">
        <v>2841</v>
      </c>
      <c r="BB66" s="110">
        <v>9472</v>
      </c>
      <c r="BC66" s="110">
        <v>3584</v>
      </c>
      <c r="BD66" s="110">
        <v>5888</v>
      </c>
      <c r="BE66" s="110">
        <v>0</v>
      </c>
      <c r="BF66" s="110">
        <v>0</v>
      </c>
      <c r="BG66" s="110">
        <v>0</v>
      </c>
      <c r="BH66" s="110">
        <v>0</v>
      </c>
      <c r="BI66" s="110">
        <v>0</v>
      </c>
      <c r="BJ66" s="110">
        <v>0</v>
      </c>
      <c r="BK66" s="110">
        <v>0</v>
      </c>
      <c r="BL66" s="110">
        <v>0</v>
      </c>
      <c r="BM66" s="110">
        <v>0</v>
      </c>
      <c r="BN66" s="110">
        <v>0</v>
      </c>
      <c r="BO66" s="110">
        <v>0</v>
      </c>
      <c r="BP66" s="110">
        <v>0</v>
      </c>
      <c r="BQ66" s="110">
        <v>0</v>
      </c>
      <c r="BR66" s="110">
        <v>0</v>
      </c>
      <c r="BS66" s="110">
        <v>0</v>
      </c>
      <c r="BT66" s="110">
        <v>0</v>
      </c>
      <c r="BU66" s="110">
        <v>0</v>
      </c>
      <c r="BV66" s="110">
        <v>0</v>
      </c>
      <c r="BW66" s="110">
        <v>0</v>
      </c>
      <c r="BX66" s="110">
        <v>0</v>
      </c>
      <c r="BY66" s="110">
        <v>0</v>
      </c>
      <c r="BZ66" s="110">
        <v>0</v>
      </c>
      <c r="CA66" s="110">
        <v>0</v>
      </c>
      <c r="CB66" s="110">
        <v>0</v>
      </c>
      <c r="CC66" s="110">
        <v>0</v>
      </c>
      <c r="CD66" s="110">
        <v>0</v>
      </c>
      <c r="CE66" s="110">
        <v>0</v>
      </c>
      <c r="CF66" s="110">
        <v>0</v>
      </c>
      <c r="CG66" s="110">
        <v>0</v>
      </c>
      <c r="CH66" s="110">
        <v>0</v>
      </c>
      <c r="CI66" s="110">
        <v>0</v>
      </c>
      <c r="CJ66" s="110">
        <v>0</v>
      </c>
      <c r="CK66" s="110">
        <v>0</v>
      </c>
      <c r="CL66" s="110">
        <v>0</v>
      </c>
      <c r="CM66" s="110">
        <v>0</v>
      </c>
      <c r="CN66" s="110">
        <v>0</v>
      </c>
      <c r="CO66" s="110">
        <v>50</v>
      </c>
      <c r="CP66" s="110">
        <v>0</v>
      </c>
      <c r="CQ66" s="110">
        <v>249621</v>
      </c>
      <c r="CR66" s="110">
        <v>88096</v>
      </c>
      <c r="CS66" s="110">
        <v>0</v>
      </c>
      <c r="CT66" s="110">
        <v>0</v>
      </c>
      <c r="CU66" s="110">
        <v>0</v>
      </c>
      <c r="CV66" s="111">
        <v>267</v>
      </c>
      <c r="CW66" s="111">
        <v>163</v>
      </c>
      <c r="CX66" s="111">
        <v>129</v>
      </c>
      <c r="CY66" s="111">
        <v>34</v>
      </c>
      <c r="CZ66" s="111">
        <v>104</v>
      </c>
      <c r="DA66" s="111">
        <v>55</v>
      </c>
      <c r="DB66" s="111">
        <v>49</v>
      </c>
      <c r="DC66" s="111">
        <v>181</v>
      </c>
      <c r="DD66" s="111">
        <v>0</v>
      </c>
      <c r="DE66" s="111">
        <v>114</v>
      </c>
      <c r="DF66" s="111">
        <v>91</v>
      </c>
      <c r="DG66" s="111">
        <v>23</v>
      </c>
      <c r="DH66" s="111">
        <v>67</v>
      </c>
      <c r="DI66" s="111">
        <v>41</v>
      </c>
      <c r="DJ66" s="111">
        <v>26</v>
      </c>
      <c r="DK66" s="111">
        <v>0</v>
      </c>
      <c r="DL66" s="111">
        <v>0</v>
      </c>
      <c r="DM66" s="111">
        <v>0</v>
      </c>
      <c r="DN66" s="111">
        <v>0</v>
      </c>
      <c r="DO66" s="111">
        <v>0</v>
      </c>
      <c r="DP66" s="111">
        <v>0</v>
      </c>
      <c r="DQ66" s="111">
        <v>0</v>
      </c>
      <c r="DR66" s="111">
        <v>86</v>
      </c>
      <c r="DS66" s="111">
        <v>0</v>
      </c>
      <c r="DT66" s="111">
        <v>49</v>
      </c>
      <c r="DU66" s="111">
        <v>38</v>
      </c>
      <c r="DV66" s="111">
        <v>11</v>
      </c>
      <c r="DW66" s="111">
        <v>37</v>
      </c>
      <c r="DX66" s="111">
        <v>14</v>
      </c>
      <c r="DY66" s="111">
        <v>23</v>
      </c>
      <c r="DZ66" s="111">
        <v>0</v>
      </c>
      <c r="EA66" s="111">
        <v>0</v>
      </c>
      <c r="EB66" s="111">
        <v>0</v>
      </c>
      <c r="EC66" s="111">
        <v>0</v>
      </c>
      <c r="ED66" s="111">
        <v>0</v>
      </c>
      <c r="EE66" s="111">
        <v>0</v>
      </c>
      <c r="EF66" s="111">
        <v>0</v>
      </c>
      <c r="EG66" s="111">
        <v>0</v>
      </c>
      <c r="EH66" s="111">
        <v>0</v>
      </c>
      <c r="EI66" s="111">
        <v>0</v>
      </c>
      <c r="EJ66" s="111">
        <v>0</v>
      </c>
      <c r="EK66" s="111">
        <v>0</v>
      </c>
      <c r="EL66" s="111">
        <v>0</v>
      </c>
      <c r="EM66" s="111">
        <v>0</v>
      </c>
      <c r="EN66" s="111">
        <v>0</v>
      </c>
      <c r="EO66" s="111">
        <v>0</v>
      </c>
      <c r="EP66" s="111">
        <v>0</v>
      </c>
      <c r="EQ66" s="111">
        <v>0</v>
      </c>
      <c r="ER66" s="111">
        <v>0</v>
      </c>
      <c r="ES66" s="111">
        <v>0</v>
      </c>
      <c r="ET66" s="111">
        <v>0</v>
      </c>
      <c r="EU66" s="111">
        <v>0</v>
      </c>
      <c r="EV66" s="111">
        <v>0</v>
      </c>
      <c r="EW66" s="111">
        <v>0</v>
      </c>
      <c r="EX66" s="111">
        <v>0</v>
      </c>
      <c r="EY66" s="111">
        <v>0</v>
      </c>
      <c r="EZ66" s="111">
        <v>0</v>
      </c>
      <c r="FA66" s="111">
        <v>0</v>
      </c>
      <c r="FB66" s="111">
        <v>0</v>
      </c>
    </row>
    <row r="67" spans="1:158" ht="19.5" customHeight="1">
      <c r="A67" s="107">
        <v>64</v>
      </c>
      <c r="B67" s="107" t="s">
        <v>401</v>
      </c>
      <c r="C67" s="107" t="s">
        <v>417</v>
      </c>
      <c r="D67" s="110">
        <v>351822</v>
      </c>
      <c r="E67" s="110">
        <v>351822</v>
      </c>
      <c r="F67" s="110">
        <v>0</v>
      </c>
      <c r="G67" s="110">
        <v>2595</v>
      </c>
      <c r="H67" s="110">
        <v>0</v>
      </c>
      <c r="I67" s="110">
        <v>72</v>
      </c>
      <c r="J67" s="110">
        <v>0</v>
      </c>
      <c r="K67" s="110">
        <v>0</v>
      </c>
      <c r="L67" s="110">
        <v>0</v>
      </c>
      <c r="M67" s="110">
        <v>0</v>
      </c>
      <c r="N67" s="110">
        <v>0</v>
      </c>
      <c r="O67" s="110">
        <v>374120.74</v>
      </c>
      <c r="P67" s="110">
        <v>181543.37</v>
      </c>
      <c r="Q67" s="110">
        <v>136644.57999999999</v>
      </c>
      <c r="R67" s="110">
        <v>44898.79</v>
      </c>
      <c r="S67" s="110">
        <v>192577.37</v>
      </c>
      <c r="T67" s="110">
        <v>46710.79</v>
      </c>
      <c r="U67" s="110">
        <v>145866.57999999999</v>
      </c>
      <c r="V67" s="110">
        <v>352618.74</v>
      </c>
      <c r="W67" s="110">
        <v>160041.37</v>
      </c>
      <c r="X67" s="110">
        <v>115142.58</v>
      </c>
      <c r="Y67" s="110">
        <v>44898.79</v>
      </c>
      <c r="Z67" s="110">
        <v>192577.37</v>
      </c>
      <c r="AA67" s="110">
        <v>46710.79</v>
      </c>
      <c r="AB67" s="110">
        <v>145866.57999999999</v>
      </c>
      <c r="AC67" s="110">
        <v>796.74</v>
      </c>
      <c r="AD67" s="110">
        <v>398.37</v>
      </c>
      <c r="AE67" s="110">
        <v>265.58</v>
      </c>
      <c r="AF67" s="110">
        <v>132.79</v>
      </c>
      <c r="AG67" s="110">
        <v>398.37</v>
      </c>
      <c r="AH67" s="110">
        <v>132.79</v>
      </c>
      <c r="AI67" s="110">
        <v>265.58</v>
      </c>
      <c r="AJ67" s="110">
        <v>0</v>
      </c>
      <c r="AK67" s="110">
        <v>0</v>
      </c>
      <c r="AL67" s="110">
        <v>0</v>
      </c>
      <c r="AM67" s="110">
        <v>0</v>
      </c>
      <c r="AN67" s="110">
        <v>0</v>
      </c>
      <c r="AO67" s="110">
        <v>0</v>
      </c>
      <c r="AP67" s="110">
        <v>0</v>
      </c>
      <c r="AQ67" s="110">
        <v>140618</v>
      </c>
      <c r="AR67" s="110">
        <v>90289</v>
      </c>
      <c r="AS67" s="110">
        <v>68999</v>
      </c>
      <c r="AT67" s="110">
        <v>21290</v>
      </c>
      <c r="AU67" s="110">
        <v>50329</v>
      </c>
      <c r="AV67" s="110">
        <v>22470</v>
      </c>
      <c r="AW67" s="110">
        <v>27859</v>
      </c>
      <c r="AX67" s="110">
        <v>211204</v>
      </c>
      <c r="AY67" s="110">
        <v>69354</v>
      </c>
      <c r="AZ67" s="110">
        <v>45878</v>
      </c>
      <c r="BA67" s="110">
        <v>23476</v>
      </c>
      <c r="BB67" s="110">
        <v>141850</v>
      </c>
      <c r="BC67" s="110">
        <v>24108</v>
      </c>
      <c r="BD67" s="110">
        <v>117742</v>
      </c>
      <c r="BE67" s="110">
        <v>21502</v>
      </c>
      <c r="BF67" s="110">
        <v>21502</v>
      </c>
      <c r="BG67" s="110">
        <v>21502</v>
      </c>
      <c r="BH67" s="110">
        <v>0</v>
      </c>
      <c r="BI67" s="110">
        <v>0</v>
      </c>
      <c r="BJ67" s="110">
        <v>0</v>
      </c>
      <c r="BK67" s="110">
        <v>0</v>
      </c>
      <c r="BL67" s="110">
        <v>0</v>
      </c>
      <c r="BM67" s="110">
        <v>0</v>
      </c>
      <c r="BN67" s="110">
        <v>0</v>
      </c>
      <c r="BO67" s="110">
        <v>0</v>
      </c>
      <c r="BP67" s="110">
        <v>0</v>
      </c>
      <c r="BQ67" s="110">
        <v>0</v>
      </c>
      <c r="BR67" s="110">
        <v>0</v>
      </c>
      <c r="BS67" s="110">
        <v>21502</v>
      </c>
      <c r="BT67" s="110">
        <v>21502</v>
      </c>
      <c r="BU67" s="110">
        <v>21502</v>
      </c>
      <c r="BV67" s="110">
        <v>0</v>
      </c>
      <c r="BW67" s="110">
        <v>0</v>
      </c>
      <c r="BX67" s="110">
        <v>0</v>
      </c>
      <c r="BY67" s="110">
        <v>0</v>
      </c>
      <c r="BZ67" s="110">
        <v>0</v>
      </c>
      <c r="CA67" s="110">
        <v>0</v>
      </c>
      <c r="CB67" s="110">
        <v>0</v>
      </c>
      <c r="CC67" s="110">
        <v>0</v>
      </c>
      <c r="CD67" s="110">
        <v>0</v>
      </c>
      <c r="CE67" s="110">
        <v>0</v>
      </c>
      <c r="CF67" s="110">
        <v>0</v>
      </c>
      <c r="CG67" s="110">
        <v>0</v>
      </c>
      <c r="CH67" s="110">
        <v>0</v>
      </c>
      <c r="CI67" s="110">
        <v>0</v>
      </c>
      <c r="CJ67" s="110">
        <v>0</v>
      </c>
      <c r="CK67" s="110">
        <v>0</v>
      </c>
      <c r="CL67" s="110">
        <v>0</v>
      </c>
      <c r="CM67" s="110">
        <v>0</v>
      </c>
      <c r="CN67" s="110">
        <v>0</v>
      </c>
      <c r="CO67" s="110">
        <v>3982</v>
      </c>
      <c r="CP67" s="110">
        <v>0</v>
      </c>
      <c r="CQ67" s="110">
        <v>120940</v>
      </c>
      <c r="CR67" s="110">
        <v>227696.74</v>
      </c>
      <c r="CS67" s="110">
        <v>0</v>
      </c>
      <c r="CT67" s="110">
        <v>0</v>
      </c>
      <c r="CU67" s="110">
        <v>0</v>
      </c>
      <c r="CV67" s="111">
        <v>2595</v>
      </c>
      <c r="CW67" s="111">
        <v>1621</v>
      </c>
      <c r="CX67" s="111">
        <v>1345</v>
      </c>
      <c r="CY67" s="111">
        <v>276</v>
      </c>
      <c r="CZ67" s="111">
        <v>974</v>
      </c>
      <c r="DA67" s="111">
        <v>362</v>
      </c>
      <c r="DB67" s="111">
        <v>612</v>
      </c>
      <c r="DC67" s="111">
        <v>2070</v>
      </c>
      <c r="DD67" s="111">
        <v>38</v>
      </c>
      <c r="DE67" s="111">
        <v>1424</v>
      </c>
      <c r="DF67" s="111">
        <v>1203</v>
      </c>
      <c r="DG67" s="111">
        <v>221</v>
      </c>
      <c r="DH67" s="111">
        <v>646</v>
      </c>
      <c r="DI67" s="111">
        <v>298</v>
      </c>
      <c r="DJ67" s="111">
        <v>348</v>
      </c>
      <c r="DK67" s="111">
        <v>0</v>
      </c>
      <c r="DL67" s="111">
        <v>0</v>
      </c>
      <c r="DM67" s="111">
        <v>0</v>
      </c>
      <c r="DN67" s="111">
        <v>0</v>
      </c>
      <c r="DO67" s="111">
        <v>0</v>
      </c>
      <c r="DP67" s="111">
        <v>0</v>
      </c>
      <c r="DQ67" s="111">
        <v>0</v>
      </c>
      <c r="DR67" s="111">
        <v>487</v>
      </c>
      <c r="DS67" s="111">
        <v>0</v>
      </c>
      <c r="DT67" s="111">
        <v>173</v>
      </c>
      <c r="DU67" s="111">
        <v>122</v>
      </c>
      <c r="DV67" s="111">
        <v>51</v>
      </c>
      <c r="DW67" s="111">
        <v>314</v>
      </c>
      <c r="DX67" s="111">
        <v>63</v>
      </c>
      <c r="DY67" s="111">
        <v>251</v>
      </c>
      <c r="DZ67" s="111">
        <v>0</v>
      </c>
      <c r="EA67" s="111">
        <v>0</v>
      </c>
      <c r="EB67" s="111">
        <v>0</v>
      </c>
      <c r="EC67" s="111">
        <v>0</v>
      </c>
      <c r="ED67" s="111">
        <v>0</v>
      </c>
      <c r="EE67" s="111">
        <v>0</v>
      </c>
      <c r="EF67" s="111">
        <v>0</v>
      </c>
      <c r="EG67" s="111">
        <v>0</v>
      </c>
      <c r="EH67" s="111">
        <v>0</v>
      </c>
      <c r="EI67" s="111">
        <v>0</v>
      </c>
      <c r="EJ67" s="111">
        <v>0</v>
      </c>
      <c r="EK67" s="111">
        <v>0</v>
      </c>
      <c r="EL67" s="111">
        <v>0</v>
      </c>
      <c r="EM67" s="111">
        <v>0</v>
      </c>
      <c r="EN67" s="111">
        <v>22</v>
      </c>
      <c r="EO67" s="111">
        <v>0</v>
      </c>
      <c r="EP67" s="111">
        <v>0</v>
      </c>
      <c r="EQ67" s="111">
        <v>22</v>
      </c>
      <c r="ER67" s="111">
        <v>0</v>
      </c>
      <c r="ES67" s="111">
        <v>0</v>
      </c>
      <c r="ET67" s="111">
        <v>0</v>
      </c>
      <c r="EU67" s="111">
        <v>0</v>
      </c>
      <c r="EV67" s="111">
        <v>0</v>
      </c>
      <c r="EW67" s="111">
        <v>0</v>
      </c>
      <c r="EX67" s="111">
        <v>0</v>
      </c>
      <c r="EY67" s="111">
        <v>0</v>
      </c>
      <c r="EZ67" s="111">
        <v>0</v>
      </c>
      <c r="FA67" s="111">
        <v>0</v>
      </c>
      <c r="FB67" s="111">
        <v>0</v>
      </c>
    </row>
    <row r="68" spans="1:158" ht="19.5" customHeight="1">
      <c r="A68" s="107">
        <v>65</v>
      </c>
      <c r="B68" s="107" t="s">
        <v>401</v>
      </c>
      <c r="C68" s="107" t="s">
        <v>418</v>
      </c>
      <c r="D68" s="110">
        <v>210777</v>
      </c>
      <c r="E68" s="110">
        <v>210777</v>
      </c>
      <c r="F68" s="110">
        <v>0</v>
      </c>
      <c r="G68" s="110">
        <v>1374</v>
      </c>
      <c r="H68" s="110">
        <v>0</v>
      </c>
      <c r="I68" s="110">
        <v>1620</v>
      </c>
      <c r="J68" s="110">
        <v>15564</v>
      </c>
      <c r="K68" s="110">
        <v>0</v>
      </c>
      <c r="L68" s="110">
        <v>0</v>
      </c>
      <c r="M68" s="110">
        <v>0</v>
      </c>
      <c r="N68" s="110">
        <v>0</v>
      </c>
      <c r="O68" s="110">
        <v>281639.2</v>
      </c>
      <c r="P68" s="110">
        <v>218865.3</v>
      </c>
      <c r="Q68" s="110">
        <v>205776.65</v>
      </c>
      <c r="R68" s="110">
        <v>13088.65</v>
      </c>
      <c r="S68" s="110">
        <v>62773.9</v>
      </c>
      <c r="T68" s="110">
        <v>35283.599999999999</v>
      </c>
      <c r="U68" s="110">
        <v>27490.3</v>
      </c>
      <c r="V68" s="110">
        <v>281639.2</v>
      </c>
      <c r="W68" s="110">
        <v>218865.3</v>
      </c>
      <c r="X68" s="110">
        <v>205776.65</v>
      </c>
      <c r="Y68" s="110">
        <v>13088.65</v>
      </c>
      <c r="Z68" s="110">
        <v>62773.9</v>
      </c>
      <c r="AA68" s="110">
        <v>35283.599999999999</v>
      </c>
      <c r="AB68" s="110">
        <v>27490.3</v>
      </c>
      <c r="AC68" s="110">
        <v>57078</v>
      </c>
      <c r="AD68" s="110">
        <v>42650.1</v>
      </c>
      <c r="AE68" s="110">
        <v>40561.449999999997</v>
      </c>
      <c r="AF68" s="110">
        <v>2088.65</v>
      </c>
      <c r="AG68" s="110">
        <v>14427.9</v>
      </c>
      <c r="AH68" s="110">
        <v>9302.6</v>
      </c>
      <c r="AI68" s="110">
        <v>5125.3</v>
      </c>
      <c r="AJ68" s="110">
        <v>13784.2</v>
      </c>
      <c r="AK68" s="110">
        <v>11884.2</v>
      </c>
      <c r="AL68" s="110">
        <v>11284.2</v>
      </c>
      <c r="AM68" s="110">
        <v>600</v>
      </c>
      <c r="AN68" s="110">
        <v>1900</v>
      </c>
      <c r="AO68" s="110">
        <v>1330</v>
      </c>
      <c r="AP68" s="110">
        <v>570</v>
      </c>
      <c r="AQ68" s="110">
        <v>108474</v>
      </c>
      <c r="AR68" s="110">
        <v>87471</v>
      </c>
      <c r="AS68" s="110">
        <v>83076</v>
      </c>
      <c r="AT68" s="110">
        <v>4395</v>
      </c>
      <c r="AU68" s="110">
        <v>21003</v>
      </c>
      <c r="AV68" s="110">
        <v>12743</v>
      </c>
      <c r="AW68" s="110">
        <v>8260</v>
      </c>
      <c r="AX68" s="110">
        <v>102303</v>
      </c>
      <c r="AY68" s="110">
        <v>76860</v>
      </c>
      <c r="AZ68" s="110">
        <v>70855</v>
      </c>
      <c r="BA68" s="110">
        <v>6005</v>
      </c>
      <c r="BB68" s="110">
        <v>25443</v>
      </c>
      <c r="BC68" s="110">
        <v>11908</v>
      </c>
      <c r="BD68" s="110">
        <v>13535</v>
      </c>
      <c r="BE68" s="110">
        <v>0</v>
      </c>
      <c r="BF68" s="110">
        <v>0</v>
      </c>
      <c r="BG68" s="110">
        <v>0</v>
      </c>
      <c r="BH68" s="110">
        <v>0</v>
      </c>
      <c r="BI68" s="110">
        <v>0</v>
      </c>
      <c r="BJ68" s="110">
        <v>0</v>
      </c>
      <c r="BK68" s="110">
        <v>0</v>
      </c>
      <c r="BL68" s="110">
        <v>0</v>
      </c>
      <c r="BM68" s="110">
        <v>0</v>
      </c>
      <c r="BN68" s="110">
        <v>0</v>
      </c>
      <c r="BO68" s="110">
        <v>0</v>
      </c>
      <c r="BP68" s="110">
        <v>0</v>
      </c>
      <c r="BQ68" s="110">
        <v>0</v>
      </c>
      <c r="BR68" s="110">
        <v>0</v>
      </c>
      <c r="BS68" s="110">
        <v>0</v>
      </c>
      <c r="BT68" s="110">
        <v>0</v>
      </c>
      <c r="BU68" s="110">
        <v>0</v>
      </c>
      <c r="BV68" s="110">
        <v>0</v>
      </c>
      <c r="BW68" s="110">
        <v>0</v>
      </c>
      <c r="BX68" s="110">
        <v>0</v>
      </c>
      <c r="BY68" s="110">
        <v>0</v>
      </c>
      <c r="BZ68" s="110">
        <v>0</v>
      </c>
      <c r="CA68" s="110">
        <v>0</v>
      </c>
      <c r="CB68" s="110">
        <v>0</v>
      </c>
      <c r="CC68" s="110">
        <v>0</v>
      </c>
      <c r="CD68" s="110">
        <v>0</v>
      </c>
      <c r="CE68" s="110">
        <v>0</v>
      </c>
      <c r="CF68" s="110">
        <v>0</v>
      </c>
      <c r="CG68" s="110">
        <v>0</v>
      </c>
      <c r="CH68" s="110">
        <v>0</v>
      </c>
      <c r="CI68" s="110">
        <v>0</v>
      </c>
      <c r="CJ68" s="110">
        <v>0</v>
      </c>
      <c r="CK68" s="110">
        <v>0</v>
      </c>
      <c r="CL68" s="110">
        <v>0</v>
      </c>
      <c r="CM68" s="110">
        <v>0</v>
      </c>
      <c r="CN68" s="110">
        <v>-25</v>
      </c>
      <c r="CO68" s="110">
        <v>-25</v>
      </c>
      <c r="CP68" s="110">
        <v>18212.12</v>
      </c>
      <c r="CQ68" s="110">
        <v>59555.08</v>
      </c>
      <c r="CR68" s="110">
        <v>203897</v>
      </c>
      <c r="CS68" s="110">
        <v>0</v>
      </c>
      <c r="CT68" s="110">
        <v>0</v>
      </c>
      <c r="CU68" s="110">
        <v>0</v>
      </c>
      <c r="CV68" s="111">
        <v>1374</v>
      </c>
      <c r="CW68" s="111">
        <v>1119</v>
      </c>
      <c r="CX68" s="111">
        <v>1065</v>
      </c>
      <c r="CY68" s="111">
        <v>54</v>
      </c>
      <c r="CZ68" s="111">
        <v>255</v>
      </c>
      <c r="DA68" s="111">
        <v>138</v>
      </c>
      <c r="DB68" s="111">
        <v>117</v>
      </c>
      <c r="DC68" s="111">
        <v>1113</v>
      </c>
      <c r="DD68" s="111">
        <v>0</v>
      </c>
      <c r="DE68" s="111">
        <v>920</v>
      </c>
      <c r="DF68" s="111">
        <v>877</v>
      </c>
      <c r="DG68" s="111">
        <v>43</v>
      </c>
      <c r="DH68" s="111">
        <v>193</v>
      </c>
      <c r="DI68" s="111">
        <v>111</v>
      </c>
      <c r="DJ68" s="111">
        <v>82</v>
      </c>
      <c r="DK68" s="111">
        <v>57</v>
      </c>
      <c r="DL68" s="111">
        <v>49</v>
      </c>
      <c r="DM68" s="111">
        <v>49</v>
      </c>
      <c r="DN68" s="111">
        <v>0</v>
      </c>
      <c r="DO68" s="111">
        <v>8</v>
      </c>
      <c r="DP68" s="111">
        <v>4</v>
      </c>
      <c r="DQ68" s="111">
        <v>4</v>
      </c>
      <c r="DR68" s="111">
        <v>204</v>
      </c>
      <c r="DS68" s="111">
        <v>0</v>
      </c>
      <c r="DT68" s="111">
        <v>150</v>
      </c>
      <c r="DU68" s="111">
        <v>139</v>
      </c>
      <c r="DV68" s="111">
        <v>11</v>
      </c>
      <c r="DW68" s="111">
        <v>54</v>
      </c>
      <c r="DX68" s="111">
        <v>23</v>
      </c>
      <c r="DY68" s="111">
        <v>31</v>
      </c>
      <c r="DZ68" s="111">
        <v>0</v>
      </c>
      <c r="EA68" s="111">
        <v>0</v>
      </c>
      <c r="EB68" s="111">
        <v>0</v>
      </c>
      <c r="EC68" s="111">
        <v>0</v>
      </c>
      <c r="ED68" s="111">
        <v>0</v>
      </c>
      <c r="EE68" s="111">
        <v>0</v>
      </c>
      <c r="EF68" s="111">
        <v>0</v>
      </c>
      <c r="EG68" s="111">
        <v>0</v>
      </c>
      <c r="EH68" s="111">
        <v>0</v>
      </c>
      <c r="EI68" s="111">
        <v>0</v>
      </c>
      <c r="EJ68" s="111">
        <v>0</v>
      </c>
      <c r="EK68" s="111">
        <v>0</v>
      </c>
      <c r="EL68" s="111">
        <v>0</v>
      </c>
      <c r="EM68" s="111">
        <v>0</v>
      </c>
      <c r="EN68" s="111">
        <v>79</v>
      </c>
      <c r="EO68" s="111">
        <v>3</v>
      </c>
      <c r="EP68" s="111">
        <v>0</v>
      </c>
      <c r="EQ68" s="111">
        <v>76</v>
      </c>
      <c r="ER68" s="111">
        <v>0</v>
      </c>
      <c r="ES68" s="111">
        <v>0</v>
      </c>
      <c r="ET68" s="111">
        <v>0</v>
      </c>
      <c r="EU68" s="111">
        <v>0</v>
      </c>
      <c r="EV68" s="111">
        <v>0</v>
      </c>
      <c r="EW68" s="111">
        <v>0</v>
      </c>
      <c r="EX68" s="111">
        <v>0</v>
      </c>
      <c r="EY68" s="111">
        <v>0</v>
      </c>
      <c r="EZ68" s="111">
        <v>0</v>
      </c>
      <c r="FA68" s="111">
        <v>0</v>
      </c>
      <c r="FB68" s="111">
        <v>0</v>
      </c>
    </row>
    <row r="69" spans="1:158" ht="19.5" customHeight="1">
      <c r="A69" s="107">
        <v>66</v>
      </c>
      <c r="B69" s="107"/>
      <c r="C69" s="107" t="s">
        <v>420</v>
      </c>
      <c r="D69" s="110">
        <v>0</v>
      </c>
      <c r="E69" s="110">
        <v>0</v>
      </c>
      <c r="F69" s="110">
        <v>0</v>
      </c>
      <c r="G69" s="110">
        <v>0</v>
      </c>
      <c r="H69" s="110">
        <v>0</v>
      </c>
      <c r="I69" s="110">
        <v>0</v>
      </c>
      <c r="J69" s="110">
        <v>0</v>
      </c>
      <c r="K69" s="110">
        <v>0</v>
      </c>
      <c r="L69" s="110">
        <v>0</v>
      </c>
      <c r="M69" s="110">
        <v>0</v>
      </c>
      <c r="N69" s="110">
        <v>0</v>
      </c>
      <c r="O69" s="110">
        <v>97.38</v>
      </c>
      <c r="P69" s="110">
        <v>65.680000000000007</v>
      </c>
      <c r="Q69" s="110">
        <v>13.68</v>
      </c>
      <c r="R69" s="110">
        <v>52</v>
      </c>
      <c r="S69" s="110">
        <v>31.7</v>
      </c>
      <c r="T69" s="110">
        <v>31.7</v>
      </c>
      <c r="U69" s="110">
        <v>0</v>
      </c>
      <c r="V69" s="110">
        <v>0</v>
      </c>
      <c r="W69" s="110">
        <v>0</v>
      </c>
      <c r="X69" s="110">
        <v>0</v>
      </c>
      <c r="Y69" s="110">
        <v>0</v>
      </c>
      <c r="Z69" s="110">
        <v>0</v>
      </c>
      <c r="AA69" s="110">
        <v>0</v>
      </c>
      <c r="AB69" s="110">
        <v>0</v>
      </c>
      <c r="AC69" s="110">
        <v>0</v>
      </c>
      <c r="AD69" s="110">
        <v>0</v>
      </c>
      <c r="AE69" s="110">
        <v>0</v>
      </c>
      <c r="AF69" s="110">
        <v>0</v>
      </c>
      <c r="AG69" s="110">
        <v>0</v>
      </c>
      <c r="AH69" s="110">
        <v>0</v>
      </c>
      <c r="AI69" s="110">
        <v>0</v>
      </c>
      <c r="AJ69" s="110">
        <v>0</v>
      </c>
      <c r="AK69" s="110">
        <v>0</v>
      </c>
      <c r="AL69" s="110">
        <v>0</v>
      </c>
      <c r="AM69" s="110">
        <v>0</v>
      </c>
      <c r="AN69" s="110">
        <v>0</v>
      </c>
      <c r="AO69" s="110">
        <v>0</v>
      </c>
      <c r="AP69" s="110">
        <v>0</v>
      </c>
      <c r="AQ69" s="110">
        <v>0</v>
      </c>
      <c r="AR69" s="110">
        <v>0</v>
      </c>
      <c r="AS69" s="110">
        <v>0</v>
      </c>
      <c r="AT69" s="110">
        <v>0</v>
      </c>
      <c r="AU69" s="110">
        <v>0</v>
      </c>
      <c r="AV69" s="110">
        <v>0</v>
      </c>
      <c r="AW69" s="110">
        <v>0</v>
      </c>
      <c r="AX69" s="110">
        <v>0</v>
      </c>
      <c r="AY69" s="110">
        <v>0</v>
      </c>
      <c r="AZ69" s="110">
        <v>0</v>
      </c>
      <c r="BA69" s="110">
        <v>0</v>
      </c>
      <c r="BB69" s="110">
        <v>0</v>
      </c>
      <c r="BC69" s="110">
        <v>0</v>
      </c>
      <c r="BD69" s="110">
        <v>0</v>
      </c>
      <c r="BE69" s="110">
        <v>97.38</v>
      </c>
      <c r="BF69" s="110">
        <v>65.680000000000007</v>
      </c>
      <c r="BG69" s="110">
        <v>13.68</v>
      </c>
      <c r="BH69" s="110">
        <v>52</v>
      </c>
      <c r="BI69" s="110">
        <v>31.7</v>
      </c>
      <c r="BJ69" s="110">
        <v>31.7</v>
      </c>
      <c r="BK69" s="110">
        <v>0</v>
      </c>
      <c r="BL69" s="110">
        <v>0</v>
      </c>
      <c r="BM69" s="110">
        <v>0</v>
      </c>
      <c r="BN69" s="110">
        <v>0</v>
      </c>
      <c r="BO69" s="110">
        <v>0</v>
      </c>
      <c r="BP69" s="110">
        <v>0</v>
      </c>
      <c r="BQ69" s="110">
        <v>0</v>
      </c>
      <c r="BR69" s="110">
        <v>0</v>
      </c>
      <c r="BS69" s="110">
        <v>97.38</v>
      </c>
      <c r="BT69" s="110">
        <v>65.680000000000007</v>
      </c>
      <c r="BU69" s="110">
        <v>13.68</v>
      </c>
      <c r="BV69" s="110">
        <v>52</v>
      </c>
      <c r="BW69" s="110">
        <v>31.7</v>
      </c>
      <c r="BX69" s="110">
        <v>31.7</v>
      </c>
      <c r="BY69" s="110">
        <v>0</v>
      </c>
      <c r="BZ69" s="110">
        <v>0</v>
      </c>
      <c r="CA69" s="110">
        <v>0</v>
      </c>
      <c r="CB69" s="110">
        <v>0</v>
      </c>
      <c r="CC69" s="110">
        <v>0</v>
      </c>
      <c r="CD69" s="110">
        <v>0</v>
      </c>
      <c r="CE69" s="110">
        <v>0</v>
      </c>
      <c r="CF69" s="110">
        <v>0</v>
      </c>
      <c r="CG69" s="110">
        <v>0</v>
      </c>
      <c r="CH69" s="110">
        <v>0</v>
      </c>
      <c r="CI69" s="110">
        <v>0</v>
      </c>
      <c r="CJ69" s="110">
        <v>0</v>
      </c>
      <c r="CK69" s="110">
        <v>0</v>
      </c>
      <c r="CL69" s="110">
        <v>0</v>
      </c>
      <c r="CM69" s="110">
        <v>0</v>
      </c>
      <c r="CN69" s="110">
        <v>0</v>
      </c>
      <c r="CO69" s="110">
        <v>0</v>
      </c>
      <c r="CP69" s="110">
        <v>0</v>
      </c>
      <c r="CQ69" s="110">
        <v>0</v>
      </c>
      <c r="CR69" s="110">
        <v>0</v>
      </c>
      <c r="CS69" s="110">
        <v>0</v>
      </c>
      <c r="CT69" s="110">
        <v>0</v>
      </c>
      <c r="CU69" s="110">
        <v>0</v>
      </c>
      <c r="CV69" s="111">
        <v>0</v>
      </c>
      <c r="CW69" s="111">
        <v>0</v>
      </c>
      <c r="CX69" s="111">
        <v>0</v>
      </c>
      <c r="CY69" s="111">
        <v>0</v>
      </c>
      <c r="CZ69" s="111">
        <v>0</v>
      </c>
      <c r="DA69" s="111">
        <v>0</v>
      </c>
      <c r="DB69" s="111">
        <v>0</v>
      </c>
      <c r="DC69" s="111">
        <v>0</v>
      </c>
      <c r="DD69" s="111">
        <v>0</v>
      </c>
      <c r="DE69" s="111">
        <v>0</v>
      </c>
      <c r="DF69" s="111">
        <v>0</v>
      </c>
      <c r="DG69" s="111">
        <v>0</v>
      </c>
      <c r="DH69" s="111">
        <v>0</v>
      </c>
      <c r="DI69" s="111">
        <v>0</v>
      </c>
      <c r="DJ69" s="111">
        <v>0</v>
      </c>
      <c r="DK69" s="111">
        <v>0</v>
      </c>
      <c r="DL69" s="111">
        <v>0</v>
      </c>
      <c r="DM69" s="111">
        <v>0</v>
      </c>
      <c r="DN69" s="111">
        <v>0</v>
      </c>
      <c r="DO69" s="111">
        <v>0</v>
      </c>
      <c r="DP69" s="111">
        <v>0</v>
      </c>
      <c r="DQ69" s="111">
        <v>0</v>
      </c>
      <c r="DR69" s="111">
        <v>0</v>
      </c>
      <c r="DS69" s="111">
        <v>0</v>
      </c>
      <c r="DT69" s="111">
        <v>0</v>
      </c>
      <c r="DU69" s="111">
        <v>0</v>
      </c>
      <c r="DV69" s="111">
        <v>0</v>
      </c>
      <c r="DW69" s="111">
        <v>0</v>
      </c>
      <c r="DX69" s="111">
        <v>0</v>
      </c>
      <c r="DY69" s="111">
        <v>0</v>
      </c>
      <c r="DZ69" s="111">
        <v>0</v>
      </c>
      <c r="EA69" s="111">
        <v>0</v>
      </c>
      <c r="EB69" s="111">
        <v>0</v>
      </c>
      <c r="EC69" s="111">
        <v>0</v>
      </c>
      <c r="ED69" s="111">
        <v>0</v>
      </c>
      <c r="EE69" s="111">
        <v>0</v>
      </c>
      <c r="EF69" s="111">
        <v>0</v>
      </c>
      <c r="EG69" s="111">
        <v>0</v>
      </c>
      <c r="EH69" s="111">
        <v>0</v>
      </c>
      <c r="EI69" s="111">
        <v>0</v>
      </c>
      <c r="EJ69" s="111">
        <v>0</v>
      </c>
      <c r="EK69" s="111">
        <v>0</v>
      </c>
      <c r="EL69" s="111">
        <v>0</v>
      </c>
      <c r="EM69" s="111">
        <v>0</v>
      </c>
      <c r="EN69" s="111">
        <v>0</v>
      </c>
      <c r="EO69" s="111">
        <v>0</v>
      </c>
      <c r="EP69" s="111">
        <v>0</v>
      </c>
      <c r="EQ69" s="111">
        <v>0</v>
      </c>
      <c r="ER69" s="111">
        <v>0</v>
      </c>
      <c r="ES69" s="111">
        <v>0</v>
      </c>
      <c r="ET69" s="111">
        <v>0</v>
      </c>
      <c r="EU69" s="111">
        <v>0</v>
      </c>
      <c r="EV69" s="111">
        <v>0</v>
      </c>
      <c r="EW69" s="111">
        <v>0</v>
      </c>
      <c r="EX69" s="111">
        <v>0</v>
      </c>
      <c r="EY69" s="111">
        <v>0</v>
      </c>
      <c r="EZ69" s="111">
        <v>0</v>
      </c>
      <c r="FA69" s="111">
        <v>0</v>
      </c>
      <c r="FB69" s="111">
        <v>0</v>
      </c>
    </row>
  </sheetData>
  <mergeCells count="2">
    <mergeCell ref="A1:C1"/>
    <mergeCell ref="A3:C3"/>
  </mergeCells>
  <phoneticPr fontId="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7999-C977-4B22-827C-3652A3E81973}">
  <dimension ref="A1:FB69"/>
  <sheetViews>
    <sheetView workbookViewId="0">
      <selection activeCell="C6" sqref="C6"/>
    </sheetView>
  </sheetViews>
  <sheetFormatPr defaultColWidth="10" defaultRowHeight="14.25"/>
  <cols>
    <col min="1" max="1" width="7.75" customWidth="1"/>
    <col min="2" max="2" width="12.875" customWidth="1"/>
    <col min="3" max="3" width="18" customWidth="1"/>
    <col min="4" max="99" width="15.375" customWidth="1"/>
    <col min="100" max="100" width="16.125" customWidth="1"/>
    <col min="101" max="158" width="15.375" customWidth="1"/>
    <col min="159" max="161" width="9.75" customWidth="1"/>
  </cols>
  <sheetData>
    <row r="1" spans="1:158" ht="43.9" customHeight="1">
      <c r="A1" s="211" t="s">
        <v>585</v>
      </c>
      <c r="B1" s="211"/>
      <c r="C1" s="211"/>
      <c r="D1" s="144">
        <v>25</v>
      </c>
      <c r="E1" s="144"/>
      <c r="F1" s="105"/>
      <c r="G1" s="106"/>
      <c r="H1" s="106"/>
      <c r="I1" s="106"/>
      <c r="J1" s="106"/>
      <c r="K1" s="106"/>
      <c r="L1" s="106"/>
      <c r="M1" s="106"/>
      <c r="N1" s="106"/>
      <c r="O1" s="106" t="s">
        <v>232</v>
      </c>
      <c r="P1" s="106" t="s">
        <v>233</v>
      </c>
      <c r="Q1" s="106">
        <v>3</v>
      </c>
      <c r="R1" s="106">
        <v>4</v>
      </c>
      <c r="S1" s="106" t="s">
        <v>234</v>
      </c>
      <c r="T1" s="106">
        <v>6</v>
      </c>
      <c r="U1" s="106">
        <v>7</v>
      </c>
      <c r="V1" s="106" t="s">
        <v>235</v>
      </c>
      <c r="W1" s="106" t="s">
        <v>236</v>
      </c>
      <c r="X1" s="106">
        <v>10</v>
      </c>
      <c r="Y1" s="106">
        <v>11</v>
      </c>
      <c r="Z1" s="106" t="s">
        <v>237</v>
      </c>
      <c r="AA1" s="106">
        <v>13</v>
      </c>
      <c r="AB1" s="106">
        <v>14</v>
      </c>
      <c r="AC1" s="106" t="s">
        <v>238</v>
      </c>
      <c r="AD1" s="106" t="s">
        <v>239</v>
      </c>
      <c r="AE1" s="106">
        <v>17</v>
      </c>
      <c r="AF1" s="106">
        <v>18</v>
      </c>
      <c r="AG1" s="106" t="s">
        <v>240</v>
      </c>
      <c r="AH1" s="106">
        <v>20</v>
      </c>
      <c r="AI1" s="106">
        <v>21</v>
      </c>
      <c r="AJ1" s="106" t="s">
        <v>241</v>
      </c>
      <c r="AK1" s="106" t="s">
        <v>242</v>
      </c>
      <c r="AL1" s="106">
        <v>24</v>
      </c>
      <c r="AM1" s="106">
        <v>25</v>
      </c>
      <c r="AN1" s="106" t="s">
        <v>243</v>
      </c>
      <c r="AO1" s="106">
        <v>27</v>
      </c>
      <c r="AP1" s="106">
        <v>28</v>
      </c>
      <c r="AQ1" s="106" t="s">
        <v>244</v>
      </c>
      <c r="AR1" s="106" t="s">
        <v>245</v>
      </c>
      <c r="AS1" s="106">
        <v>31</v>
      </c>
      <c r="AT1" s="106">
        <v>32</v>
      </c>
      <c r="AU1" s="106" t="s">
        <v>246</v>
      </c>
      <c r="AV1" s="106">
        <v>34</v>
      </c>
      <c r="AW1" s="106">
        <v>35</v>
      </c>
      <c r="AX1" s="106" t="s">
        <v>247</v>
      </c>
      <c r="AY1" s="106" t="s">
        <v>248</v>
      </c>
      <c r="AZ1" s="106">
        <v>38</v>
      </c>
      <c r="BA1" s="106">
        <v>39</v>
      </c>
      <c r="BB1" s="106" t="s">
        <v>249</v>
      </c>
      <c r="BC1" s="106">
        <v>41</v>
      </c>
      <c r="BD1" s="106">
        <v>42</v>
      </c>
      <c r="BE1" s="106" t="s">
        <v>250</v>
      </c>
      <c r="BF1" s="106" t="s">
        <v>251</v>
      </c>
      <c r="BG1" s="106">
        <v>45</v>
      </c>
      <c r="BH1" s="106">
        <v>46</v>
      </c>
      <c r="BI1" s="106" t="s">
        <v>252</v>
      </c>
      <c r="BJ1" s="106">
        <v>48</v>
      </c>
      <c r="BK1" s="106">
        <v>49</v>
      </c>
      <c r="BL1" s="106" t="s">
        <v>253</v>
      </c>
      <c r="BM1" s="106" t="s">
        <v>254</v>
      </c>
      <c r="BN1" s="106">
        <v>52</v>
      </c>
      <c r="BO1" s="106">
        <v>53</v>
      </c>
      <c r="BP1" s="106" t="s">
        <v>255</v>
      </c>
      <c r="BQ1" s="106">
        <v>55</v>
      </c>
      <c r="BR1" s="106">
        <v>56</v>
      </c>
      <c r="BS1" s="106" t="s">
        <v>256</v>
      </c>
      <c r="BT1" s="106" t="s">
        <v>257</v>
      </c>
      <c r="BU1" s="106">
        <v>59</v>
      </c>
      <c r="BV1" s="106">
        <v>60</v>
      </c>
      <c r="BW1" s="106" t="s">
        <v>258</v>
      </c>
      <c r="BX1" s="106">
        <v>62</v>
      </c>
      <c r="BY1" s="106">
        <v>63</v>
      </c>
      <c r="BZ1" s="106" t="s">
        <v>259</v>
      </c>
      <c r="CA1" s="106" t="s">
        <v>260</v>
      </c>
      <c r="CB1" s="106">
        <v>66</v>
      </c>
      <c r="CC1" s="106">
        <v>67</v>
      </c>
      <c r="CD1" s="106" t="s">
        <v>261</v>
      </c>
      <c r="CE1" s="106">
        <v>69</v>
      </c>
      <c r="CF1" s="106">
        <v>70</v>
      </c>
      <c r="CG1" s="106" t="s">
        <v>262</v>
      </c>
      <c r="CH1" s="106" t="s">
        <v>263</v>
      </c>
      <c r="CI1" s="106">
        <v>73</v>
      </c>
      <c r="CJ1" s="106">
        <v>74</v>
      </c>
      <c r="CK1" s="106" t="s">
        <v>264</v>
      </c>
      <c r="CL1" s="106">
        <v>76</v>
      </c>
      <c r="CM1" s="106">
        <v>77</v>
      </c>
      <c r="CN1" s="106"/>
      <c r="CO1" s="106"/>
      <c r="CP1" s="112"/>
      <c r="CQ1" s="112"/>
      <c r="CR1" s="106"/>
      <c r="CS1" s="106"/>
      <c r="CT1" s="106"/>
      <c r="CU1" s="106"/>
      <c r="CV1" s="106" t="s">
        <v>265</v>
      </c>
      <c r="CW1" s="106" t="s">
        <v>266</v>
      </c>
      <c r="CX1" s="106">
        <v>80</v>
      </c>
      <c r="CY1" s="106">
        <v>81</v>
      </c>
      <c r="CZ1" s="106" t="s">
        <v>267</v>
      </c>
      <c r="DA1" s="106">
        <v>83</v>
      </c>
      <c r="DB1" s="106">
        <v>84</v>
      </c>
      <c r="DC1" s="106" t="s">
        <v>268</v>
      </c>
      <c r="DD1" s="106">
        <v>86</v>
      </c>
      <c r="DE1" s="106" t="s">
        <v>269</v>
      </c>
      <c r="DF1" s="106">
        <v>88</v>
      </c>
      <c r="DG1" s="106">
        <v>89</v>
      </c>
      <c r="DH1" s="106" t="s">
        <v>270</v>
      </c>
      <c r="DI1" s="106">
        <v>91</v>
      </c>
      <c r="DJ1" s="106">
        <v>92</v>
      </c>
      <c r="DK1" s="106" t="s">
        <v>271</v>
      </c>
      <c r="DL1" s="106" t="s">
        <v>272</v>
      </c>
      <c r="DM1" s="106">
        <v>95</v>
      </c>
      <c r="DN1" s="106">
        <v>96</v>
      </c>
      <c r="DO1" s="106" t="s">
        <v>273</v>
      </c>
      <c r="DP1" s="106">
        <v>98</v>
      </c>
      <c r="DQ1" s="106">
        <v>99</v>
      </c>
      <c r="DR1" s="106" t="s">
        <v>274</v>
      </c>
      <c r="DS1" s="106">
        <v>101</v>
      </c>
      <c r="DT1" s="106" t="s">
        <v>275</v>
      </c>
      <c r="DU1" s="106">
        <v>103</v>
      </c>
      <c r="DV1" s="106">
        <v>104</v>
      </c>
      <c r="DW1" s="106" t="s">
        <v>276</v>
      </c>
      <c r="DX1" s="106">
        <v>106</v>
      </c>
      <c r="DY1" s="106">
        <v>107</v>
      </c>
      <c r="DZ1" s="106" t="s">
        <v>277</v>
      </c>
      <c r="EA1" s="106" t="s">
        <v>278</v>
      </c>
      <c r="EB1" s="106">
        <v>110</v>
      </c>
      <c r="EC1" s="106">
        <v>111</v>
      </c>
      <c r="ED1" s="106" t="s">
        <v>279</v>
      </c>
      <c r="EE1" s="106">
        <v>113</v>
      </c>
      <c r="EF1" s="106">
        <v>114</v>
      </c>
      <c r="EG1" s="106" t="s">
        <v>280</v>
      </c>
      <c r="EH1" s="106" t="s">
        <v>281</v>
      </c>
      <c r="EI1" s="106">
        <v>117</v>
      </c>
      <c r="EJ1" s="106">
        <v>118</v>
      </c>
      <c r="EK1" s="106" t="s">
        <v>282</v>
      </c>
      <c r="EL1" s="106">
        <v>120</v>
      </c>
      <c r="EM1" s="106">
        <v>121</v>
      </c>
      <c r="EN1" s="106" t="s">
        <v>283</v>
      </c>
      <c r="EO1" s="106">
        <v>123</v>
      </c>
      <c r="EP1" s="106">
        <v>124</v>
      </c>
      <c r="EQ1" s="106">
        <v>125</v>
      </c>
      <c r="ER1" s="106"/>
      <c r="ES1" s="106"/>
      <c r="ET1" s="106"/>
      <c r="EU1" s="106" t="s">
        <v>284</v>
      </c>
      <c r="EV1" s="106">
        <v>127</v>
      </c>
      <c r="EW1" s="106">
        <v>128</v>
      </c>
      <c r="EX1" s="106">
        <v>129</v>
      </c>
      <c r="EY1" s="106" t="s">
        <v>285</v>
      </c>
      <c r="EZ1" s="106">
        <v>131</v>
      </c>
      <c r="FA1" s="106">
        <v>132</v>
      </c>
      <c r="FB1" s="106">
        <v>133</v>
      </c>
    </row>
    <row r="2" spans="1:158" ht="29.25" customHeight="1">
      <c r="A2" s="107" t="s">
        <v>286</v>
      </c>
      <c r="B2" s="107" t="s">
        <v>287</v>
      </c>
      <c r="C2" s="107" t="s">
        <v>288</v>
      </c>
      <c r="D2" s="107" t="s">
        <v>289</v>
      </c>
      <c r="E2" s="107" t="s">
        <v>290</v>
      </c>
      <c r="F2" s="107" t="s">
        <v>291</v>
      </c>
      <c r="G2" s="107" t="s">
        <v>144</v>
      </c>
      <c r="H2" s="107" t="s">
        <v>145</v>
      </c>
      <c r="I2" s="108" t="s">
        <v>292</v>
      </c>
      <c r="J2" s="108" t="s">
        <v>293</v>
      </c>
      <c r="K2" s="108" t="s">
        <v>294</v>
      </c>
      <c r="L2" s="108" t="s">
        <v>295</v>
      </c>
      <c r="M2" s="108" t="s">
        <v>296</v>
      </c>
      <c r="N2" s="108" t="s">
        <v>297</v>
      </c>
      <c r="O2" s="108" t="s">
        <v>194</v>
      </c>
      <c r="P2" s="107" t="s">
        <v>298</v>
      </c>
      <c r="Q2" s="107" t="s">
        <v>299</v>
      </c>
      <c r="R2" s="107" t="s">
        <v>300</v>
      </c>
      <c r="S2" s="107" t="s">
        <v>301</v>
      </c>
      <c r="T2" s="107" t="s">
        <v>302</v>
      </c>
      <c r="U2" s="107" t="s">
        <v>303</v>
      </c>
      <c r="V2" s="108" t="s">
        <v>304</v>
      </c>
      <c r="W2" s="107" t="s">
        <v>298</v>
      </c>
      <c r="X2" s="107" t="s">
        <v>299</v>
      </c>
      <c r="Y2" s="107" t="s">
        <v>300</v>
      </c>
      <c r="Z2" s="107" t="s">
        <v>301</v>
      </c>
      <c r="AA2" s="107" t="s">
        <v>302</v>
      </c>
      <c r="AB2" s="107" t="s">
        <v>303</v>
      </c>
      <c r="AC2" s="108" t="s">
        <v>305</v>
      </c>
      <c r="AD2" s="107" t="s">
        <v>298</v>
      </c>
      <c r="AE2" s="107" t="s">
        <v>299</v>
      </c>
      <c r="AF2" s="107" t="s">
        <v>300</v>
      </c>
      <c r="AG2" s="107" t="s">
        <v>301</v>
      </c>
      <c r="AH2" s="107" t="s">
        <v>302</v>
      </c>
      <c r="AI2" s="107" t="s">
        <v>303</v>
      </c>
      <c r="AJ2" s="108" t="s">
        <v>306</v>
      </c>
      <c r="AK2" s="107" t="s">
        <v>298</v>
      </c>
      <c r="AL2" s="107" t="s">
        <v>299</v>
      </c>
      <c r="AM2" s="107" t="s">
        <v>300</v>
      </c>
      <c r="AN2" s="107" t="s">
        <v>301</v>
      </c>
      <c r="AO2" s="107" t="s">
        <v>302</v>
      </c>
      <c r="AP2" s="107" t="s">
        <v>303</v>
      </c>
      <c r="AQ2" s="108" t="s">
        <v>307</v>
      </c>
      <c r="AR2" s="107" t="s">
        <v>298</v>
      </c>
      <c r="AS2" s="107" t="s">
        <v>299</v>
      </c>
      <c r="AT2" s="107" t="s">
        <v>300</v>
      </c>
      <c r="AU2" s="107" t="s">
        <v>301</v>
      </c>
      <c r="AV2" s="107" t="s">
        <v>302</v>
      </c>
      <c r="AW2" s="107" t="s">
        <v>303</v>
      </c>
      <c r="AX2" s="108" t="s">
        <v>308</v>
      </c>
      <c r="AY2" s="107" t="s">
        <v>298</v>
      </c>
      <c r="AZ2" s="107" t="s">
        <v>299</v>
      </c>
      <c r="BA2" s="107" t="s">
        <v>300</v>
      </c>
      <c r="BB2" s="107" t="s">
        <v>301</v>
      </c>
      <c r="BC2" s="107" t="s">
        <v>302</v>
      </c>
      <c r="BD2" s="107" t="s">
        <v>303</v>
      </c>
      <c r="BE2" s="108" t="s">
        <v>309</v>
      </c>
      <c r="BF2" s="107" t="s">
        <v>298</v>
      </c>
      <c r="BG2" s="107" t="s">
        <v>299</v>
      </c>
      <c r="BH2" s="107" t="s">
        <v>300</v>
      </c>
      <c r="BI2" s="107" t="s">
        <v>301</v>
      </c>
      <c r="BJ2" s="107" t="s">
        <v>302</v>
      </c>
      <c r="BK2" s="107" t="s">
        <v>303</v>
      </c>
      <c r="BL2" s="108" t="s">
        <v>310</v>
      </c>
      <c r="BM2" s="107" t="s">
        <v>298</v>
      </c>
      <c r="BN2" s="107" t="s">
        <v>299</v>
      </c>
      <c r="BO2" s="107" t="s">
        <v>300</v>
      </c>
      <c r="BP2" s="107" t="s">
        <v>301</v>
      </c>
      <c r="BQ2" s="107" t="s">
        <v>302</v>
      </c>
      <c r="BR2" s="107" t="s">
        <v>303</v>
      </c>
      <c r="BS2" s="108" t="s">
        <v>311</v>
      </c>
      <c r="BT2" s="107" t="s">
        <v>298</v>
      </c>
      <c r="BU2" s="107" t="s">
        <v>299</v>
      </c>
      <c r="BV2" s="107" t="s">
        <v>300</v>
      </c>
      <c r="BW2" s="107" t="s">
        <v>301</v>
      </c>
      <c r="BX2" s="107" t="s">
        <v>302</v>
      </c>
      <c r="BY2" s="107" t="s">
        <v>303</v>
      </c>
      <c r="BZ2" s="108" t="s">
        <v>312</v>
      </c>
      <c r="CA2" s="107" t="s">
        <v>298</v>
      </c>
      <c r="CB2" s="107" t="s">
        <v>299</v>
      </c>
      <c r="CC2" s="107" t="s">
        <v>300</v>
      </c>
      <c r="CD2" s="107" t="s">
        <v>301</v>
      </c>
      <c r="CE2" s="107" t="s">
        <v>302</v>
      </c>
      <c r="CF2" s="107" t="s">
        <v>303</v>
      </c>
      <c r="CG2" s="108" t="s">
        <v>313</v>
      </c>
      <c r="CH2" s="107" t="s">
        <v>298</v>
      </c>
      <c r="CI2" s="107" t="s">
        <v>299</v>
      </c>
      <c r="CJ2" s="107" t="s">
        <v>300</v>
      </c>
      <c r="CK2" s="107" t="s">
        <v>301</v>
      </c>
      <c r="CL2" s="107" t="s">
        <v>302</v>
      </c>
      <c r="CM2" s="107" t="s">
        <v>303</v>
      </c>
      <c r="CN2" s="108" t="s">
        <v>314</v>
      </c>
      <c r="CO2" s="108" t="s">
        <v>315</v>
      </c>
      <c r="CP2" s="108" t="s">
        <v>316</v>
      </c>
      <c r="CQ2" s="108" t="s">
        <v>317</v>
      </c>
      <c r="CR2" s="108" t="s">
        <v>318</v>
      </c>
      <c r="CS2" s="108" t="s">
        <v>319</v>
      </c>
      <c r="CT2" s="108" t="s">
        <v>320</v>
      </c>
      <c r="CU2" s="108" t="s">
        <v>321</v>
      </c>
      <c r="CV2" s="108" t="s">
        <v>144</v>
      </c>
      <c r="CW2" s="107" t="s">
        <v>322</v>
      </c>
      <c r="CX2" s="107" t="s">
        <v>323</v>
      </c>
      <c r="CY2" s="107" t="s">
        <v>324</v>
      </c>
      <c r="CZ2" s="107" t="s">
        <v>325</v>
      </c>
      <c r="DA2" s="107" t="s">
        <v>326</v>
      </c>
      <c r="DB2" s="107" t="s">
        <v>327</v>
      </c>
      <c r="DC2" s="108" t="s">
        <v>328</v>
      </c>
      <c r="DD2" s="108" t="s">
        <v>329</v>
      </c>
      <c r="DE2" s="107" t="s">
        <v>322</v>
      </c>
      <c r="DF2" s="107" t="s">
        <v>323</v>
      </c>
      <c r="DG2" s="107" t="s">
        <v>324</v>
      </c>
      <c r="DH2" s="107" t="s">
        <v>325</v>
      </c>
      <c r="DI2" s="107" t="s">
        <v>326</v>
      </c>
      <c r="DJ2" s="107" t="s">
        <v>327</v>
      </c>
      <c r="DK2" s="108" t="s">
        <v>330</v>
      </c>
      <c r="DL2" s="107" t="s">
        <v>322</v>
      </c>
      <c r="DM2" s="107" t="s">
        <v>323</v>
      </c>
      <c r="DN2" s="107" t="s">
        <v>324</v>
      </c>
      <c r="DO2" s="107" t="s">
        <v>325</v>
      </c>
      <c r="DP2" s="107" t="s">
        <v>326</v>
      </c>
      <c r="DQ2" s="107" t="s">
        <v>327</v>
      </c>
      <c r="DR2" s="108" t="s">
        <v>331</v>
      </c>
      <c r="DS2" s="108" t="s">
        <v>332</v>
      </c>
      <c r="DT2" s="107" t="s">
        <v>322</v>
      </c>
      <c r="DU2" s="107" t="s">
        <v>323</v>
      </c>
      <c r="DV2" s="107" t="s">
        <v>324</v>
      </c>
      <c r="DW2" s="107" t="s">
        <v>325</v>
      </c>
      <c r="DX2" s="107" t="s">
        <v>326</v>
      </c>
      <c r="DY2" s="107" t="s">
        <v>327</v>
      </c>
      <c r="DZ2" s="108" t="s">
        <v>333</v>
      </c>
      <c r="EA2" s="107" t="s">
        <v>322</v>
      </c>
      <c r="EB2" s="107" t="s">
        <v>323</v>
      </c>
      <c r="EC2" s="107" t="s">
        <v>324</v>
      </c>
      <c r="ED2" s="107" t="s">
        <v>325</v>
      </c>
      <c r="EE2" s="107" t="s">
        <v>326</v>
      </c>
      <c r="EF2" s="107" t="s">
        <v>327</v>
      </c>
      <c r="EG2" s="108" t="s">
        <v>145</v>
      </c>
      <c r="EH2" s="107" t="s">
        <v>322</v>
      </c>
      <c r="EI2" s="107" t="s">
        <v>323</v>
      </c>
      <c r="EJ2" s="107" t="s">
        <v>324</v>
      </c>
      <c r="EK2" s="107" t="s">
        <v>325</v>
      </c>
      <c r="EL2" s="107" t="s">
        <v>326</v>
      </c>
      <c r="EM2" s="107" t="s">
        <v>327</v>
      </c>
      <c r="EN2" s="108" t="s">
        <v>334</v>
      </c>
      <c r="EO2" s="108" t="s">
        <v>335</v>
      </c>
      <c r="EP2" s="108" t="s">
        <v>336</v>
      </c>
      <c r="EQ2" s="108" t="s">
        <v>337</v>
      </c>
      <c r="ER2" s="108" t="s">
        <v>338</v>
      </c>
      <c r="ES2" s="108" t="s">
        <v>339</v>
      </c>
      <c r="ET2" s="108" t="s">
        <v>340</v>
      </c>
      <c r="EU2" s="108" t="s">
        <v>341</v>
      </c>
      <c r="EV2" s="108" t="s">
        <v>342</v>
      </c>
      <c r="EW2" s="108" t="s">
        <v>343</v>
      </c>
      <c r="EX2" s="108" t="s">
        <v>344</v>
      </c>
      <c r="EY2" s="108" t="s">
        <v>345</v>
      </c>
      <c r="EZ2" s="108" t="s">
        <v>346</v>
      </c>
      <c r="FA2" s="108" t="s">
        <v>347</v>
      </c>
      <c r="FB2" s="109" t="s">
        <v>348</v>
      </c>
    </row>
    <row r="3" spans="1:158" ht="19.5" customHeight="1">
      <c r="A3" s="212" t="s">
        <v>349</v>
      </c>
      <c r="B3" s="212"/>
      <c r="C3" s="212"/>
      <c r="D3" s="110">
        <v>1119373547.3900001</v>
      </c>
      <c r="E3" s="110">
        <v>502445667.58999997</v>
      </c>
      <c r="F3" s="110">
        <v>616927879.79999995</v>
      </c>
      <c r="G3" s="110">
        <v>1653273</v>
      </c>
      <c r="H3" s="110">
        <v>57468</v>
      </c>
      <c r="I3" s="110">
        <v>90328914.739999995</v>
      </c>
      <c r="J3" s="110">
        <v>19368114.91</v>
      </c>
      <c r="K3" s="110">
        <v>9827744.6400000006</v>
      </c>
      <c r="L3" s="110">
        <v>57011726.009999998</v>
      </c>
      <c r="M3" s="110">
        <v>140499406.5</v>
      </c>
      <c r="N3" s="110">
        <v>171011.05</v>
      </c>
      <c r="O3" s="110">
        <v>2411214911.23</v>
      </c>
      <c r="P3" s="110">
        <v>1630133215.5899999</v>
      </c>
      <c r="Q3" s="110">
        <v>1504277191.8699999</v>
      </c>
      <c r="R3" s="110">
        <v>125856023.72</v>
      </c>
      <c r="S3" s="110">
        <v>781081695.63999999</v>
      </c>
      <c r="T3" s="110">
        <v>647724312.84000003</v>
      </c>
      <c r="U3" s="110">
        <v>133357382.8</v>
      </c>
      <c r="V3" s="110">
        <v>896637125.80999994</v>
      </c>
      <c r="W3" s="110">
        <v>737857169.87</v>
      </c>
      <c r="X3" s="110">
        <v>674218462.09000003</v>
      </c>
      <c r="Y3" s="110">
        <v>63638707.780000001</v>
      </c>
      <c r="Z3" s="110">
        <v>158779955.94</v>
      </c>
      <c r="AA3" s="110">
        <v>81119276.170000002</v>
      </c>
      <c r="AB3" s="110">
        <v>77660679.769999996</v>
      </c>
      <c r="AC3" s="110">
        <v>361900044.31</v>
      </c>
      <c r="AD3" s="110">
        <v>317841724.25999999</v>
      </c>
      <c r="AE3" s="110">
        <v>306203268.00999999</v>
      </c>
      <c r="AF3" s="110">
        <v>11638456.25</v>
      </c>
      <c r="AG3" s="110">
        <v>44058320.049999997</v>
      </c>
      <c r="AH3" s="110">
        <v>31526706.129999999</v>
      </c>
      <c r="AI3" s="110">
        <v>12531613.92</v>
      </c>
      <c r="AJ3" s="110">
        <v>32291413.91</v>
      </c>
      <c r="AK3" s="110">
        <v>28349745.760000002</v>
      </c>
      <c r="AL3" s="110">
        <v>24925637.02</v>
      </c>
      <c r="AM3" s="110">
        <v>3424108.74</v>
      </c>
      <c r="AN3" s="110">
        <v>3941668.15</v>
      </c>
      <c r="AO3" s="110">
        <v>2324290.64</v>
      </c>
      <c r="AP3" s="110">
        <v>1617377.51</v>
      </c>
      <c r="AQ3" s="110">
        <v>283065239.42000002</v>
      </c>
      <c r="AR3" s="110">
        <v>231240058.91999999</v>
      </c>
      <c r="AS3" s="110">
        <v>210136014.91999999</v>
      </c>
      <c r="AT3" s="110">
        <v>21104044</v>
      </c>
      <c r="AU3" s="110">
        <v>51825180.5</v>
      </c>
      <c r="AV3" s="110">
        <v>25839242.5</v>
      </c>
      <c r="AW3" s="110">
        <v>25985938</v>
      </c>
      <c r="AX3" s="110">
        <v>219380428.16999999</v>
      </c>
      <c r="AY3" s="110">
        <v>160425640.93000001</v>
      </c>
      <c r="AZ3" s="110">
        <v>132953542.14</v>
      </c>
      <c r="BA3" s="110">
        <v>27472098.789999999</v>
      </c>
      <c r="BB3" s="110">
        <v>58954787.240000002</v>
      </c>
      <c r="BC3" s="110">
        <v>21429036.899999999</v>
      </c>
      <c r="BD3" s="110">
        <v>37525750.340000004</v>
      </c>
      <c r="BE3" s="110">
        <v>1514577785.4200001</v>
      </c>
      <c r="BF3" s="110">
        <v>892276045.72000003</v>
      </c>
      <c r="BG3" s="110">
        <v>830058729.77999997</v>
      </c>
      <c r="BH3" s="110">
        <v>62217315.939999998</v>
      </c>
      <c r="BI3" s="110">
        <v>622301739.70000005</v>
      </c>
      <c r="BJ3" s="110">
        <v>566605036.66999996</v>
      </c>
      <c r="BK3" s="110">
        <v>55696703.030000001</v>
      </c>
      <c r="BL3" s="110">
        <v>246321047.88</v>
      </c>
      <c r="BM3" s="110">
        <v>134837296.19</v>
      </c>
      <c r="BN3" s="110">
        <v>129011447.95</v>
      </c>
      <c r="BO3" s="110">
        <v>5825848.2400000002</v>
      </c>
      <c r="BP3" s="110">
        <v>111483751.69</v>
      </c>
      <c r="BQ3" s="110">
        <v>103971184.28</v>
      </c>
      <c r="BR3" s="110">
        <v>7512567.4100000001</v>
      </c>
      <c r="BS3" s="110">
        <v>651328857.74000001</v>
      </c>
      <c r="BT3" s="110">
        <v>398417816.19999999</v>
      </c>
      <c r="BU3" s="110">
        <v>376164463.68000001</v>
      </c>
      <c r="BV3" s="110">
        <v>22253352.52</v>
      </c>
      <c r="BW3" s="110">
        <v>252911041.53999999</v>
      </c>
      <c r="BX3" s="110">
        <v>236468431.63</v>
      </c>
      <c r="BY3" s="110">
        <v>16442609.91</v>
      </c>
      <c r="BZ3" s="110">
        <v>257584192.5</v>
      </c>
      <c r="CA3" s="110">
        <v>157318853.30000001</v>
      </c>
      <c r="CB3" s="110">
        <v>147880187.80000001</v>
      </c>
      <c r="CC3" s="110">
        <v>9438665.5</v>
      </c>
      <c r="CD3" s="110">
        <v>100265339.2</v>
      </c>
      <c r="CE3" s="110">
        <v>92501185.25</v>
      </c>
      <c r="CF3" s="110">
        <v>7764153.9500000002</v>
      </c>
      <c r="CG3" s="110">
        <v>359343687.30000001</v>
      </c>
      <c r="CH3" s="110">
        <v>201702080.03</v>
      </c>
      <c r="CI3" s="110">
        <v>177002630.34999999</v>
      </c>
      <c r="CJ3" s="110">
        <v>24699449.68</v>
      </c>
      <c r="CK3" s="110">
        <v>157641607.27000001</v>
      </c>
      <c r="CL3" s="110">
        <v>133664235.51000001</v>
      </c>
      <c r="CM3" s="110">
        <v>23977371.760000002</v>
      </c>
      <c r="CN3" s="110">
        <v>115746400.90000001</v>
      </c>
      <c r="CO3" s="110">
        <v>321565603.38999999</v>
      </c>
      <c r="CP3" s="110">
        <v>225390804.19999999</v>
      </c>
      <c r="CQ3" s="110">
        <v>120709771.31999999</v>
      </c>
      <c r="CR3" s="110">
        <v>112116704.14</v>
      </c>
      <c r="CS3" s="110">
        <v>1104290.8600000001</v>
      </c>
      <c r="CT3" s="110">
        <v>38484382.68</v>
      </c>
      <c r="CU3" s="110">
        <v>0</v>
      </c>
      <c r="CV3" s="111">
        <v>1653273</v>
      </c>
      <c r="CW3" s="111">
        <v>1408768</v>
      </c>
      <c r="CX3" s="111">
        <v>1283947</v>
      </c>
      <c r="CY3" s="111">
        <v>124821</v>
      </c>
      <c r="CZ3" s="111">
        <v>244505</v>
      </c>
      <c r="DA3" s="111">
        <v>124607</v>
      </c>
      <c r="DB3" s="111">
        <v>119898</v>
      </c>
      <c r="DC3" s="111">
        <v>907710</v>
      </c>
      <c r="DD3" s="111">
        <v>20270</v>
      </c>
      <c r="DE3" s="111">
        <v>799358</v>
      </c>
      <c r="DF3" s="111">
        <v>740921</v>
      </c>
      <c r="DG3" s="111">
        <v>58437</v>
      </c>
      <c r="DH3" s="111">
        <v>108352</v>
      </c>
      <c r="DI3" s="111">
        <v>60139</v>
      </c>
      <c r="DJ3" s="111">
        <v>48213</v>
      </c>
      <c r="DK3" s="111">
        <v>373919</v>
      </c>
      <c r="DL3" s="111">
        <v>304155</v>
      </c>
      <c r="DM3" s="111">
        <v>278694</v>
      </c>
      <c r="DN3" s="111">
        <v>25461</v>
      </c>
      <c r="DO3" s="111">
        <v>69764</v>
      </c>
      <c r="DP3" s="111">
        <v>37959</v>
      </c>
      <c r="DQ3" s="111">
        <v>31805</v>
      </c>
      <c r="DR3" s="111">
        <v>137096</v>
      </c>
      <c r="DS3" s="111">
        <v>536</v>
      </c>
      <c r="DT3" s="111">
        <v>98333</v>
      </c>
      <c r="DU3" s="111">
        <v>81380</v>
      </c>
      <c r="DV3" s="111">
        <v>16953</v>
      </c>
      <c r="DW3" s="111">
        <v>38763</v>
      </c>
      <c r="DX3" s="111">
        <v>14168</v>
      </c>
      <c r="DY3" s="111">
        <v>24595</v>
      </c>
      <c r="DZ3" s="111">
        <v>213742</v>
      </c>
      <c r="EA3" s="111">
        <v>190029</v>
      </c>
      <c r="EB3" s="111">
        <v>169703</v>
      </c>
      <c r="EC3" s="111">
        <v>20326</v>
      </c>
      <c r="ED3" s="111">
        <v>23713</v>
      </c>
      <c r="EE3" s="111">
        <v>12217</v>
      </c>
      <c r="EF3" s="111">
        <v>11496</v>
      </c>
      <c r="EG3" s="111">
        <v>57468</v>
      </c>
      <c r="EH3" s="111">
        <v>35736</v>
      </c>
      <c r="EI3" s="111">
        <v>32900</v>
      </c>
      <c r="EJ3" s="111">
        <v>2836</v>
      </c>
      <c r="EK3" s="111">
        <v>21732</v>
      </c>
      <c r="EL3" s="111">
        <v>19257</v>
      </c>
      <c r="EM3" s="111">
        <v>2475</v>
      </c>
      <c r="EN3" s="111">
        <v>46779</v>
      </c>
      <c r="EO3" s="111">
        <v>24644</v>
      </c>
      <c r="EP3" s="111">
        <v>3215</v>
      </c>
      <c r="EQ3" s="111">
        <v>18920</v>
      </c>
      <c r="ER3" s="111">
        <v>6227</v>
      </c>
      <c r="ES3" s="111">
        <v>0</v>
      </c>
      <c r="ET3" s="111">
        <v>368</v>
      </c>
      <c r="EU3" s="111">
        <v>11828</v>
      </c>
      <c r="EV3" s="111">
        <v>9612</v>
      </c>
      <c r="EW3" s="111">
        <v>1628</v>
      </c>
      <c r="EX3" s="111">
        <v>588</v>
      </c>
      <c r="EY3" s="111">
        <v>8337</v>
      </c>
      <c r="EZ3" s="111">
        <v>7529</v>
      </c>
      <c r="FA3" s="111">
        <v>808</v>
      </c>
      <c r="FB3" s="111">
        <v>18722</v>
      </c>
    </row>
    <row r="4" spans="1:158" ht="19.5" customHeight="1">
      <c r="A4" s="107">
        <v>1</v>
      </c>
      <c r="B4" s="107" t="s">
        <v>350</v>
      </c>
      <c r="C4" s="107" t="s">
        <v>351</v>
      </c>
      <c r="D4" s="110">
        <v>682594</v>
      </c>
      <c r="E4" s="110">
        <v>682594</v>
      </c>
      <c r="F4" s="110">
        <v>0</v>
      </c>
      <c r="G4" s="110">
        <v>3810</v>
      </c>
      <c r="H4" s="110">
        <v>0</v>
      </c>
      <c r="I4" s="110">
        <v>2034</v>
      </c>
      <c r="J4" s="110">
        <v>0</v>
      </c>
      <c r="K4" s="110">
        <v>0</v>
      </c>
      <c r="L4" s="110">
        <v>0</v>
      </c>
      <c r="M4" s="110">
        <v>0</v>
      </c>
      <c r="N4" s="110">
        <v>0</v>
      </c>
      <c r="O4" s="110">
        <v>1831053.3</v>
      </c>
      <c r="P4" s="110">
        <v>1703349.47</v>
      </c>
      <c r="Q4" s="110">
        <v>1670217.26</v>
      </c>
      <c r="R4" s="110">
        <v>33132.21</v>
      </c>
      <c r="S4" s="110">
        <v>127703.83</v>
      </c>
      <c r="T4" s="110">
        <v>101887.83</v>
      </c>
      <c r="U4" s="110">
        <v>25816</v>
      </c>
      <c r="V4" s="110">
        <v>1831053.3</v>
      </c>
      <c r="W4" s="110">
        <v>1703349.47</v>
      </c>
      <c r="X4" s="110">
        <v>1670217.26</v>
      </c>
      <c r="Y4" s="110">
        <v>33132.21</v>
      </c>
      <c r="Z4" s="110">
        <v>127703.83</v>
      </c>
      <c r="AA4" s="110">
        <v>101887.83</v>
      </c>
      <c r="AB4" s="110">
        <v>25816</v>
      </c>
      <c r="AC4" s="110">
        <v>1143479.1399999999</v>
      </c>
      <c r="AD4" s="110">
        <v>1094001.31</v>
      </c>
      <c r="AE4" s="110">
        <v>1089682.1000000001</v>
      </c>
      <c r="AF4" s="110">
        <v>4319.21</v>
      </c>
      <c r="AG4" s="110">
        <v>49477.83</v>
      </c>
      <c r="AH4" s="110">
        <v>44220.83</v>
      </c>
      <c r="AI4" s="110">
        <v>5257</v>
      </c>
      <c r="AJ4" s="110">
        <v>4980.16</v>
      </c>
      <c r="AK4" s="110">
        <v>4011.16</v>
      </c>
      <c r="AL4" s="110">
        <v>4011.16</v>
      </c>
      <c r="AM4" s="110">
        <v>0</v>
      </c>
      <c r="AN4" s="110">
        <v>969</v>
      </c>
      <c r="AO4" s="110">
        <v>879</v>
      </c>
      <c r="AP4" s="110">
        <v>90</v>
      </c>
      <c r="AQ4" s="110">
        <v>570515</v>
      </c>
      <c r="AR4" s="110">
        <v>502237</v>
      </c>
      <c r="AS4" s="110">
        <v>478257</v>
      </c>
      <c r="AT4" s="110">
        <v>23980</v>
      </c>
      <c r="AU4" s="110">
        <v>68278</v>
      </c>
      <c r="AV4" s="110">
        <v>51038</v>
      </c>
      <c r="AW4" s="110">
        <v>17240</v>
      </c>
      <c r="AX4" s="110">
        <v>112079</v>
      </c>
      <c r="AY4" s="110">
        <v>103100</v>
      </c>
      <c r="AZ4" s="110">
        <v>98267</v>
      </c>
      <c r="BA4" s="110">
        <v>4833</v>
      </c>
      <c r="BB4" s="110">
        <v>8979</v>
      </c>
      <c r="BC4" s="110">
        <v>5750</v>
      </c>
      <c r="BD4" s="110">
        <v>3229</v>
      </c>
      <c r="BE4" s="110">
        <v>0</v>
      </c>
      <c r="BF4" s="110">
        <v>0</v>
      </c>
      <c r="BG4" s="110">
        <v>0</v>
      </c>
      <c r="BH4" s="110">
        <v>0</v>
      </c>
      <c r="BI4" s="110">
        <v>0</v>
      </c>
      <c r="BJ4" s="110">
        <v>0</v>
      </c>
      <c r="BK4" s="110">
        <v>0</v>
      </c>
      <c r="BL4" s="110">
        <v>0</v>
      </c>
      <c r="BM4" s="110">
        <v>0</v>
      </c>
      <c r="BN4" s="110">
        <v>0</v>
      </c>
      <c r="BO4" s="110">
        <v>0</v>
      </c>
      <c r="BP4" s="110">
        <v>0</v>
      </c>
      <c r="BQ4" s="110">
        <v>0</v>
      </c>
      <c r="BR4" s="110">
        <v>0</v>
      </c>
      <c r="BS4" s="110">
        <v>0</v>
      </c>
      <c r="BT4" s="110">
        <v>0</v>
      </c>
      <c r="BU4" s="110">
        <v>0</v>
      </c>
      <c r="BV4" s="110">
        <v>0</v>
      </c>
      <c r="BW4" s="110">
        <v>0</v>
      </c>
      <c r="BX4" s="110">
        <v>0</v>
      </c>
      <c r="BY4" s="110">
        <v>0</v>
      </c>
      <c r="BZ4" s="110">
        <v>0</v>
      </c>
      <c r="CA4" s="110">
        <v>0</v>
      </c>
      <c r="CB4" s="110">
        <v>0</v>
      </c>
      <c r="CC4" s="110">
        <v>0</v>
      </c>
      <c r="CD4" s="110">
        <v>0</v>
      </c>
      <c r="CE4" s="110">
        <v>0</v>
      </c>
      <c r="CF4" s="110">
        <v>0</v>
      </c>
      <c r="CG4" s="110">
        <v>0</v>
      </c>
      <c r="CH4" s="110">
        <v>0</v>
      </c>
      <c r="CI4" s="110">
        <v>0</v>
      </c>
      <c r="CJ4" s="110">
        <v>0</v>
      </c>
      <c r="CK4" s="110">
        <v>0</v>
      </c>
      <c r="CL4" s="110">
        <v>0</v>
      </c>
      <c r="CM4" s="110">
        <v>0</v>
      </c>
      <c r="CN4" s="110">
        <v>0</v>
      </c>
      <c r="CO4" s="110">
        <v>1064049.77</v>
      </c>
      <c r="CP4" s="110">
        <v>531246.91</v>
      </c>
      <c r="CQ4" s="110">
        <v>207330.92</v>
      </c>
      <c r="CR4" s="110">
        <v>28425.7</v>
      </c>
      <c r="CS4" s="110">
        <v>0</v>
      </c>
      <c r="CT4" s="110">
        <v>0</v>
      </c>
      <c r="CU4" s="110">
        <v>0</v>
      </c>
      <c r="CV4" s="111">
        <v>3810</v>
      </c>
      <c r="CW4" s="111">
        <v>3537</v>
      </c>
      <c r="CX4" s="111">
        <v>3442</v>
      </c>
      <c r="CY4" s="111">
        <v>95</v>
      </c>
      <c r="CZ4" s="111">
        <v>273</v>
      </c>
      <c r="DA4" s="111">
        <v>186</v>
      </c>
      <c r="DB4" s="111">
        <v>87</v>
      </c>
      <c r="DC4" s="111">
        <v>2922</v>
      </c>
      <c r="DD4" s="111">
        <v>122</v>
      </c>
      <c r="DE4" s="111">
        <v>2756</v>
      </c>
      <c r="DF4" s="111">
        <v>2704</v>
      </c>
      <c r="DG4" s="111">
        <v>52</v>
      </c>
      <c r="DH4" s="111">
        <v>166</v>
      </c>
      <c r="DI4" s="111">
        <v>132</v>
      </c>
      <c r="DJ4" s="111">
        <v>34</v>
      </c>
      <c r="DK4" s="111">
        <v>741</v>
      </c>
      <c r="DL4" s="111">
        <v>679</v>
      </c>
      <c r="DM4" s="111">
        <v>669</v>
      </c>
      <c r="DN4" s="111">
        <v>10</v>
      </c>
      <c r="DO4" s="111">
        <v>62</v>
      </c>
      <c r="DP4" s="111">
        <v>50</v>
      </c>
      <c r="DQ4" s="111">
        <v>12</v>
      </c>
      <c r="DR4" s="111">
        <v>25</v>
      </c>
      <c r="DS4" s="111">
        <v>0</v>
      </c>
      <c r="DT4" s="111">
        <v>19</v>
      </c>
      <c r="DU4" s="111">
        <v>11</v>
      </c>
      <c r="DV4" s="111">
        <v>8</v>
      </c>
      <c r="DW4" s="111">
        <v>6</v>
      </c>
      <c r="DX4" s="111">
        <v>2</v>
      </c>
      <c r="DY4" s="111">
        <v>4</v>
      </c>
      <c r="DZ4" s="111">
        <v>0</v>
      </c>
      <c r="EA4" s="111">
        <v>0</v>
      </c>
      <c r="EB4" s="111">
        <v>0</v>
      </c>
      <c r="EC4" s="111">
        <v>0</v>
      </c>
      <c r="ED4" s="111">
        <v>0</v>
      </c>
      <c r="EE4" s="111">
        <v>0</v>
      </c>
      <c r="EF4" s="111">
        <v>0</v>
      </c>
      <c r="EG4" s="111">
        <v>0</v>
      </c>
      <c r="EH4" s="111">
        <v>0</v>
      </c>
      <c r="EI4" s="111">
        <v>0</v>
      </c>
      <c r="EJ4" s="111">
        <v>0</v>
      </c>
      <c r="EK4" s="111">
        <v>0</v>
      </c>
      <c r="EL4" s="111">
        <v>0</v>
      </c>
      <c r="EM4" s="111">
        <v>0</v>
      </c>
      <c r="EN4" s="111">
        <v>0</v>
      </c>
      <c r="EO4" s="111">
        <v>0</v>
      </c>
      <c r="EP4" s="111">
        <v>0</v>
      </c>
      <c r="EQ4" s="111">
        <v>0</v>
      </c>
      <c r="ER4" s="111">
        <v>0</v>
      </c>
      <c r="ES4" s="111">
        <v>0</v>
      </c>
      <c r="ET4" s="111">
        <v>0</v>
      </c>
      <c r="EU4" s="111">
        <v>0</v>
      </c>
      <c r="EV4" s="111">
        <v>0</v>
      </c>
      <c r="EW4" s="111">
        <v>0</v>
      </c>
      <c r="EX4" s="111">
        <v>0</v>
      </c>
      <c r="EY4" s="111">
        <v>0</v>
      </c>
      <c r="EZ4" s="111">
        <v>0</v>
      </c>
      <c r="FA4" s="111">
        <v>0</v>
      </c>
      <c r="FB4" s="111">
        <v>0</v>
      </c>
    </row>
    <row r="5" spans="1:158" ht="19.5" customHeight="1">
      <c r="A5" s="107">
        <v>2</v>
      </c>
      <c r="B5" s="107" t="s">
        <v>350</v>
      </c>
      <c r="C5" s="107" t="s">
        <v>352</v>
      </c>
      <c r="D5" s="110">
        <v>20973862.5</v>
      </c>
      <c r="E5" s="110">
        <v>8822892</v>
      </c>
      <c r="F5" s="110">
        <v>12150970.5</v>
      </c>
      <c r="G5" s="110">
        <v>39509</v>
      </c>
      <c r="H5" s="110">
        <v>1243</v>
      </c>
      <c r="I5" s="110">
        <v>48978</v>
      </c>
      <c r="J5" s="110">
        <v>0</v>
      </c>
      <c r="K5" s="110">
        <v>0</v>
      </c>
      <c r="L5" s="110">
        <v>749424.5</v>
      </c>
      <c r="M5" s="110">
        <v>6101</v>
      </c>
      <c r="N5" s="110">
        <v>1513.45</v>
      </c>
      <c r="O5" s="110">
        <v>40158825.719999999</v>
      </c>
      <c r="P5" s="110">
        <v>30258810.640000001</v>
      </c>
      <c r="Q5" s="110">
        <v>29686749.07</v>
      </c>
      <c r="R5" s="110">
        <v>572061.56999999995</v>
      </c>
      <c r="S5" s="110">
        <v>9900015.0800000001</v>
      </c>
      <c r="T5" s="110">
        <v>9145922.1799999997</v>
      </c>
      <c r="U5" s="110">
        <v>754092.9</v>
      </c>
      <c r="V5" s="110">
        <v>18295346.370000001</v>
      </c>
      <c r="W5" s="110">
        <v>16074649.6</v>
      </c>
      <c r="X5" s="110">
        <v>15587545.699999999</v>
      </c>
      <c r="Y5" s="110">
        <v>487103.9</v>
      </c>
      <c r="Z5" s="110">
        <v>2220696.77</v>
      </c>
      <c r="AA5" s="110">
        <v>1572333.56</v>
      </c>
      <c r="AB5" s="110">
        <v>648363.21</v>
      </c>
      <c r="AC5" s="110">
        <v>9209823.4600000009</v>
      </c>
      <c r="AD5" s="110">
        <v>8034764.3300000001</v>
      </c>
      <c r="AE5" s="110">
        <v>7866867.8300000001</v>
      </c>
      <c r="AF5" s="110">
        <v>167896.5</v>
      </c>
      <c r="AG5" s="110">
        <v>1175059.1299999999</v>
      </c>
      <c r="AH5" s="110">
        <v>874799.92</v>
      </c>
      <c r="AI5" s="110">
        <v>300259.21000000002</v>
      </c>
      <c r="AJ5" s="110">
        <v>262630.90999999997</v>
      </c>
      <c r="AK5" s="110">
        <v>232714.27</v>
      </c>
      <c r="AL5" s="110">
        <v>224424.87</v>
      </c>
      <c r="AM5" s="110">
        <v>8289.4</v>
      </c>
      <c r="AN5" s="110">
        <v>29916.639999999999</v>
      </c>
      <c r="AO5" s="110">
        <v>19928.64</v>
      </c>
      <c r="AP5" s="110">
        <v>9988</v>
      </c>
      <c r="AQ5" s="110">
        <v>7382852</v>
      </c>
      <c r="AR5" s="110">
        <v>6555777</v>
      </c>
      <c r="AS5" s="110">
        <v>6303009</v>
      </c>
      <c r="AT5" s="110">
        <v>252768</v>
      </c>
      <c r="AU5" s="110">
        <v>827075</v>
      </c>
      <c r="AV5" s="110">
        <v>557305</v>
      </c>
      <c r="AW5" s="110">
        <v>269770</v>
      </c>
      <c r="AX5" s="110">
        <v>1440040</v>
      </c>
      <c r="AY5" s="110">
        <v>1251394</v>
      </c>
      <c r="AZ5" s="110">
        <v>1193244</v>
      </c>
      <c r="BA5" s="110">
        <v>58150</v>
      </c>
      <c r="BB5" s="110">
        <v>188646</v>
      </c>
      <c r="BC5" s="110">
        <v>120300</v>
      </c>
      <c r="BD5" s="110">
        <v>68346</v>
      </c>
      <c r="BE5" s="110">
        <v>21863479.350000001</v>
      </c>
      <c r="BF5" s="110">
        <v>14184161.039999999</v>
      </c>
      <c r="BG5" s="110">
        <v>14099203.369999999</v>
      </c>
      <c r="BH5" s="110">
        <v>84957.67</v>
      </c>
      <c r="BI5" s="110">
        <v>7679318.3099999996</v>
      </c>
      <c r="BJ5" s="110">
        <v>7573588.6200000001</v>
      </c>
      <c r="BK5" s="110">
        <v>105729.69</v>
      </c>
      <c r="BL5" s="110">
        <v>8987466.5299999993</v>
      </c>
      <c r="BM5" s="110">
        <v>5643755.0300000003</v>
      </c>
      <c r="BN5" s="110">
        <v>5602597.6200000001</v>
      </c>
      <c r="BO5" s="110">
        <v>41157.410000000003</v>
      </c>
      <c r="BP5" s="110">
        <v>3343711.5</v>
      </c>
      <c r="BQ5" s="110">
        <v>3315987.16</v>
      </c>
      <c r="BR5" s="110">
        <v>27724.34</v>
      </c>
      <c r="BS5" s="110">
        <v>725042.32</v>
      </c>
      <c r="BT5" s="110">
        <v>473854.51</v>
      </c>
      <c r="BU5" s="110">
        <v>471441.75</v>
      </c>
      <c r="BV5" s="110">
        <v>2412.7600000000002</v>
      </c>
      <c r="BW5" s="110">
        <v>251187.81</v>
      </c>
      <c r="BX5" s="110">
        <v>245688.95999999999</v>
      </c>
      <c r="BY5" s="110">
        <v>5498.85</v>
      </c>
      <c r="BZ5" s="110">
        <v>9500444</v>
      </c>
      <c r="CA5" s="110">
        <v>6310132</v>
      </c>
      <c r="CB5" s="110">
        <v>6274354</v>
      </c>
      <c r="CC5" s="110">
        <v>35778</v>
      </c>
      <c r="CD5" s="110">
        <v>3190312</v>
      </c>
      <c r="CE5" s="110">
        <v>3128791</v>
      </c>
      <c r="CF5" s="110">
        <v>61521</v>
      </c>
      <c r="CG5" s="110">
        <v>2650526.5</v>
      </c>
      <c r="CH5" s="110">
        <v>1756419.5</v>
      </c>
      <c r="CI5" s="110">
        <v>1750810</v>
      </c>
      <c r="CJ5" s="110">
        <v>5609.5</v>
      </c>
      <c r="CK5" s="110">
        <v>894107</v>
      </c>
      <c r="CL5" s="110">
        <v>883121.5</v>
      </c>
      <c r="CM5" s="110">
        <v>10985.5</v>
      </c>
      <c r="CN5" s="110">
        <v>75</v>
      </c>
      <c r="CO5" s="110">
        <v>11481603.75</v>
      </c>
      <c r="CP5" s="110">
        <v>5451354.25</v>
      </c>
      <c r="CQ5" s="110">
        <v>373985.17</v>
      </c>
      <c r="CR5" s="110">
        <v>988403.19999999995</v>
      </c>
      <c r="CS5" s="110">
        <v>0</v>
      </c>
      <c r="CT5" s="110">
        <v>13098.03</v>
      </c>
      <c r="CU5" s="110">
        <v>0</v>
      </c>
      <c r="CV5" s="111">
        <v>39509</v>
      </c>
      <c r="CW5" s="111">
        <v>35181</v>
      </c>
      <c r="CX5" s="111">
        <v>33880</v>
      </c>
      <c r="CY5" s="111">
        <v>1301</v>
      </c>
      <c r="CZ5" s="111">
        <v>4328</v>
      </c>
      <c r="DA5" s="111">
        <v>2916</v>
      </c>
      <c r="DB5" s="111">
        <v>1412</v>
      </c>
      <c r="DC5" s="111">
        <v>29609</v>
      </c>
      <c r="DD5" s="111">
        <v>232</v>
      </c>
      <c r="DE5" s="111">
        <v>26578</v>
      </c>
      <c r="DF5" s="111">
        <v>25668</v>
      </c>
      <c r="DG5" s="111">
        <v>910</v>
      </c>
      <c r="DH5" s="111">
        <v>3031</v>
      </c>
      <c r="DI5" s="111">
        <v>2021</v>
      </c>
      <c r="DJ5" s="111">
        <v>1010</v>
      </c>
      <c r="DK5" s="111">
        <v>8546</v>
      </c>
      <c r="DL5" s="111">
        <v>7490</v>
      </c>
      <c r="DM5" s="111">
        <v>7174</v>
      </c>
      <c r="DN5" s="111">
        <v>316</v>
      </c>
      <c r="DO5" s="111">
        <v>1056</v>
      </c>
      <c r="DP5" s="111">
        <v>761</v>
      </c>
      <c r="DQ5" s="111">
        <v>295</v>
      </c>
      <c r="DR5" s="111">
        <v>1115</v>
      </c>
      <c r="DS5" s="111">
        <v>7</v>
      </c>
      <c r="DT5" s="111">
        <v>882</v>
      </c>
      <c r="DU5" s="111">
        <v>814</v>
      </c>
      <c r="DV5" s="111">
        <v>68</v>
      </c>
      <c r="DW5" s="111">
        <v>233</v>
      </c>
      <c r="DX5" s="111">
        <v>133</v>
      </c>
      <c r="DY5" s="111">
        <v>100</v>
      </c>
      <c r="DZ5" s="111">
        <v>0</v>
      </c>
      <c r="EA5" s="111">
        <v>0</v>
      </c>
      <c r="EB5" s="111">
        <v>0</v>
      </c>
      <c r="EC5" s="111">
        <v>0</v>
      </c>
      <c r="ED5" s="111">
        <v>0</v>
      </c>
      <c r="EE5" s="111">
        <v>0</v>
      </c>
      <c r="EF5" s="111">
        <v>0</v>
      </c>
      <c r="EG5" s="111">
        <v>1243</v>
      </c>
      <c r="EH5" s="111">
        <v>820</v>
      </c>
      <c r="EI5" s="111">
        <v>814</v>
      </c>
      <c r="EJ5" s="111">
        <v>6</v>
      </c>
      <c r="EK5" s="111">
        <v>423</v>
      </c>
      <c r="EL5" s="111">
        <v>417</v>
      </c>
      <c r="EM5" s="111">
        <v>6</v>
      </c>
      <c r="EN5" s="111">
        <v>840</v>
      </c>
      <c r="EO5" s="111">
        <v>6</v>
      </c>
      <c r="EP5" s="111">
        <v>0</v>
      </c>
      <c r="EQ5" s="111">
        <v>834</v>
      </c>
      <c r="ER5" s="111">
        <v>1</v>
      </c>
      <c r="ES5" s="111">
        <v>0</v>
      </c>
      <c r="ET5" s="111">
        <v>1</v>
      </c>
      <c r="EU5" s="111">
        <v>1</v>
      </c>
      <c r="EV5" s="111">
        <v>1</v>
      </c>
      <c r="EW5" s="111">
        <v>0</v>
      </c>
      <c r="EX5" s="111">
        <v>0</v>
      </c>
      <c r="EY5" s="111">
        <v>0</v>
      </c>
      <c r="EZ5" s="111">
        <v>0</v>
      </c>
      <c r="FA5" s="111">
        <v>0</v>
      </c>
      <c r="FB5" s="111">
        <v>335</v>
      </c>
    </row>
    <row r="6" spans="1:158" ht="28.5" customHeight="1">
      <c r="A6" s="107">
        <v>3</v>
      </c>
      <c r="B6" s="107" t="s">
        <v>350</v>
      </c>
      <c r="C6" s="107" t="s">
        <v>353</v>
      </c>
      <c r="D6" s="110">
        <v>39986114.600000001</v>
      </c>
      <c r="E6" s="110">
        <v>25223304</v>
      </c>
      <c r="F6" s="110">
        <v>14762810.6</v>
      </c>
      <c r="G6" s="110">
        <v>84273</v>
      </c>
      <c r="H6" s="110">
        <v>2465</v>
      </c>
      <c r="I6" s="110">
        <v>1720801</v>
      </c>
      <c r="J6" s="110">
        <v>67850</v>
      </c>
      <c r="K6" s="110">
        <v>0</v>
      </c>
      <c r="L6" s="110">
        <v>1297367</v>
      </c>
      <c r="M6" s="110">
        <v>805287</v>
      </c>
      <c r="N6" s="110">
        <v>7121.4</v>
      </c>
      <c r="O6" s="110">
        <v>72497388.010000005</v>
      </c>
      <c r="P6" s="110">
        <v>60090607.009999998</v>
      </c>
      <c r="Q6" s="110">
        <v>57636775.420000002</v>
      </c>
      <c r="R6" s="110">
        <v>2453831.59</v>
      </c>
      <c r="S6" s="110">
        <v>12406781</v>
      </c>
      <c r="T6" s="110">
        <v>10121318.220000001</v>
      </c>
      <c r="U6" s="110">
        <v>2285462.7799999998</v>
      </c>
      <c r="V6" s="110">
        <v>46461000.829999998</v>
      </c>
      <c r="W6" s="110">
        <v>40803240.240000002</v>
      </c>
      <c r="X6" s="110">
        <v>38578235.509999998</v>
      </c>
      <c r="Y6" s="110">
        <v>2225004.73</v>
      </c>
      <c r="Z6" s="110">
        <v>5657760.5899999999</v>
      </c>
      <c r="AA6" s="110">
        <v>3710238.43</v>
      </c>
      <c r="AB6" s="110">
        <v>1947522.16</v>
      </c>
      <c r="AC6" s="110">
        <v>18956206.640000001</v>
      </c>
      <c r="AD6" s="110">
        <v>16861285.050000001</v>
      </c>
      <c r="AE6" s="110">
        <v>16367630.32</v>
      </c>
      <c r="AF6" s="110">
        <v>493654.73</v>
      </c>
      <c r="AG6" s="110">
        <v>2094921.59</v>
      </c>
      <c r="AH6" s="110">
        <v>1457132.43</v>
      </c>
      <c r="AI6" s="110">
        <v>637789.16</v>
      </c>
      <c r="AJ6" s="110">
        <v>2281490.19</v>
      </c>
      <c r="AK6" s="110">
        <v>1998991.19</v>
      </c>
      <c r="AL6" s="110">
        <v>1923931.19</v>
      </c>
      <c r="AM6" s="110">
        <v>75060</v>
      </c>
      <c r="AN6" s="110">
        <v>282499</v>
      </c>
      <c r="AO6" s="110">
        <v>210547</v>
      </c>
      <c r="AP6" s="110">
        <v>71952</v>
      </c>
      <c r="AQ6" s="110">
        <v>18059476</v>
      </c>
      <c r="AR6" s="110">
        <v>15837597</v>
      </c>
      <c r="AS6" s="110">
        <v>15194147</v>
      </c>
      <c r="AT6" s="110">
        <v>643450</v>
      </c>
      <c r="AU6" s="110">
        <v>2221879</v>
      </c>
      <c r="AV6" s="110">
        <v>1529224</v>
      </c>
      <c r="AW6" s="110">
        <v>692655</v>
      </c>
      <c r="AX6" s="110">
        <v>7163828</v>
      </c>
      <c r="AY6" s="110">
        <v>6105367</v>
      </c>
      <c r="AZ6" s="110">
        <v>5092527</v>
      </c>
      <c r="BA6" s="110">
        <v>1012840</v>
      </c>
      <c r="BB6" s="110">
        <v>1058461</v>
      </c>
      <c r="BC6" s="110">
        <v>513335</v>
      </c>
      <c r="BD6" s="110">
        <v>545126</v>
      </c>
      <c r="BE6" s="110">
        <v>26036387.18</v>
      </c>
      <c r="BF6" s="110">
        <v>19287366.77</v>
      </c>
      <c r="BG6" s="110">
        <v>19058539.91</v>
      </c>
      <c r="BH6" s="110">
        <v>228826.86</v>
      </c>
      <c r="BI6" s="110">
        <v>6749020.4100000001</v>
      </c>
      <c r="BJ6" s="110">
        <v>6411079.79</v>
      </c>
      <c r="BK6" s="110">
        <v>337940.62</v>
      </c>
      <c r="BL6" s="110">
        <v>4736819.99</v>
      </c>
      <c r="BM6" s="110">
        <v>3433554.85</v>
      </c>
      <c r="BN6" s="110">
        <v>3403816.62</v>
      </c>
      <c r="BO6" s="110">
        <v>29738.23</v>
      </c>
      <c r="BP6" s="110">
        <v>1303265.1399999999</v>
      </c>
      <c r="BQ6" s="110">
        <v>1238694.8600000001</v>
      </c>
      <c r="BR6" s="110">
        <v>64570.28</v>
      </c>
      <c r="BS6" s="110">
        <v>6536756.5899999999</v>
      </c>
      <c r="BT6" s="110">
        <v>4948167.82</v>
      </c>
      <c r="BU6" s="110">
        <v>4899708.6900000004</v>
      </c>
      <c r="BV6" s="110">
        <v>48459.13</v>
      </c>
      <c r="BW6" s="110">
        <v>1588588.77</v>
      </c>
      <c r="BX6" s="110">
        <v>1503861.93</v>
      </c>
      <c r="BY6" s="110">
        <v>84726.84</v>
      </c>
      <c r="BZ6" s="110">
        <v>9679602</v>
      </c>
      <c r="CA6" s="110">
        <v>6997608</v>
      </c>
      <c r="CB6" s="110">
        <v>6928320</v>
      </c>
      <c r="CC6" s="110">
        <v>69288</v>
      </c>
      <c r="CD6" s="110">
        <v>2681994</v>
      </c>
      <c r="CE6" s="110">
        <v>2546519</v>
      </c>
      <c r="CF6" s="110">
        <v>135475</v>
      </c>
      <c r="CG6" s="110">
        <v>5083208.5999999996</v>
      </c>
      <c r="CH6" s="110">
        <v>3908036.1</v>
      </c>
      <c r="CI6" s="110">
        <v>3826694.6</v>
      </c>
      <c r="CJ6" s="110">
        <v>81341.5</v>
      </c>
      <c r="CK6" s="110">
        <v>1175172.5</v>
      </c>
      <c r="CL6" s="110">
        <v>1122004</v>
      </c>
      <c r="CM6" s="110">
        <v>53168.5</v>
      </c>
      <c r="CN6" s="110">
        <v>-40</v>
      </c>
      <c r="CO6" s="110">
        <v>23360318.359999999</v>
      </c>
      <c r="CP6" s="110">
        <v>11151710.67</v>
      </c>
      <c r="CQ6" s="110">
        <v>6448472.6900000004</v>
      </c>
      <c r="CR6" s="110">
        <v>5500499.1100000003</v>
      </c>
      <c r="CS6" s="110">
        <v>0</v>
      </c>
      <c r="CT6" s="110">
        <v>174438.21</v>
      </c>
      <c r="CU6" s="110">
        <v>0</v>
      </c>
      <c r="CV6" s="111">
        <v>84273</v>
      </c>
      <c r="CW6" s="111">
        <v>74406</v>
      </c>
      <c r="CX6" s="111">
        <v>70955</v>
      </c>
      <c r="CY6" s="111">
        <v>3451</v>
      </c>
      <c r="CZ6" s="111">
        <v>9867</v>
      </c>
      <c r="DA6" s="111">
        <v>6372</v>
      </c>
      <c r="DB6" s="111">
        <v>3495</v>
      </c>
      <c r="DC6" s="111">
        <v>58526</v>
      </c>
      <c r="DD6" s="111">
        <v>986</v>
      </c>
      <c r="DE6" s="111">
        <v>52115</v>
      </c>
      <c r="DF6" s="111">
        <v>50236</v>
      </c>
      <c r="DG6" s="111">
        <v>1879</v>
      </c>
      <c r="DH6" s="111">
        <v>6411</v>
      </c>
      <c r="DI6" s="111">
        <v>4193</v>
      </c>
      <c r="DJ6" s="111">
        <v>2218</v>
      </c>
      <c r="DK6" s="111">
        <v>20424</v>
      </c>
      <c r="DL6" s="111">
        <v>17831</v>
      </c>
      <c r="DM6" s="111">
        <v>17149</v>
      </c>
      <c r="DN6" s="111">
        <v>682</v>
      </c>
      <c r="DO6" s="111">
        <v>2593</v>
      </c>
      <c r="DP6" s="111">
        <v>1830</v>
      </c>
      <c r="DQ6" s="111">
        <v>763</v>
      </c>
      <c r="DR6" s="111">
        <v>4337</v>
      </c>
      <c r="DS6" s="111">
        <v>0</v>
      </c>
      <c r="DT6" s="111">
        <v>3540</v>
      </c>
      <c r="DU6" s="111">
        <v>2674</v>
      </c>
      <c r="DV6" s="111">
        <v>866</v>
      </c>
      <c r="DW6" s="111">
        <v>797</v>
      </c>
      <c r="DX6" s="111">
        <v>324</v>
      </c>
      <c r="DY6" s="111">
        <v>473</v>
      </c>
      <c r="DZ6" s="111">
        <v>0</v>
      </c>
      <c r="EA6" s="111">
        <v>0</v>
      </c>
      <c r="EB6" s="111">
        <v>0</v>
      </c>
      <c r="EC6" s="111">
        <v>0</v>
      </c>
      <c r="ED6" s="111">
        <v>0</v>
      </c>
      <c r="EE6" s="111">
        <v>0</v>
      </c>
      <c r="EF6" s="111">
        <v>0</v>
      </c>
      <c r="EG6" s="111">
        <v>2465</v>
      </c>
      <c r="EH6" s="111">
        <v>1855</v>
      </c>
      <c r="EI6" s="111">
        <v>1832</v>
      </c>
      <c r="EJ6" s="111">
        <v>23</v>
      </c>
      <c r="EK6" s="111">
        <v>610</v>
      </c>
      <c r="EL6" s="111">
        <v>576</v>
      </c>
      <c r="EM6" s="111">
        <v>34</v>
      </c>
      <c r="EN6" s="111">
        <v>2841</v>
      </c>
      <c r="EO6" s="111">
        <v>4</v>
      </c>
      <c r="EP6" s="111">
        <v>0</v>
      </c>
      <c r="EQ6" s="111">
        <v>2837</v>
      </c>
      <c r="ER6" s="111">
        <v>0</v>
      </c>
      <c r="ES6" s="111">
        <v>0</v>
      </c>
      <c r="ET6" s="111">
        <v>297</v>
      </c>
      <c r="EU6" s="111">
        <v>220</v>
      </c>
      <c r="EV6" s="111">
        <v>4</v>
      </c>
      <c r="EW6" s="111">
        <v>0</v>
      </c>
      <c r="EX6" s="111">
        <v>216</v>
      </c>
      <c r="EY6" s="111">
        <v>0</v>
      </c>
      <c r="EZ6" s="111">
        <v>0</v>
      </c>
      <c r="FA6" s="111">
        <v>0</v>
      </c>
      <c r="FB6" s="111">
        <v>215</v>
      </c>
    </row>
    <row r="7" spans="1:158" ht="19.5" customHeight="1">
      <c r="A7" s="107">
        <v>4</v>
      </c>
      <c r="B7" s="107" t="s">
        <v>350</v>
      </c>
      <c r="C7" s="107" t="s">
        <v>354</v>
      </c>
      <c r="D7" s="110">
        <v>24902333.5</v>
      </c>
      <c r="E7" s="110">
        <v>12111534.5</v>
      </c>
      <c r="F7" s="110">
        <v>12790799</v>
      </c>
      <c r="G7" s="110">
        <v>54829</v>
      </c>
      <c r="H7" s="110">
        <v>1090</v>
      </c>
      <c r="I7" s="110">
        <v>3398</v>
      </c>
      <c r="J7" s="110">
        <v>0</v>
      </c>
      <c r="K7" s="110">
        <v>327327.34000000003</v>
      </c>
      <c r="L7" s="110">
        <v>752420.5</v>
      </c>
      <c r="M7" s="110">
        <v>141004</v>
      </c>
      <c r="N7" s="110">
        <v>9202.33</v>
      </c>
      <c r="O7" s="110">
        <v>58747219.18</v>
      </c>
      <c r="P7" s="110">
        <v>47122787.75</v>
      </c>
      <c r="Q7" s="110">
        <v>46140657.719999999</v>
      </c>
      <c r="R7" s="110">
        <v>982130.03</v>
      </c>
      <c r="S7" s="110">
        <v>11624431.43</v>
      </c>
      <c r="T7" s="110">
        <v>10533563.57</v>
      </c>
      <c r="U7" s="110">
        <v>1090867.8600000001</v>
      </c>
      <c r="V7" s="110">
        <v>27574310.359999999</v>
      </c>
      <c r="W7" s="110">
        <v>24502669.760000002</v>
      </c>
      <c r="X7" s="110">
        <v>23662640.039999999</v>
      </c>
      <c r="Y7" s="110">
        <v>840029.72</v>
      </c>
      <c r="Z7" s="110">
        <v>3071640.6</v>
      </c>
      <c r="AA7" s="110">
        <v>2250712.81</v>
      </c>
      <c r="AB7" s="110">
        <v>820927.79</v>
      </c>
      <c r="AC7" s="110">
        <v>15431000.279999999</v>
      </c>
      <c r="AD7" s="110">
        <v>14030883.359999999</v>
      </c>
      <c r="AE7" s="110">
        <v>13677252.82</v>
      </c>
      <c r="AF7" s="110">
        <v>353630.54</v>
      </c>
      <c r="AG7" s="110">
        <v>1400116.92</v>
      </c>
      <c r="AH7" s="110">
        <v>1056101.31</v>
      </c>
      <c r="AI7" s="110">
        <v>344015.61</v>
      </c>
      <c r="AJ7" s="110">
        <v>31775.58</v>
      </c>
      <c r="AK7" s="110">
        <v>25775.4</v>
      </c>
      <c r="AL7" s="110">
        <v>24165.22</v>
      </c>
      <c r="AM7" s="110">
        <v>1610.18</v>
      </c>
      <c r="AN7" s="110">
        <v>6000.18</v>
      </c>
      <c r="AO7" s="110">
        <v>4386</v>
      </c>
      <c r="AP7" s="110">
        <v>1614.18</v>
      </c>
      <c r="AQ7" s="110">
        <v>9992675</v>
      </c>
      <c r="AR7" s="110">
        <v>8614609</v>
      </c>
      <c r="AS7" s="110">
        <v>8222314</v>
      </c>
      <c r="AT7" s="110">
        <v>392295</v>
      </c>
      <c r="AU7" s="110">
        <v>1378066</v>
      </c>
      <c r="AV7" s="110">
        <v>999391</v>
      </c>
      <c r="AW7" s="110">
        <v>378675</v>
      </c>
      <c r="AX7" s="110">
        <v>2118859.5</v>
      </c>
      <c r="AY7" s="110">
        <v>1831402</v>
      </c>
      <c r="AZ7" s="110">
        <v>1738908</v>
      </c>
      <c r="BA7" s="110">
        <v>92494</v>
      </c>
      <c r="BB7" s="110">
        <v>287457.5</v>
      </c>
      <c r="BC7" s="110">
        <v>190834.5</v>
      </c>
      <c r="BD7" s="110">
        <v>96623</v>
      </c>
      <c r="BE7" s="110">
        <v>31172908.82</v>
      </c>
      <c r="BF7" s="110">
        <v>22620117.989999998</v>
      </c>
      <c r="BG7" s="110">
        <v>22478017.68</v>
      </c>
      <c r="BH7" s="110">
        <v>142100.31</v>
      </c>
      <c r="BI7" s="110">
        <v>8552790.8300000001</v>
      </c>
      <c r="BJ7" s="110">
        <v>8282850.7599999998</v>
      </c>
      <c r="BK7" s="110">
        <v>269940.07</v>
      </c>
      <c r="BL7" s="110">
        <v>5154045.08</v>
      </c>
      <c r="BM7" s="110">
        <v>3881705.36</v>
      </c>
      <c r="BN7" s="110">
        <v>3841948.63</v>
      </c>
      <c r="BO7" s="110">
        <v>39756.730000000003</v>
      </c>
      <c r="BP7" s="110">
        <v>1272339.72</v>
      </c>
      <c r="BQ7" s="110">
        <v>1219485.8400000001</v>
      </c>
      <c r="BR7" s="110">
        <v>52853.88</v>
      </c>
      <c r="BS7" s="110">
        <v>13228064.74</v>
      </c>
      <c r="BT7" s="110">
        <v>9259730.6300000008</v>
      </c>
      <c r="BU7" s="110">
        <v>9253252.0500000007</v>
      </c>
      <c r="BV7" s="110">
        <v>6478.58</v>
      </c>
      <c r="BW7" s="110">
        <v>3968334.11</v>
      </c>
      <c r="BX7" s="110">
        <v>3896824.92</v>
      </c>
      <c r="BY7" s="110">
        <v>71509.19</v>
      </c>
      <c r="BZ7" s="110">
        <v>9325320</v>
      </c>
      <c r="CA7" s="110">
        <v>6850368</v>
      </c>
      <c r="CB7" s="110">
        <v>6789436</v>
      </c>
      <c r="CC7" s="110">
        <v>60932</v>
      </c>
      <c r="CD7" s="110">
        <v>2474952</v>
      </c>
      <c r="CE7" s="110">
        <v>2361144</v>
      </c>
      <c r="CF7" s="110">
        <v>113808</v>
      </c>
      <c r="CG7" s="110">
        <v>3465479</v>
      </c>
      <c r="CH7" s="110">
        <v>2628314</v>
      </c>
      <c r="CI7" s="110">
        <v>2593381</v>
      </c>
      <c r="CJ7" s="110">
        <v>34933</v>
      </c>
      <c r="CK7" s="110">
        <v>837165</v>
      </c>
      <c r="CL7" s="110">
        <v>805396</v>
      </c>
      <c r="CM7" s="110">
        <v>31769</v>
      </c>
      <c r="CN7" s="110">
        <v>40</v>
      </c>
      <c r="CO7" s="110">
        <v>13762879.310000001</v>
      </c>
      <c r="CP7" s="110">
        <v>6073359.0800000001</v>
      </c>
      <c r="CQ7" s="110">
        <v>4738702</v>
      </c>
      <c r="CR7" s="110">
        <v>2999369.97</v>
      </c>
      <c r="CS7" s="110">
        <v>0</v>
      </c>
      <c r="CT7" s="110">
        <v>0</v>
      </c>
      <c r="CU7" s="110">
        <v>0</v>
      </c>
      <c r="CV7" s="111">
        <v>54829</v>
      </c>
      <c r="CW7" s="111">
        <v>49179</v>
      </c>
      <c r="CX7" s="111">
        <v>47275</v>
      </c>
      <c r="CY7" s="111">
        <v>1904</v>
      </c>
      <c r="CZ7" s="111">
        <v>5650</v>
      </c>
      <c r="DA7" s="111">
        <v>3867</v>
      </c>
      <c r="DB7" s="111">
        <v>1783</v>
      </c>
      <c r="DC7" s="111">
        <v>40963</v>
      </c>
      <c r="DD7" s="111">
        <v>1038</v>
      </c>
      <c r="DE7" s="111">
        <v>37304</v>
      </c>
      <c r="DF7" s="111">
        <v>36042</v>
      </c>
      <c r="DG7" s="111">
        <v>1262</v>
      </c>
      <c r="DH7" s="111">
        <v>3659</v>
      </c>
      <c r="DI7" s="111">
        <v>2545</v>
      </c>
      <c r="DJ7" s="111">
        <v>1114</v>
      </c>
      <c r="DK7" s="111">
        <v>10000</v>
      </c>
      <c r="DL7" s="111">
        <v>8624</v>
      </c>
      <c r="DM7" s="111">
        <v>8213</v>
      </c>
      <c r="DN7" s="111">
        <v>411</v>
      </c>
      <c r="DO7" s="111">
        <v>1376</v>
      </c>
      <c r="DP7" s="111">
        <v>970</v>
      </c>
      <c r="DQ7" s="111">
        <v>406</v>
      </c>
      <c r="DR7" s="111">
        <v>2828</v>
      </c>
      <c r="DS7" s="111">
        <v>0</v>
      </c>
      <c r="DT7" s="111">
        <v>2275</v>
      </c>
      <c r="DU7" s="111">
        <v>2099</v>
      </c>
      <c r="DV7" s="111">
        <v>176</v>
      </c>
      <c r="DW7" s="111">
        <v>553</v>
      </c>
      <c r="DX7" s="111">
        <v>351</v>
      </c>
      <c r="DY7" s="111">
        <v>202</v>
      </c>
      <c r="DZ7" s="111">
        <v>0</v>
      </c>
      <c r="EA7" s="111">
        <v>0</v>
      </c>
      <c r="EB7" s="111">
        <v>0</v>
      </c>
      <c r="EC7" s="111">
        <v>0</v>
      </c>
      <c r="ED7" s="111">
        <v>0</v>
      </c>
      <c r="EE7" s="111">
        <v>0</v>
      </c>
      <c r="EF7" s="111">
        <v>0</v>
      </c>
      <c r="EG7" s="111">
        <v>1090</v>
      </c>
      <c r="EH7" s="111">
        <v>810</v>
      </c>
      <c r="EI7" s="111">
        <v>801</v>
      </c>
      <c r="EJ7" s="111">
        <v>9</v>
      </c>
      <c r="EK7" s="111">
        <v>280</v>
      </c>
      <c r="EL7" s="111">
        <v>268</v>
      </c>
      <c r="EM7" s="111">
        <v>12</v>
      </c>
      <c r="EN7" s="111">
        <v>403</v>
      </c>
      <c r="EO7" s="111">
        <v>3</v>
      </c>
      <c r="EP7" s="111">
        <v>112</v>
      </c>
      <c r="EQ7" s="111">
        <v>288</v>
      </c>
      <c r="ER7" s="111">
        <v>0</v>
      </c>
      <c r="ES7" s="111">
        <v>0</v>
      </c>
      <c r="ET7" s="111">
        <v>0</v>
      </c>
      <c r="EU7" s="111">
        <v>21</v>
      </c>
      <c r="EV7" s="111">
        <v>1</v>
      </c>
      <c r="EW7" s="111">
        <v>20</v>
      </c>
      <c r="EX7" s="111">
        <v>0</v>
      </c>
      <c r="EY7" s="111">
        <v>94</v>
      </c>
      <c r="EZ7" s="111">
        <v>2</v>
      </c>
      <c r="FA7" s="111">
        <v>92</v>
      </c>
      <c r="FB7" s="111">
        <v>327</v>
      </c>
    </row>
    <row r="8" spans="1:158" ht="19.5" customHeight="1">
      <c r="A8" s="107">
        <v>5</v>
      </c>
      <c r="B8" s="107" t="s">
        <v>350</v>
      </c>
      <c r="C8" s="107" t="s">
        <v>355</v>
      </c>
      <c r="D8" s="110">
        <v>61539984.25</v>
      </c>
      <c r="E8" s="110">
        <v>15950978</v>
      </c>
      <c r="F8" s="110">
        <v>45589006.25</v>
      </c>
      <c r="G8" s="110">
        <v>126050</v>
      </c>
      <c r="H8" s="110">
        <v>4218</v>
      </c>
      <c r="I8" s="110">
        <v>17604</v>
      </c>
      <c r="J8" s="110">
        <v>0</v>
      </c>
      <c r="K8" s="110">
        <v>0</v>
      </c>
      <c r="L8" s="110">
        <v>764105.5</v>
      </c>
      <c r="M8" s="110">
        <v>9492367.75</v>
      </c>
      <c r="N8" s="110">
        <v>2053.4299999999998</v>
      </c>
      <c r="O8" s="110">
        <v>244457551.21000001</v>
      </c>
      <c r="P8" s="110">
        <v>189994526.5</v>
      </c>
      <c r="Q8" s="110">
        <v>188154301.75</v>
      </c>
      <c r="R8" s="110">
        <v>1840224.75</v>
      </c>
      <c r="S8" s="110">
        <v>54463024.710000001</v>
      </c>
      <c r="T8" s="110">
        <v>52865565.390000001</v>
      </c>
      <c r="U8" s="110">
        <v>1597459.32</v>
      </c>
      <c r="V8" s="110">
        <v>59124233.450000003</v>
      </c>
      <c r="W8" s="110">
        <v>54565113.079999998</v>
      </c>
      <c r="X8" s="110">
        <v>53756706.840000004</v>
      </c>
      <c r="Y8" s="110">
        <v>808406.24</v>
      </c>
      <c r="Z8" s="110">
        <v>4559120.37</v>
      </c>
      <c r="AA8" s="110">
        <v>3740074.6</v>
      </c>
      <c r="AB8" s="110">
        <v>819045.77</v>
      </c>
      <c r="AC8" s="110">
        <v>42989019.049999997</v>
      </c>
      <c r="AD8" s="110">
        <v>40104932.68</v>
      </c>
      <c r="AE8" s="110">
        <v>39724481.439999998</v>
      </c>
      <c r="AF8" s="110">
        <v>380451.24</v>
      </c>
      <c r="AG8" s="110">
        <v>2884086.37</v>
      </c>
      <c r="AH8" s="110">
        <v>2489810.6</v>
      </c>
      <c r="AI8" s="110">
        <v>394275.77</v>
      </c>
      <c r="AJ8" s="110">
        <v>184236.4</v>
      </c>
      <c r="AK8" s="110">
        <v>161056.4</v>
      </c>
      <c r="AL8" s="110">
        <v>155362.4</v>
      </c>
      <c r="AM8" s="110">
        <v>5694</v>
      </c>
      <c r="AN8" s="110">
        <v>23180</v>
      </c>
      <c r="AO8" s="110">
        <v>16750</v>
      </c>
      <c r="AP8" s="110">
        <v>6430</v>
      </c>
      <c r="AQ8" s="110">
        <v>11636940</v>
      </c>
      <c r="AR8" s="110">
        <v>10449431</v>
      </c>
      <c r="AS8" s="110">
        <v>10139462</v>
      </c>
      <c r="AT8" s="110">
        <v>309969</v>
      </c>
      <c r="AU8" s="110">
        <v>1187509</v>
      </c>
      <c r="AV8" s="110">
        <v>894437</v>
      </c>
      <c r="AW8" s="110">
        <v>293072</v>
      </c>
      <c r="AX8" s="110">
        <v>4314038</v>
      </c>
      <c r="AY8" s="110">
        <v>3849693</v>
      </c>
      <c r="AZ8" s="110">
        <v>3737401</v>
      </c>
      <c r="BA8" s="110">
        <v>112292</v>
      </c>
      <c r="BB8" s="110">
        <v>464345</v>
      </c>
      <c r="BC8" s="110">
        <v>339077</v>
      </c>
      <c r="BD8" s="110">
        <v>125268</v>
      </c>
      <c r="BE8" s="110">
        <v>185333317.75999999</v>
      </c>
      <c r="BF8" s="110">
        <v>135429413.41999999</v>
      </c>
      <c r="BG8" s="110">
        <v>134397594.91</v>
      </c>
      <c r="BH8" s="110">
        <v>1031818.51</v>
      </c>
      <c r="BI8" s="110">
        <v>49903904.340000004</v>
      </c>
      <c r="BJ8" s="110">
        <v>49125490.789999999</v>
      </c>
      <c r="BK8" s="110">
        <v>778413.55</v>
      </c>
      <c r="BL8" s="110">
        <v>10238397.17</v>
      </c>
      <c r="BM8" s="110">
        <v>7935960.9400000004</v>
      </c>
      <c r="BN8" s="110">
        <v>7883157.3700000001</v>
      </c>
      <c r="BO8" s="110">
        <v>52803.57</v>
      </c>
      <c r="BP8" s="110">
        <v>2302436.23</v>
      </c>
      <c r="BQ8" s="110">
        <v>2258572.7400000002</v>
      </c>
      <c r="BR8" s="110">
        <v>43863.49</v>
      </c>
      <c r="BS8" s="110">
        <v>129505914.34</v>
      </c>
      <c r="BT8" s="110">
        <v>93222236.730000004</v>
      </c>
      <c r="BU8" s="110">
        <v>92494912.290000007</v>
      </c>
      <c r="BV8" s="110">
        <v>727324.44</v>
      </c>
      <c r="BW8" s="110">
        <v>36283677.609999999</v>
      </c>
      <c r="BX8" s="110">
        <v>35823676.799999997</v>
      </c>
      <c r="BY8" s="110">
        <v>460000.81</v>
      </c>
      <c r="BZ8" s="110">
        <v>29148031</v>
      </c>
      <c r="CA8" s="110">
        <v>22022499</v>
      </c>
      <c r="CB8" s="110">
        <v>21892072</v>
      </c>
      <c r="CC8" s="110">
        <v>130427</v>
      </c>
      <c r="CD8" s="110">
        <v>7125532</v>
      </c>
      <c r="CE8" s="110">
        <v>6940554</v>
      </c>
      <c r="CF8" s="110">
        <v>184978</v>
      </c>
      <c r="CG8" s="110">
        <v>16440975.25</v>
      </c>
      <c r="CH8" s="110">
        <v>12248716.75</v>
      </c>
      <c r="CI8" s="110">
        <v>12127453.25</v>
      </c>
      <c r="CJ8" s="110">
        <v>121263.5</v>
      </c>
      <c r="CK8" s="110">
        <v>4192258.5</v>
      </c>
      <c r="CL8" s="110">
        <v>4102687.25</v>
      </c>
      <c r="CM8" s="110">
        <v>89571.25</v>
      </c>
      <c r="CN8" s="110">
        <v>0</v>
      </c>
      <c r="CO8" s="110">
        <v>27113698.41</v>
      </c>
      <c r="CP8" s="110">
        <v>20985439.66</v>
      </c>
      <c r="CQ8" s="110">
        <v>9446442.3800000008</v>
      </c>
      <c r="CR8" s="110">
        <v>1578653</v>
      </c>
      <c r="CS8" s="110">
        <v>0</v>
      </c>
      <c r="CT8" s="110">
        <v>33797.47</v>
      </c>
      <c r="CU8" s="110">
        <v>0</v>
      </c>
      <c r="CV8" s="111">
        <v>126050</v>
      </c>
      <c r="CW8" s="111">
        <v>115393</v>
      </c>
      <c r="CX8" s="111">
        <v>113123</v>
      </c>
      <c r="CY8" s="111">
        <v>2270</v>
      </c>
      <c r="CZ8" s="111">
        <v>10657</v>
      </c>
      <c r="DA8" s="111">
        <v>8252</v>
      </c>
      <c r="DB8" s="111">
        <v>2405</v>
      </c>
      <c r="DC8" s="111">
        <v>85256</v>
      </c>
      <c r="DD8" s="111">
        <v>1831</v>
      </c>
      <c r="DE8" s="111">
        <v>78948</v>
      </c>
      <c r="DF8" s="111">
        <v>77645</v>
      </c>
      <c r="DG8" s="111">
        <v>1303</v>
      </c>
      <c r="DH8" s="111">
        <v>6308</v>
      </c>
      <c r="DI8" s="111">
        <v>4920</v>
      </c>
      <c r="DJ8" s="111">
        <v>1388</v>
      </c>
      <c r="DK8" s="111">
        <v>37123</v>
      </c>
      <c r="DL8" s="111">
        <v>33257</v>
      </c>
      <c r="DM8" s="111">
        <v>32412</v>
      </c>
      <c r="DN8" s="111">
        <v>845</v>
      </c>
      <c r="DO8" s="111">
        <v>3866</v>
      </c>
      <c r="DP8" s="111">
        <v>3043</v>
      </c>
      <c r="DQ8" s="111">
        <v>823</v>
      </c>
      <c r="DR8" s="111">
        <v>1840</v>
      </c>
      <c r="DS8" s="111">
        <v>0</v>
      </c>
      <c r="DT8" s="111">
        <v>1410</v>
      </c>
      <c r="DU8" s="111">
        <v>1317</v>
      </c>
      <c r="DV8" s="111">
        <v>93</v>
      </c>
      <c r="DW8" s="111">
        <v>430</v>
      </c>
      <c r="DX8" s="111">
        <v>271</v>
      </c>
      <c r="DY8" s="111">
        <v>159</v>
      </c>
      <c r="DZ8" s="111">
        <v>0</v>
      </c>
      <c r="EA8" s="111">
        <v>0</v>
      </c>
      <c r="EB8" s="111">
        <v>0</v>
      </c>
      <c r="EC8" s="111">
        <v>0</v>
      </c>
      <c r="ED8" s="111">
        <v>0</v>
      </c>
      <c r="EE8" s="111">
        <v>0</v>
      </c>
      <c r="EF8" s="111">
        <v>0</v>
      </c>
      <c r="EG8" s="111">
        <v>4218</v>
      </c>
      <c r="EH8" s="111">
        <v>3172</v>
      </c>
      <c r="EI8" s="111">
        <v>3150</v>
      </c>
      <c r="EJ8" s="111">
        <v>22</v>
      </c>
      <c r="EK8" s="111">
        <v>1046</v>
      </c>
      <c r="EL8" s="111">
        <v>1019</v>
      </c>
      <c r="EM8" s="111">
        <v>27</v>
      </c>
      <c r="EN8" s="111">
        <v>3874</v>
      </c>
      <c r="EO8" s="111">
        <v>565</v>
      </c>
      <c r="EP8" s="111">
        <v>1811</v>
      </c>
      <c r="EQ8" s="111">
        <v>1498</v>
      </c>
      <c r="ER8" s="111">
        <v>0</v>
      </c>
      <c r="ES8" s="111">
        <v>0</v>
      </c>
      <c r="ET8" s="111">
        <v>0</v>
      </c>
      <c r="EU8" s="111">
        <v>1644</v>
      </c>
      <c r="EV8" s="111">
        <v>542</v>
      </c>
      <c r="EW8" s="111">
        <v>1102</v>
      </c>
      <c r="EX8" s="111">
        <v>0</v>
      </c>
      <c r="EY8" s="111">
        <v>117</v>
      </c>
      <c r="EZ8" s="111">
        <v>16</v>
      </c>
      <c r="FA8" s="111">
        <v>101</v>
      </c>
      <c r="FB8" s="111">
        <v>1465</v>
      </c>
    </row>
    <row r="9" spans="1:158" ht="19.5" customHeight="1">
      <c r="A9" s="107">
        <v>6</v>
      </c>
      <c r="B9" s="107" t="s">
        <v>350</v>
      </c>
      <c r="C9" s="107" t="s">
        <v>356</v>
      </c>
      <c r="D9" s="110">
        <v>8163579.5</v>
      </c>
      <c r="E9" s="110">
        <v>1021827</v>
      </c>
      <c r="F9" s="110">
        <v>7141752.5</v>
      </c>
      <c r="G9" s="110">
        <v>5232</v>
      </c>
      <c r="H9" s="110">
        <v>1510</v>
      </c>
      <c r="I9" s="110">
        <v>4854</v>
      </c>
      <c r="J9" s="110">
        <v>0</v>
      </c>
      <c r="K9" s="110">
        <v>0</v>
      </c>
      <c r="L9" s="110">
        <v>504941.5</v>
      </c>
      <c r="M9" s="110">
        <v>16679</v>
      </c>
      <c r="N9" s="110">
        <v>519.12</v>
      </c>
      <c r="O9" s="110">
        <v>32814893.52</v>
      </c>
      <c r="P9" s="110">
        <v>17176536.859999999</v>
      </c>
      <c r="Q9" s="110">
        <v>17051530.370000001</v>
      </c>
      <c r="R9" s="110">
        <v>125006.49</v>
      </c>
      <c r="S9" s="110">
        <v>15638356.66</v>
      </c>
      <c r="T9" s="110">
        <v>15423386.109999999</v>
      </c>
      <c r="U9" s="110">
        <v>214970.55</v>
      </c>
      <c r="V9" s="110">
        <v>4403328.7699999996</v>
      </c>
      <c r="W9" s="110">
        <v>3738696.98</v>
      </c>
      <c r="X9" s="110">
        <v>3649773.24</v>
      </c>
      <c r="Y9" s="110">
        <v>88923.74</v>
      </c>
      <c r="Z9" s="110">
        <v>664631.79</v>
      </c>
      <c r="AA9" s="110">
        <v>537555.75</v>
      </c>
      <c r="AB9" s="110">
        <v>127076.04</v>
      </c>
      <c r="AC9" s="110">
        <v>3344118.57</v>
      </c>
      <c r="AD9" s="110">
        <v>2889817.68</v>
      </c>
      <c r="AE9" s="110">
        <v>2827674.94</v>
      </c>
      <c r="AF9" s="110">
        <v>62142.74</v>
      </c>
      <c r="AG9" s="110">
        <v>454300.89</v>
      </c>
      <c r="AH9" s="110">
        <v>369070.85</v>
      </c>
      <c r="AI9" s="110">
        <v>85230.04</v>
      </c>
      <c r="AJ9" s="110">
        <v>37383.199999999997</v>
      </c>
      <c r="AK9" s="110">
        <v>33611.300000000003</v>
      </c>
      <c r="AL9" s="110">
        <v>32191.3</v>
      </c>
      <c r="AM9" s="110">
        <v>1420</v>
      </c>
      <c r="AN9" s="110">
        <v>3771.9</v>
      </c>
      <c r="AO9" s="110">
        <v>2265.9</v>
      </c>
      <c r="AP9" s="110">
        <v>1506</v>
      </c>
      <c r="AQ9" s="110">
        <v>827095</v>
      </c>
      <c r="AR9" s="110">
        <v>658030</v>
      </c>
      <c r="AS9" s="110">
        <v>639795</v>
      </c>
      <c r="AT9" s="110">
        <v>18235</v>
      </c>
      <c r="AU9" s="110">
        <v>169065</v>
      </c>
      <c r="AV9" s="110">
        <v>137293</v>
      </c>
      <c r="AW9" s="110">
        <v>31772</v>
      </c>
      <c r="AX9" s="110">
        <v>194732</v>
      </c>
      <c r="AY9" s="110">
        <v>157238</v>
      </c>
      <c r="AZ9" s="110">
        <v>150112</v>
      </c>
      <c r="BA9" s="110">
        <v>7126</v>
      </c>
      <c r="BB9" s="110">
        <v>37494</v>
      </c>
      <c r="BC9" s="110">
        <v>28926</v>
      </c>
      <c r="BD9" s="110">
        <v>8568</v>
      </c>
      <c r="BE9" s="110">
        <v>28411564.75</v>
      </c>
      <c r="BF9" s="110">
        <v>13437839.880000001</v>
      </c>
      <c r="BG9" s="110">
        <v>13401757.130000001</v>
      </c>
      <c r="BH9" s="110">
        <v>36082.75</v>
      </c>
      <c r="BI9" s="110">
        <v>14973724.869999999</v>
      </c>
      <c r="BJ9" s="110">
        <v>14885830.359999999</v>
      </c>
      <c r="BK9" s="110">
        <v>87894.51</v>
      </c>
      <c r="BL9" s="110">
        <v>20277890.140000001</v>
      </c>
      <c r="BM9" s="110">
        <v>9616661.5</v>
      </c>
      <c r="BN9" s="110">
        <v>9594037.6899999995</v>
      </c>
      <c r="BO9" s="110">
        <v>22623.81</v>
      </c>
      <c r="BP9" s="110">
        <v>10661228.640000001</v>
      </c>
      <c r="BQ9" s="110">
        <v>10612725.65</v>
      </c>
      <c r="BR9" s="110">
        <v>48502.99</v>
      </c>
      <c r="BS9" s="110">
        <v>991922.11</v>
      </c>
      <c r="BT9" s="110">
        <v>427532.38</v>
      </c>
      <c r="BU9" s="110">
        <v>424350.94</v>
      </c>
      <c r="BV9" s="110">
        <v>3181.44</v>
      </c>
      <c r="BW9" s="110">
        <v>564389.73</v>
      </c>
      <c r="BX9" s="110">
        <v>560309.21</v>
      </c>
      <c r="BY9" s="110">
        <v>4080.52</v>
      </c>
      <c r="BZ9" s="110">
        <v>4970472</v>
      </c>
      <c r="CA9" s="110">
        <v>2437537</v>
      </c>
      <c r="CB9" s="110">
        <v>2430934</v>
      </c>
      <c r="CC9" s="110">
        <v>6603</v>
      </c>
      <c r="CD9" s="110">
        <v>2532935</v>
      </c>
      <c r="CE9" s="110">
        <v>2504893</v>
      </c>
      <c r="CF9" s="110">
        <v>28042</v>
      </c>
      <c r="CG9" s="110">
        <v>2171280.5</v>
      </c>
      <c r="CH9" s="110">
        <v>956109</v>
      </c>
      <c r="CI9" s="110">
        <v>952434.5</v>
      </c>
      <c r="CJ9" s="110">
        <v>3674.5</v>
      </c>
      <c r="CK9" s="110">
        <v>1215171.5</v>
      </c>
      <c r="CL9" s="110">
        <v>1207902.5</v>
      </c>
      <c r="CM9" s="110">
        <v>7269</v>
      </c>
      <c r="CN9" s="110">
        <v>-25</v>
      </c>
      <c r="CO9" s="110">
        <v>1328189.02</v>
      </c>
      <c r="CP9" s="110">
        <v>2412736.3199999998</v>
      </c>
      <c r="CQ9" s="110">
        <v>570153.86</v>
      </c>
      <c r="CR9" s="110">
        <v>92249.57</v>
      </c>
      <c r="CS9" s="110">
        <v>0</v>
      </c>
      <c r="CT9" s="110">
        <v>0</v>
      </c>
      <c r="CU9" s="110">
        <v>0</v>
      </c>
      <c r="CV9" s="111">
        <v>5232</v>
      </c>
      <c r="CW9" s="111">
        <v>4168</v>
      </c>
      <c r="CX9" s="111">
        <v>4010</v>
      </c>
      <c r="CY9" s="111">
        <v>158</v>
      </c>
      <c r="CZ9" s="111">
        <v>1064</v>
      </c>
      <c r="DA9" s="111">
        <v>842</v>
      </c>
      <c r="DB9" s="111">
        <v>222</v>
      </c>
      <c r="DC9" s="111">
        <v>3279</v>
      </c>
      <c r="DD9" s="111">
        <v>0</v>
      </c>
      <c r="DE9" s="111">
        <v>2533</v>
      </c>
      <c r="DF9" s="111">
        <v>2453</v>
      </c>
      <c r="DG9" s="111">
        <v>80</v>
      </c>
      <c r="DH9" s="111">
        <v>746</v>
      </c>
      <c r="DI9" s="111">
        <v>596</v>
      </c>
      <c r="DJ9" s="111">
        <v>150</v>
      </c>
      <c r="DK9" s="111">
        <v>1870</v>
      </c>
      <c r="DL9" s="111">
        <v>1569</v>
      </c>
      <c r="DM9" s="111">
        <v>1498</v>
      </c>
      <c r="DN9" s="111">
        <v>71</v>
      </c>
      <c r="DO9" s="111">
        <v>301</v>
      </c>
      <c r="DP9" s="111">
        <v>235</v>
      </c>
      <c r="DQ9" s="111">
        <v>66</v>
      </c>
      <c r="DR9" s="111">
        <v>83</v>
      </c>
      <c r="DS9" s="111">
        <v>0</v>
      </c>
      <c r="DT9" s="111">
        <v>66</v>
      </c>
      <c r="DU9" s="111">
        <v>59</v>
      </c>
      <c r="DV9" s="111">
        <v>7</v>
      </c>
      <c r="DW9" s="111">
        <v>17</v>
      </c>
      <c r="DX9" s="111">
        <v>11</v>
      </c>
      <c r="DY9" s="111">
        <v>6</v>
      </c>
      <c r="DZ9" s="111">
        <v>0</v>
      </c>
      <c r="EA9" s="111">
        <v>0</v>
      </c>
      <c r="EB9" s="111">
        <v>0</v>
      </c>
      <c r="EC9" s="111">
        <v>0</v>
      </c>
      <c r="ED9" s="111">
        <v>0</v>
      </c>
      <c r="EE9" s="111">
        <v>0</v>
      </c>
      <c r="EF9" s="111">
        <v>0</v>
      </c>
      <c r="EG9" s="111">
        <v>1510</v>
      </c>
      <c r="EH9" s="111">
        <v>718</v>
      </c>
      <c r="EI9" s="111">
        <v>712</v>
      </c>
      <c r="EJ9" s="111">
        <v>6</v>
      </c>
      <c r="EK9" s="111">
        <v>792</v>
      </c>
      <c r="EL9" s="111">
        <v>786</v>
      </c>
      <c r="EM9" s="111">
        <v>6</v>
      </c>
      <c r="EN9" s="111">
        <v>1121</v>
      </c>
      <c r="EO9" s="111">
        <v>0</v>
      </c>
      <c r="EP9" s="111">
        <v>0</v>
      </c>
      <c r="EQ9" s="111">
        <v>1121</v>
      </c>
      <c r="ER9" s="111">
        <v>0</v>
      </c>
      <c r="ES9" s="111">
        <v>0</v>
      </c>
      <c r="ET9" s="111">
        <v>0</v>
      </c>
      <c r="EU9" s="111">
        <v>0</v>
      </c>
      <c r="EV9" s="111">
        <v>0</v>
      </c>
      <c r="EW9" s="111">
        <v>0</v>
      </c>
      <c r="EX9" s="111">
        <v>0</v>
      </c>
      <c r="EY9" s="111">
        <v>0</v>
      </c>
      <c r="EZ9" s="111">
        <v>0</v>
      </c>
      <c r="FA9" s="111">
        <v>0</v>
      </c>
      <c r="FB9" s="111">
        <v>135</v>
      </c>
    </row>
    <row r="10" spans="1:158" ht="19.5" customHeight="1">
      <c r="A10" s="107">
        <v>7</v>
      </c>
      <c r="B10" s="107" t="s">
        <v>350</v>
      </c>
      <c r="C10" s="107" t="s">
        <v>357</v>
      </c>
      <c r="D10" s="110">
        <v>28820828.460000001</v>
      </c>
      <c r="E10" s="110">
        <v>21047851.960000001</v>
      </c>
      <c r="F10" s="110">
        <v>7772976.5</v>
      </c>
      <c r="G10" s="110">
        <v>30477</v>
      </c>
      <c r="H10" s="110">
        <v>883</v>
      </c>
      <c r="I10" s="110">
        <v>14232369.960000001</v>
      </c>
      <c r="J10" s="110">
        <v>0</v>
      </c>
      <c r="K10" s="110">
        <v>0</v>
      </c>
      <c r="L10" s="110">
        <v>569499</v>
      </c>
      <c r="M10" s="110">
        <v>130189</v>
      </c>
      <c r="N10" s="110">
        <v>0</v>
      </c>
      <c r="O10" s="110">
        <v>51713590.700000003</v>
      </c>
      <c r="P10" s="110">
        <v>45494905.170000002</v>
      </c>
      <c r="Q10" s="110">
        <v>44989058.829999998</v>
      </c>
      <c r="R10" s="110">
        <v>505846.34</v>
      </c>
      <c r="S10" s="110">
        <v>6218685.5300000003</v>
      </c>
      <c r="T10" s="110">
        <v>5674489.3899999997</v>
      </c>
      <c r="U10" s="110">
        <v>544196.14</v>
      </c>
      <c r="V10" s="110">
        <v>39573723.799999997</v>
      </c>
      <c r="W10" s="110">
        <v>36613734.369999997</v>
      </c>
      <c r="X10" s="110">
        <v>36209570.799999997</v>
      </c>
      <c r="Y10" s="110">
        <v>404163.57</v>
      </c>
      <c r="Z10" s="110">
        <v>2959989.43</v>
      </c>
      <c r="AA10" s="110">
        <v>2470678.37</v>
      </c>
      <c r="AB10" s="110">
        <v>489311.06</v>
      </c>
      <c r="AC10" s="110">
        <v>14854265.880000001</v>
      </c>
      <c r="AD10" s="110">
        <v>13644754.42</v>
      </c>
      <c r="AE10" s="110">
        <v>13477385.24</v>
      </c>
      <c r="AF10" s="110">
        <v>167369.18</v>
      </c>
      <c r="AG10" s="110">
        <v>1209511.46</v>
      </c>
      <c r="AH10" s="110">
        <v>966414.76</v>
      </c>
      <c r="AI10" s="110">
        <v>243096.7</v>
      </c>
      <c r="AJ10" s="110">
        <v>3671605.96</v>
      </c>
      <c r="AK10" s="110">
        <v>3503430.99</v>
      </c>
      <c r="AL10" s="110">
        <v>3483098.6</v>
      </c>
      <c r="AM10" s="110">
        <v>20332.39</v>
      </c>
      <c r="AN10" s="110">
        <v>168174.97</v>
      </c>
      <c r="AO10" s="110">
        <v>141207.60999999999</v>
      </c>
      <c r="AP10" s="110">
        <v>26967.360000000001</v>
      </c>
      <c r="AQ10" s="110">
        <v>5742410</v>
      </c>
      <c r="AR10" s="110">
        <v>5180313</v>
      </c>
      <c r="AS10" s="110">
        <v>5059192</v>
      </c>
      <c r="AT10" s="110">
        <v>121121</v>
      </c>
      <c r="AU10" s="110">
        <v>562097</v>
      </c>
      <c r="AV10" s="110">
        <v>438947</v>
      </c>
      <c r="AW10" s="110">
        <v>123150</v>
      </c>
      <c r="AX10" s="110">
        <v>15305441.960000001</v>
      </c>
      <c r="AY10" s="110">
        <v>14285235.960000001</v>
      </c>
      <c r="AZ10" s="110">
        <v>14189894.960000001</v>
      </c>
      <c r="BA10" s="110">
        <v>95341</v>
      </c>
      <c r="BB10" s="110">
        <v>1020206</v>
      </c>
      <c r="BC10" s="110">
        <v>924109</v>
      </c>
      <c r="BD10" s="110">
        <v>96097</v>
      </c>
      <c r="BE10" s="110">
        <v>12139866.9</v>
      </c>
      <c r="BF10" s="110">
        <v>8881170.8000000007</v>
      </c>
      <c r="BG10" s="110">
        <v>8779488.0299999993</v>
      </c>
      <c r="BH10" s="110">
        <v>101682.77</v>
      </c>
      <c r="BI10" s="110">
        <v>3258696.1</v>
      </c>
      <c r="BJ10" s="110">
        <v>3203811.02</v>
      </c>
      <c r="BK10" s="110">
        <v>54885.08</v>
      </c>
      <c r="BL10" s="110">
        <v>3514062.71</v>
      </c>
      <c r="BM10" s="110">
        <v>2525899.65</v>
      </c>
      <c r="BN10" s="110">
        <v>2512629.63</v>
      </c>
      <c r="BO10" s="110">
        <v>13270.02</v>
      </c>
      <c r="BP10" s="110">
        <v>988163.06</v>
      </c>
      <c r="BQ10" s="110">
        <v>973986.51</v>
      </c>
      <c r="BR10" s="110">
        <v>14176.55</v>
      </c>
      <c r="BS10" s="110">
        <v>852827.69</v>
      </c>
      <c r="BT10" s="110">
        <v>655676.65</v>
      </c>
      <c r="BU10" s="110">
        <v>650638.9</v>
      </c>
      <c r="BV10" s="110">
        <v>5037.75</v>
      </c>
      <c r="BW10" s="110">
        <v>197151.04</v>
      </c>
      <c r="BX10" s="110">
        <v>196679.01</v>
      </c>
      <c r="BY10" s="110">
        <v>472.03</v>
      </c>
      <c r="BZ10" s="110">
        <v>5711181</v>
      </c>
      <c r="CA10" s="110">
        <v>4158695</v>
      </c>
      <c r="CB10" s="110">
        <v>4095645</v>
      </c>
      <c r="CC10" s="110">
        <v>63050</v>
      </c>
      <c r="CD10" s="110">
        <v>1552486</v>
      </c>
      <c r="CE10" s="110">
        <v>1517280</v>
      </c>
      <c r="CF10" s="110">
        <v>35206</v>
      </c>
      <c r="CG10" s="110">
        <v>2061795.5</v>
      </c>
      <c r="CH10" s="110">
        <v>1540899.5</v>
      </c>
      <c r="CI10" s="110">
        <v>1520574.5</v>
      </c>
      <c r="CJ10" s="110">
        <v>20325</v>
      </c>
      <c r="CK10" s="110">
        <v>520896</v>
      </c>
      <c r="CL10" s="110">
        <v>515865.5</v>
      </c>
      <c r="CM10" s="110">
        <v>5030.5</v>
      </c>
      <c r="CN10" s="110">
        <v>-19</v>
      </c>
      <c r="CO10" s="110">
        <v>5504999.3200000003</v>
      </c>
      <c r="CP10" s="110">
        <v>5896184.5899999999</v>
      </c>
      <c r="CQ10" s="110">
        <v>27598811.07</v>
      </c>
      <c r="CR10" s="110">
        <v>573722.81999999995</v>
      </c>
      <c r="CS10" s="110">
        <v>0</v>
      </c>
      <c r="CT10" s="110">
        <v>0</v>
      </c>
      <c r="CU10" s="110">
        <v>0</v>
      </c>
      <c r="CV10" s="111">
        <v>30477</v>
      </c>
      <c r="CW10" s="111">
        <v>27278</v>
      </c>
      <c r="CX10" s="111">
        <v>26547</v>
      </c>
      <c r="CY10" s="111">
        <v>731</v>
      </c>
      <c r="CZ10" s="111">
        <v>3199</v>
      </c>
      <c r="DA10" s="111">
        <v>2320</v>
      </c>
      <c r="DB10" s="111">
        <v>879</v>
      </c>
      <c r="DC10" s="111">
        <v>22356</v>
      </c>
      <c r="DD10" s="111">
        <v>416</v>
      </c>
      <c r="DE10" s="111">
        <v>20175</v>
      </c>
      <c r="DF10" s="111">
        <v>19640</v>
      </c>
      <c r="DG10" s="111">
        <v>535</v>
      </c>
      <c r="DH10" s="111">
        <v>2181</v>
      </c>
      <c r="DI10" s="111">
        <v>1587</v>
      </c>
      <c r="DJ10" s="111">
        <v>594</v>
      </c>
      <c r="DK10" s="111">
        <v>7178</v>
      </c>
      <c r="DL10" s="111">
        <v>6324</v>
      </c>
      <c r="DM10" s="111">
        <v>6159</v>
      </c>
      <c r="DN10" s="111">
        <v>165</v>
      </c>
      <c r="DO10" s="111">
        <v>854</v>
      </c>
      <c r="DP10" s="111">
        <v>646</v>
      </c>
      <c r="DQ10" s="111">
        <v>208</v>
      </c>
      <c r="DR10" s="111">
        <v>527</v>
      </c>
      <c r="DS10" s="111">
        <v>0</v>
      </c>
      <c r="DT10" s="111">
        <v>397</v>
      </c>
      <c r="DU10" s="111">
        <v>376</v>
      </c>
      <c r="DV10" s="111">
        <v>21</v>
      </c>
      <c r="DW10" s="111">
        <v>130</v>
      </c>
      <c r="DX10" s="111">
        <v>84</v>
      </c>
      <c r="DY10" s="111">
        <v>46</v>
      </c>
      <c r="DZ10" s="111">
        <v>0</v>
      </c>
      <c r="EA10" s="111">
        <v>0</v>
      </c>
      <c r="EB10" s="111">
        <v>0</v>
      </c>
      <c r="EC10" s="111">
        <v>0</v>
      </c>
      <c r="ED10" s="111">
        <v>0</v>
      </c>
      <c r="EE10" s="111">
        <v>0</v>
      </c>
      <c r="EF10" s="111">
        <v>0</v>
      </c>
      <c r="EG10" s="111">
        <v>883</v>
      </c>
      <c r="EH10" s="111">
        <v>650</v>
      </c>
      <c r="EI10" s="111">
        <v>642</v>
      </c>
      <c r="EJ10" s="111">
        <v>8</v>
      </c>
      <c r="EK10" s="111">
        <v>233</v>
      </c>
      <c r="EL10" s="111">
        <v>227</v>
      </c>
      <c r="EM10" s="111">
        <v>6</v>
      </c>
      <c r="EN10" s="111">
        <v>251</v>
      </c>
      <c r="EO10" s="111">
        <v>53</v>
      </c>
      <c r="EP10" s="111">
        <v>0</v>
      </c>
      <c r="EQ10" s="111">
        <v>198</v>
      </c>
      <c r="ER10" s="111">
        <v>0</v>
      </c>
      <c r="ES10" s="111">
        <v>0</v>
      </c>
      <c r="ET10" s="111">
        <v>0</v>
      </c>
      <c r="EU10" s="111">
        <v>1</v>
      </c>
      <c r="EV10" s="111">
        <v>1</v>
      </c>
      <c r="EW10" s="111">
        <v>0</v>
      </c>
      <c r="EX10" s="111">
        <v>0</v>
      </c>
      <c r="EY10" s="111">
        <v>0</v>
      </c>
      <c r="EZ10" s="111">
        <v>0</v>
      </c>
      <c r="FA10" s="111">
        <v>0</v>
      </c>
      <c r="FB10" s="111">
        <v>550</v>
      </c>
    </row>
    <row r="11" spans="1:158" ht="19.5" customHeight="1">
      <c r="A11" s="107">
        <v>8</v>
      </c>
      <c r="B11" s="107" t="s">
        <v>350</v>
      </c>
      <c r="C11" s="107" t="s">
        <v>358</v>
      </c>
      <c r="D11" s="110">
        <v>20541900</v>
      </c>
      <c r="E11" s="110">
        <v>13545395</v>
      </c>
      <c r="F11" s="110">
        <v>6996505</v>
      </c>
      <c r="G11" s="110">
        <v>64483</v>
      </c>
      <c r="H11" s="110">
        <v>739</v>
      </c>
      <c r="I11" s="110">
        <v>18760</v>
      </c>
      <c r="J11" s="110">
        <v>1826</v>
      </c>
      <c r="K11" s="110">
        <v>0</v>
      </c>
      <c r="L11" s="110">
        <v>715875.5</v>
      </c>
      <c r="M11" s="110">
        <v>14676</v>
      </c>
      <c r="N11" s="110">
        <v>0</v>
      </c>
      <c r="O11" s="110">
        <v>40546466.439999998</v>
      </c>
      <c r="P11" s="110">
        <v>36423904.979999997</v>
      </c>
      <c r="Q11" s="110">
        <v>35735915.359999999</v>
      </c>
      <c r="R11" s="110">
        <v>687989.62</v>
      </c>
      <c r="S11" s="110">
        <v>4122561.46</v>
      </c>
      <c r="T11" s="110">
        <v>3482123.64</v>
      </c>
      <c r="U11" s="110">
        <v>640437.81999999995</v>
      </c>
      <c r="V11" s="110">
        <v>31657483.940000001</v>
      </c>
      <c r="W11" s="110">
        <v>29137978.77</v>
      </c>
      <c r="X11" s="110">
        <v>28494525.75</v>
      </c>
      <c r="Y11" s="110">
        <v>643453.02</v>
      </c>
      <c r="Z11" s="110">
        <v>2519505.17</v>
      </c>
      <c r="AA11" s="110">
        <v>1961170.9</v>
      </c>
      <c r="AB11" s="110">
        <v>558334.27</v>
      </c>
      <c r="AC11" s="110">
        <v>17786409.140000001</v>
      </c>
      <c r="AD11" s="110">
        <v>16496922.17</v>
      </c>
      <c r="AE11" s="110">
        <v>16237034.35</v>
      </c>
      <c r="AF11" s="110">
        <v>259887.82</v>
      </c>
      <c r="AG11" s="110">
        <v>1289486.97</v>
      </c>
      <c r="AH11" s="110">
        <v>1069211.8999999999</v>
      </c>
      <c r="AI11" s="110">
        <v>220275.07</v>
      </c>
      <c r="AJ11" s="110">
        <v>325679.8</v>
      </c>
      <c r="AK11" s="110">
        <v>301369.59999999998</v>
      </c>
      <c r="AL11" s="110">
        <v>296262.40000000002</v>
      </c>
      <c r="AM11" s="110">
        <v>5107.2</v>
      </c>
      <c r="AN11" s="110">
        <v>24310.2</v>
      </c>
      <c r="AO11" s="110">
        <v>20099</v>
      </c>
      <c r="AP11" s="110">
        <v>4211.2</v>
      </c>
      <c r="AQ11" s="110">
        <v>11281881</v>
      </c>
      <c r="AR11" s="110">
        <v>10297399</v>
      </c>
      <c r="AS11" s="110">
        <v>9994582</v>
      </c>
      <c r="AT11" s="110">
        <v>302817</v>
      </c>
      <c r="AU11" s="110">
        <v>984482</v>
      </c>
      <c r="AV11" s="110">
        <v>716346</v>
      </c>
      <c r="AW11" s="110">
        <v>268136</v>
      </c>
      <c r="AX11" s="110">
        <v>2263514</v>
      </c>
      <c r="AY11" s="110">
        <v>2042288</v>
      </c>
      <c r="AZ11" s="110">
        <v>1966647</v>
      </c>
      <c r="BA11" s="110">
        <v>75641</v>
      </c>
      <c r="BB11" s="110">
        <v>221226</v>
      </c>
      <c r="BC11" s="110">
        <v>155514</v>
      </c>
      <c r="BD11" s="110">
        <v>65712</v>
      </c>
      <c r="BE11" s="110">
        <v>8888982.5</v>
      </c>
      <c r="BF11" s="110">
        <v>7285926.21</v>
      </c>
      <c r="BG11" s="110">
        <v>7241389.6100000003</v>
      </c>
      <c r="BH11" s="110">
        <v>44536.6</v>
      </c>
      <c r="BI11" s="110">
        <v>1603056.29</v>
      </c>
      <c r="BJ11" s="110">
        <v>1520952.74</v>
      </c>
      <c r="BK11" s="110">
        <v>82103.55</v>
      </c>
      <c r="BL11" s="110">
        <v>1719534.1</v>
      </c>
      <c r="BM11" s="110">
        <v>1407482.76</v>
      </c>
      <c r="BN11" s="110">
        <v>1400146.7</v>
      </c>
      <c r="BO11" s="110">
        <v>7336.06</v>
      </c>
      <c r="BP11" s="110">
        <v>312051.34000000003</v>
      </c>
      <c r="BQ11" s="110">
        <v>294087.28000000003</v>
      </c>
      <c r="BR11" s="110">
        <v>17964.060000000001</v>
      </c>
      <c r="BS11" s="110">
        <v>172943.4</v>
      </c>
      <c r="BT11" s="110">
        <v>140758.95000000001</v>
      </c>
      <c r="BU11" s="110">
        <v>140083.91</v>
      </c>
      <c r="BV11" s="110">
        <v>675.04</v>
      </c>
      <c r="BW11" s="110">
        <v>32184.45</v>
      </c>
      <c r="BX11" s="110">
        <v>30903.96</v>
      </c>
      <c r="BY11" s="110">
        <v>1280.49</v>
      </c>
      <c r="BZ11" s="110">
        <v>5390280</v>
      </c>
      <c r="CA11" s="110">
        <v>4416042</v>
      </c>
      <c r="CB11" s="110">
        <v>4387273</v>
      </c>
      <c r="CC11" s="110">
        <v>28769</v>
      </c>
      <c r="CD11" s="110">
        <v>974238</v>
      </c>
      <c r="CE11" s="110">
        <v>924511</v>
      </c>
      <c r="CF11" s="110">
        <v>49727</v>
      </c>
      <c r="CG11" s="110">
        <v>1606225</v>
      </c>
      <c r="CH11" s="110">
        <v>1321642.5</v>
      </c>
      <c r="CI11" s="110">
        <v>1313886</v>
      </c>
      <c r="CJ11" s="110">
        <v>7756.5</v>
      </c>
      <c r="CK11" s="110">
        <v>284582.5</v>
      </c>
      <c r="CL11" s="110">
        <v>271450.5</v>
      </c>
      <c r="CM11" s="110">
        <v>13132</v>
      </c>
      <c r="CN11" s="110">
        <v>0</v>
      </c>
      <c r="CO11" s="110">
        <v>17233607.149999999</v>
      </c>
      <c r="CP11" s="110">
        <v>10367754.380000001</v>
      </c>
      <c r="CQ11" s="110">
        <v>2888791.67</v>
      </c>
      <c r="CR11" s="110">
        <v>1164829.1000000001</v>
      </c>
      <c r="CS11" s="110">
        <v>2501.64</v>
      </c>
      <c r="CT11" s="110">
        <v>0</v>
      </c>
      <c r="CU11" s="110">
        <v>0</v>
      </c>
      <c r="CV11" s="111">
        <v>64483</v>
      </c>
      <c r="CW11" s="111">
        <v>58691</v>
      </c>
      <c r="CX11" s="111">
        <v>57054</v>
      </c>
      <c r="CY11" s="111">
        <v>1637</v>
      </c>
      <c r="CZ11" s="111">
        <v>5792</v>
      </c>
      <c r="DA11" s="111">
        <v>4277</v>
      </c>
      <c r="DB11" s="111">
        <v>1515</v>
      </c>
      <c r="DC11" s="111">
        <v>44073</v>
      </c>
      <c r="DD11" s="111">
        <v>716</v>
      </c>
      <c r="DE11" s="111">
        <v>40198</v>
      </c>
      <c r="DF11" s="111">
        <v>39179</v>
      </c>
      <c r="DG11" s="111">
        <v>1019</v>
      </c>
      <c r="DH11" s="111">
        <v>3875</v>
      </c>
      <c r="DI11" s="111">
        <v>2920</v>
      </c>
      <c r="DJ11" s="111">
        <v>955</v>
      </c>
      <c r="DK11" s="111">
        <v>18179</v>
      </c>
      <c r="DL11" s="111">
        <v>16505</v>
      </c>
      <c r="DM11" s="111">
        <v>15977</v>
      </c>
      <c r="DN11" s="111">
        <v>528</v>
      </c>
      <c r="DO11" s="111">
        <v>1674</v>
      </c>
      <c r="DP11" s="111">
        <v>1227</v>
      </c>
      <c r="DQ11" s="111">
        <v>447</v>
      </c>
      <c r="DR11" s="111">
        <v>1508</v>
      </c>
      <c r="DS11" s="111">
        <v>7</v>
      </c>
      <c r="DT11" s="111">
        <v>1293</v>
      </c>
      <c r="DU11" s="111">
        <v>1217</v>
      </c>
      <c r="DV11" s="111">
        <v>76</v>
      </c>
      <c r="DW11" s="111">
        <v>215</v>
      </c>
      <c r="DX11" s="111">
        <v>128</v>
      </c>
      <c r="DY11" s="111">
        <v>87</v>
      </c>
      <c r="DZ11" s="111">
        <v>0</v>
      </c>
      <c r="EA11" s="111">
        <v>0</v>
      </c>
      <c r="EB11" s="111">
        <v>0</v>
      </c>
      <c r="EC11" s="111">
        <v>0</v>
      </c>
      <c r="ED11" s="111">
        <v>0</v>
      </c>
      <c r="EE11" s="111">
        <v>0</v>
      </c>
      <c r="EF11" s="111">
        <v>0</v>
      </c>
      <c r="EG11" s="111">
        <v>739</v>
      </c>
      <c r="EH11" s="111">
        <v>611</v>
      </c>
      <c r="EI11" s="111">
        <v>600</v>
      </c>
      <c r="EJ11" s="111">
        <v>11</v>
      </c>
      <c r="EK11" s="111">
        <v>128</v>
      </c>
      <c r="EL11" s="111">
        <v>117</v>
      </c>
      <c r="EM11" s="111">
        <v>11</v>
      </c>
      <c r="EN11" s="111">
        <v>4</v>
      </c>
      <c r="EO11" s="111">
        <v>0</v>
      </c>
      <c r="EP11" s="111">
        <v>0</v>
      </c>
      <c r="EQ11" s="111">
        <v>4</v>
      </c>
      <c r="ER11" s="111">
        <v>0</v>
      </c>
      <c r="ES11" s="111">
        <v>0</v>
      </c>
      <c r="ET11" s="111">
        <v>0</v>
      </c>
      <c r="EU11" s="111">
        <v>0</v>
      </c>
      <c r="EV11" s="111">
        <v>0</v>
      </c>
      <c r="EW11" s="111">
        <v>0</v>
      </c>
      <c r="EX11" s="111">
        <v>0</v>
      </c>
      <c r="EY11" s="111">
        <v>0</v>
      </c>
      <c r="EZ11" s="111">
        <v>0</v>
      </c>
      <c r="FA11" s="111">
        <v>0</v>
      </c>
      <c r="FB11" s="111">
        <v>691</v>
      </c>
    </row>
    <row r="12" spans="1:158" ht="19.5" customHeight="1">
      <c r="A12" s="107">
        <v>9</v>
      </c>
      <c r="B12" s="107" t="s">
        <v>350</v>
      </c>
      <c r="C12" s="107" t="s">
        <v>359</v>
      </c>
      <c r="D12" s="110">
        <v>16586560.5</v>
      </c>
      <c r="E12" s="110">
        <v>876068.5</v>
      </c>
      <c r="F12" s="110">
        <v>15710492</v>
      </c>
      <c r="G12" s="110">
        <v>8416</v>
      </c>
      <c r="H12" s="110">
        <v>255</v>
      </c>
      <c r="I12" s="110">
        <v>31245</v>
      </c>
      <c r="J12" s="110">
        <v>0</v>
      </c>
      <c r="K12" s="110">
        <v>219497.17</v>
      </c>
      <c r="L12" s="110">
        <v>3131099.5</v>
      </c>
      <c r="M12" s="110">
        <v>86749.5</v>
      </c>
      <c r="N12" s="110">
        <v>30719.06</v>
      </c>
      <c r="O12" s="110">
        <v>30266245.48</v>
      </c>
      <c r="P12" s="110">
        <v>30172401.07</v>
      </c>
      <c r="Q12" s="110">
        <v>30150084.100000001</v>
      </c>
      <c r="R12" s="110">
        <v>22316.97</v>
      </c>
      <c r="S12" s="110">
        <v>93844.41</v>
      </c>
      <c r="T12" s="110">
        <v>58390.27</v>
      </c>
      <c r="U12" s="110">
        <v>35454.14</v>
      </c>
      <c r="V12" s="110">
        <v>5847525.2599999998</v>
      </c>
      <c r="W12" s="110">
        <v>5753680.8499999996</v>
      </c>
      <c r="X12" s="110">
        <v>5731363.8799999999</v>
      </c>
      <c r="Y12" s="110">
        <v>22316.97</v>
      </c>
      <c r="Z12" s="110">
        <v>93844.41</v>
      </c>
      <c r="AA12" s="110">
        <v>58390.27</v>
      </c>
      <c r="AB12" s="110">
        <v>35454.14</v>
      </c>
      <c r="AC12" s="110">
        <v>4952486.01</v>
      </c>
      <c r="AD12" s="110">
        <v>4879423.5999999996</v>
      </c>
      <c r="AE12" s="110">
        <v>4864413.63</v>
      </c>
      <c r="AF12" s="110">
        <v>15009.97</v>
      </c>
      <c r="AG12" s="110">
        <v>73062.41</v>
      </c>
      <c r="AH12" s="110">
        <v>45545.27</v>
      </c>
      <c r="AI12" s="110">
        <v>27517.14</v>
      </c>
      <c r="AJ12" s="110">
        <v>18970.75</v>
      </c>
      <c r="AK12" s="110">
        <v>18661.75</v>
      </c>
      <c r="AL12" s="110">
        <v>18661.75</v>
      </c>
      <c r="AM12" s="110">
        <v>0</v>
      </c>
      <c r="AN12" s="110">
        <v>309</v>
      </c>
      <c r="AO12" s="110">
        <v>264</v>
      </c>
      <c r="AP12" s="110">
        <v>45</v>
      </c>
      <c r="AQ12" s="110">
        <v>623555</v>
      </c>
      <c r="AR12" s="110">
        <v>608873</v>
      </c>
      <c r="AS12" s="110">
        <v>602672</v>
      </c>
      <c r="AT12" s="110">
        <v>6201</v>
      </c>
      <c r="AU12" s="110">
        <v>14682</v>
      </c>
      <c r="AV12" s="110">
        <v>9649</v>
      </c>
      <c r="AW12" s="110">
        <v>5033</v>
      </c>
      <c r="AX12" s="110">
        <v>252513.5</v>
      </c>
      <c r="AY12" s="110">
        <v>246722.5</v>
      </c>
      <c r="AZ12" s="110">
        <v>245616.5</v>
      </c>
      <c r="BA12" s="110">
        <v>1106</v>
      </c>
      <c r="BB12" s="110">
        <v>5791</v>
      </c>
      <c r="BC12" s="110">
        <v>2932</v>
      </c>
      <c r="BD12" s="110">
        <v>2859</v>
      </c>
      <c r="BE12" s="110">
        <v>24418720.219999999</v>
      </c>
      <c r="BF12" s="110">
        <v>24418720.219999999</v>
      </c>
      <c r="BG12" s="110">
        <v>24418720.219999999</v>
      </c>
      <c r="BH12" s="110">
        <v>0</v>
      </c>
      <c r="BI12" s="110">
        <v>0</v>
      </c>
      <c r="BJ12" s="110">
        <v>0</v>
      </c>
      <c r="BK12" s="110">
        <v>0</v>
      </c>
      <c r="BL12" s="110">
        <v>7960294.8300000001</v>
      </c>
      <c r="BM12" s="110">
        <v>7960294.8300000001</v>
      </c>
      <c r="BN12" s="110">
        <v>7960294.8300000001</v>
      </c>
      <c r="BO12" s="110">
        <v>0</v>
      </c>
      <c r="BP12" s="110">
        <v>0</v>
      </c>
      <c r="BQ12" s="110">
        <v>0</v>
      </c>
      <c r="BR12" s="110">
        <v>0</v>
      </c>
      <c r="BS12" s="110">
        <v>747933.39</v>
      </c>
      <c r="BT12" s="110">
        <v>747933.39</v>
      </c>
      <c r="BU12" s="110">
        <v>747933.39</v>
      </c>
      <c r="BV12" s="110">
        <v>0</v>
      </c>
      <c r="BW12" s="110">
        <v>0</v>
      </c>
      <c r="BX12" s="110">
        <v>0</v>
      </c>
      <c r="BY12" s="110">
        <v>0</v>
      </c>
      <c r="BZ12" s="110">
        <v>7031039.5</v>
      </c>
      <c r="CA12" s="110">
        <v>7031039.5</v>
      </c>
      <c r="CB12" s="110">
        <v>7031039.5</v>
      </c>
      <c r="CC12" s="110">
        <v>0</v>
      </c>
      <c r="CD12" s="110">
        <v>0</v>
      </c>
      <c r="CE12" s="110">
        <v>0</v>
      </c>
      <c r="CF12" s="110">
        <v>0</v>
      </c>
      <c r="CG12" s="110">
        <v>8679452.5</v>
      </c>
      <c r="CH12" s="110">
        <v>8679452.5</v>
      </c>
      <c r="CI12" s="110">
        <v>8679452.5</v>
      </c>
      <c r="CJ12" s="110">
        <v>0</v>
      </c>
      <c r="CK12" s="110">
        <v>0</v>
      </c>
      <c r="CL12" s="110">
        <v>0</v>
      </c>
      <c r="CM12" s="110">
        <v>0</v>
      </c>
      <c r="CN12" s="110">
        <v>0</v>
      </c>
      <c r="CO12" s="110">
        <v>5815726.2599999998</v>
      </c>
      <c r="CP12" s="110">
        <v>0</v>
      </c>
      <c r="CQ12" s="110">
        <v>250</v>
      </c>
      <c r="CR12" s="110">
        <v>31549</v>
      </c>
      <c r="CS12" s="110">
        <v>0</v>
      </c>
      <c r="CT12" s="110">
        <v>0</v>
      </c>
      <c r="CU12" s="110">
        <v>0</v>
      </c>
      <c r="CV12" s="111">
        <v>8416</v>
      </c>
      <c r="CW12" s="111">
        <v>8278</v>
      </c>
      <c r="CX12" s="111">
        <v>8252</v>
      </c>
      <c r="CY12" s="111">
        <v>26</v>
      </c>
      <c r="CZ12" s="111">
        <v>138</v>
      </c>
      <c r="DA12" s="111">
        <v>107</v>
      </c>
      <c r="DB12" s="111">
        <v>31</v>
      </c>
      <c r="DC12" s="111">
        <v>8394</v>
      </c>
      <c r="DD12" s="111">
        <v>0</v>
      </c>
      <c r="DE12" s="111">
        <v>8274</v>
      </c>
      <c r="DF12" s="111">
        <v>8252</v>
      </c>
      <c r="DG12" s="111">
        <v>22</v>
      </c>
      <c r="DH12" s="111">
        <v>120</v>
      </c>
      <c r="DI12" s="111">
        <v>107</v>
      </c>
      <c r="DJ12" s="111">
        <v>13</v>
      </c>
      <c r="DK12" s="111">
        <v>0</v>
      </c>
      <c r="DL12" s="111">
        <v>0</v>
      </c>
      <c r="DM12" s="111">
        <v>0</v>
      </c>
      <c r="DN12" s="111">
        <v>0</v>
      </c>
      <c r="DO12" s="111">
        <v>0</v>
      </c>
      <c r="DP12" s="111">
        <v>0</v>
      </c>
      <c r="DQ12" s="111">
        <v>0</v>
      </c>
      <c r="DR12" s="111">
        <v>22</v>
      </c>
      <c r="DS12" s="111">
        <v>0</v>
      </c>
      <c r="DT12" s="111">
        <v>4</v>
      </c>
      <c r="DU12" s="111">
        <v>0</v>
      </c>
      <c r="DV12" s="111">
        <v>4</v>
      </c>
      <c r="DW12" s="111">
        <v>18</v>
      </c>
      <c r="DX12" s="111">
        <v>0</v>
      </c>
      <c r="DY12" s="111">
        <v>18</v>
      </c>
      <c r="DZ12" s="111">
        <v>0</v>
      </c>
      <c r="EA12" s="111">
        <v>0</v>
      </c>
      <c r="EB12" s="111">
        <v>0</v>
      </c>
      <c r="EC12" s="111">
        <v>0</v>
      </c>
      <c r="ED12" s="111">
        <v>0</v>
      </c>
      <c r="EE12" s="111">
        <v>0</v>
      </c>
      <c r="EF12" s="111">
        <v>0</v>
      </c>
      <c r="EG12" s="111">
        <v>255</v>
      </c>
      <c r="EH12" s="111">
        <v>255</v>
      </c>
      <c r="EI12" s="111">
        <v>255</v>
      </c>
      <c r="EJ12" s="111">
        <v>0</v>
      </c>
      <c r="EK12" s="111">
        <v>0</v>
      </c>
      <c r="EL12" s="111">
        <v>0</v>
      </c>
      <c r="EM12" s="111">
        <v>0</v>
      </c>
      <c r="EN12" s="111">
        <v>137</v>
      </c>
      <c r="EO12" s="111">
        <v>0</v>
      </c>
      <c r="EP12" s="111">
        <v>0</v>
      </c>
      <c r="EQ12" s="111">
        <v>137</v>
      </c>
      <c r="ER12" s="111">
        <v>0</v>
      </c>
      <c r="ES12" s="111">
        <v>0</v>
      </c>
      <c r="ET12" s="111">
        <v>0</v>
      </c>
      <c r="EU12" s="111">
        <v>0</v>
      </c>
      <c r="EV12" s="111">
        <v>0</v>
      </c>
      <c r="EW12" s="111">
        <v>0</v>
      </c>
      <c r="EX12" s="111">
        <v>0</v>
      </c>
      <c r="EY12" s="111">
        <v>0</v>
      </c>
      <c r="EZ12" s="111">
        <v>0</v>
      </c>
      <c r="FA12" s="111">
        <v>0</v>
      </c>
      <c r="FB12" s="111">
        <v>0</v>
      </c>
    </row>
    <row r="13" spans="1:158" ht="19.5" customHeight="1">
      <c r="A13" s="107">
        <v>10</v>
      </c>
      <c r="B13" s="107" t="s">
        <v>350</v>
      </c>
      <c r="C13" s="107" t="s">
        <v>360</v>
      </c>
      <c r="D13" s="110">
        <v>6843466.5499999998</v>
      </c>
      <c r="E13" s="110">
        <v>2021566</v>
      </c>
      <c r="F13" s="110">
        <v>4821900.55</v>
      </c>
      <c r="G13" s="110">
        <v>12030</v>
      </c>
      <c r="H13" s="110">
        <v>250</v>
      </c>
      <c r="I13" s="110">
        <v>448</v>
      </c>
      <c r="J13" s="110">
        <v>0</v>
      </c>
      <c r="K13" s="110">
        <v>0</v>
      </c>
      <c r="L13" s="110">
        <v>221414</v>
      </c>
      <c r="M13" s="110">
        <v>114471.05</v>
      </c>
      <c r="N13" s="110">
        <v>0</v>
      </c>
      <c r="O13" s="110">
        <v>10986827.199999999</v>
      </c>
      <c r="P13" s="110">
        <v>8795271.6999999993</v>
      </c>
      <c r="Q13" s="110">
        <v>8538225.9900000002</v>
      </c>
      <c r="R13" s="110">
        <v>257045.71</v>
      </c>
      <c r="S13" s="110">
        <v>2191555.5</v>
      </c>
      <c r="T13" s="110">
        <v>1934649.71</v>
      </c>
      <c r="U13" s="110">
        <v>256905.79</v>
      </c>
      <c r="V13" s="110">
        <v>4986533.8099999996</v>
      </c>
      <c r="W13" s="110">
        <v>4560422.93</v>
      </c>
      <c r="X13" s="110">
        <v>4488709.91</v>
      </c>
      <c r="Y13" s="110">
        <v>71713.02</v>
      </c>
      <c r="Z13" s="110">
        <v>426110.88</v>
      </c>
      <c r="AA13" s="110">
        <v>345028.87</v>
      </c>
      <c r="AB13" s="110">
        <v>81082.009999999995</v>
      </c>
      <c r="AC13" s="110">
        <v>2960366.41</v>
      </c>
      <c r="AD13" s="110">
        <v>2781001.53</v>
      </c>
      <c r="AE13" s="110">
        <v>2757612.51</v>
      </c>
      <c r="AF13" s="110">
        <v>23389.02</v>
      </c>
      <c r="AG13" s="110">
        <v>179364.88</v>
      </c>
      <c r="AH13" s="110">
        <v>159783.87</v>
      </c>
      <c r="AI13" s="110">
        <v>19581.009999999998</v>
      </c>
      <c r="AJ13" s="110">
        <v>4601.3999999999996</v>
      </c>
      <c r="AK13" s="110">
        <v>3878.4</v>
      </c>
      <c r="AL13" s="110">
        <v>3833.4</v>
      </c>
      <c r="AM13" s="110">
        <v>45</v>
      </c>
      <c r="AN13" s="110">
        <v>723</v>
      </c>
      <c r="AO13" s="110">
        <v>556</v>
      </c>
      <c r="AP13" s="110">
        <v>167</v>
      </c>
      <c r="AQ13" s="110">
        <v>1699643</v>
      </c>
      <c r="AR13" s="110">
        <v>1482454</v>
      </c>
      <c r="AS13" s="110">
        <v>1439733</v>
      </c>
      <c r="AT13" s="110">
        <v>42721</v>
      </c>
      <c r="AU13" s="110">
        <v>217189</v>
      </c>
      <c r="AV13" s="110">
        <v>161674</v>
      </c>
      <c r="AW13" s="110">
        <v>55515</v>
      </c>
      <c r="AX13" s="110">
        <v>321923</v>
      </c>
      <c r="AY13" s="110">
        <v>293089</v>
      </c>
      <c r="AZ13" s="110">
        <v>287531</v>
      </c>
      <c r="BA13" s="110">
        <v>5558</v>
      </c>
      <c r="BB13" s="110">
        <v>28834</v>
      </c>
      <c r="BC13" s="110">
        <v>23015</v>
      </c>
      <c r="BD13" s="110">
        <v>5819</v>
      </c>
      <c r="BE13" s="110">
        <v>6000293.3899999997</v>
      </c>
      <c r="BF13" s="110">
        <v>4234848.7699999996</v>
      </c>
      <c r="BG13" s="110">
        <v>4049516.08</v>
      </c>
      <c r="BH13" s="110">
        <v>185332.69</v>
      </c>
      <c r="BI13" s="110">
        <v>1765444.62</v>
      </c>
      <c r="BJ13" s="110">
        <v>1589620.84</v>
      </c>
      <c r="BK13" s="110">
        <v>175823.78</v>
      </c>
      <c r="BL13" s="110">
        <v>873841.39</v>
      </c>
      <c r="BM13" s="110">
        <v>664365.71</v>
      </c>
      <c r="BN13" s="110">
        <v>643158.52</v>
      </c>
      <c r="BO13" s="110">
        <v>21207.19</v>
      </c>
      <c r="BP13" s="110">
        <v>209475.68</v>
      </c>
      <c r="BQ13" s="110">
        <v>188085.83</v>
      </c>
      <c r="BR13" s="110">
        <v>21389.85</v>
      </c>
      <c r="BS13" s="110">
        <v>304551.45</v>
      </c>
      <c r="BT13" s="110">
        <v>183652.36</v>
      </c>
      <c r="BU13" s="110">
        <v>180936.86</v>
      </c>
      <c r="BV13" s="110">
        <v>2715.5</v>
      </c>
      <c r="BW13" s="110">
        <v>120899.09</v>
      </c>
      <c r="BX13" s="110">
        <v>116578.16</v>
      </c>
      <c r="BY13" s="110">
        <v>4320.93</v>
      </c>
      <c r="BZ13" s="110">
        <v>2104596</v>
      </c>
      <c r="CA13" s="110">
        <v>1404548</v>
      </c>
      <c r="CB13" s="110">
        <v>1369594</v>
      </c>
      <c r="CC13" s="110">
        <v>34954</v>
      </c>
      <c r="CD13" s="110">
        <v>700048</v>
      </c>
      <c r="CE13" s="110">
        <v>633551</v>
      </c>
      <c r="CF13" s="110">
        <v>66497</v>
      </c>
      <c r="CG13" s="110">
        <v>2717304.55</v>
      </c>
      <c r="CH13" s="110">
        <v>1982282.7</v>
      </c>
      <c r="CI13" s="110">
        <v>1855826.7</v>
      </c>
      <c r="CJ13" s="110">
        <v>126456</v>
      </c>
      <c r="CK13" s="110">
        <v>735021.85</v>
      </c>
      <c r="CL13" s="110">
        <v>651405.85</v>
      </c>
      <c r="CM13" s="110">
        <v>83616</v>
      </c>
      <c r="CN13" s="110">
        <v>0</v>
      </c>
      <c r="CO13" s="110">
        <v>4316780.43</v>
      </c>
      <c r="CP13" s="110">
        <v>573655.76</v>
      </c>
      <c r="CQ13" s="110">
        <v>16111.97</v>
      </c>
      <c r="CR13" s="110">
        <v>79985.649999999994</v>
      </c>
      <c r="CS13" s="110">
        <v>0</v>
      </c>
      <c r="CT13" s="110">
        <v>0</v>
      </c>
      <c r="CU13" s="110">
        <v>0</v>
      </c>
      <c r="CV13" s="111">
        <v>12030</v>
      </c>
      <c r="CW13" s="111">
        <v>11023</v>
      </c>
      <c r="CX13" s="111">
        <v>10819</v>
      </c>
      <c r="CY13" s="111">
        <v>204</v>
      </c>
      <c r="CZ13" s="111">
        <v>1007</v>
      </c>
      <c r="DA13" s="111">
        <v>804</v>
      </c>
      <c r="DB13" s="111">
        <v>203</v>
      </c>
      <c r="DC13" s="111">
        <v>10901</v>
      </c>
      <c r="DD13" s="111">
        <v>207</v>
      </c>
      <c r="DE13" s="111">
        <v>10042</v>
      </c>
      <c r="DF13" s="111">
        <v>9886</v>
      </c>
      <c r="DG13" s="111">
        <v>156</v>
      </c>
      <c r="DH13" s="111">
        <v>859</v>
      </c>
      <c r="DI13" s="111">
        <v>696</v>
      </c>
      <c r="DJ13" s="111">
        <v>163</v>
      </c>
      <c r="DK13" s="111">
        <v>837</v>
      </c>
      <c r="DL13" s="111">
        <v>715</v>
      </c>
      <c r="DM13" s="111">
        <v>693</v>
      </c>
      <c r="DN13" s="111">
        <v>22</v>
      </c>
      <c r="DO13" s="111">
        <v>122</v>
      </c>
      <c r="DP13" s="111">
        <v>92</v>
      </c>
      <c r="DQ13" s="111">
        <v>30</v>
      </c>
      <c r="DR13" s="111">
        <v>85</v>
      </c>
      <c r="DS13" s="111">
        <v>0</v>
      </c>
      <c r="DT13" s="111">
        <v>70</v>
      </c>
      <c r="DU13" s="111">
        <v>68</v>
      </c>
      <c r="DV13" s="111">
        <v>2</v>
      </c>
      <c r="DW13" s="111">
        <v>15</v>
      </c>
      <c r="DX13" s="111">
        <v>12</v>
      </c>
      <c r="DY13" s="111">
        <v>3</v>
      </c>
      <c r="DZ13" s="111">
        <v>0</v>
      </c>
      <c r="EA13" s="111">
        <v>0</v>
      </c>
      <c r="EB13" s="111">
        <v>0</v>
      </c>
      <c r="EC13" s="111">
        <v>0</v>
      </c>
      <c r="ED13" s="111">
        <v>0</v>
      </c>
      <c r="EE13" s="111">
        <v>0</v>
      </c>
      <c r="EF13" s="111">
        <v>0</v>
      </c>
      <c r="EG13" s="111">
        <v>250</v>
      </c>
      <c r="EH13" s="111">
        <v>167</v>
      </c>
      <c r="EI13" s="111">
        <v>155</v>
      </c>
      <c r="EJ13" s="111">
        <v>12</v>
      </c>
      <c r="EK13" s="111">
        <v>83</v>
      </c>
      <c r="EL13" s="111">
        <v>75</v>
      </c>
      <c r="EM13" s="111">
        <v>8</v>
      </c>
      <c r="EN13" s="111">
        <v>21</v>
      </c>
      <c r="EO13" s="111">
        <v>0</v>
      </c>
      <c r="EP13" s="111">
        <v>0</v>
      </c>
      <c r="EQ13" s="111">
        <v>21</v>
      </c>
      <c r="ER13" s="111">
        <v>0</v>
      </c>
      <c r="ES13" s="111">
        <v>0</v>
      </c>
      <c r="ET13" s="111">
        <v>0</v>
      </c>
      <c r="EU13" s="111">
        <v>0</v>
      </c>
      <c r="EV13" s="111">
        <v>0</v>
      </c>
      <c r="EW13" s="111">
        <v>0</v>
      </c>
      <c r="EX13" s="111">
        <v>0</v>
      </c>
      <c r="EY13" s="111">
        <v>0</v>
      </c>
      <c r="EZ13" s="111">
        <v>0</v>
      </c>
      <c r="FA13" s="111">
        <v>0</v>
      </c>
      <c r="FB13" s="111">
        <v>0</v>
      </c>
    </row>
    <row r="14" spans="1:158" ht="19.5" customHeight="1">
      <c r="A14" s="107">
        <v>11</v>
      </c>
      <c r="B14" s="107" t="s">
        <v>361</v>
      </c>
      <c r="C14" s="107" t="s">
        <v>362</v>
      </c>
      <c r="D14" s="110">
        <v>51271001.600000001</v>
      </c>
      <c r="E14" s="110">
        <v>9090319.5</v>
      </c>
      <c r="F14" s="110">
        <v>42180682.100000001</v>
      </c>
      <c r="G14" s="110">
        <v>41162</v>
      </c>
      <c r="H14" s="110">
        <v>4048</v>
      </c>
      <c r="I14" s="110">
        <v>633054.5</v>
      </c>
      <c r="J14" s="110">
        <v>481458</v>
      </c>
      <c r="K14" s="110">
        <v>253.5</v>
      </c>
      <c r="L14" s="110">
        <v>2404758.25</v>
      </c>
      <c r="M14" s="110">
        <v>11360646.35</v>
      </c>
      <c r="N14" s="110">
        <v>11618.15</v>
      </c>
      <c r="O14" s="110">
        <v>113103425.86</v>
      </c>
      <c r="P14" s="110">
        <v>77979187.459999993</v>
      </c>
      <c r="Q14" s="110">
        <v>76433636.159999996</v>
      </c>
      <c r="R14" s="110">
        <v>1545551.3</v>
      </c>
      <c r="S14" s="110">
        <v>35124238.399999999</v>
      </c>
      <c r="T14" s="110">
        <v>33514797.48</v>
      </c>
      <c r="U14" s="110">
        <v>1609440.92</v>
      </c>
      <c r="V14" s="110">
        <v>16070931.439999999</v>
      </c>
      <c r="W14" s="110">
        <v>13405978.18</v>
      </c>
      <c r="X14" s="110">
        <v>12875910.189999999</v>
      </c>
      <c r="Y14" s="110">
        <v>530067.99</v>
      </c>
      <c r="Z14" s="110">
        <v>2664953.2599999998</v>
      </c>
      <c r="AA14" s="110">
        <v>2048438.18</v>
      </c>
      <c r="AB14" s="110">
        <v>616515.07999999996</v>
      </c>
      <c r="AC14" s="110">
        <v>5001681.4000000004</v>
      </c>
      <c r="AD14" s="110">
        <v>4139600.68</v>
      </c>
      <c r="AE14" s="110">
        <v>4030793.68</v>
      </c>
      <c r="AF14" s="110">
        <v>108807</v>
      </c>
      <c r="AG14" s="110">
        <v>862080.72</v>
      </c>
      <c r="AH14" s="110">
        <v>740437.9</v>
      </c>
      <c r="AI14" s="110">
        <v>121642.82</v>
      </c>
      <c r="AJ14" s="110">
        <v>1978930.54</v>
      </c>
      <c r="AK14" s="110">
        <v>1777566</v>
      </c>
      <c r="AL14" s="110">
        <v>1720981.01</v>
      </c>
      <c r="AM14" s="110">
        <v>56584.99</v>
      </c>
      <c r="AN14" s="110">
        <v>201364.54</v>
      </c>
      <c r="AO14" s="110">
        <v>170022.28</v>
      </c>
      <c r="AP14" s="110">
        <v>31342.26</v>
      </c>
      <c r="AQ14" s="110">
        <v>6431501</v>
      </c>
      <c r="AR14" s="110">
        <v>5236419</v>
      </c>
      <c r="AS14" s="110">
        <v>5008437</v>
      </c>
      <c r="AT14" s="110">
        <v>227982</v>
      </c>
      <c r="AU14" s="110">
        <v>1195082</v>
      </c>
      <c r="AV14" s="110">
        <v>859698</v>
      </c>
      <c r="AW14" s="110">
        <v>335384</v>
      </c>
      <c r="AX14" s="110">
        <v>2658818.5</v>
      </c>
      <c r="AY14" s="110">
        <v>2252392.5</v>
      </c>
      <c r="AZ14" s="110">
        <v>2115698.5</v>
      </c>
      <c r="BA14" s="110">
        <v>136694</v>
      </c>
      <c r="BB14" s="110">
        <v>406426</v>
      </c>
      <c r="BC14" s="110">
        <v>278280</v>
      </c>
      <c r="BD14" s="110">
        <v>128146</v>
      </c>
      <c r="BE14" s="110">
        <v>97032494.420000002</v>
      </c>
      <c r="BF14" s="110">
        <v>64573209.280000001</v>
      </c>
      <c r="BG14" s="110">
        <v>63557725.969999999</v>
      </c>
      <c r="BH14" s="110">
        <v>1015483.31</v>
      </c>
      <c r="BI14" s="110">
        <v>32459285.140000001</v>
      </c>
      <c r="BJ14" s="110">
        <v>31466359.300000001</v>
      </c>
      <c r="BK14" s="110">
        <v>992925.84</v>
      </c>
      <c r="BL14" s="110">
        <v>17858024.530000001</v>
      </c>
      <c r="BM14" s="110">
        <v>11586073.93</v>
      </c>
      <c r="BN14" s="110">
        <v>11415911.859999999</v>
      </c>
      <c r="BO14" s="110">
        <v>170162.07</v>
      </c>
      <c r="BP14" s="110">
        <v>6271950.5999999996</v>
      </c>
      <c r="BQ14" s="110">
        <v>6117553.7400000002</v>
      </c>
      <c r="BR14" s="110">
        <v>154396.85999999999</v>
      </c>
      <c r="BS14" s="110">
        <v>36993787.789999999</v>
      </c>
      <c r="BT14" s="110">
        <v>25001695.100000001</v>
      </c>
      <c r="BU14" s="110">
        <v>24675532.359999999</v>
      </c>
      <c r="BV14" s="110">
        <v>326162.74</v>
      </c>
      <c r="BW14" s="110">
        <v>11992092.689999999</v>
      </c>
      <c r="BX14" s="110">
        <v>11663722.460000001</v>
      </c>
      <c r="BY14" s="110">
        <v>328370.23</v>
      </c>
      <c r="BZ14" s="110">
        <v>16133649</v>
      </c>
      <c r="CA14" s="110">
        <v>10125076</v>
      </c>
      <c r="CB14" s="110">
        <v>9987979</v>
      </c>
      <c r="CC14" s="110">
        <v>137097</v>
      </c>
      <c r="CD14" s="110">
        <v>6008573</v>
      </c>
      <c r="CE14" s="110">
        <v>5833129</v>
      </c>
      <c r="CF14" s="110">
        <v>175444</v>
      </c>
      <c r="CG14" s="110">
        <v>26047033.100000001</v>
      </c>
      <c r="CH14" s="110">
        <v>17860364.25</v>
      </c>
      <c r="CI14" s="110">
        <v>17478302.75</v>
      </c>
      <c r="CJ14" s="110">
        <v>382061.5</v>
      </c>
      <c r="CK14" s="110">
        <v>8186668.8499999996</v>
      </c>
      <c r="CL14" s="110">
        <v>7851954.0999999996</v>
      </c>
      <c r="CM14" s="110">
        <v>334714.75</v>
      </c>
      <c r="CN14" s="110">
        <v>4316718.87</v>
      </c>
      <c r="CO14" s="110">
        <v>5223316.09</v>
      </c>
      <c r="CP14" s="110">
        <v>3888243.19</v>
      </c>
      <c r="CQ14" s="110">
        <v>2209559.5299999998</v>
      </c>
      <c r="CR14" s="110">
        <v>429611.17</v>
      </c>
      <c r="CS14" s="110">
        <v>3432.59</v>
      </c>
      <c r="CT14" s="110">
        <v>710500.76</v>
      </c>
      <c r="CU14" s="110">
        <v>0</v>
      </c>
      <c r="CV14" s="111">
        <v>41162</v>
      </c>
      <c r="CW14" s="111">
        <v>34726</v>
      </c>
      <c r="CX14" s="111">
        <v>33026</v>
      </c>
      <c r="CY14" s="111">
        <v>1700</v>
      </c>
      <c r="CZ14" s="111">
        <v>6436</v>
      </c>
      <c r="DA14" s="111">
        <v>4533</v>
      </c>
      <c r="DB14" s="111">
        <v>1903</v>
      </c>
      <c r="DC14" s="111">
        <v>20583</v>
      </c>
      <c r="DD14" s="111">
        <v>104</v>
      </c>
      <c r="DE14" s="111">
        <v>17784</v>
      </c>
      <c r="DF14" s="111">
        <v>16854</v>
      </c>
      <c r="DG14" s="111">
        <v>930</v>
      </c>
      <c r="DH14" s="111">
        <v>2799</v>
      </c>
      <c r="DI14" s="111">
        <v>1924</v>
      </c>
      <c r="DJ14" s="111">
        <v>875</v>
      </c>
      <c r="DK14" s="111">
        <v>10436</v>
      </c>
      <c r="DL14" s="111">
        <v>8518</v>
      </c>
      <c r="DM14" s="111">
        <v>8163</v>
      </c>
      <c r="DN14" s="111">
        <v>355</v>
      </c>
      <c r="DO14" s="111">
        <v>1918</v>
      </c>
      <c r="DP14" s="111">
        <v>1366</v>
      </c>
      <c r="DQ14" s="111">
        <v>552</v>
      </c>
      <c r="DR14" s="111">
        <v>578</v>
      </c>
      <c r="DS14" s="111">
        <v>0</v>
      </c>
      <c r="DT14" s="111">
        <v>376</v>
      </c>
      <c r="DU14" s="111">
        <v>338</v>
      </c>
      <c r="DV14" s="111">
        <v>38</v>
      </c>
      <c r="DW14" s="111">
        <v>202</v>
      </c>
      <c r="DX14" s="111">
        <v>133</v>
      </c>
      <c r="DY14" s="111">
        <v>69</v>
      </c>
      <c r="DZ14" s="111">
        <v>9461</v>
      </c>
      <c r="EA14" s="111">
        <v>7954</v>
      </c>
      <c r="EB14" s="111">
        <v>7582</v>
      </c>
      <c r="EC14" s="111">
        <v>372</v>
      </c>
      <c r="ED14" s="111">
        <v>1507</v>
      </c>
      <c r="EE14" s="111">
        <v>1109</v>
      </c>
      <c r="EF14" s="111">
        <v>398</v>
      </c>
      <c r="EG14" s="111">
        <v>4048</v>
      </c>
      <c r="EH14" s="111">
        <v>2876</v>
      </c>
      <c r="EI14" s="111">
        <v>2827</v>
      </c>
      <c r="EJ14" s="111">
        <v>49</v>
      </c>
      <c r="EK14" s="111">
        <v>1172</v>
      </c>
      <c r="EL14" s="111">
        <v>1122</v>
      </c>
      <c r="EM14" s="111">
        <v>50</v>
      </c>
      <c r="EN14" s="111">
        <v>3601</v>
      </c>
      <c r="EO14" s="111">
        <v>2698</v>
      </c>
      <c r="EP14" s="111">
        <v>0</v>
      </c>
      <c r="EQ14" s="111">
        <v>903</v>
      </c>
      <c r="ER14" s="111">
        <v>1362</v>
      </c>
      <c r="ES14" s="111">
        <v>0</v>
      </c>
      <c r="ET14" s="111">
        <v>4</v>
      </c>
      <c r="EU14" s="111">
        <v>1046</v>
      </c>
      <c r="EV14" s="111">
        <v>818</v>
      </c>
      <c r="EW14" s="111">
        <v>0</v>
      </c>
      <c r="EX14" s="111">
        <v>228</v>
      </c>
      <c r="EY14" s="111">
        <v>673</v>
      </c>
      <c r="EZ14" s="111">
        <v>673</v>
      </c>
      <c r="FA14" s="111">
        <v>0</v>
      </c>
      <c r="FB14" s="111">
        <v>1624</v>
      </c>
    </row>
    <row r="15" spans="1:158" ht="19.5" customHeight="1">
      <c r="A15" s="107">
        <v>12</v>
      </c>
      <c r="B15" s="107" t="s">
        <v>361</v>
      </c>
      <c r="C15" s="107" t="s">
        <v>363</v>
      </c>
      <c r="D15" s="110">
        <v>32606569.350000001</v>
      </c>
      <c r="E15" s="110">
        <v>2433465</v>
      </c>
      <c r="F15" s="110">
        <v>30173104.350000001</v>
      </c>
      <c r="G15" s="110">
        <v>10896</v>
      </c>
      <c r="H15" s="110">
        <v>2027</v>
      </c>
      <c r="I15" s="110">
        <v>2804</v>
      </c>
      <c r="J15" s="110">
        <v>126</v>
      </c>
      <c r="K15" s="110">
        <v>0</v>
      </c>
      <c r="L15" s="110">
        <v>1985667.5</v>
      </c>
      <c r="M15" s="110">
        <v>8086009.5499999998</v>
      </c>
      <c r="N15" s="110">
        <v>0</v>
      </c>
      <c r="O15" s="110">
        <v>125942418.41</v>
      </c>
      <c r="P15" s="110">
        <v>72486650.540000007</v>
      </c>
      <c r="Q15" s="110">
        <v>70666156.519999996</v>
      </c>
      <c r="R15" s="110">
        <v>1820494.02</v>
      </c>
      <c r="S15" s="110">
        <v>53455767.869999997</v>
      </c>
      <c r="T15" s="110">
        <v>50444498.799999997</v>
      </c>
      <c r="U15" s="110">
        <v>3011269.07</v>
      </c>
      <c r="V15" s="110">
        <v>3574320.62</v>
      </c>
      <c r="W15" s="110">
        <v>2798207.65</v>
      </c>
      <c r="X15" s="110">
        <v>2600589.15</v>
      </c>
      <c r="Y15" s="110">
        <v>197618.5</v>
      </c>
      <c r="Z15" s="110">
        <v>776112.97</v>
      </c>
      <c r="AA15" s="110">
        <v>448826.73</v>
      </c>
      <c r="AB15" s="110">
        <v>327286.24</v>
      </c>
      <c r="AC15" s="110">
        <v>1107310.6200000001</v>
      </c>
      <c r="AD15" s="110">
        <v>918471.65</v>
      </c>
      <c r="AE15" s="110">
        <v>878689.15</v>
      </c>
      <c r="AF15" s="110">
        <v>39782.5</v>
      </c>
      <c r="AG15" s="110">
        <v>188838.97</v>
      </c>
      <c r="AH15" s="110">
        <v>131794.73000000001</v>
      </c>
      <c r="AI15" s="110">
        <v>57044.24</v>
      </c>
      <c r="AJ15" s="110">
        <v>33545</v>
      </c>
      <c r="AK15" s="110">
        <v>26837</v>
      </c>
      <c r="AL15" s="110">
        <v>25375</v>
      </c>
      <c r="AM15" s="110">
        <v>1462</v>
      </c>
      <c r="AN15" s="110">
        <v>6708</v>
      </c>
      <c r="AO15" s="110">
        <v>3612</v>
      </c>
      <c r="AP15" s="110">
        <v>3096</v>
      </c>
      <c r="AQ15" s="110">
        <v>2010834</v>
      </c>
      <c r="AR15" s="110">
        <v>1569260</v>
      </c>
      <c r="AS15" s="110">
        <v>1439381</v>
      </c>
      <c r="AT15" s="110">
        <v>129879</v>
      </c>
      <c r="AU15" s="110">
        <v>441574</v>
      </c>
      <c r="AV15" s="110">
        <v>237725</v>
      </c>
      <c r="AW15" s="110">
        <v>203849</v>
      </c>
      <c r="AX15" s="110">
        <v>422631</v>
      </c>
      <c r="AY15" s="110">
        <v>283639</v>
      </c>
      <c r="AZ15" s="110">
        <v>257144</v>
      </c>
      <c r="BA15" s="110">
        <v>26495</v>
      </c>
      <c r="BB15" s="110">
        <v>138992</v>
      </c>
      <c r="BC15" s="110">
        <v>75695</v>
      </c>
      <c r="BD15" s="110">
        <v>63297</v>
      </c>
      <c r="BE15" s="110">
        <v>122368097.79000001</v>
      </c>
      <c r="BF15" s="110">
        <v>69688442.890000001</v>
      </c>
      <c r="BG15" s="110">
        <v>68065567.370000005</v>
      </c>
      <c r="BH15" s="110">
        <v>1622875.52</v>
      </c>
      <c r="BI15" s="110">
        <v>52679654.899999999</v>
      </c>
      <c r="BJ15" s="110">
        <v>49995672.07</v>
      </c>
      <c r="BK15" s="110">
        <v>2683982.83</v>
      </c>
      <c r="BL15" s="110">
        <v>13438814.83</v>
      </c>
      <c r="BM15" s="110">
        <v>7284582.7599999998</v>
      </c>
      <c r="BN15" s="110">
        <v>7037636.4199999999</v>
      </c>
      <c r="BO15" s="110">
        <v>246946.34</v>
      </c>
      <c r="BP15" s="110">
        <v>6154232.0700000003</v>
      </c>
      <c r="BQ15" s="110">
        <v>5734524.5300000003</v>
      </c>
      <c r="BR15" s="110">
        <v>419707.54</v>
      </c>
      <c r="BS15" s="110">
        <v>78756178.609999999</v>
      </c>
      <c r="BT15" s="110">
        <v>46867922.829999998</v>
      </c>
      <c r="BU15" s="110">
        <v>46033671.899999999</v>
      </c>
      <c r="BV15" s="110">
        <v>834250.93</v>
      </c>
      <c r="BW15" s="110">
        <v>31888255.780000001</v>
      </c>
      <c r="BX15" s="110">
        <v>30569058.989999998</v>
      </c>
      <c r="BY15" s="110">
        <v>1319196.79</v>
      </c>
      <c r="BZ15" s="110">
        <v>11686686</v>
      </c>
      <c r="CA15" s="110">
        <v>6127159</v>
      </c>
      <c r="CB15" s="110">
        <v>5960479</v>
      </c>
      <c r="CC15" s="110">
        <v>166680</v>
      </c>
      <c r="CD15" s="110">
        <v>5559527</v>
      </c>
      <c r="CE15" s="110">
        <v>5268061</v>
      </c>
      <c r="CF15" s="110">
        <v>291466</v>
      </c>
      <c r="CG15" s="110">
        <v>18486418.350000001</v>
      </c>
      <c r="CH15" s="110">
        <v>9408778.3000000007</v>
      </c>
      <c r="CI15" s="110">
        <v>9033780.0500000007</v>
      </c>
      <c r="CJ15" s="110">
        <v>374998.25</v>
      </c>
      <c r="CK15" s="110">
        <v>9077640.0500000007</v>
      </c>
      <c r="CL15" s="110">
        <v>8424027.5500000007</v>
      </c>
      <c r="CM15" s="110">
        <v>653612.5</v>
      </c>
      <c r="CN15" s="110">
        <v>-25</v>
      </c>
      <c r="CO15" s="110">
        <v>1976260.4</v>
      </c>
      <c r="CP15" s="110">
        <v>1281009.6299999999</v>
      </c>
      <c r="CQ15" s="110">
        <v>203055.89</v>
      </c>
      <c r="CR15" s="110">
        <v>113994.7</v>
      </c>
      <c r="CS15" s="110">
        <v>0</v>
      </c>
      <c r="CT15" s="110">
        <v>1075862.03</v>
      </c>
      <c r="CU15" s="110">
        <v>0</v>
      </c>
      <c r="CV15" s="111">
        <v>10896</v>
      </c>
      <c r="CW15" s="111">
        <v>8266</v>
      </c>
      <c r="CX15" s="111">
        <v>7547</v>
      </c>
      <c r="CY15" s="111">
        <v>719</v>
      </c>
      <c r="CZ15" s="111">
        <v>2630</v>
      </c>
      <c r="DA15" s="111">
        <v>1508</v>
      </c>
      <c r="DB15" s="111">
        <v>1122</v>
      </c>
      <c r="DC15" s="111">
        <v>6281</v>
      </c>
      <c r="DD15" s="111">
        <v>72</v>
      </c>
      <c r="DE15" s="111">
        <v>5156</v>
      </c>
      <c r="DF15" s="111">
        <v>4723</v>
      </c>
      <c r="DG15" s="111">
        <v>433</v>
      </c>
      <c r="DH15" s="111">
        <v>1125</v>
      </c>
      <c r="DI15" s="111">
        <v>659</v>
      </c>
      <c r="DJ15" s="111">
        <v>466</v>
      </c>
      <c r="DK15" s="111">
        <v>4317</v>
      </c>
      <c r="DL15" s="111">
        <v>2992</v>
      </c>
      <c r="DM15" s="111">
        <v>2720</v>
      </c>
      <c r="DN15" s="111">
        <v>272</v>
      </c>
      <c r="DO15" s="111">
        <v>1325</v>
      </c>
      <c r="DP15" s="111">
        <v>762</v>
      </c>
      <c r="DQ15" s="111">
        <v>563</v>
      </c>
      <c r="DR15" s="111">
        <v>226</v>
      </c>
      <c r="DS15" s="111">
        <v>0</v>
      </c>
      <c r="DT15" s="111">
        <v>54</v>
      </c>
      <c r="DU15" s="111">
        <v>45</v>
      </c>
      <c r="DV15" s="111">
        <v>9</v>
      </c>
      <c r="DW15" s="111">
        <v>172</v>
      </c>
      <c r="DX15" s="111">
        <v>86</v>
      </c>
      <c r="DY15" s="111">
        <v>86</v>
      </c>
      <c r="DZ15" s="111">
        <v>0</v>
      </c>
      <c r="EA15" s="111">
        <v>0</v>
      </c>
      <c r="EB15" s="111">
        <v>0</v>
      </c>
      <c r="EC15" s="111">
        <v>0</v>
      </c>
      <c r="ED15" s="111">
        <v>0</v>
      </c>
      <c r="EE15" s="111">
        <v>0</v>
      </c>
      <c r="EF15" s="111">
        <v>0</v>
      </c>
      <c r="EG15" s="111">
        <v>2027</v>
      </c>
      <c r="EH15" s="111">
        <v>1138</v>
      </c>
      <c r="EI15" s="111">
        <v>1090</v>
      </c>
      <c r="EJ15" s="111">
        <v>48</v>
      </c>
      <c r="EK15" s="111">
        <v>889</v>
      </c>
      <c r="EL15" s="111">
        <v>832</v>
      </c>
      <c r="EM15" s="111">
        <v>57</v>
      </c>
      <c r="EN15" s="111">
        <v>1759</v>
      </c>
      <c r="EO15" s="111">
        <v>826</v>
      </c>
      <c r="EP15" s="111">
        <v>499</v>
      </c>
      <c r="EQ15" s="111">
        <v>434</v>
      </c>
      <c r="ER15" s="111">
        <v>375</v>
      </c>
      <c r="ES15" s="111">
        <v>0</v>
      </c>
      <c r="ET15" s="111">
        <v>0</v>
      </c>
      <c r="EU15" s="111">
        <v>317</v>
      </c>
      <c r="EV15" s="111">
        <v>223</v>
      </c>
      <c r="EW15" s="111">
        <v>21</v>
      </c>
      <c r="EX15" s="111">
        <v>73</v>
      </c>
      <c r="EY15" s="111">
        <v>955</v>
      </c>
      <c r="EZ15" s="111">
        <v>477</v>
      </c>
      <c r="FA15" s="111">
        <v>478</v>
      </c>
      <c r="FB15" s="111">
        <v>805</v>
      </c>
    </row>
    <row r="16" spans="1:158" ht="19.5" customHeight="1">
      <c r="A16" s="107">
        <v>13</v>
      </c>
      <c r="B16" s="107" t="s">
        <v>361</v>
      </c>
      <c r="C16" s="107" t="s">
        <v>364</v>
      </c>
      <c r="D16" s="110">
        <v>50582744.329999998</v>
      </c>
      <c r="E16" s="110">
        <v>11639673</v>
      </c>
      <c r="F16" s="110">
        <v>38943071.329999998</v>
      </c>
      <c r="G16" s="110">
        <v>62735</v>
      </c>
      <c r="H16" s="110">
        <v>3326</v>
      </c>
      <c r="I16" s="110">
        <v>267495</v>
      </c>
      <c r="J16" s="110">
        <v>163615</v>
      </c>
      <c r="K16" s="110">
        <v>0</v>
      </c>
      <c r="L16" s="110">
        <v>2814872.88</v>
      </c>
      <c r="M16" s="110">
        <v>16646042.949999999</v>
      </c>
      <c r="N16" s="110">
        <v>0</v>
      </c>
      <c r="O16" s="110">
        <v>165447964.71000001</v>
      </c>
      <c r="P16" s="110">
        <v>125051572.98</v>
      </c>
      <c r="Q16" s="110">
        <v>100478686.38</v>
      </c>
      <c r="R16" s="110">
        <v>24572886.600000001</v>
      </c>
      <c r="S16" s="110">
        <v>40396391.729999997</v>
      </c>
      <c r="T16" s="110">
        <v>31967176.09</v>
      </c>
      <c r="U16" s="110">
        <v>8429215.6400000006</v>
      </c>
      <c r="V16" s="110">
        <v>25819006.559999999</v>
      </c>
      <c r="W16" s="110">
        <v>22393192.199999999</v>
      </c>
      <c r="X16" s="110">
        <v>18027094.280000001</v>
      </c>
      <c r="Y16" s="110">
        <v>4366097.92</v>
      </c>
      <c r="Z16" s="110">
        <v>3425814.36</v>
      </c>
      <c r="AA16" s="110">
        <v>1591671.74</v>
      </c>
      <c r="AB16" s="110">
        <v>1834142.62</v>
      </c>
      <c r="AC16" s="110">
        <v>8083072.3399999999</v>
      </c>
      <c r="AD16" s="110">
        <v>7158418.54</v>
      </c>
      <c r="AE16" s="110">
        <v>6280383.6299999999</v>
      </c>
      <c r="AF16" s="110">
        <v>878034.91</v>
      </c>
      <c r="AG16" s="110">
        <v>924653.8</v>
      </c>
      <c r="AH16" s="110">
        <v>492153.66</v>
      </c>
      <c r="AI16" s="110">
        <v>432500.14</v>
      </c>
      <c r="AJ16" s="110">
        <v>6096261.2199999997</v>
      </c>
      <c r="AK16" s="110">
        <v>5427366.6600000001</v>
      </c>
      <c r="AL16" s="110">
        <v>3803231.15</v>
      </c>
      <c r="AM16" s="110">
        <v>1624135.51</v>
      </c>
      <c r="AN16" s="110">
        <v>668894.56000000006</v>
      </c>
      <c r="AO16" s="110">
        <v>223178.08</v>
      </c>
      <c r="AP16" s="110">
        <v>445716.47999999998</v>
      </c>
      <c r="AQ16" s="110">
        <v>8826727</v>
      </c>
      <c r="AR16" s="110">
        <v>7588833</v>
      </c>
      <c r="AS16" s="110">
        <v>6118178</v>
      </c>
      <c r="AT16" s="110">
        <v>1470655</v>
      </c>
      <c r="AU16" s="110">
        <v>1237894</v>
      </c>
      <c r="AV16" s="110">
        <v>581774</v>
      </c>
      <c r="AW16" s="110">
        <v>656120</v>
      </c>
      <c r="AX16" s="110">
        <v>2812946</v>
      </c>
      <c r="AY16" s="110">
        <v>2218574</v>
      </c>
      <c r="AZ16" s="110">
        <v>1825301.5</v>
      </c>
      <c r="BA16" s="110">
        <v>393272.5</v>
      </c>
      <c r="BB16" s="110">
        <v>594372</v>
      </c>
      <c r="BC16" s="110">
        <v>294566</v>
      </c>
      <c r="BD16" s="110">
        <v>299806</v>
      </c>
      <c r="BE16" s="110">
        <v>139628958.15000001</v>
      </c>
      <c r="BF16" s="110">
        <v>102658380.78</v>
      </c>
      <c r="BG16" s="110">
        <v>82451592.099999994</v>
      </c>
      <c r="BH16" s="110">
        <v>20206788.68</v>
      </c>
      <c r="BI16" s="110">
        <v>36970577.369999997</v>
      </c>
      <c r="BJ16" s="110">
        <v>30375504.350000001</v>
      </c>
      <c r="BK16" s="110">
        <v>6595073.0199999996</v>
      </c>
      <c r="BL16" s="110">
        <v>12135006.27</v>
      </c>
      <c r="BM16" s="110">
        <v>8762487.3399999999</v>
      </c>
      <c r="BN16" s="110">
        <v>6999452.0700000003</v>
      </c>
      <c r="BO16" s="110">
        <v>1763035.27</v>
      </c>
      <c r="BP16" s="110">
        <v>3372518.93</v>
      </c>
      <c r="BQ16" s="110">
        <v>2774186.4</v>
      </c>
      <c r="BR16" s="110">
        <v>598332.53</v>
      </c>
      <c r="BS16" s="110">
        <v>88550880.549999997</v>
      </c>
      <c r="BT16" s="110">
        <v>65395171.579999998</v>
      </c>
      <c r="BU16" s="110">
        <v>52181815.590000004</v>
      </c>
      <c r="BV16" s="110">
        <v>13213355.99</v>
      </c>
      <c r="BW16" s="110">
        <v>23155708.969999999</v>
      </c>
      <c r="BX16" s="110">
        <v>18812521.98</v>
      </c>
      <c r="BY16" s="110">
        <v>4343186.99</v>
      </c>
      <c r="BZ16" s="110">
        <v>8777201</v>
      </c>
      <c r="CA16" s="110">
        <v>6411625</v>
      </c>
      <c r="CB16" s="110">
        <v>5233486</v>
      </c>
      <c r="CC16" s="110">
        <v>1178139</v>
      </c>
      <c r="CD16" s="110">
        <v>2365576</v>
      </c>
      <c r="CE16" s="110">
        <v>1975641</v>
      </c>
      <c r="CF16" s="110">
        <v>389935</v>
      </c>
      <c r="CG16" s="110">
        <v>30165870.329999998</v>
      </c>
      <c r="CH16" s="110">
        <v>22089096.859999999</v>
      </c>
      <c r="CI16" s="110">
        <v>18036838.440000001</v>
      </c>
      <c r="CJ16" s="110">
        <v>4052258.42</v>
      </c>
      <c r="CK16" s="110">
        <v>8076773.4699999997</v>
      </c>
      <c r="CL16" s="110">
        <v>6813154.9699999997</v>
      </c>
      <c r="CM16" s="110">
        <v>1263618.5</v>
      </c>
      <c r="CN16" s="110">
        <v>9461043.8100000005</v>
      </c>
      <c r="CO16" s="110">
        <v>7885132.5199999996</v>
      </c>
      <c r="CP16" s="110">
        <v>5671878.6299999999</v>
      </c>
      <c r="CQ16" s="110">
        <v>2209092.4700000002</v>
      </c>
      <c r="CR16" s="110">
        <v>591562.13</v>
      </c>
      <c r="CS16" s="110">
        <v>272</v>
      </c>
      <c r="CT16" s="110">
        <v>1111074.1399999999</v>
      </c>
      <c r="CU16" s="110">
        <v>0</v>
      </c>
      <c r="CV16" s="111">
        <v>62735</v>
      </c>
      <c r="CW16" s="111">
        <v>53074</v>
      </c>
      <c r="CX16" s="111">
        <v>44893</v>
      </c>
      <c r="CY16" s="111">
        <v>8181</v>
      </c>
      <c r="CZ16" s="111">
        <v>9661</v>
      </c>
      <c r="DA16" s="111">
        <v>4772</v>
      </c>
      <c r="DB16" s="111">
        <v>4889</v>
      </c>
      <c r="DC16" s="111">
        <v>28499</v>
      </c>
      <c r="DD16" s="111">
        <v>89</v>
      </c>
      <c r="DE16" s="111">
        <v>25047</v>
      </c>
      <c r="DF16" s="111">
        <v>22479</v>
      </c>
      <c r="DG16" s="111">
        <v>2568</v>
      </c>
      <c r="DH16" s="111">
        <v>3452</v>
      </c>
      <c r="DI16" s="111">
        <v>1775</v>
      </c>
      <c r="DJ16" s="111">
        <v>1677</v>
      </c>
      <c r="DK16" s="111">
        <v>21200</v>
      </c>
      <c r="DL16" s="111">
        <v>17539</v>
      </c>
      <c r="DM16" s="111">
        <v>15371</v>
      </c>
      <c r="DN16" s="111">
        <v>2168</v>
      </c>
      <c r="DO16" s="111">
        <v>3661</v>
      </c>
      <c r="DP16" s="111">
        <v>2110</v>
      </c>
      <c r="DQ16" s="111">
        <v>1551</v>
      </c>
      <c r="DR16" s="111">
        <v>1190</v>
      </c>
      <c r="DS16" s="111">
        <v>0</v>
      </c>
      <c r="DT16" s="111">
        <v>570</v>
      </c>
      <c r="DU16" s="111">
        <v>460</v>
      </c>
      <c r="DV16" s="111">
        <v>110</v>
      </c>
      <c r="DW16" s="111">
        <v>620</v>
      </c>
      <c r="DX16" s="111">
        <v>311</v>
      </c>
      <c r="DY16" s="111">
        <v>309</v>
      </c>
      <c r="DZ16" s="111">
        <v>11757</v>
      </c>
      <c r="EA16" s="111">
        <v>9831</v>
      </c>
      <c r="EB16" s="111">
        <v>6496</v>
      </c>
      <c r="EC16" s="111">
        <v>3335</v>
      </c>
      <c r="ED16" s="111">
        <v>1926</v>
      </c>
      <c r="EE16" s="111">
        <v>575</v>
      </c>
      <c r="EF16" s="111">
        <v>1351</v>
      </c>
      <c r="EG16" s="111">
        <v>3326</v>
      </c>
      <c r="EH16" s="111">
        <v>2513</v>
      </c>
      <c r="EI16" s="111">
        <v>2076</v>
      </c>
      <c r="EJ16" s="111">
        <v>437</v>
      </c>
      <c r="EK16" s="111">
        <v>813</v>
      </c>
      <c r="EL16" s="111">
        <v>667</v>
      </c>
      <c r="EM16" s="111">
        <v>146</v>
      </c>
      <c r="EN16" s="111">
        <v>3112</v>
      </c>
      <c r="EO16" s="111">
        <v>2822</v>
      </c>
      <c r="EP16" s="111">
        <v>0</v>
      </c>
      <c r="EQ16" s="111">
        <v>290</v>
      </c>
      <c r="ER16" s="111">
        <v>950</v>
      </c>
      <c r="ES16" s="111">
        <v>0</v>
      </c>
      <c r="ET16" s="111">
        <v>0</v>
      </c>
      <c r="EU16" s="111">
        <v>973</v>
      </c>
      <c r="EV16" s="111">
        <v>973</v>
      </c>
      <c r="EW16" s="111">
        <v>0</v>
      </c>
      <c r="EX16" s="111">
        <v>0</v>
      </c>
      <c r="EY16" s="111">
        <v>847</v>
      </c>
      <c r="EZ16" s="111">
        <v>847</v>
      </c>
      <c r="FA16" s="111">
        <v>0</v>
      </c>
      <c r="FB16" s="111">
        <v>1400</v>
      </c>
    </row>
    <row r="17" spans="1:158" ht="19.5" customHeight="1">
      <c r="A17" s="107">
        <v>14</v>
      </c>
      <c r="B17" s="107" t="s">
        <v>361</v>
      </c>
      <c r="C17" s="107" t="s">
        <v>365</v>
      </c>
      <c r="D17" s="110">
        <v>39856042.090000004</v>
      </c>
      <c r="E17" s="110">
        <v>6399706</v>
      </c>
      <c r="F17" s="110">
        <v>33456336.09</v>
      </c>
      <c r="G17" s="110">
        <v>35624</v>
      </c>
      <c r="H17" s="110">
        <v>2650</v>
      </c>
      <c r="I17" s="110">
        <v>424982</v>
      </c>
      <c r="J17" s="110">
        <v>19233</v>
      </c>
      <c r="K17" s="110">
        <v>0</v>
      </c>
      <c r="L17" s="110">
        <v>4808069.4400000004</v>
      </c>
      <c r="M17" s="110">
        <v>12558984.15</v>
      </c>
      <c r="N17" s="110">
        <v>429.8</v>
      </c>
      <c r="O17" s="110">
        <v>88940695.870000005</v>
      </c>
      <c r="P17" s="110">
        <v>58990330.32</v>
      </c>
      <c r="Q17" s="110">
        <v>57648658.450000003</v>
      </c>
      <c r="R17" s="110">
        <v>1341671.8700000001</v>
      </c>
      <c r="S17" s="110">
        <v>29950365.550000001</v>
      </c>
      <c r="T17" s="110">
        <v>28495072.039999999</v>
      </c>
      <c r="U17" s="110">
        <v>1455293.51</v>
      </c>
      <c r="V17" s="110">
        <v>27787844.949999999</v>
      </c>
      <c r="W17" s="110">
        <v>22626840.960000001</v>
      </c>
      <c r="X17" s="110">
        <v>22204946.190000001</v>
      </c>
      <c r="Y17" s="110">
        <v>421894.77</v>
      </c>
      <c r="Z17" s="110">
        <v>5161003.99</v>
      </c>
      <c r="AA17" s="110">
        <v>4410092.3</v>
      </c>
      <c r="AB17" s="110">
        <v>750911.69</v>
      </c>
      <c r="AC17" s="110">
        <v>20331815.800000001</v>
      </c>
      <c r="AD17" s="110">
        <v>16644329.970000001</v>
      </c>
      <c r="AE17" s="110">
        <v>16482605.68</v>
      </c>
      <c r="AF17" s="110">
        <v>161724.29</v>
      </c>
      <c r="AG17" s="110">
        <v>3687485.83</v>
      </c>
      <c r="AH17" s="110">
        <v>3289222.71</v>
      </c>
      <c r="AI17" s="110">
        <v>398263.12</v>
      </c>
      <c r="AJ17" s="110">
        <v>1056323.1499999999</v>
      </c>
      <c r="AK17" s="110">
        <v>919871.99</v>
      </c>
      <c r="AL17" s="110">
        <v>882461.51</v>
      </c>
      <c r="AM17" s="110">
        <v>37410.480000000003</v>
      </c>
      <c r="AN17" s="110">
        <v>136451.16</v>
      </c>
      <c r="AO17" s="110">
        <v>114624.59</v>
      </c>
      <c r="AP17" s="110">
        <v>21826.57</v>
      </c>
      <c r="AQ17" s="110">
        <v>4449205</v>
      </c>
      <c r="AR17" s="110">
        <v>3519743</v>
      </c>
      <c r="AS17" s="110">
        <v>3386615</v>
      </c>
      <c r="AT17" s="110">
        <v>133128</v>
      </c>
      <c r="AU17" s="110">
        <v>929462</v>
      </c>
      <c r="AV17" s="110">
        <v>710132</v>
      </c>
      <c r="AW17" s="110">
        <v>219330</v>
      </c>
      <c r="AX17" s="110">
        <v>1950501</v>
      </c>
      <c r="AY17" s="110">
        <v>1542896</v>
      </c>
      <c r="AZ17" s="110">
        <v>1453264</v>
      </c>
      <c r="BA17" s="110">
        <v>89632</v>
      </c>
      <c r="BB17" s="110">
        <v>407605</v>
      </c>
      <c r="BC17" s="110">
        <v>296113</v>
      </c>
      <c r="BD17" s="110">
        <v>111492</v>
      </c>
      <c r="BE17" s="110">
        <v>61152850.920000002</v>
      </c>
      <c r="BF17" s="110">
        <v>36363489.359999999</v>
      </c>
      <c r="BG17" s="110">
        <v>35443712.259999998</v>
      </c>
      <c r="BH17" s="110">
        <v>919777.1</v>
      </c>
      <c r="BI17" s="110">
        <v>24789361.559999999</v>
      </c>
      <c r="BJ17" s="110">
        <v>24084979.739999998</v>
      </c>
      <c r="BK17" s="110">
        <v>704381.82</v>
      </c>
      <c r="BL17" s="110">
        <v>7994131.4500000002</v>
      </c>
      <c r="BM17" s="110">
        <v>4914702.18</v>
      </c>
      <c r="BN17" s="110">
        <v>4852998.8899999997</v>
      </c>
      <c r="BO17" s="110">
        <v>61703.29</v>
      </c>
      <c r="BP17" s="110">
        <v>3079429.27</v>
      </c>
      <c r="BQ17" s="110">
        <v>2994890.57</v>
      </c>
      <c r="BR17" s="110">
        <v>84538.7</v>
      </c>
      <c r="BS17" s="110">
        <v>19702383.379999999</v>
      </c>
      <c r="BT17" s="110">
        <v>12431320.99</v>
      </c>
      <c r="BU17" s="110">
        <v>11997280.43</v>
      </c>
      <c r="BV17" s="110">
        <v>434040.56</v>
      </c>
      <c r="BW17" s="110">
        <v>7271062.3899999997</v>
      </c>
      <c r="BX17" s="110">
        <v>7045802.7699999996</v>
      </c>
      <c r="BY17" s="110">
        <v>225259.62</v>
      </c>
      <c r="BZ17" s="110">
        <v>10169083</v>
      </c>
      <c r="CA17" s="110">
        <v>6101276</v>
      </c>
      <c r="CB17" s="110">
        <v>6004212</v>
      </c>
      <c r="CC17" s="110">
        <v>97064</v>
      </c>
      <c r="CD17" s="110">
        <v>4067807</v>
      </c>
      <c r="CE17" s="110">
        <v>3948396</v>
      </c>
      <c r="CF17" s="110">
        <v>119411</v>
      </c>
      <c r="CG17" s="110">
        <v>23287253.09</v>
      </c>
      <c r="CH17" s="110">
        <v>12916190.189999999</v>
      </c>
      <c r="CI17" s="110">
        <v>12589220.939999999</v>
      </c>
      <c r="CJ17" s="110">
        <v>326969.25</v>
      </c>
      <c r="CK17" s="110">
        <v>10371062.9</v>
      </c>
      <c r="CL17" s="110">
        <v>10095890.4</v>
      </c>
      <c r="CM17" s="110">
        <v>275172.5</v>
      </c>
      <c r="CN17" s="110">
        <v>719164.74</v>
      </c>
      <c r="CO17" s="110">
        <v>8188193.1900000004</v>
      </c>
      <c r="CP17" s="110">
        <v>15848913.300000001</v>
      </c>
      <c r="CQ17" s="110">
        <v>274698.95</v>
      </c>
      <c r="CR17" s="110">
        <v>2747057.77</v>
      </c>
      <c r="CS17" s="110">
        <v>9792</v>
      </c>
      <c r="CT17" s="110">
        <v>912388.67</v>
      </c>
      <c r="CU17" s="110">
        <v>0</v>
      </c>
      <c r="CV17" s="111">
        <v>35624</v>
      </c>
      <c r="CW17" s="111">
        <v>30250</v>
      </c>
      <c r="CX17" s="111">
        <v>29022</v>
      </c>
      <c r="CY17" s="111">
        <v>1228</v>
      </c>
      <c r="CZ17" s="111">
        <v>5374</v>
      </c>
      <c r="DA17" s="111">
        <v>3784</v>
      </c>
      <c r="DB17" s="111">
        <v>1590</v>
      </c>
      <c r="DC17" s="111">
        <v>17785</v>
      </c>
      <c r="DD17" s="111">
        <v>110</v>
      </c>
      <c r="DE17" s="111">
        <v>15683</v>
      </c>
      <c r="DF17" s="111">
        <v>15110</v>
      </c>
      <c r="DG17" s="111">
        <v>573</v>
      </c>
      <c r="DH17" s="111">
        <v>2102</v>
      </c>
      <c r="DI17" s="111">
        <v>1438</v>
      </c>
      <c r="DJ17" s="111">
        <v>664</v>
      </c>
      <c r="DK17" s="111">
        <v>14512</v>
      </c>
      <c r="DL17" s="111">
        <v>12174</v>
      </c>
      <c r="DM17" s="111">
        <v>11723</v>
      </c>
      <c r="DN17" s="111">
        <v>451</v>
      </c>
      <c r="DO17" s="111">
        <v>2338</v>
      </c>
      <c r="DP17" s="111">
        <v>1728</v>
      </c>
      <c r="DQ17" s="111">
        <v>610</v>
      </c>
      <c r="DR17" s="111">
        <v>1313</v>
      </c>
      <c r="DS17" s="111">
        <v>0</v>
      </c>
      <c r="DT17" s="111">
        <v>664</v>
      </c>
      <c r="DU17" s="111">
        <v>612</v>
      </c>
      <c r="DV17" s="111">
        <v>52</v>
      </c>
      <c r="DW17" s="111">
        <v>649</v>
      </c>
      <c r="DX17" s="111">
        <v>463</v>
      </c>
      <c r="DY17" s="111">
        <v>186</v>
      </c>
      <c r="DZ17" s="111">
        <v>1904</v>
      </c>
      <c r="EA17" s="111">
        <v>1620</v>
      </c>
      <c r="EB17" s="111">
        <v>1472</v>
      </c>
      <c r="EC17" s="111">
        <v>148</v>
      </c>
      <c r="ED17" s="111">
        <v>284</v>
      </c>
      <c r="EE17" s="111">
        <v>154</v>
      </c>
      <c r="EF17" s="111">
        <v>130</v>
      </c>
      <c r="EG17" s="111">
        <v>2650</v>
      </c>
      <c r="EH17" s="111">
        <v>1782</v>
      </c>
      <c r="EI17" s="111">
        <v>1695</v>
      </c>
      <c r="EJ17" s="111">
        <v>87</v>
      </c>
      <c r="EK17" s="111">
        <v>868</v>
      </c>
      <c r="EL17" s="111">
        <v>827</v>
      </c>
      <c r="EM17" s="111">
        <v>41</v>
      </c>
      <c r="EN17" s="111">
        <v>2542</v>
      </c>
      <c r="EO17" s="111">
        <v>1883</v>
      </c>
      <c r="EP17" s="111">
        <v>0</v>
      </c>
      <c r="EQ17" s="111">
        <v>659</v>
      </c>
      <c r="ER17" s="111">
        <v>501</v>
      </c>
      <c r="ES17" s="111">
        <v>0</v>
      </c>
      <c r="ET17" s="111">
        <v>0</v>
      </c>
      <c r="EU17" s="111">
        <v>1060</v>
      </c>
      <c r="EV17" s="111">
        <v>1060</v>
      </c>
      <c r="EW17" s="111">
        <v>0</v>
      </c>
      <c r="EX17" s="111">
        <v>0</v>
      </c>
      <c r="EY17" s="111">
        <v>564</v>
      </c>
      <c r="EZ17" s="111">
        <v>564</v>
      </c>
      <c r="FA17" s="111">
        <v>0</v>
      </c>
      <c r="FB17" s="111">
        <v>995</v>
      </c>
    </row>
    <row r="18" spans="1:158" ht="19.5" customHeight="1">
      <c r="A18" s="107">
        <v>15</v>
      </c>
      <c r="B18" s="107" t="s">
        <v>361</v>
      </c>
      <c r="C18" s="107" t="s">
        <v>366</v>
      </c>
      <c r="D18" s="110">
        <v>34897120.920000002</v>
      </c>
      <c r="E18" s="110">
        <v>3019978</v>
      </c>
      <c r="F18" s="110">
        <v>31877142.920000002</v>
      </c>
      <c r="G18" s="110">
        <v>11949</v>
      </c>
      <c r="H18" s="110">
        <v>1260</v>
      </c>
      <c r="I18" s="110">
        <v>6718</v>
      </c>
      <c r="J18" s="110">
        <v>758</v>
      </c>
      <c r="K18" s="110">
        <v>0</v>
      </c>
      <c r="L18" s="110">
        <v>2614568.8199999998</v>
      </c>
      <c r="M18" s="110">
        <v>10560213.1</v>
      </c>
      <c r="N18" s="110">
        <v>60</v>
      </c>
      <c r="O18" s="110">
        <v>94832748.709999993</v>
      </c>
      <c r="P18" s="110">
        <v>37337405.939999998</v>
      </c>
      <c r="Q18" s="110">
        <v>36280304.259999998</v>
      </c>
      <c r="R18" s="110">
        <v>1057101.68</v>
      </c>
      <c r="S18" s="110">
        <v>57495342.770000003</v>
      </c>
      <c r="T18" s="110">
        <v>55739285.799999997</v>
      </c>
      <c r="U18" s="110">
        <v>1756056.97</v>
      </c>
      <c r="V18" s="110">
        <v>4280634.58</v>
      </c>
      <c r="W18" s="110">
        <v>2832489.5</v>
      </c>
      <c r="X18" s="110">
        <v>2590969.96</v>
      </c>
      <c r="Y18" s="110">
        <v>241519.54</v>
      </c>
      <c r="Z18" s="110">
        <v>1448145.08</v>
      </c>
      <c r="AA18" s="110">
        <v>880055.57</v>
      </c>
      <c r="AB18" s="110">
        <v>568089.51</v>
      </c>
      <c r="AC18" s="110">
        <v>1238094.92</v>
      </c>
      <c r="AD18" s="110">
        <v>951632.58</v>
      </c>
      <c r="AE18" s="110">
        <v>892737.14</v>
      </c>
      <c r="AF18" s="110">
        <v>58895.44</v>
      </c>
      <c r="AG18" s="110">
        <v>286462.34000000003</v>
      </c>
      <c r="AH18" s="110">
        <v>200588.29</v>
      </c>
      <c r="AI18" s="110">
        <v>85874.05</v>
      </c>
      <c r="AJ18" s="110">
        <v>22561.66</v>
      </c>
      <c r="AK18" s="110">
        <v>15138.92</v>
      </c>
      <c r="AL18" s="110">
        <v>13847.82</v>
      </c>
      <c r="AM18" s="110">
        <v>1291.0999999999999</v>
      </c>
      <c r="AN18" s="110">
        <v>7422.74</v>
      </c>
      <c r="AO18" s="110">
        <v>4367.28</v>
      </c>
      <c r="AP18" s="110">
        <v>3055.46</v>
      </c>
      <c r="AQ18" s="110">
        <v>2489710</v>
      </c>
      <c r="AR18" s="110">
        <v>1535044</v>
      </c>
      <c r="AS18" s="110">
        <v>1386132</v>
      </c>
      <c r="AT18" s="110">
        <v>148912</v>
      </c>
      <c r="AU18" s="110">
        <v>954666</v>
      </c>
      <c r="AV18" s="110">
        <v>564505</v>
      </c>
      <c r="AW18" s="110">
        <v>390161</v>
      </c>
      <c r="AX18" s="110">
        <v>530268</v>
      </c>
      <c r="AY18" s="110">
        <v>330674</v>
      </c>
      <c r="AZ18" s="110">
        <v>298253</v>
      </c>
      <c r="BA18" s="110">
        <v>32421</v>
      </c>
      <c r="BB18" s="110">
        <v>199594</v>
      </c>
      <c r="BC18" s="110">
        <v>110595</v>
      </c>
      <c r="BD18" s="110">
        <v>88999</v>
      </c>
      <c r="BE18" s="110">
        <v>90552114.129999995</v>
      </c>
      <c r="BF18" s="110">
        <v>34504916.439999998</v>
      </c>
      <c r="BG18" s="110">
        <v>33689334.299999997</v>
      </c>
      <c r="BH18" s="110">
        <v>815582.14</v>
      </c>
      <c r="BI18" s="110">
        <v>56047197.689999998</v>
      </c>
      <c r="BJ18" s="110">
        <v>54859230.229999997</v>
      </c>
      <c r="BK18" s="110">
        <v>1187967.46</v>
      </c>
      <c r="BL18" s="110">
        <v>14232205.65</v>
      </c>
      <c r="BM18" s="110">
        <v>5146353.3099999996</v>
      </c>
      <c r="BN18" s="110">
        <v>5034967.17</v>
      </c>
      <c r="BO18" s="110">
        <v>111386.14</v>
      </c>
      <c r="BP18" s="110">
        <v>9085852.3399999999</v>
      </c>
      <c r="BQ18" s="110">
        <v>8902629.2300000004</v>
      </c>
      <c r="BR18" s="110">
        <v>183223.11</v>
      </c>
      <c r="BS18" s="110">
        <v>44442765.560000002</v>
      </c>
      <c r="BT18" s="110">
        <v>17654569.98</v>
      </c>
      <c r="BU18" s="110">
        <v>17169793.579999998</v>
      </c>
      <c r="BV18" s="110">
        <v>484776.4</v>
      </c>
      <c r="BW18" s="110">
        <v>26788195.579999998</v>
      </c>
      <c r="BX18" s="110">
        <v>26227979.23</v>
      </c>
      <c r="BY18" s="110">
        <v>560216.35</v>
      </c>
      <c r="BZ18" s="110">
        <v>10856309.5</v>
      </c>
      <c r="CA18" s="110">
        <v>3813558</v>
      </c>
      <c r="CB18" s="110">
        <v>3739188</v>
      </c>
      <c r="CC18" s="110">
        <v>74370</v>
      </c>
      <c r="CD18" s="110">
        <v>7042751.5</v>
      </c>
      <c r="CE18" s="110">
        <v>6866658.5</v>
      </c>
      <c r="CF18" s="110">
        <v>176093</v>
      </c>
      <c r="CG18" s="110">
        <v>21020833.420000002</v>
      </c>
      <c r="CH18" s="110">
        <v>7890435.1500000004</v>
      </c>
      <c r="CI18" s="110">
        <v>7745385.5499999998</v>
      </c>
      <c r="CJ18" s="110">
        <v>145049.60000000001</v>
      </c>
      <c r="CK18" s="110">
        <v>13130398.27</v>
      </c>
      <c r="CL18" s="110">
        <v>12861963.27</v>
      </c>
      <c r="CM18" s="110">
        <v>268435</v>
      </c>
      <c r="CN18" s="110">
        <v>0</v>
      </c>
      <c r="CO18" s="110">
        <v>960556.84</v>
      </c>
      <c r="CP18" s="110">
        <v>3121296.55</v>
      </c>
      <c r="CQ18" s="110">
        <v>110627.62</v>
      </c>
      <c r="CR18" s="110">
        <v>77980.570000000007</v>
      </c>
      <c r="CS18" s="110">
        <v>10173</v>
      </c>
      <c r="CT18" s="110">
        <v>0</v>
      </c>
      <c r="CU18" s="110">
        <v>0</v>
      </c>
      <c r="CV18" s="111">
        <v>11949</v>
      </c>
      <c r="CW18" s="111">
        <v>7961</v>
      </c>
      <c r="CX18" s="111">
        <v>7200</v>
      </c>
      <c r="CY18" s="111">
        <v>761</v>
      </c>
      <c r="CZ18" s="111">
        <v>3988</v>
      </c>
      <c r="DA18" s="111">
        <v>2241</v>
      </c>
      <c r="DB18" s="111">
        <v>1747</v>
      </c>
      <c r="DC18" s="111">
        <v>3403</v>
      </c>
      <c r="DD18" s="111">
        <v>12</v>
      </c>
      <c r="DE18" s="111">
        <v>2514</v>
      </c>
      <c r="DF18" s="111">
        <v>2289</v>
      </c>
      <c r="DG18" s="111">
        <v>225</v>
      </c>
      <c r="DH18" s="111">
        <v>889</v>
      </c>
      <c r="DI18" s="111">
        <v>495</v>
      </c>
      <c r="DJ18" s="111">
        <v>394</v>
      </c>
      <c r="DK18" s="111">
        <v>8318</v>
      </c>
      <c r="DL18" s="111">
        <v>5381</v>
      </c>
      <c r="DM18" s="111">
        <v>4858</v>
      </c>
      <c r="DN18" s="111">
        <v>523</v>
      </c>
      <c r="DO18" s="111">
        <v>2937</v>
      </c>
      <c r="DP18" s="111">
        <v>1683</v>
      </c>
      <c r="DQ18" s="111">
        <v>1254</v>
      </c>
      <c r="DR18" s="111">
        <v>187</v>
      </c>
      <c r="DS18" s="111">
        <v>29</v>
      </c>
      <c r="DT18" s="111">
        <v>52</v>
      </c>
      <c r="DU18" s="111">
        <v>43</v>
      </c>
      <c r="DV18" s="111">
        <v>9</v>
      </c>
      <c r="DW18" s="111">
        <v>135</v>
      </c>
      <c r="DX18" s="111">
        <v>63</v>
      </c>
      <c r="DY18" s="111">
        <v>72</v>
      </c>
      <c r="DZ18" s="111">
        <v>0</v>
      </c>
      <c r="EA18" s="111">
        <v>0</v>
      </c>
      <c r="EB18" s="111">
        <v>0</v>
      </c>
      <c r="EC18" s="111">
        <v>0</v>
      </c>
      <c r="ED18" s="111">
        <v>0</v>
      </c>
      <c r="EE18" s="111">
        <v>0</v>
      </c>
      <c r="EF18" s="111">
        <v>0</v>
      </c>
      <c r="EG18" s="111">
        <v>1260</v>
      </c>
      <c r="EH18" s="111">
        <v>470</v>
      </c>
      <c r="EI18" s="111">
        <v>456</v>
      </c>
      <c r="EJ18" s="111">
        <v>14</v>
      </c>
      <c r="EK18" s="111">
        <v>790</v>
      </c>
      <c r="EL18" s="111">
        <v>760</v>
      </c>
      <c r="EM18" s="111">
        <v>30</v>
      </c>
      <c r="EN18" s="111">
        <v>1052</v>
      </c>
      <c r="EO18" s="111">
        <v>905</v>
      </c>
      <c r="EP18" s="111">
        <v>40</v>
      </c>
      <c r="EQ18" s="111">
        <v>107</v>
      </c>
      <c r="ER18" s="111">
        <v>658</v>
      </c>
      <c r="ES18" s="111">
        <v>0</v>
      </c>
      <c r="ET18" s="111">
        <v>0</v>
      </c>
      <c r="EU18" s="111">
        <v>24</v>
      </c>
      <c r="EV18" s="111">
        <v>21</v>
      </c>
      <c r="EW18" s="111">
        <v>3</v>
      </c>
      <c r="EX18" s="111">
        <v>0</v>
      </c>
      <c r="EY18" s="111">
        <v>889</v>
      </c>
      <c r="EZ18" s="111">
        <v>862</v>
      </c>
      <c r="FA18" s="111">
        <v>27</v>
      </c>
      <c r="FB18" s="111">
        <v>758</v>
      </c>
    </row>
    <row r="19" spans="1:158" ht="19.5" customHeight="1">
      <c r="A19" s="107">
        <v>16</v>
      </c>
      <c r="B19" s="107" t="s">
        <v>361</v>
      </c>
      <c r="C19" s="107" t="s">
        <v>367</v>
      </c>
      <c r="D19" s="110">
        <v>8977718.5899999999</v>
      </c>
      <c r="E19" s="110">
        <v>6600336.0899999999</v>
      </c>
      <c r="F19" s="110">
        <v>2377382.5</v>
      </c>
      <c r="G19" s="110">
        <v>3515</v>
      </c>
      <c r="H19" s="110">
        <v>126</v>
      </c>
      <c r="I19" s="110">
        <v>312651</v>
      </c>
      <c r="J19" s="110">
        <v>6010707.0899999999</v>
      </c>
      <c r="K19" s="110">
        <v>0</v>
      </c>
      <c r="L19" s="110">
        <v>196975</v>
      </c>
      <c r="M19" s="110">
        <v>911726</v>
      </c>
      <c r="N19" s="110">
        <v>0</v>
      </c>
      <c r="O19" s="110">
        <v>10291286.359999999</v>
      </c>
      <c r="P19" s="110">
        <v>5020817.63</v>
      </c>
      <c r="Q19" s="110">
        <v>177036.57</v>
      </c>
      <c r="R19" s="110">
        <v>4843781.0599999996</v>
      </c>
      <c r="S19" s="110">
        <v>5270468.7300000004</v>
      </c>
      <c r="T19" s="110">
        <v>124394.44</v>
      </c>
      <c r="U19" s="110">
        <v>5146074.29</v>
      </c>
      <c r="V19" s="110">
        <v>7342816.0499999998</v>
      </c>
      <c r="W19" s="110">
        <v>4456926.2699999996</v>
      </c>
      <c r="X19" s="110">
        <v>48837.54</v>
      </c>
      <c r="Y19" s="110">
        <v>4408088.7300000004</v>
      </c>
      <c r="Z19" s="110">
        <v>2885889.78</v>
      </c>
      <c r="AA19" s="110">
        <v>2406.4</v>
      </c>
      <c r="AB19" s="110">
        <v>2883483.38</v>
      </c>
      <c r="AC19" s="110">
        <v>615246.09</v>
      </c>
      <c r="AD19" s="110">
        <v>449058.46</v>
      </c>
      <c r="AE19" s="110">
        <v>318.99</v>
      </c>
      <c r="AF19" s="110">
        <v>448739.47</v>
      </c>
      <c r="AG19" s="110">
        <v>166187.63</v>
      </c>
      <c r="AH19" s="110">
        <v>0</v>
      </c>
      <c r="AI19" s="110">
        <v>166187.63</v>
      </c>
      <c r="AJ19" s="110">
        <v>127233.87</v>
      </c>
      <c r="AK19" s="110">
        <v>77540</v>
      </c>
      <c r="AL19" s="110">
        <v>2153.4</v>
      </c>
      <c r="AM19" s="110">
        <v>75386.600000000006</v>
      </c>
      <c r="AN19" s="110">
        <v>49693.87</v>
      </c>
      <c r="AO19" s="110">
        <v>73.400000000000006</v>
      </c>
      <c r="AP19" s="110">
        <v>49620.47</v>
      </c>
      <c r="AQ19" s="110">
        <v>45678</v>
      </c>
      <c r="AR19" s="110">
        <v>25637</v>
      </c>
      <c r="AS19" s="110">
        <v>1710</v>
      </c>
      <c r="AT19" s="110">
        <v>23927</v>
      </c>
      <c r="AU19" s="110">
        <v>20041</v>
      </c>
      <c r="AV19" s="110">
        <v>190</v>
      </c>
      <c r="AW19" s="110">
        <v>19851</v>
      </c>
      <c r="AX19" s="110">
        <v>6554658.0899999999</v>
      </c>
      <c r="AY19" s="110">
        <v>3904690.81</v>
      </c>
      <c r="AZ19" s="110">
        <v>44655.15</v>
      </c>
      <c r="BA19" s="110">
        <v>3860035.66</v>
      </c>
      <c r="BB19" s="110">
        <v>2649967.2799999998</v>
      </c>
      <c r="BC19" s="110">
        <v>2143</v>
      </c>
      <c r="BD19" s="110">
        <v>2647824.2799999998</v>
      </c>
      <c r="BE19" s="110">
        <v>2948470.31</v>
      </c>
      <c r="BF19" s="110">
        <v>563891.36</v>
      </c>
      <c r="BG19" s="110">
        <v>128199.03</v>
      </c>
      <c r="BH19" s="110">
        <v>435692.33</v>
      </c>
      <c r="BI19" s="110">
        <v>2384578.9500000002</v>
      </c>
      <c r="BJ19" s="110">
        <v>121988.04</v>
      </c>
      <c r="BK19" s="110">
        <v>2262590.91</v>
      </c>
      <c r="BL19" s="110">
        <v>160964.09</v>
      </c>
      <c r="BM19" s="110">
        <v>31653.99</v>
      </c>
      <c r="BN19" s="110">
        <v>7820.22</v>
      </c>
      <c r="BO19" s="110">
        <v>23833.77</v>
      </c>
      <c r="BP19" s="110">
        <v>129310.1</v>
      </c>
      <c r="BQ19" s="110">
        <v>7207.54</v>
      </c>
      <c r="BR19" s="110">
        <v>122102.56</v>
      </c>
      <c r="BS19" s="110">
        <v>410123.72</v>
      </c>
      <c r="BT19" s="110">
        <v>113615.87</v>
      </c>
      <c r="BU19" s="110">
        <v>38800.559999999998</v>
      </c>
      <c r="BV19" s="110">
        <v>74815.31</v>
      </c>
      <c r="BW19" s="110">
        <v>296507.84999999998</v>
      </c>
      <c r="BX19" s="110">
        <v>38996.5</v>
      </c>
      <c r="BY19" s="110">
        <v>257511.35</v>
      </c>
      <c r="BZ19" s="110">
        <v>141534</v>
      </c>
      <c r="CA19" s="110">
        <v>39310</v>
      </c>
      <c r="CB19" s="110">
        <v>14412</v>
      </c>
      <c r="CC19" s="110">
        <v>24898</v>
      </c>
      <c r="CD19" s="110">
        <v>102224</v>
      </c>
      <c r="CE19" s="110">
        <v>7117</v>
      </c>
      <c r="CF19" s="110">
        <v>95107</v>
      </c>
      <c r="CG19" s="110">
        <v>2235848.5</v>
      </c>
      <c r="CH19" s="110">
        <v>379311.5</v>
      </c>
      <c r="CI19" s="110">
        <v>67166.25</v>
      </c>
      <c r="CJ19" s="110">
        <v>312145.25</v>
      </c>
      <c r="CK19" s="110">
        <v>1856537</v>
      </c>
      <c r="CL19" s="110">
        <v>68667</v>
      </c>
      <c r="CM19" s="110">
        <v>1787870</v>
      </c>
      <c r="CN19" s="110">
        <v>1434312.19</v>
      </c>
      <c r="CO19" s="110">
        <v>2001863.28</v>
      </c>
      <c r="CP19" s="110">
        <v>1588163.99</v>
      </c>
      <c r="CQ19" s="110">
        <v>969544.25</v>
      </c>
      <c r="CR19" s="110">
        <v>1348932.34</v>
      </c>
      <c r="CS19" s="110">
        <v>0</v>
      </c>
      <c r="CT19" s="110">
        <v>2307533.04</v>
      </c>
      <c r="CU19" s="110">
        <v>0</v>
      </c>
      <c r="CV19" s="111">
        <v>3515</v>
      </c>
      <c r="CW19" s="111">
        <v>2155</v>
      </c>
      <c r="CX19" s="111">
        <v>30</v>
      </c>
      <c r="CY19" s="111">
        <v>2125</v>
      </c>
      <c r="CZ19" s="111">
        <v>1360</v>
      </c>
      <c r="DA19" s="111">
        <v>5</v>
      </c>
      <c r="DB19" s="111">
        <v>1355</v>
      </c>
      <c r="DC19" s="111">
        <v>1619</v>
      </c>
      <c r="DD19" s="111">
        <v>0</v>
      </c>
      <c r="DE19" s="111">
        <v>1129</v>
      </c>
      <c r="DF19" s="111">
        <v>23</v>
      </c>
      <c r="DG19" s="111">
        <v>1106</v>
      </c>
      <c r="DH19" s="111">
        <v>490</v>
      </c>
      <c r="DI19" s="111">
        <v>3</v>
      </c>
      <c r="DJ19" s="111">
        <v>487</v>
      </c>
      <c r="DK19" s="111">
        <v>919</v>
      </c>
      <c r="DL19" s="111">
        <v>485</v>
      </c>
      <c r="DM19" s="111">
        <v>6</v>
      </c>
      <c r="DN19" s="111">
        <v>479</v>
      </c>
      <c r="DO19" s="111">
        <v>434</v>
      </c>
      <c r="DP19" s="111">
        <v>2</v>
      </c>
      <c r="DQ19" s="111">
        <v>432</v>
      </c>
      <c r="DR19" s="111">
        <v>525</v>
      </c>
      <c r="DS19" s="111">
        <v>0</v>
      </c>
      <c r="DT19" s="111">
        <v>187</v>
      </c>
      <c r="DU19" s="111">
        <v>1</v>
      </c>
      <c r="DV19" s="111">
        <v>186</v>
      </c>
      <c r="DW19" s="111">
        <v>338</v>
      </c>
      <c r="DX19" s="111">
        <v>0</v>
      </c>
      <c r="DY19" s="111">
        <v>338</v>
      </c>
      <c r="DZ19" s="111">
        <v>452</v>
      </c>
      <c r="EA19" s="111">
        <v>354</v>
      </c>
      <c r="EB19" s="111">
        <v>0</v>
      </c>
      <c r="EC19" s="111">
        <v>354</v>
      </c>
      <c r="ED19" s="111">
        <v>98</v>
      </c>
      <c r="EE19" s="111">
        <v>0</v>
      </c>
      <c r="EF19" s="111">
        <v>98</v>
      </c>
      <c r="EG19" s="111">
        <v>126</v>
      </c>
      <c r="EH19" s="111">
        <v>25</v>
      </c>
      <c r="EI19" s="111">
        <v>5</v>
      </c>
      <c r="EJ19" s="111">
        <v>20</v>
      </c>
      <c r="EK19" s="111">
        <v>101</v>
      </c>
      <c r="EL19" s="111">
        <v>4</v>
      </c>
      <c r="EM19" s="111">
        <v>97</v>
      </c>
      <c r="EN19" s="111">
        <v>128</v>
      </c>
      <c r="EO19" s="111">
        <v>99</v>
      </c>
      <c r="EP19" s="111">
        <v>0</v>
      </c>
      <c r="EQ19" s="111">
        <v>29</v>
      </c>
      <c r="ER19" s="111">
        <v>0</v>
      </c>
      <c r="ES19" s="111">
        <v>0</v>
      </c>
      <c r="ET19" s="111">
        <v>0</v>
      </c>
      <c r="EU19" s="111">
        <v>89</v>
      </c>
      <c r="EV19" s="111">
        <v>89</v>
      </c>
      <c r="EW19" s="111">
        <v>0</v>
      </c>
      <c r="EX19" s="111">
        <v>0</v>
      </c>
      <c r="EY19" s="111">
        <v>0</v>
      </c>
      <c r="EZ19" s="111">
        <v>0</v>
      </c>
      <c r="FA19" s="111">
        <v>0</v>
      </c>
      <c r="FB19" s="111">
        <v>7</v>
      </c>
    </row>
    <row r="20" spans="1:158" ht="19.5" customHeight="1">
      <c r="A20" s="107">
        <v>17</v>
      </c>
      <c r="B20" s="107" t="s">
        <v>361</v>
      </c>
      <c r="C20" s="107" t="s">
        <v>368</v>
      </c>
      <c r="D20" s="110">
        <v>19628592.5</v>
      </c>
      <c r="E20" s="110">
        <v>4174213.5</v>
      </c>
      <c r="F20" s="110">
        <v>15454379</v>
      </c>
      <c r="G20" s="110">
        <v>17609</v>
      </c>
      <c r="H20" s="110">
        <v>1531</v>
      </c>
      <c r="I20" s="110">
        <v>246612</v>
      </c>
      <c r="J20" s="110">
        <v>1900</v>
      </c>
      <c r="K20" s="110">
        <v>2373.9299999999998</v>
      </c>
      <c r="L20" s="110">
        <v>1025565.25</v>
      </c>
      <c r="M20" s="110">
        <v>3919552.25</v>
      </c>
      <c r="N20" s="110">
        <v>16871.32</v>
      </c>
      <c r="O20" s="110">
        <v>44458903.18</v>
      </c>
      <c r="P20" s="110">
        <v>28427115.010000002</v>
      </c>
      <c r="Q20" s="110">
        <v>27988041.190000001</v>
      </c>
      <c r="R20" s="110">
        <v>439073.82</v>
      </c>
      <c r="S20" s="110">
        <v>16031788.17</v>
      </c>
      <c r="T20" s="110">
        <v>15485344.67</v>
      </c>
      <c r="U20" s="110">
        <v>546443.5</v>
      </c>
      <c r="V20" s="110">
        <v>11433851.16</v>
      </c>
      <c r="W20" s="110">
        <v>9525476.8499999996</v>
      </c>
      <c r="X20" s="110">
        <v>9371429.6699999999</v>
      </c>
      <c r="Y20" s="110">
        <v>154047.18</v>
      </c>
      <c r="Z20" s="110">
        <v>1908374.31</v>
      </c>
      <c r="AA20" s="110">
        <v>1632248.66</v>
      </c>
      <c r="AB20" s="110">
        <v>276125.65000000002</v>
      </c>
      <c r="AC20" s="110">
        <v>6680516.0700000003</v>
      </c>
      <c r="AD20" s="110">
        <v>5601812.4699999997</v>
      </c>
      <c r="AE20" s="110">
        <v>5540901.2300000004</v>
      </c>
      <c r="AF20" s="110">
        <v>60911.24</v>
      </c>
      <c r="AG20" s="110">
        <v>1078703.6000000001</v>
      </c>
      <c r="AH20" s="110">
        <v>969062.84</v>
      </c>
      <c r="AI20" s="110">
        <v>109640.76</v>
      </c>
      <c r="AJ20" s="110">
        <v>579121.59</v>
      </c>
      <c r="AK20" s="110">
        <v>461153.88</v>
      </c>
      <c r="AL20" s="110">
        <v>449858.94</v>
      </c>
      <c r="AM20" s="110">
        <v>11294.94</v>
      </c>
      <c r="AN20" s="110">
        <v>117967.71</v>
      </c>
      <c r="AO20" s="110">
        <v>101767.82</v>
      </c>
      <c r="AP20" s="110">
        <v>16199.89</v>
      </c>
      <c r="AQ20" s="110">
        <v>3256992</v>
      </c>
      <c r="AR20" s="110">
        <v>2706762</v>
      </c>
      <c r="AS20" s="110">
        <v>2657859</v>
      </c>
      <c r="AT20" s="110">
        <v>48903</v>
      </c>
      <c r="AU20" s="110">
        <v>550230</v>
      </c>
      <c r="AV20" s="110">
        <v>441439</v>
      </c>
      <c r="AW20" s="110">
        <v>108791</v>
      </c>
      <c r="AX20" s="110">
        <v>917221.5</v>
      </c>
      <c r="AY20" s="110">
        <v>755748.5</v>
      </c>
      <c r="AZ20" s="110">
        <v>722810.5</v>
      </c>
      <c r="BA20" s="110">
        <v>32938</v>
      </c>
      <c r="BB20" s="110">
        <v>161473</v>
      </c>
      <c r="BC20" s="110">
        <v>119979</v>
      </c>
      <c r="BD20" s="110">
        <v>41494</v>
      </c>
      <c r="BE20" s="110">
        <v>33025052.02</v>
      </c>
      <c r="BF20" s="110">
        <v>18901638.16</v>
      </c>
      <c r="BG20" s="110">
        <v>18616611.52</v>
      </c>
      <c r="BH20" s="110">
        <v>285026.64</v>
      </c>
      <c r="BI20" s="110">
        <v>14123413.859999999</v>
      </c>
      <c r="BJ20" s="110">
        <v>13853096.01</v>
      </c>
      <c r="BK20" s="110">
        <v>270317.84999999998</v>
      </c>
      <c r="BL20" s="110">
        <v>6170216.5</v>
      </c>
      <c r="BM20" s="110">
        <v>3410341.42</v>
      </c>
      <c r="BN20" s="110">
        <v>3363665.06</v>
      </c>
      <c r="BO20" s="110">
        <v>46676.36</v>
      </c>
      <c r="BP20" s="110">
        <v>2759875.08</v>
      </c>
      <c r="BQ20" s="110">
        <v>2709110.5</v>
      </c>
      <c r="BR20" s="110">
        <v>50764.58</v>
      </c>
      <c r="BS20" s="110">
        <v>11400456.52</v>
      </c>
      <c r="BT20" s="110">
        <v>6863536.7400000002</v>
      </c>
      <c r="BU20" s="110">
        <v>6771396.46</v>
      </c>
      <c r="BV20" s="110">
        <v>92140.28</v>
      </c>
      <c r="BW20" s="110">
        <v>4536919.78</v>
      </c>
      <c r="BX20" s="110">
        <v>4471491.26</v>
      </c>
      <c r="BY20" s="110">
        <v>65428.52</v>
      </c>
      <c r="BZ20" s="110">
        <v>6914323</v>
      </c>
      <c r="CA20" s="110">
        <v>3576825</v>
      </c>
      <c r="CB20" s="110">
        <v>3541281</v>
      </c>
      <c r="CC20" s="110">
        <v>35544</v>
      </c>
      <c r="CD20" s="110">
        <v>3337498</v>
      </c>
      <c r="CE20" s="110">
        <v>3244425</v>
      </c>
      <c r="CF20" s="110">
        <v>93073</v>
      </c>
      <c r="CG20" s="110">
        <v>8540056</v>
      </c>
      <c r="CH20" s="110">
        <v>5050935</v>
      </c>
      <c r="CI20" s="110">
        <v>4940269</v>
      </c>
      <c r="CJ20" s="110">
        <v>110666</v>
      </c>
      <c r="CK20" s="110">
        <v>3489121</v>
      </c>
      <c r="CL20" s="110">
        <v>3428069.25</v>
      </c>
      <c r="CM20" s="110">
        <v>61051.75</v>
      </c>
      <c r="CN20" s="110">
        <v>382992.6</v>
      </c>
      <c r="CO20" s="110">
        <v>4112204.06</v>
      </c>
      <c r="CP20" s="110">
        <v>5362773</v>
      </c>
      <c r="CQ20" s="110">
        <v>856386.47</v>
      </c>
      <c r="CR20" s="110">
        <v>719470.03</v>
      </c>
      <c r="CS20" s="110">
        <v>0</v>
      </c>
      <c r="CT20" s="110">
        <v>121958.66</v>
      </c>
      <c r="CU20" s="110">
        <v>0</v>
      </c>
      <c r="CV20" s="111">
        <v>17609</v>
      </c>
      <c r="CW20" s="111">
        <v>14617</v>
      </c>
      <c r="CX20" s="111">
        <v>14067</v>
      </c>
      <c r="CY20" s="111">
        <v>550</v>
      </c>
      <c r="CZ20" s="111">
        <v>2992</v>
      </c>
      <c r="DA20" s="111">
        <v>2178</v>
      </c>
      <c r="DB20" s="111">
        <v>814</v>
      </c>
      <c r="DC20" s="111">
        <v>10759</v>
      </c>
      <c r="DD20" s="111">
        <v>21</v>
      </c>
      <c r="DE20" s="111">
        <v>8888</v>
      </c>
      <c r="DF20" s="111">
        <v>8535</v>
      </c>
      <c r="DG20" s="111">
        <v>353</v>
      </c>
      <c r="DH20" s="111">
        <v>1871</v>
      </c>
      <c r="DI20" s="111">
        <v>1352</v>
      </c>
      <c r="DJ20" s="111">
        <v>519</v>
      </c>
      <c r="DK20" s="111">
        <v>5457</v>
      </c>
      <c r="DL20" s="111">
        <v>4617</v>
      </c>
      <c r="DM20" s="111">
        <v>4463</v>
      </c>
      <c r="DN20" s="111">
        <v>154</v>
      </c>
      <c r="DO20" s="111">
        <v>840</v>
      </c>
      <c r="DP20" s="111">
        <v>613</v>
      </c>
      <c r="DQ20" s="111">
        <v>227</v>
      </c>
      <c r="DR20" s="111">
        <v>433</v>
      </c>
      <c r="DS20" s="111">
        <v>0</v>
      </c>
      <c r="DT20" s="111">
        <v>338</v>
      </c>
      <c r="DU20" s="111">
        <v>316</v>
      </c>
      <c r="DV20" s="111">
        <v>22</v>
      </c>
      <c r="DW20" s="111">
        <v>95</v>
      </c>
      <c r="DX20" s="111">
        <v>64</v>
      </c>
      <c r="DY20" s="111">
        <v>31</v>
      </c>
      <c r="DZ20" s="111">
        <v>939</v>
      </c>
      <c r="EA20" s="111">
        <v>753</v>
      </c>
      <c r="EB20" s="111">
        <v>733</v>
      </c>
      <c r="EC20" s="111">
        <v>20</v>
      </c>
      <c r="ED20" s="111">
        <v>186</v>
      </c>
      <c r="EE20" s="111">
        <v>149</v>
      </c>
      <c r="EF20" s="111">
        <v>37</v>
      </c>
      <c r="EG20" s="111">
        <v>1531</v>
      </c>
      <c r="EH20" s="111">
        <v>944</v>
      </c>
      <c r="EI20" s="111">
        <v>925</v>
      </c>
      <c r="EJ20" s="111">
        <v>19</v>
      </c>
      <c r="EK20" s="111">
        <v>587</v>
      </c>
      <c r="EL20" s="111">
        <v>571</v>
      </c>
      <c r="EM20" s="111">
        <v>16</v>
      </c>
      <c r="EN20" s="111">
        <v>1457</v>
      </c>
      <c r="EO20" s="111">
        <v>835</v>
      </c>
      <c r="EP20" s="111">
        <v>0</v>
      </c>
      <c r="EQ20" s="111">
        <v>622</v>
      </c>
      <c r="ER20" s="111">
        <v>297</v>
      </c>
      <c r="ES20" s="111">
        <v>0</v>
      </c>
      <c r="ET20" s="111">
        <v>66</v>
      </c>
      <c r="EU20" s="111">
        <v>161</v>
      </c>
      <c r="EV20" s="111">
        <v>109</v>
      </c>
      <c r="EW20" s="111">
        <v>0</v>
      </c>
      <c r="EX20" s="111">
        <v>52</v>
      </c>
      <c r="EY20" s="111">
        <v>270</v>
      </c>
      <c r="EZ20" s="111">
        <v>270</v>
      </c>
      <c r="FA20" s="111">
        <v>0</v>
      </c>
      <c r="FB20" s="111">
        <v>222</v>
      </c>
    </row>
    <row r="21" spans="1:158" ht="19.5" customHeight="1">
      <c r="A21" s="107">
        <v>18</v>
      </c>
      <c r="B21" s="107" t="s">
        <v>361</v>
      </c>
      <c r="C21" s="107" t="s">
        <v>369</v>
      </c>
      <c r="D21" s="110">
        <v>35090411.450000003</v>
      </c>
      <c r="E21" s="110">
        <v>7734314</v>
      </c>
      <c r="F21" s="110">
        <v>27356097.449999999</v>
      </c>
      <c r="G21" s="110">
        <v>26908</v>
      </c>
      <c r="H21" s="110">
        <v>2057</v>
      </c>
      <c r="I21" s="110">
        <v>1879</v>
      </c>
      <c r="J21" s="110">
        <v>179</v>
      </c>
      <c r="K21" s="110">
        <v>0</v>
      </c>
      <c r="L21" s="110">
        <v>730710</v>
      </c>
      <c r="M21" s="110">
        <v>12309955.949999999</v>
      </c>
      <c r="N21" s="110">
        <v>674.1</v>
      </c>
      <c r="O21" s="110">
        <v>102587777.09999999</v>
      </c>
      <c r="P21" s="110">
        <v>60802539.659999996</v>
      </c>
      <c r="Q21" s="110">
        <v>57886023.759999998</v>
      </c>
      <c r="R21" s="110">
        <v>2916515.9</v>
      </c>
      <c r="S21" s="110">
        <v>41785237.439999998</v>
      </c>
      <c r="T21" s="110">
        <v>38153454.579999998</v>
      </c>
      <c r="U21" s="110">
        <v>3631782.86</v>
      </c>
      <c r="V21" s="110">
        <v>8777484.7899999991</v>
      </c>
      <c r="W21" s="110">
        <v>5518200.3300000001</v>
      </c>
      <c r="X21" s="110">
        <v>5060605.6500000004</v>
      </c>
      <c r="Y21" s="110">
        <v>457594.68</v>
      </c>
      <c r="Z21" s="110">
        <v>3259284.46</v>
      </c>
      <c r="AA21" s="110">
        <v>1203047.8400000001</v>
      </c>
      <c r="AB21" s="110">
        <v>2056236.62</v>
      </c>
      <c r="AC21" s="110">
        <v>959202.99</v>
      </c>
      <c r="AD21" s="110">
        <v>843546.53</v>
      </c>
      <c r="AE21" s="110">
        <v>805557.65</v>
      </c>
      <c r="AF21" s="110">
        <v>37988.879999999997</v>
      </c>
      <c r="AG21" s="110">
        <v>115656.46</v>
      </c>
      <c r="AH21" s="110">
        <v>74156.84</v>
      </c>
      <c r="AI21" s="110">
        <v>41499.620000000003</v>
      </c>
      <c r="AJ21" s="110">
        <v>83967.8</v>
      </c>
      <c r="AK21" s="110">
        <v>75995.8</v>
      </c>
      <c r="AL21" s="110">
        <v>72038</v>
      </c>
      <c r="AM21" s="110">
        <v>3957.8</v>
      </c>
      <c r="AN21" s="110">
        <v>7972</v>
      </c>
      <c r="AO21" s="110">
        <v>4371</v>
      </c>
      <c r="AP21" s="110">
        <v>3601</v>
      </c>
      <c r="AQ21" s="110">
        <v>5887328</v>
      </c>
      <c r="AR21" s="110">
        <v>3714793</v>
      </c>
      <c r="AS21" s="110">
        <v>3405789</v>
      </c>
      <c r="AT21" s="110">
        <v>309004</v>
      </c>
      <c r="AU21" s="110">
        <v>2172535</v>
      </c>
      <c r="AV21" s="110">
        <v>797073</v>
      </c>
      <c r="AW21" s="110">
        <v>1375462</v>
      </c>
      <c r="AX21" s="110">
        <v>1846986</v>
      </c>
      <c r="AY21" s="110">
        <v>883865</v>
      </c>
      <c r="AZ21" s="110">
        <v>777221</v>
      </c>
      <c r="BA21" s="110">
        <v>106644</v>
      </c>
      <c r="BB21" s="110">
        <v>963121</v>
      </c>
      <c r="BC21" s="110">
        <v>327447</v>
      </c>
      <c r="BD21" s="110">
        <v>635674</v>
      </c>
      <c r="BE21" s="110">
        <v>93810292.310000002</v>
      </c>
      <c r="BF21" s="110">
        <v>55284339.329999998</v>
      </c>
      <c r="BG21" s="110">
        <v>52825418.109999999</v>
      </c>
      <c r="BH21" s="110">
        <v>2458921.2200000002</v>
      </c>
      <c r="BI21" s="110">
        <v>38525952.979999997</v>
      </c>
      <c r="BJ21" s="110">
        <v>36950406.740000002</v>
      </c>
      <c r="BK21" s="110">
        <v>1575546.24</v>
      </c>
      <c r="BL21" s="110">
        <v>5735170.0300000003</v>
      </c>
      <c r="BM21" s="110">
        <v>3311150.95</v>
      </c>
      <c r="BN21" s="110">
        <v>3207497.74</v>
      </c>
      <c r="BO21" s="110">
        <v>103653.21</v>
      </c>
      <c r="BP21" s="110">
        <v>2424019.08</v>
      </c>
      <c r="BQ21" s="110">
        <v>2321126.4500000002</v>
      </c>
      <c r="BR21" s="110">
        <v>102892.63</v>
      </c>
      <c r="BS21" s="110">
        <v>60719024.829999998</v>
      </c>
      <c r="BT21" s="110">
        <v>34573476.43</v>
      </c>
      <c r="BU21" s="110">
        <v>32858029.670000002</v>
      </c>
      <c r="BV21" s="110">
        <v>1715446.76</v>
      </c>
      <c r="BW21" s="110">
        <v>26145548.399999999</v>
      </c>
      <c r="BX21" s="110">
        <v>25115749.289999999</v>
      </c>
      <c r="BY21" s="110">
        <v>1029799.11</v>
      </c>
      <c r="BZ21" s="110">
        <v>9032676</v>
      </c>
      <c r="CA21" s="110">
        <v>5800853</v>
      </c>
      <c r="CB21" s="110">
        <v>5594709</v>
      </c>
      <c r="CC21" s="110">
        <v>206144</v>
      </c>
      <c r="CD21" s="110">
        <v>3231823</v>
      </c>
      <c r="CE21" s="110">
        <v>3104324</v>
      </c>
      <c r="CF21" s="110">
        <v>127499</v>
      </c>
      <c r="CG21" s="110">
        <v>18323421.449999999</v>
      </c>
      <c r="CH21" s="110">
        <v>11598858.949999999</v>
      </c>
      <c r="CI21" s="110">
        <v>11165181.699999999</v>
      </c>
      <c r="CJ21" s="110">
        <v>433677.25</v>
      </c>
      <c r="CK21" s="110">
        <v>6724562.5</v>
      </c>
      <c r="CL21" s="110">
        <v>6409207</v>
      </c>
      <c r="CM21" s="110">
        <v>315355.5</v>
      </c>
      <c r="CN21" s="110">
        <v>2008</v>
      </c>
      <c r="CO21" s="110">
        <v>341485.7</v>
      </c>
      <c r="CP21" s="110">
        <v>4825178.62</v>
      </c>
      <c r="CQ21" s="110">
        <v>1969330.03</v>
      </c>
      <c r="CR21" s="110">
        <v>1639407.44</v>
      </c>
      <c r="CS21" s="110">
        <v>0</v>
      </c>
      <c r="CT21" s="110">
        <v>368534.58</v>
      </c>
      <c r="CU21" s="110">
        <v>0</v>
      </c>
      <c r="CV21" s="111">
        <v>26908</v>
      </c>
      <c r="CW21" s="111">
        <v>18536</v>
      </c>
      <c r="CX21" s="111">
        <v>17033</v>
      </c>
      <c r="CY21" s="111">
        <v>1503</v>
      </c>
      <c r="CZ21" s="111">
        <v>8372</v>
      </c>
      <c r="DA21" s="111">
        <v>3432</v>
      </c>
      <c r="DB21" s="111">
        <v>4940</v>
      </c>
      <c r="DC21" s="111">
        <v>7885</v>
      </c>
      <c r="DD21" s="111">
        <v>8</v>
      </c>
      <c r="DE21" s="111">
        <v>5814</v>
      </c>
      <c r="DF21" s="111">
        <v>5435</v>
      </c>
      <c r="DG21" s="111">
        <v>379</v>
      </c>
      <c r="DH21" s="111">
        <v>2071</v>
      </c>
      <c r="DI21" s="111">
        <v>901</v>
      </c>
      <c r="DJ21" s="111">
        <v>1170</v>
      </c>
      <c r="DK21" s="111">
        <v>16647</v>
      </c>
      <c r="DL21" s="111">
        <v>12204</v>
      </c>
      <c r="DM21" s="111">
        <v>11209</v>
      </c>
      <c r="DN21" s="111">
        <v>995</v>
      </c>
      <c r="DO21" s="111">
        <v>4443</v>
      </c>
      <c r="DP21" s="111">
        <v>1945</v>
      </c>
      <c r="DQ21" s="111">
        <v>2498</v>
      </c>
      <c r="DR21" s="111">
        <v>2363</v>
      </c>
      <c r="DS21" s="111">
        <v>0</v>
      </c>
      <c r="DT21" s="111">
        <v>509</v>
      </c>
      <c r="DU21" s="111">
        <v>380</v>
      </c>
      <c r="DV21" s="111">
        <v>129</v>
      </c>
      <c r="DW21" s="111">
        <v>1854</v>
      </c>
      <c r="DX21" s="111">
        <v>585</v>
      </c>
      <c r="DY21" s="111">
        <v>1269</v>
      </c>
      <c r="DZ21" s="111">
        <v>5</v>
      </c>
      <c r="EA21" s="111">
        <v>3</v>
      </c>
      <c r="EB21" s="111">
        <v>3</v>
      </c>
      <c r="EC21" s="111">
        <v>0</v>
      </c>
      <c r="ED21" s="111">
        <v>2</v>
      </c>
      <c r="EE21" s="111">
        <v>1</v>
      </c>
      <c r="EF21" s="111">
        <v>1</v>
      </c>
      <c r="EG21" s="111">
        <v>2057</v>
      </c>
      <c r="EH21" s="111">
        <v>1423</v>
      </c>
      <c r="EI21" s="111">
        <v>1369</v>
      </c>
      <c r="EJ21" s="111">
        <v>54</v>
      </c>
      <c r="EK21" s="111">
        <v>634</v>
      </c>
      <c r="EL21" s="111">
        <v>602</v>
      </c>
      <c r="EM21" s="111">
        <v>32</v>
      </c>
      <c r="EN21" s="111">
        <v>1927</v>
      </c>
      <c r="EO21" s="111">
        <v>1898</v>
      </c>
      <c r="EP21" s="111">
        <v>0</v>
      </c>
      <c r="EQ21" s="111">
        <v>29</v>
      </c>
      <c r="ER21" s="111">
        <v>608</v>
      </c>
      <c r="ES21" s="111">
        <v>0</v>
      </c>
      <c r="ET21" s="111">
        <v>0</v>
      </c>
      <c r="EU21" s="111">
        <v>15</v>
      </c>
      <c r="EV21" s="111">
        <v>15</v>
      </c>
      <c r="EW21" s="111">
        <v>0</v>
      </c>
      <c r="EX21" s="111">
        <v>0</v>
      </c>
      <c r="EY21" s="111">
        <v>1839</v>
      </c>
      <c r="EZ21" s="111">
        <v>1839</v>
      </c>
      <c r="FA21" s="111">
        <v>0</v>
      </c>
      <c r="FB21" s="111">
        <v>1652</v>
      </c>
    </row>
    <row r="22" spans="1:158" ht="19.5" customHeight="1">
      <c r="A22" s="107">
        <v>19</v>
      </c>
      <c r="B22" s="107" t="s">
        <v>361</v>
      </c>
      <c r="C22" s="107" t="s">
        <v>370</v>
      </c>
      <c r="D22" s="110">
        <v>1294941.8500000001</v>
      </c>
      <c r="E22" s="110">
        <v>26572</v>
      </c>
      <c r="F22" s="110">
        <v>1268369.8500000001</v>
      </c>
      <c r="G22" s="110">
        <v>84</v>
      </c>
      <c r="H22" s="110">
        <v>93</v>
      </c>
      <c r="I22" s="110">
        <v>180</v>
      </c>
      <c r="J22" s="110">
        <v>0</v>
      </c>
      <c r="K22" s="110">
        <v>0</v>
      </c>
      <c r="L22" s="110">
        <v>74302.25</v>
      </c>
      <c r="M22" s="110">
        <v>268972</v>
      </c>
      <c r="N22" s="110">
        <v>0</v>
      </c>
      <c r="O22" s="110">
        <v>3043418.51</v>
      </c>
      <c r="P22" s="110">
        <v>1355121.93</v>
      </c>
      <c r="Q22" s="110">
        <v>1355041.93</v>
      </c>
      <c r="R22" s="110">
        <v>80</v>
      </c>
      <c r="S22" s="110">
        <v>1688296.58</v>
      </c>
      <c r="T22" s="110">
        <v>1666693.38</v>
      </c>
      <c r="U22" s="110">
        <v>21603.200000000001</v>
      </c>
      <c r="V22" s="110">
        <v>152840.78</v>
      </c>
      <c r="W22" s="110">
        <v>96496.42</v>
      </c>
      <c r="X22" s="110">
        <v>96416.42</v>
      </c>
      <c r="Y22" s="110">
        <v>80</v>
      </c>
      <c r="Z22" s="110">
        <v>56344.36</v>
      </c>
      <c r="AA22" s="110">
        <v>50985.4</v>
      </c>
      <c r="AB22" s="110">
        <v>5358.96</v>
      </c>
      <c r="AC22" s="110">
        <v>126096.78</v>
      </c>
      <c r="AD22" s="110">
        <v>81438.42</v>
      </c>
      <c r="AE22" s="110">
        <v>81438.42</v>
      </c>
      <c r="AF22" s="110">
        <v>0</v>
      </c>
      <c r="AG22" s="110">
        <v>44658.36</v>
      </c>
      <c r="AH22" s="110">
        <v>42215.4</v>
      </c>
      <c r="AI22" s="110">
        <v>2442.96</v>
      </c>
      <c r="AJ22" s="110">
        <v>172</v>
      </c>
      <c r="AK22" s="110">
        <v>129</v>
      </c>
      <c r="AL22" s="110">
        <v>129</v>
      </c>
      <c r="AM22" s="110">
        <v>0</v>
      </c>
      <c r="AN22" s="110">
        <v>43</v>
      </c>
      <c r="AO22" s="110">
        <v>0</v>
      </c>
      <c r="AP22" s="110">
        <v>43</v>
      </c>
      <c r="AQ22" s="110">
        <v>22882</v>
      </c>
      <c r="AR22" s="110">
        <v>12671</v>
      </c>
      <c r="AS22" s="110">
        <v>12671</v>
      </c>
      <c r="AT22" s="110">
        <v>0</v>
      </c>
      <c r="AU22" s="110">
        <v>10211</v>
      </c>
      <c r="AV22" s="110">
        <v>7669</v>
      </c>
      <c r="AW22" s="110">
        <v>2542</v>
      </c>
      <c r="AX22" s="110">
        <v>3690</v>
      </c>
      <c r="AY22" s="110">
        <v>2258</v>
      </c>
      <c r="AZ22" s="110">
        <v>2178</v>
      </c>
      <c r="BA22" s="110">
        <v>80</v>
      </c>
      <c r="BB22" s="110">
        <v>1432</v>
      </c>
      <c r="BC22" s="110">
        <v>1101</v>
      </c>
      <c r="BD22" s="110">
        <v>331</v>
      </c>
      <c r="BE22" s="110">
        <v>2890577.73</v>
      </c>
      <c r="BF22" s="110">
        <v>1258625.51</v>
      </c>
      <c r="BG22" s="110">
        <v>1258625.51</v>
      </c>
      <c r="BH22" s="110">
        <v>0</v>
      </c>
      <c r="BI22" s="110">
        <v>1631952.22</v>
      </c>
      <c r="BJ22" s="110">
        <v>1615707.98</v>
      </c>
      <c r="BK22" s="110">
        <v>16244.24</v>
      </c>
      <c r="BL22" s="110">
        <v>915972</v>
      </c>
      <c r="BM22" s="110">
        <v>279346.21000000002</v>
      </c>
      <c r="BN22" s="110">
        <v>279346.21000000002</v>
      </c>
      <c r="BO22" s="110">
        <v>0</v>
      </c>
      <c r="BP22" s="110">
        <v>636625.79</v>
      </c>
      <c r="BQ22" s="110">
        <v>635351.68999999994</v>
      </c>
      <c r="BR22" s="110">
        <v>1274.0999999999999</v>
      </c>
      <c r="BS22" s="110">
        <v>706235.88</v>
      </c>
      <c r="BT22" s="110">
        <v>366368.05</v>
      </c>
      <c r="BU22" s="110">
        <v>366368.05</v>
      </c>
      <c r="BV22" s="110">
        <v>0</v>
      </c>
      <c r="BW22" s="110">
        <v>339867.83</v>
      </c>
      <c r="BX22" s="110">
        <v>338806.19</v>
      </c>
      <c r="BY22" s="110">
        <v>1061.6400000000001</v>
      </c>
      <c r="BZ22" s="110">
        <v>500292</v>
      </c>
      <c r="CA22" s="110">
        <v>205654</v>
      </c>
      <c r="CB22" s="110">
        <v>205654</v>
      </c>
      <c r="CC22" s="110">
        <v>0</v>
      </c>
      <c r="CD22" s="110">
        <v>294638</v>
      </c>
      <c r="CE22" s="110">
        <v>282310</v>
      </c>
      <c r="CF22" s="110">
        <v>12328</v>
      </c>
      <c r="CG22" s="110">
        <v>768077.85</v>
      </c>
      <c r="CH22" s="110">
        <v>407257.25</v>
      </c>
      <c r="CI22" s="110">
        <v>407257.25</v>
      </c>
      <c r="CJ22" s="110">
        <v>0</v>
      </c>
      <c r="CK22" s="110">
        <v>360820.6</v>
      </c>
      <c r="CL22" s="110">
        <v>359240.1</v>
      </c>
      <c r="CM22" s="110">
        <v>1580.5</v>
      </c>
      <c r="CN22" s="110">
        <v>0</v>
      </c>
      <c r="CO22" s="110">
        <v>1084</v>
      </c>
      <c r="CP22" s="110">
        <v>151731.78</v>
      </c>
      <c r="CQ22" s="110">
        <v>25</v>
      </c>
      <c r="CR22" s="110">
        <v>0</v>
      </c>
      <c r="CS22" s="110">
        <v>0</v>
      </c>
      <c r="CT22" s="110">
        <v>0</v>
      </c>
      <c r="CU22" s="110">
        <v>0</v>
      </c>
      <c r="CV22" s="111">
        <v>84</v>
      </c>
      <c r="CW22" s="111">
        <v>51</v>
      </c>
      <c r="CX22" s="111">
        <v>49</v>
      </c>
      <c r="CY22" s="111">
        <v>2</v>
      </c>
      <c r="CZ22" s="111">
        <v>33</v>
      </c>
      <c r="DA22" s="111">
        <v>25</v>
      </c>
      <c r="DB22" s="111">
        <v>8</v>
      </c>
      <c r="DC22" s="111">
        <v>2</v>
      </c>
      <c r="DD22" s="111">
        <v>0</v>
      </c>
      <c r="DE22" s="111">
        <v>0</v>
      </c>
      <c r="DF22" s="111">
        <v>0</v>
      </c>
      <c r="DG22" s="111">
        <v>0</v>
      </c>
      <c r="DH22" s="111">
        <v>2</v>
      </c>
      <c r="DI22" s="111">
        <v>1</v>
      </c>
      <c r="DJ22" s="111">
        <v>1</v>
      </c>
      <c r="DK22" s="111">
        <v>82</v>
      </c>
      <c r="DL22" s="111">
        <v>51</v>
      </c>
      <c r="DM22" s="111">
        <v>49</v>
      </c>
      <c r="DN22" s="111">
        <v>2</v>
      </c>
      <c r="DO22" s="111">
        <v>31</v>
      </c>
      <c r="DP22" s="111">
        <v>24</v>
      </c>
      <c r="DQ22" s="111">
        <v>7</v>
      </c>
      <c r="DR22" s="111">
        <v>0</v>
      </c>
      <c r="DS22" s="111">
        <v>0</v>
      </c>
      <c r="DT22" s="111">
        <v>0</v>
      </c>
      <c r="DU22" s="111">
        <v>0</v>
      </c>
      <c r="DV22" s="111">
        <v>0</v>
      </c>
      <c r="DW22" s="111">
        <v>0</v>
      </c>
      <c r="DX22" s="111">
        <v>0</v>
      </c>
      <c r="DY22" s="111">
        <v>0</v>
      </c>
      <c r="DZ22" s="111">
        <v>0</v>
      </c>
      <c r="EA22" s="111">
        <v>0</v>
      </c>
      <c r="EB22" s="111">
        <v>0</v>
      </c>
      <c r="EC22" s="111">
        <v>0</v>
      </c>
      <c r="ED22" s="111">
        <v>0</v>
      </c>
      <c r="EE22" s="111">
        <v>0</v>
      </c>
      <c r="EF22" s="111">
        <v>0</v>
      </c>
      <c r="EG22" s="111">
        <v>93</v>
      </c>
      <c r="EH22" s="111">
        <v>41</v>
      </c>
      <c r="EI22" s="111">
        <v>41</v>
      </c>
      <c r="EJ22" s="111">
        <v>0</v>
      </c>
      <c r="EK22" s="111">
        <v>52</v>
      </c>
      <c r="EL22" s="111">
        <v>51</v>
      </c>
      <c r="EM22" s="111">
        <v>1</v>
      </c>
      <c r="EN22" s="111">
        <v>65</v>
      </c>
      <c r="EO22" s="111">
        <v>45</v>
      </c>
      <c r="EP22" s="111">
        <v>0</v>
      </c>
      <c r="EQ22" s="111">
        <v>20</v>
      </c>
      <c r="ER22" s="111">
        <v>22</v>
      </c>
      <c r="ES22" s="111">
        <v>0</v>
      </c>
      <c r="ET22" s="111">
        <v>0</v>
      </c>
      <c r="EU22" s="111">
        <v>15</v>
      </c>
      <c r="EV22" s="111">
        <v>15</v>
      </c>
      <c r="EW22" s="111">
        <v>0</v>
      </c>
      <c r="EX22" s="111">
        <v>0</v>
      </c>
      <c r="EY22" s="111">
        <v>20</v>
      </c>
      <c r="EZ22" s="111">
        <v>20</v>
      </c>
      <c r="FA22" s="111">
        <v>0</v>
      </c>
      <c r="FB22" s="111">
        <v>1</v>
      </c>
    </row>
    <row r="23" spans="1:158" ht="19.5" customHeight="1">
      <c r="A23" s="107">
        <v>20</v>
      </c>
      <c r="B23" s="107" t="s">
        <v>361</v>
      </c>
      <c r="C23" s="107" t="s">
        <v>371</v>
      </c>
      <c r="D23" s="110">
        <v>12931501.5</v>
      </c>
      <c r="E23" s="110">
        <v>6037097</v>
      </c>
      <c r="F23" s="110">
        <v>6894404.5</v>
      </c>
      <c r="G23" s="110">
        <v>16021</v>
      </c>
      <c r="H23" s="110">
        <v>678</v>
      </c>
      <c r="I23" s="110">
        <v>48037</v>
      </c>
      <c r="J23" s="110">
        <v>12553</v>
      </c>
      <c r="K23" s="110">
        <v>60</v>
      </c>
      <c r="L23" s="110">
        <v>229984.5</v>
      </c>
      <c r="M23" s="110">
        <v>1924124</v>
      </c>
      <c r="N23" s="110">
        <v>785.03</v>
      </c>
      <c r="O23" s="110">
        <v>24447511.370000001</v>
      </c>
      <c r="P23" s="110">
        <v>16930946.510000002</v>
      </c>
      <c r="Q23" s="110">
        <v>16328162.5</v>
      </c>
      <c r="R23" s="110">
        <v>602784.01</v>
      </c>
      <c r="S23" s="110">
        <v>7516564.8600000003</v>
      </c>
      <c r="T23" s="110">
        <v>6940215.9100000001</v>
      </c>
      <c r="U23" s="110">
        <v>576348.94999999995</v>
      </c>
      <c r="V23" s="110">
        <v>13419578.49</v>
      </c>
      <c r="W23" s="110">
        <v>10341107.6</v>
      </c>
      <c r="X23" s="110">
        <v>10107036.550000001</v>
      </c>
      <c r="Y23" s="110">
        <v>234071.05</v>
      </c>
      <c r="Z23" s="110">
        <v>3078470.89</v>
      </c>
      <c r="AA23" s="110">
        <v>2663131.17</v>
      </c>
      <c r="AB23" s="110">
        <v>415339.72</v>
      </c>
      <c r="AC23" s="110">
        <v>7187725.4900000002</v>
      </c>
      <c r="AD23" s="110">
        <v>5404014.0899999999</v>
      </c>
      <c r="AE23" s="110">
        <v>5355399.0999999996</v>
      </c>
      <c r="AF23" s="110">
        <v>48614.99</v>
      </c>
      <c r="AG23" s="110">
        <v>1783711.4</v>
      </c>
      <c r="AH23" s="110">
        <v>1722373.68</v>
      </c>
      <c r="AI23" s="110">
        <v>61337.72</v>
      </c>
      <c r="AJ23" s="110">
        <v>194756</v>
      </c>
      <c r="AK23" s="110">
        <v>139766.51</v>
      </c>
      <c r="AL23" s="110">
        <v>136256.45000000001</v>
      </c>
      <c r="AM23" s="110">
        <v>3510.06</v>
      </c>
      <c r="AN23" s="110">
        <v>54989.49</v>
      </c>
      <c r="AO23" s="110">
        <v>47964.49</v>
      </c>
      <c r="AP23" s="110">
        <v>7025</v>
      </c>
      <c r="AQ23" s="110">
        <v>5124371</v>
      </c>
      <c r="AR23" s="110">
        <v>4108586</v>
      </c>
      <c r="AS23" s="110">
        <v>3965719</v>
      </c>
      <c r="AT23" s="110">
        <v>142867</v>
      </c>
      <c r="AU23" s="110">
        <v>1015785</v>
      </c>
      <c r="AV23" s="110">
        <v>734296</v>
      </c>
      <c r="AW23" s="110">
        <v>281489</v>
      </c>
      <c r="AX23" s="110">
        <v>912726</v>
      </c>
      <c r="AY23" s="110">
        <v>688741</v>
      </c>
      <c r="AZ23" s="110">
        <v>649662</v>
      </c>
      <c r="BA23" s="110">
        <v>39079</v>
      </c>
      <c r="BB23" s="110">
        <v>223985</v>
      </c>
      <c r="BC23" s="110">
        <v>158497</v>
      </c>
      <c r="BD23" s="110">
        <v>65488</v>
      </c>
      <c r="BE23" s="110">
        <v>11027932.880000001</v>
      </c>
      <c r="BF23" s="110">
        <v>6589838.9100000001</v>
      </c>
      <c r="BG23" s="110">
        <v>6221125.9500000002</v>
      </c>
      <c r="BH23" s="110">
        <v>368712.96000000002</v>
      </c>
      <c r="BI23" s="110">
        <v>4438093.97</v>
      </c>
      <c r="BJ23" s="110">
        <v>4277084.74</v>
      </c>
      <c r="BK23" s="110">
        <v>161009.23000000001</v>
      </c>
      <c r="BL23" s="110">
        <v>1812393.87</v>
      </c>
      <c r="BM23" s="110">
        <v>1003320.97</v>
      </c>
      <c r="BN23" s="110">
        <v>972228.22</v>
      </c>
      <c r="BO23" s="110">
        <v>31092.75</v>
      </c>
      <c r="BP23" s="110">
        <v>809072.9</v>
      </c>
      <c r="BQ23" s="110">
        <v>787941.2</v>
      </c>
      <c r="BR23" s="110">
        <v>21131.7</v>
      </c>
      <c r="BS23" s="110">
        <v>2321134.5099999998</v>
      </c>
      <c r="BT23" s="110">
        <v>1384984.19</v>
      </c>
      <c r="BU23" s="110">
        <v>1334741.73</v>
      </c>
      <c r="BV23" s="110">
        <v>50242.46</v>
      </c>
      <c r="BW23" s="110">
        <v>936150.32</v>
      </c>
      <c r="BX23" s="110">
        <v>883578.54</v>
      </c>
      <c r="BY23" s="110">
        <v>52571.78</v>
      </c>
      <c r="BZ23" s="110">
        <v>3411662</v>
      </c>
      <c r="CA23" s="110">
        <v>2038609</v>
      </c>
      <c r="CB23" s="110">
        <v>1941056</v>
      </c>
      <c r="CC23" s="110">
        <v>97553</v>
      </c>
      <c r="CD23" s="110">
        <v>1373053</v>
      </c>
      <c r="CE23" s="110">
        <v>1337082</v>
      </c>
      <c r="CF23" s="110">
        <v>35971</v>
      </c>
      <c r="CG23" s="110">
        <v>3482742.5</v>
      </c>
      <c r="CH23" s="110">
        <v>2162924.75</v>
      </c>
      <c r="CI23" s="110">
        <v>1973100</v>
      </c>
      <c r="CJ23" s="110">
        <v>189824.75</v>
      </c>
      <c r="CK23" s="110">
        <v>1319817.75</v>
      </c>
      <c r="CL23" s="110">
        <v>1268483</v>
      </c>
      <c r="CM23" s="110">
        <v>51334.75</v>
      </c>
      <c r="CN23" s="110">
        <v>-25</v>
      </c>
      <c r="CO23" s="110">
        <v>6715145.5</v>
      </c>
      <c r="CP23" s="110">
        <v>5476932.0099999998</v>
      </c>
      <c r="CQ23" s="110">
        <v>0</v>
      </c>
      <c r="CR23" s="110">
        <v>1137506.73</v>
      </c>
      <c r="CS23" s="110">
        <v>89994.25</v>
      </c>
      <c r="CT23" s="110">
        <v>187325.43</v>
      </c>
      <c r="CU23" s="110">
        <v>0</v>
      </c>
      <c r="CV23" s="111">
        <v>16021</v>
      </c>
      <c r="CW23" s="111">
        <v>13073</v>
      </c>
      <c r="CX23" s="111">
        <v>12540</v>
      </c>
      <c r="CY23" s="111">
        <v>533</v>
      </c>
      <c r="CZ23" s="111">
        <v>2948</v>
      </c>
      <c r="DA23" s="111">
        <v>2055</v>
      </c>
      <c r="DB23" s="111">
        <v>893</v>
      </c>
      <c r="DC23" s="111">
        <v>7216</v>
      </c>
      <c r="DD23" s="111">
        <v>53</v>
      </c>
      <c r="DE23" s="111">
        <v>6086</v>
      </c>
      <c r="DF23" s="111">
        <v>5908</v>
      </c>
      <c r="DG23" s="111">
        <v>178</v>
      </c>
      <c r="DH23" s="111">
        <v>1130</v>
      </c>
      <c r="DI23" s="111">
        <v>846</v>
      </c>
      <c r="DJ23" s="111">
        <v>284</v>
      </c>
      <c r="DK23" s="111">
        <v>7611</v>
      </c>
      <c r="DL23" s="111">
        <v>6133</v>
      </c>
      <c r="DM23" s="111">
        <v>5828</v>
      </c>
      <c r="DN23" s="111">
        <v>305</v>
      </c>
      <c r="DO23" s="111">
        <v>1478</v>
      </c>
      <c r="DP23" s="111">
        <v>980</v>
      </c>
      <c r="DQ23" s="111">
        <v>498</v>
      </c>
      <c r="DR23" s="111">
        <v>1141</v>
      </c>
      <c r="DS23" s="111">
        <v>0</v>
      </c>
      <c r="DT23" s="111">
        <v>801</v>
      </c>
      <c r="DU23" s="111">
        <v>752</v>
      </c>
      <c r="DV23" s="111">
        <v>49</v>
      </c>
      <c r="DW23" s="111">
        <v>340</v>
      </c>
      <c r="DX23" s="111">
        <v>229</v>
      </c>
      <c r="DY23" s="111">
        <v>111</v>
      </c>
      <c r="DZ23" s="111">
        <v>0</v>
      </c>
      <c r="EA23" s="111">
        <v>0</v>
      </c>
      <c r="EB23" s="111">
        <v>0</v>
      </c>
      <c r="EC23" s="111">
        <v>0</v>
      </c>
      <c r="ED23" s="111">
        <v>0</v>
      </c>
      <c r="EE23" s="111">
        <v>0</v>
      </c>
      <c r="EF23" s="111">
        <v>0</v>
      </c>
      <c r="EG23" s="111">
        <v>678</v>
      </c>
      <c r="EH23" s="111">
        <v>412</v>
      </c>
      <c r="EI23" s="111">
        <v>396</v>
      </c>
      <c r="EJ23" s="111">
        <v>16</v>
      </c>
      <c r="EK23" s="111">
        <v>266</v>
      </c>
      <c r="EL23" s="111">
        <v>257</v>
      </c>
      <c r="EM23" s="111">
        <v>9</v>
      </c>
      <c r="EN23" s="111">
        <v>646</v>
      </c>
      <c r="EO23" s="111">
        <v>568</v>
      </c>
      <c r="EP23" s="111">
        <v>0</v>
      </c>
      <c r="EQ23" s="111">
        <v>78</v>
      </c>
      <c r="ER23" s="111">
        <v>0</v>
      </c>
      <c r="ES23" s="111">
        <v>0</v>
      </c>
      <c r="ET23" s="111">
        <v>0</v>
      </c>
      <c r="EU23" s="111">
        <v>444</v>
      </c>
      <c r="EV23" s="111">
        <v>444</v>
      </c>
      <c r="EW23" s="111">
        <v>0</v>
      </c>
      <c r="EX23" s="111">
        <v>0</v>
      </c>
      <c r="EY23" s="111">
        <v>12</v>
      </c>
      <c r="EZ23" s="111">
        <v>12</v>
      </c>
      <c r="FA23" s="111">
        <v>0</v>
      </c>
      <c r="FB23" s="111">
        <v>194</v>
      </c>
    </row>
    <row r="24" spans="1:158" ht="19.5" customHeight="1">
      <c r="A24" s="107">
        <v>21</v>
      </c>
      <c r="B24" s="107" t="s">
        <v>361</v>
      </c>
      <c r="C24" s="107" t="s">
        <v>372</v>
      </c>
      <c r="D24" s="110">
        <v>7692916.75</v>
      </c>
      <c r="E24" s="110">
        <v>1066812</v>
      </c>
      <c r="F24" s="110">
        <v>6626104.75</v>
      </c>
      <c r="G24" s="110">
        <v>5230</v>
      </c>
      <c r="H24" s="110">
        <v>1056</v>
      </c>
      <c r="I24" s="110">
        <v>1859</v>
      </c>
      <c r="J24" s="110">
        <v>667</v>
      </c>
      <c r="K24" s="110">
        <v>0</v>
      </c>
      <c r="L24" s="110">
        <v>1199368.5</v>
      </c>
      <c r="M24" s="110">
        <v>563924.25</v>
      </c>
      <c r="N24" s="110">
        <v>1012.5</v>
      </c>
      <c r="O24" s="110">
        <v>57347185.200000003</v>
      </c>
      <c r="P24" s="110">
        <v>41334308.009999998</v>
      </c>
      <c r="Q24" s="110">
        <v>40928991.630000003</v>
      </c>
      <c r="R24" s="110">
        <v>405316.38</v>
      </c>
      <c r="S24" s="110">
        <v>16012877.189999999</v>
      </c>
      <c r="T24" s="110">
        <v>15455584.720000001</v>
      </c>
      <c r="U24" s="110">
        <v>557292.47</v>
      </c>
      <c r="V24" s="110">
        <v>2194259.13</v>
      </c>
      <c r="W24" s="110">
        <v>1883484.01</v>
      </c>
      <c r="X24" s="110">
        <v>1816434.63</v>
      </c>
      <c r="Y24" s="110">
        <v>67049.38</v>
      </c>
      <c r="Z24" s="110">
        <v>310775.12</v>
      </c>
      <c r="AA24" s="110">
        <v>222899.43</v>
      </c>
      <c r="AB24" s="110">
        <v>87875.69</v>
      </c>
      <c r="AC24" s="110">
        <v>1122544.73</v>
      </c>
      <c r="AD24" s="110">
        <v>999041.61</v>
      </c>
      <c r="AE24" s="110">
        <v>977232.23</v>
      </c>
      <c r="AF24" s="110">
        <v>21809.38</v>
      </c>
      <c r="AG24" s="110">
        <v>123503.12</v>
      </c>
      <c r="AH24" s="110">
        <v>89036.43</v>
      </c>
      <c r="AI24" s="110">
        <v>34466.69</v>
      </c>
      <c r="AJ24" s="110">
        <v>4902.3999999999996</v>
      </c>
      <c r="AK24" s="110">
        <v>4085.4</v>
      </c>
      <c r="AL24" s="110">
        <v>3827.4</v>
      </c>
      <c r="AM24" s="110">
        <v>258</v>
      </c>
      <c r="AN24" s="110">
        <v>817</v>
      </c>
      <c r="AO24" s="110">
        <v>516</v>
      </c>
      <c r="AP24" s="110">
        <v>301</v>
      </c>
      <c r="AQ24" s="110">
        <v>857876</v>
      </c>
      <c r="AR24" s="110">
        <v>709536</v>
      </c>
      <c r="AS24" s="110">
        <v>673296</v>
      </c>
      <c r="AT24" s="110">
        <v>36240</v>
      </c>
      <c r="AU24" s="110">
        <v>148340</v>
      </c>
      <c r="AV24" s="110">
        <v>106547</v>
      </c>
      <c r="AW24" s="110">
        <v>41793</v>
      </c>
      <c r="AX24" s="110">
        <v>208936</v>
      </c>
      <c r="AY24" s="110">
        <v>170821</v>
      </c>
      <c r="AZ24" s="110">
        <v>162079</v>
      </c>
      <c r="BA24" s="110">
        <v>8742</v>
      </c>
      <c r="BB24" s="110">
        <v>38115</v>
      </c>
      <c r="BC24" s="110">
        <v>26800</v>
      </c>
      <c r="BD24" s="110">
        <v>11315</v>
      </c>
      <c r="BE24" s="110">
        <v>55152926.07</v>
      </c>
      <c r="BF24" s="110">
        <v>39450824</v>
      </c>
      <c r="BG24" s="110">
        <v>39112557</v>
      </c>
      <c r="BH24" s="110">
        <v>338267</v>
      </c>
      <c r="BI24" s="110">
        <v>15702102.07</v>
      </c>
      <c r="BJ24" s="110">
        <v>15232685.289999999</v>
      </c>
      <c r="BK24" s="110">
        <v>469416.78</v>
      </c>
      <c r="BL24" s="110">
        <v>2832896.05</v>
      </c>
      <c r="BM24" s="110">
        <v>1896072</v>
      </c>
      <c r="BN24" s="110">
        <v>1885884.58</v>
      </c>
      <c r="BO24" s="110">
        <v>10187.42</v>
      </c>
      <c r="BP24" s="110">
        <v>936824.05</v>
      </c>
      <c r="BQ24" s="110">
        <v>908001.25</v>
      </c>
      <c r="BR24" s="110">
        <v>28822.799999999999</v>
      </c>
      <c r="BS24" s="110">
        <v>45693925.270000003</v>
      </c>
      <c r="BT24" s="110">
        <v>33105005.850000001</v>
      </c>
      <c r="BU24" s="110">
        <v>32833353.27</v>
      </c>
      <c r="BV24" s="110">
        <v>271652.58</v>
      </c>
      <c r="BW24" s="110">
        <v>12588919.42</v>
      </c>
      <c r="BX24" s="110">
        <v>12275976.939999999</v>
      </c>
      <c r="BY24" s="110">
        <v>312942.48</v>
      </c>
      <c r="BZ24" s="110">
        <v>4050804</v>
      </c>
      <c r="CA24" s="110">
        <v>2718290</v>
      </c>
      <c r="CB24" s="110">
        <v>2684971</v>
      </c>
      <c r="CC24" s="110">
        <v>33319</v>
      </c>
      <c r="CD24" s="110">
        <v>1332514</v>
      </c>
      <c r="CE24" s="110">
        <v>1249575</v>
      </c>
      <c r="CF24" s="110">
        <v>82939</v>
      </c>
      <c r="CG24" s="110">
        <v>2575300.75</v>
      </c>
      <c r="CH24" s="110">
        <v>1731456.15</v>
      </c>
      <c r="CI24" s="110">
        <v>1708348.15</v>
      </c>
      <c r="CJ24" s="110">
        <v>23108</v>
      </c>
      <c r="CK24" s="110">
        <v>843844.6</v>
      </c>
      <c r="CL24" s="110">
        <v>799132.1</v>
      </c>
      <c r="CM24" s="110">
        <v>44712.5</v>
      </c>
      <c r="CN24" s="110">
        <v>0</v>
      </c>
      <c r="CO24" s="110">
        <v>8561.0300000000007</v>
      </c>
      <c r="CP24" s="110">
        <v>1379072.75</v>
      </c>
      <c r="CQ24" s="110">
        <v>806625.35</v>
      </c>
      <c r="CR24" s="110">
        <v>0</v>
      </c>
      <c r="CS24" s="110">
        <v>0</v>
      </c>
      <c r="CT24" s="110">
        <v>318154.68</v>
      </c>
      <c r="CU24" s="110">
        <v>0</v>
      </c>
      <c r="CV24" s="111">
        <v>5230</v>
      </c>
      <c r="CW24" s="111">
        <v>4350</v>
      </c>
      <c r="CX24" s="111">
        <v>4134</v>
      </c>
      <c r="CY24" s="111">
        <v>216</v>
      </c>
      <c r="CZ24" s="111">
        <v>880</v>
      </c>
      <c r="DA24" s="111">
        <v>612</v>
      </c>
      <c r="DB24" s="111">
        <v>268</v>
      </c>
      <c r="DC24" s="111">
        <v>1969</v>
      </c>
      <c r="DD24" s="111">
        <v>30</v>
      </c>
      <c r="DE24" s="111">
        <v>1725</v>
      </c>
      <c r="DF24" s="111">
        <v>1659</v>
      </c>
      <c r="DG24" s="111">
        <v>66</v>
      </c>
      <c r="DH24" s="111">
        <v>244</v>
      </c>
      <c r="DI24" s="111">
        <v>164</v>
      </c>
      <c r="DJ24" s="111">
        <v>80</v>
      </c>
      <c r="DK24" s="111">
        <v>3231</v>
      </c>
      <c r="DL24" s="111">
        <v>2600</v>
      </c>
      <c r="DM24" s="111">
        <v>2456</v>
      </c>
      <c r="DN24" s="111">
        <v>144</v>
      </c>
      <c r="DO24" s="111">
        <v>631</v>
      </c>
      <c r="DP24" s="111">
        <v>447</v>
      </c>
      <c r="DQ24" s="111">
        <v>184</v>
      </c>
      <c r="DR24" s="111">
        <v>0</v>
      </c>
      <c r="DS24" s="111">
        <v>0</v>
      </c>
      <c r="DT24" s="111">
        <v>0</v>
      </c>
      <c r="DU24" s="111">
        <v>0</v>
      </c>
      <c r="DV24" s="111">
        <v>0</v>
      </c>
      <c r="DW24" s="111">
        <v>0</v>
      </c>
      <c r="DX24" s="111">
        <v>0</v>
      </c>
      <c r="DY24" s="111">
        <v>0</v>
      </c>
      <c r="DZ24" s="111">
        <v>0</v>
      </c>
      <c r="EA24" s="111">
        <v>0</v>
      </c>
      <c r="EB24" s="111">
        <v>0</v>
      </c>
      <c r="EC24" s="111">
        <v>0</v>
      </c>
      <c r="ED24" s="111">
        <v>0</v>
      </c>
      <c r="EE24" s="111">
        <v>0</v>
      </c>
      <c r="EF24" s="111">
        <v>0</v>
      </c>
      <c r="EG24" s="111">
        <v>1056</v>
      </c>
      <c r="EH24" s="111">
        <v>706</v>
      </c>
      <c r="EI24" s="111">
        <v>693</v>
      </c>
      <c r="EJ24" s="111">
        <v>13</v>
      </c>
      <c r="EK24" s="111">
        <v>350</v>
      </c>
      <c r="EL24" s="111">
        <v>330</v>
      </c>
      <c r="EM24" s="111">
        <v>20</v>
      </c>
      <c r="EN24" s="111">
        <v>1258</v>
      </c>
      <c r="EO24" s="111">
        <v>355</v>
      </c>
      <c r="EP24" s="111">
        <v>680</v>
      </c>
      <c r="EQ24" s="111">
        <v>223</v>
      </c>
      <c r="ER24" s="111">
        <v>0</v>
      </c>
      <c r="ES24" s="111">
        <v>0</v>
      </c>
      <c r="ET24" s="111">
        <v>0</v>
      </c>
      <c r="EU24" s="111">
        <v>435</v>
      </c>
      <c r="EV24" s="111">
        <v>0</v>
      </c>
      <c r="EW24" s="111">
        <v>433</v>
      </c>
      <c r="EX24" s="111">
        <v>2</v>
      </c>
      <c r="EY24" s="111">
        <v>103</v>
      </c>
      <c r="EZ24" s="111">
        <v>0</v>
      </c>
      <c r="FA24" s="111">
        <v>103</v>
      </c>
      <c r="FB24" s="111">
        <v>330</v>
      </c>
    </row>
    <row r="25" spans="1:158" ht="19.5" customHeight="1">
      <c r="A25" s="107">
        <v>22</v>
      </c>
      <c r="B25" s="107" t="s">
        <v>361</v>
      </c>
      <c r="C25" s="107" t="s">
        <v>373</v>
      </c>
      <c r="D25" s="110">
        <v>43647032.520000003</v>
      </c>
      <c r="E25" s="110">
        <v>18464974</v>
      </c>
      <c r="F25" s="110">
        <v>25182058.52</v>
      </c>
      <c r="G25" s="110">
        <v>49081</v>
      </c>
      <c r="H25" s="110">
        <v>3294</v>
      </c>
      <c r="I25" s="110">
        <v>274476</v>
      </c>
      <c r="J25" s="110">
        <v>32006</v>
      </c>
      <c r="K25" s="110">
        <v>135295.21</v>
      </c>
      <c r="L25" s="110">
        <v>1762679.52</v>
      </c>
      <c r="M25" s="110">
        <v>4553613.75</v>
      </c>
      <c r="N25" s="110">
        <v>13323.17</v>
      </c>
      <c r="O25" s="110">
        <v>62421853.140000001</v>
      </c>
      <c r="P25" s="110">
        <v>46399849.060000002</v>
      </c>
      <c r="Q25" s="110">
        <v>35400813.810000002</v>
      </c>
      <c r="R25" s="110">
        <v>10999035.25</v>
      </c>
      <c r="S25" s="110">
        <v>16022004.08</v>
      </c>
      <c r="T25" s="110">
        <v>9945671.6600000001</v>
      </c>
      <c r="U25" s="110">
        <v>6076332.4199999999</v>
      </c>
      <c r="V25" s="110">
        <v>23275727.07</v>
      </c>
      <c r="W25" s="110">
        <v>18553212.010000002</v>
      </c>
      <c r="X25" s="110">
        <v>13217154.699999999</v>
      </c>
      <c r="Y25" s="110">
        <v>5336057.3099999996</v>
      </c>
      <c r="Z25" s="110">
        <v>4722515.0599999996</v>
      </c>
      <c r="AA25" s="110">
        <v>1909067.62</v>
      </c>
      <c r="AB25" s="110">
        <v>2813447.44</v>
      </c>
      <c r="AC25" s="110">
        <v>4767361.25</v>
      </c>
      <c r="AD25" s="110">
        <v>3975731.96</v>
      </c>
      <c r="AE25" s="110">
        <v>3696064.08</v>
      </c>
      <c r="AF25" s="110">
        <v>279667.88</v>
      </c>
      <c r="AG25" s="110">
        <v>791629.29</v>
      </c>
      <c r="AH25" s="110">
        <v>501991.87</v>
      </c>
      <c r="AI25" s="110">
        <v>289637.42</v>
      </c>
      <c r="AJ25" s="110">
        <v>43391.82</v>
      </c>
      <c r="AK25" s="110">
        <v>33231.550000000003</v>
      </c>
      <c r="AL25" s="110">
        <v>25940.62</v>
      </c>
      <c r="AM25" s="110">
        <v>7290.93</v>
      </c>
      <c r="AN25" s="110">
        <v>10160.27</v>
      </c>
      <c r="AO25" s="110">
        <v>4754.75</v>
      </c>
      <c r="AP25" s="110">
        <v>5405.52</v>
      </c>
      <c r="AQ25" s="110">
        <v>15776926</v>
      </c>
      <c r="AR25" s="110">
        <v>12429670</v>
      </c>
      <c r="AS25" s="110">
        <v>8096477</v>
      </c>
      <c r="AT25" s="110">
        <v>4333193</v>
      </c>
      <c r="AU25" s="110">
        <v>3347256</v>
      </c>
      <c r="AV25" s="110">
        <v>1191891.5</v>
      </c>
      <c r="AW25" s="110">
        <v>2155364.5</v>
      </c>
      <c r="AX25" s="110">
        <v>2688048</v>
      </c>
      <c r="AY25" s="110">
        <v>2114578.5</v>
      </c>
      <c r="AZ25" s="110">
        <v>1398673</v>
      </c>
      <c r="BA25" s="110">
        <v>715905.5</v>
      </c>
      <c r="BB25" s="110">
        <v>573469.5</v>
      </c>
      <c r="BC25" s="110">
        <v>210429.5</v>
      </c>
      <c r="BD25" s="110">
        <v>363040</v>
      </c>
      <c r="BE25" s="110">
        <v>39146126.07</v>
      </c>
      <c r="BF25" s="110">
        <v>27846637.050000001</v>
      </c>
      <c r="BG25" s="110">
        <v>22183659.109999999</v>
      </c>
      <c r="BH25" s="110">
        <v>5662977.9400000004</v>
      </c>
      <c r="BI25" s="110">
        <v>11299489.02</v>
      </c>
      <c r="BJ25" s="110">
        <v>8036604.04</v>
      </c>
      <c r="BK25" s="110">
        <v>3262884.98</v>
      </c>
      <c r="BL25" s="110">
        <v>6369504.3700000001</v>
      </c>
      <c r="BM25" s="110">
        <v>4416824.58</v>
      </c>
      <c r="BN25" s="110">
        <v>3677204.13</v>
      </c>
      <c r="BO25" s="110">
        <v>739620.45</v>
      </c>
      <c r="BP25" s="110">
        <v>1952679.79</v>
      </c>
      <c r="BQ25" s="110">
        <v>1548291.23</v>
      </c>
      <c r="BR25" s="110">
        <v>404388.56</v>
      </c>
      <c r="BS25" s="110">
        <v>7594563.1799999997</v>
      </c>
      <c r="BT25" s="110">
        <v>5450399.2000000002</v>
      </c>
      <c r="BU25" s="110">
        <v>4665401.46</v>
      </c>
      <c r="BV25" s="110">
        <v>784997.74</v>
      </c>
      <c r="BW25" s="110">
        <v>2144163.98</v>
      </c>
      <c r="BX25" s="110">
        <v>1721313.06</v>
      </c>
      <c r="BY25" s="110">
        <v>422850.92</v>
      </c>
      <c r="BZ25" s="110">
        <v>9144611.25</v>
      </c>
      <c r="CA25" s="110">
        <v>6321313</v>
      </c>
      <c r="CB25" s="110">
        <v>5582212</v>
      </c>
      <c r="CC25" s="110">
        <v>739101</v>
      </c>
      <c r="CD25" s="110">
        <v>2823298.25</v>
      </c>
      <c r="CE25" s="110">
        <v>2081881</v>
      </c>
      <c r="CF25" s="110">
        <v>741417.25</v>
      </c>
      <c r="CG25" s="110">
        <v>16037447.27</v>
      </c>
      <c r="CH25" s="110">
        <v>11658100.27</v>
      </c>
      <c r="CI25" s="110">
        <v>8258841.5199999996</v>
      </c>
      <c r="CJ25" s="110">
        <v>3399258.75</v>
      </c>
      <c r="CK25" s="110">
        <v>4379347</v>
      </c>
      <c r="CL25" s="110">
        <v>2685118.75</v>
      </c>
      <c r="CM25" s="110">
        <v>1694228.25</v>
      </c>
      <c r="CN25" s="110">
        <v>456025.1</v>
      </c>
      <c r="CO25" s="110">
        <v>8133716.6900000004</v>
      </c>
      <c r="CP25" s="110">
        <v>8545078.9399999995</v>
      </c>
      <c r="CQ25" s="110">
        <v>2931161.8</v>
      </c>
      <c r="CR25" s="110">
        <v>3103710.54</v>
      </c>
      <c r="CS25" s="110">
        <v>104930</v>
      </c>
      <c r="CT25" s="110">
        <v>130269.48</v>
      </c>
      <c r="CU25" s="110">
        <v>0</v>
      </c>
      <c r="CV25" s="111">
        <v>49081</v>
      </c>
      <c r="CW25" s="111">
        <v>40339</v>
      </c>
      <c r="CX25" s="111">
        <v>31372</v>
      </c>
      <c r="CY25" s="111">
        <v>8967</v>
      </c>
      <c r="CZ25" s="111">
        <v>8742</v>
      </c>
      <c r="DA25" s="111">
        <v>3573</v>
      </c>
      <c r="DB25" s="111">
        <v>5169</v>
      </c>
      <c r="DC25" s="111">
        <v>28513</v>
      </c>
      <c r="DD25" s="111">
        <v>288</v>
      </c>
      <c r="DE25" s="111">
        <v>24224</v>
      </c>
      <c r="DF25" s="111">
        <v>19868</v>
      </c>
      <c r="DG25" s="111">
        <v>4356</v>
      </c>
      <c r="DH25" s="111">
        <v>4289</v>
      </c>
      <c r="DI25" s="111">
        <v>1568</v>
      </c>
      <c r="DJ25" s="111">
        <v>2721</v>
      </c>
      <c r="DK25" s="111">
        <v>15738</v>
      </c>
      <c r="DL25" s="111">
        <v>12397</v>
      </c>
      <c r="DM25" s="111">
        <v>9544</v>
      </c>
      <c r="DN25" s="111">
        <v>2853</v>
      </c>
      <c r="DO25" s="111">
        <v>3341</v>
      </c>
      <c r="DP25" s="111">
        <v>1700</v>
      </c>
      <c r="DQ25" s="111">
        <v>1641</v>
      </c>
      <c r="DR25" s="111">
        <v>3285</v>
      </c>
      <c r="DS25" s="111">
        <v>0</v>
      </c>
      <c r="DT25" s="111">
        <v>2437</v>
      </c>
      <c r="DU25" s="111">
        <v>1026</v>
      </c>
      <c r="DV25" s="111">
        <v>1411</v>
      </c>
      <c r="DW25" s="111">
        <v>848</v>
      </c>
      <c r="DX25" s="111">
        <v>240</v>
      </c>
      <c r="DY25" s="111">
        <v>608</v>
      </c>
      <c r="DZ25" s="111">
        <v>1257</v>
      </c>
      <c r="EA25" s="111">
        <v>999</v>
      </c>
      <c r="EB25" s="111">
        <v>654</v>
      </c>
      <c r="EC25" s="111">
        <v>345</v>
      </c>
      <c r="ED25" s="111">
        <v>258</v>
      </c>
      <c r="EE25" s="111">
        <v>64</v>
      </c>
      <c r="EF25" s="111">
        <v>194</v>
      </c>
      <c r="EG25" s="111">
        <v>3294</v>
      </c>
      <c r="EH25" s="111">
        <v>2454</v>
      </c>
      <c r="EI25" s="111">
        <v>2167</v>
      </c>
      <c r="EJ25" s="111">
        <v>287</v>
      </c>
      <c r="EK25" s="111">
        <v>840</v>
      </c>
      <c r="EL25" s="111">
        <v>676</v>
      </c>
      <c r="EM25" s="111">
        <v>164</v>
      </c>
      <c r="EN25" s="111">
        <v>2928</v>
      </c>
      <c r="EO25" s="111">
        <v>1710</v>
      </c>
      <c r="EP25" s="111">
        <v>0</v>
      </c>
      <c r="EQ25" s="111">
        <v>1218</v>
      </c>
      <c r="ER25" s="111">
        <v>366</v>
      </c>
      <c r="ES25" s="111">
        <v>0</v>
      </c>
      <c r="ET25" s="111">
        <v>0</v>
      </c>
      <c r="EU25" s="111">
        <v>980</v>
      </c>
      <c r="EV25" s="111">
        <v>980</v>
      </c>
      <c r="EW25" s="111">
        <v>0</v>
      </c>
      <c r="EX25" s="111">
        <v>0</v>
      </c>
      <c r="EY25" s="111">
        <v>189</v>
      </c>
      <c r="EZ25" s="111">
        <v>189</v>
      </c>
      <c r="FA25" s="111">
        <v>0</v>
      </c>
      <c r="FB25" s="111">
        <v>903</v>
      </c>
    </row>
    <row r="26" spans="1:158" ht="19.5" customHeight="1">
      <c r="A26" s="107">
        <v>23</v>
      </c>
      <c r="B26" s="107" t="s">
        <v>374</v>
      </c>
      <c r="C26" s="107" t="s">
        <v>375</v>
      </c>
      <c r="D26" s="110">
        <v>6181362</v>
      </c>
      <c r="E26" s="110">
        <v>6181309</v>
      </c>
      <c r="F26" s="110">
        <v>53</v>
      </c>
      <c r="G26" s="110">
        <v>34396</v>
      </c>
      <c r="H26" s="110">
        <v>0</v>
      </c>
      <c r="I26" s="110">
        <v>113653</v>
      </c>
      <c r="J26" s="110">
        <v>0</v>
      </c>
      <c r="K26" s="110">
        <v>0</v>
      </c>
      <c r="L26" s="110">
        <v>8</v>
      </c>
      <c r="M26" s="110">
        <v>0</v>
      </c>
      <c r="N26" s="110">
        <v>0</v>
      </c>
      <c r="O26" s="110">
        <v>13882033.560000001</v>
      </c>
      <c r="P26" s="110">
        <v>13086963.18</v>
      </c>
      <c r="Q26" s="110">
        <v>12162447.99</v>
      </c>
      <c r="R26" s="110">
        <v>924515.19</v>
      </c>
      <c r="S26" s="110">
        <v>795070.38</v>
      </c>
      <c r="T26" s="110">
        <v>265981.39</v>
      </c>
      <c r="U26" s="110">
        <v>529088.99</v>
      </c>
      <c r="V26" s="110">
        <v>13881980.560000001</v>
      </c>
      <c r="W26" s="110">
        <v>13086963.18</v>
      </c>
      <c r="X26" s="110">
        <v>12162447.99</v>
      </c>
      <c r="Y26" s="110">
        <v>924515.19</v>
      </c>
      <c r="Z26" s="110">
        <v>795017.38</v>
      </c>
      <c r="AA26" s="110">
        <v>265928.39</v>
      </c>
      <c r="AB26" s="110">
        <v>529088.99</v>
      </c>
      <c r="AC26" s="110">
        <v>7432375.79</v>
      </c>
      <c r="AD26" s="110">
        <v>7044609.7199999997</v>
      </c>
      <c r="AE26" s="110">
        <v>6593194.2800000003</v>
      </c>
      <c r="AF26" s="110">
        <v>451415.44</v>
      </c>
      <c r="AG26" s="110">
        <v>387766.07</v>
      </c>
      <c r="AH26" s="110">
        <v>129273.04</v>
      </c>
      <c r="AI26" s="110">
        <v>258493.03</v>
      </c>
      <c r="AJ26" s="110">
        <v>268295.77</v>
      </c>
      <c r="AK26" s="110">
        <v>247536.46</v>
      </c>
      <c r="AL26" s="110">
        <v>226846.71</v>
      </c>
      <c r="AM26" s="110">
        <v>20689.75</v>
      </c>
      <c r="AN26" s="110">
        <v>20759.310000000001</v>
      </c>
      <c r="AO26" s="110">
        <v>8168.35</v>
      </c>
      <c r="AP26" s="110">
        <v>12590.96</v>
      </c>
      <c r="AQ26" s="110">
        <v>5152334</v>
      </c>
      <c r="AR26" s="110">
        <v>4842245</v>
      </c>
      <c r="AS26" s="110">
        <v>4476129</v>
      </c>
      <c r="AT26" s="110">
        <v>366116</v>
      </c>
      <c r="AU26" s="110">
        <v>310089</v>
      </c>
      <c r="AV26" s="110">
        <v>101243</v>
      </c>
      <c r="AW26" s="110">
        <v>208846</v>
      </c>
      <c r="AX26" s="110">
        <v>1028975</v>
      </c>
      <c r="AY26" s="110">
        <v>952572</v>
      </c>
      <c r="AZ26" s="110">
        <v>866278</v>
      </c>
      <c r="BA26" s="110">
        <v>86294</v>
      </c>
      <c r="BB26" s="110">
        <v>76403</v>
      </c>
      <c r="BC26" s="110">
        <v>27244</v>
      </c>
      <c r="BD26" s="110">
        <v>49159</v>
      </c>
      <c r="BE26" s="110">
        <v>53</v>
      </c>
      <c r="BF26" s="110">
        <v>0</v>
      </c>
      <c r="BG26" s="110">
        <v>0</v>
      </c>
      <c r="BH26" s="110">
        <v>0</v>
      </c>
      <c r="BI26" s="110">
        <v>53</v>
      </c>
      <c r="BJ26" s="110">
        <v>53</v>
      </c>
      <c r="BK26" s="110">
        <v>0</v>
      </c>
      <c r="BL26" s="110">
        <v>0</v>
      </c>
      <c r="BM26" s="110">
        <v>0</v>
      </c>
      <c r="BN26" s="110">
        <v>0</v>
      </c>
      <c r="BO26" s="110">
        <v>0</v>
      </c>
      <c r="BP26" s="110">
        <v>0</v>
      </c>
      <c r="BQ26" s="110">
        <v>0</v>
      </c>
      <c r="BR26" s="110">
        <v>0</v>
      </c>
      <c r="BS26" s="110">
        <v>0</v>
      </c>
      <c r="BT26" s="110">
        <v>0</v>
      </c>
      <c r="BU26" s="110">
        <v>0</v>
      </c>
      <c r="BV26" s="110">
        <v>0</v>
      </c>
      <c r="BW26" s="110">
        <v>0</v>
      </c>
      <c r="BX26" s="110">
        <v>0</v>
      </c>
      <c r="BY26" s="110">
        <v>0</v>
      </c>
      <c r="BZ26" s="110">
        <v>0</v>
      </c>
      <c r="CA26" s="110">
        <v>0</v>
      </c>
      <c r="CB26" s="110">
        <v>0</v>
      </c>
      <c r="CC26" s="110">
        <v>0</v>
      </c>
      <c r="CD26" s="110">
        <v>0</v>
      </c>
      <c r="CE26" s="110">
        <v>0</v>
      </c>
      <c r="CF26" s="110">
        <v>0</v>
      </c>
      <c r="CG26" s="110">
        <v>53</v>
      </c>
      <c r="CH26" s="110">
        <v>0</v>
      </c>
      <c r="CI26" s="110">
        <v>0</v>
      </c>
      <c r="CJ26" s="110">
        <v>0</v>
      </c>
      <c r="CK26" s="110">
        <v>53</v>
      </c>
      <c r="CL26" s="110">
        <v>53</v>
      </c>
      <c r="CM26" s="110">
        <v>0</v>
      </c>
      <c r="CN26" s="110">
        <v>1221944.3600000001</v>
      </c>
      <c r="CO26" s="110">
        <v>12559588.84</v>
      </c>
      <c r="CP26" s="110">
        <v>63455.07</v>
      </c>
      <c r="CQ26" s="110">
        <v>6763.15</v>
      </c>
      <c r="CR26" s="110">
        <v>30184.14</v>
      </c>
      <c r="CS26" s="110">
        <v>0</v>
      </c>
      <c r="CT26" s="110">
        <v>0</v>
      </c>
      <c r="CU26" s="110">
        <v>0</v>
      </c>
      <c r="CV26" s="111">
        <v>34396</v>
      </c>
      <c r="CW26" s="111">
        <v>32007</v>
      </c>
      <c r="CX26" s="111">
        <v>29206</v>
      </c>
      <c r="CY26" s="111">
        <v>2801</v>
      </c>
      <c r="CZ26" s="111">
        <v>2389</v>
      </c>
      <c r="DA26" s="111">
        <v>857</v>
      </c>
      <c r="DB26" s="111">
        <v>1532</v>
      </c>
      <c r="DC26" s="111">
        <v>30960</v>
      </c>
      <c r="DD26" s="111">
        <v>0</v>
      </c>
      <c r="DE26" s="111">
        <v>28899</v>
      </c>
      <c r="DF26" s="111">
        <v>26552</v>
      </c>
      <c r="DG26" s="111">
        <v>2347</v>
      </c>
      <c r="DH26" s="111">
        <v>2061</v>
      </c>
      <c r="DI26" s="111">
        <v>734</v>
      </c>
      <c r="DJ26" s="111">
        <v>1327</v>
      </c>
      <c r="DK26" s="111">
        <v>327</v>
      </c>
      <c r="DL26" s="111">
        <v>279</v>
      </c>
      <c r="DM26" s="111">
        <v>218</v>
      </c>
      <c r="DN26" s="111">
        <v>61</v>
      </c>
      <c r="DO26" s="111">
        <v>48</v>
      </c>
      <c r="DP26" s="111">
        <v>9</v>
      </c>
      <c r="DQ26" s="111">
        <v>39</v>
      </c>
      <c r="DR26" s="111">
        <v>56</v>
      </c>
      <c r="DS26" s="111">
        <v>1</v>
      </c>
      <c r="DT26" s="111">
        <v>45</v>
      </c>
      <c r="DU26" s="111">
        <v>33</v>
      </c>
      <c r="DV26" s="111">
        <v>12</v>
      </c>
      <c r="DW26" s="111">
        <v>11</v>
      </c>
      <c r="DX26" s="111">
        <v>2</v>
      </c>
      <c r="DY26" s="111">
        <v>9</v>
      </c>
      <c r="DZ26" s="111">
        <v>3052</v>
      </c>
      <c r="EA26" s="111">
        <v>2784</v>
      </c>
      <c r="EB26" s="111">
        <v>2403</v>
      </c>
      <c r="EC26" s="111">
        <v>381</v>
      </c>
      <c r="ED26" s="111">
        <v>268</v>
      </c>
      <c r="EE26" s="111">
        <v>112</v>
      </c>
      <c r="EF26" s="111">
        <v>156</v>
      </c>
      <c r="EG26" s="111">
        <v>0</v>
      </c>
      <c r="EH26" s="111">
        <v>0</v>
      </c>
      <c r="EI26" s="111">
        <v>0</v>
      </c>
      <c r="EJ26" s="111">
        <v>0</v>
      </c>
      <c r="EK26" s="111">
        <v>0</v>
      </c>
      <c r="EL26" s="111">
        <v>0</v>
      </c>
      <c r="EM26" s="111">
        <v>0</v>
      </c>
      <c r="EN26" s="111">
        <v>0</v>
      </c>
      <c r="EO26" s="111">
        <v>0</v>
      </c>
      <c r="EP26" s="111">
        <v>0</v>
      </c>
      <c r="EQ26" s="111">
        <v>0</v>
      </c>
      <c r="ER26" s="111">
        <v>0</v>
      </c>
      <c r="ES26" s="111">
        <v>0</v>
      </c>
      <c r="ET26" s="111">
        <v>0</v>
      </c>
      <c r="EU26" s="111">
        <v>0</v>
      </c>
      <c r="EV26" s="111">
        <v>0</v>
      </c>
      <c r="EW26" s="111">
        <v>0</v>
      </c>
      <c r="EX26" s="111">
        <v>0</v>
      </c>
      <c r="EY26" s="111">
        <v>0</v>
      </c>
      <c r="EZ26" s="111">
        <v>0</v>
      </c>
      <c r="FA26" s="111">
        <v>0</v>
      </c>
      <c r="FB26" s="111">
        <v>0</v>
      </c>
    </row>
    <row r="27" spans="1:158" ht="19.5" customHeight="1">
      <c r="A27" s="107">
        <v>24</v>
      </c>
      <c r="B27" s="107" t="s">
        <v>374</v>
      </c>
      <c r="C27" s="107" t="s">
        <v>376</v>
      </c>
      <c r="D27" s="110">
        <v>9533668.25</v>
      </c>
      <c r="E27" s="110">
        <v>4861123</v>
      </c>
      <c r="F27" s="110">
        <v>4672545.25</v>
      </c>
      <c r="G27" s="110">
        <v>17915</v>
      </c>
      <c r="H27" s="110">
        <v>466</v>
      </c>
      <c r="I27" s="110">
        <v>44635</v>
      </c>
      <c r="J27" s="110">
        <v>5660</v>
      </c>
      <c r="K27" s="110">
        <v>0</v>
      </c>
      <c r="L27" s="110">
        <v>233433</v>
      </c>
      <c r="M27" s="110">
        <v>263893.75</v>
      </c>
      <c r="N27" s="110">
        <v>0</v>
      </c>
      <c r="O27" s="110">
        <v>14672420.640000001</v>
      </c>
      <c r="P27" s="110">
        <v>9190875.0199999996</v>
      </c>
      <c r="Q27" s="110">
        <v>8131407.7199999997</v>
      </c>
      <c r="R27" s="110">
        <v>1059467.3</v>
      </c>
      <c r="S27" s="110">
        <v>5481545.6200000001</v>
      </c>
      <c r="T27" s="110">
        <v>3371546.78</v>
      </c>
      <c r="U27" s="110">
        <v>2109998.84</v>
      </c>
      <c r="V27" s="110">
        <v>7484612.3200000003</v>
      </c>
      <c r="W27" s="110">
        <v>6708390.5300000003</v>
      </c>
      <c r="X27" s="110">
        <v>5985208.1600000001</v>
      </c>
      <c r="Y27" s="110">
        <v>723182.37</v>
      </c>
      <c r="Z27" s="110">
        <v>776221.79</v>
      </c>
      <c r="AA27" s="110">
        <v>274769.56</v>
      </c>
      <c r="AB27" s="110">
        <v>501452.23</v>
      </c>
      <c r="AC27" s="110">
        <v>2510515.5299999998</v>
      </c>
      <c r="AD27" s="110">
        <v>2285428.66</v>
      </c>
      <c r="AE27" s="110">
        <v>2070293.56</v>
      </c>
      <c r="AF27" s="110">
        <v>215135.1</v>
      </c>
      <c r="AG27" s="110">
        <v>225086.87</v>
      </c>
      <c r="AH27" s="110">
        <v>83277.259999999995</v>
      </c>
      <c r="AI27" s="110">
        <v>141809.60999999999</v>
      </c>
      <c r="AJ27" s="110">
        <v>112973.79</v>
      </c>
      <c r="AK27" s="110">
        <v>101094.87</v>
      </c>
      <c r="AL27" s="110">
        <v>90863.6</v>
      </c>
      <c r="AM27" s="110">
        <v>10231.27</v>
      </c>
      <c r="AN27" s="110">
        <v>11878.92</v>
      </c>
      <c r="AO27" s="110">
        <v>3566.3</v>
      </c>
      <c r="AP27" s="110">
        <v>8312.6200000000008</v>
      </c>
      <c r="AQ27" s="110">
        <v>3922640</v>
      </c>
      <c r="AR27" s="110">
        <v>3525242</v>
      </c>
      <c r="AS27" s="110">
        <v>3161689</v>
      </c>
      <c r="AT27" s="110">
        <v>363553</v>
      </c>
      <c r="AU27" s="110">
        <v>397398</v>
      </c>
      <c r="AV27" s="110">
        <v>144008</v>
      </c>
      <c r="AW27" s="110">
        <v>253390</v>
      </c>
      <c r="AX27" s="110">
        <v>938483</v>
      </c>
      <c r="AY27" s="110">
        <v>796625</v>
      </c>
      <c r="AZ27" s="110">
        <v>662362</v>
      </c>
      <c r="BA27" s="110">
        <v>134263</v>
      </c>
      <c r="BB27" s="110">
        <v>141858</v>
      </c>
      <c r="BC27" s="110">
        <v>43918</v>
      </c>
      <c r="BD27" s="110">
        <v>97940</v>
      </c>
      <c r="BE27" s="110">
        <v>7187808.3200000003</v>
      </c>
      <c r="BF27" s="110">
        <v>2482484.4900000002</v>
      </c>
      <c r="BG27" s="110">
        <v>2146199.56</v>
      </c>
      <c r="BH27" s="110">
        <v>336284.93</v>
      </c>
      <c r="BI27" s="110">
        <v>4705323.83</v>
      </c>
      <c r="BJ27" s="110">
        <v>3096777.22</v>
      </c>
      <c r="BK27" s="110">
        <v>1608546.61</v>
      </c>
      <c r="BL27" s="110">
        <v>1708931.77</v>
      </c>
      <c r="BM27" s="110">
        <v>559515.84</v>
      </c>
      <c r="BN27" s="110">
        <v>543661.56000000006</v>
      </c>
      <c r="BO27" s="110">
        <v>15854.28</v>
      </c>
      <c r="BP27" s="110">
        <v>1149415.93</v>
      </c>
      <c r="BQ27" s="110">
        <v>975511.58</v>
      </c>
      <c r="BR27" s="110">
        <v>173904.35</v>
      </c>
      <c r="BS27" s="110">
        <v>806331.3</v>
      </c>
      <c r="BT27" s="110">
        <v>286479.15000000002</v>
      </c>
      <c r="BU27" s="110">
        <v>266531.5</v>
      </c>
      <c r="BV27" s="110">
        <v>19947.650000000001</v>
      </c>
      <c r="BW27" s="110">
        <v>519852.15</v>
      </c>
      <c r="BX27" s="110">
        <v>388615.39</v>
      </c>
      <c r="BY27" s="110">
        <v>131236.76</v>
      </c>
      <c r="BZ27" s="110">
        <v>2063984</v>
      </c>
      <c r="CA27" s="110">
        <v>941861</v>
      </c>
      <c r="CB27" s="110">
        <v>847652</v>
      </c>
      <c r="CC27" s="110">
        <v>94209</v>
      </c>
      <c r="CD27" s="110">
        <v>1122123</v>
      </c>
      <c r="CE27" s="110">
        <v>923187</v>
      </c>
      <c r="CF27" s="110">
        <v>198936</v>
      </c>
      <c r="CG27" s="110">
        <v>2608561.25</v>
      </c>
      <c r="CH27" s="110">
        <v>694628.5</v>
      </c>
      <c r="CI27" s="110">
        <v>488354.5</v>
      </c>
      <c r="CJ27" s="110">
        <v>206274</v>
      </c>
      <c r="CK27" s="110">
        <v>1913932.75</v>
      </c>
      <c r="CL27" s="110">
        <v>809463.25</v>
      </c>
      <c r="CM27" s="110">
        <v>1104469.5</v>
      </c>
      <c r="CN27" s="110">
        <v>2239537.14</v>
      </c>
      <c r="CO27" s="110">
        <v>1542249.61</v>
      </c>
      <c r="CP27" s="110">
        <v>392087.58</v>
      </c>
      <c r="CQ27" s="110">
        <v>1987905.84</v>
      </c>
      <c r="CR27" s="110">
        <v>1321816.1499999999</v>
      </c>
      <c r="CS27" s="110">
        <v>1016</v>
      </c>
      <c r="CT27" s="110">
        <v>1409383.32</v>
      </c>
      <c r="CU27" s="110">
        <v>0</v>
      </c>
      <c r="CV27" s="111">
        <v>17915</v>
      </c>
      <c r="CW27" s="111">
        <v>15765</v>
      </c>
      <c r="CX27" s="111">
        <v>13567</v>
      </c>
      <c r="CY27" s="111">
        <v>2198</v>
      </c>
      <c r="CZ27" s="111">
        <v>2150</v>
      </c>
      <c r="DA27" s="111">
        <v>739</v>
      </c>
      <c r="DB27" s="111">
        <v>1411</v>
      </c>
      <c r="DC27" s="111">
        <v>9438</v>
      </c>
      <c r="DD27" s="111">
        <v>409</v>
      </c>
      <c r="DE27" s="111">
        <v>8352</v>
      </c>
      <c r="DF27" s="111">
        <v>7321</v>
      </c>
      <c r="DG27" s="111">
        <v>1031</v>
      </c>
      <c r="DH27" s="111">
        <v>1086</v>
      </c>
      <c r="DI27" s="111">
        <v>382</v>
      </c>
      <c r="DJ27" s="111">
        <v>704</v>
      </c>
      <c r="DK27" s="111">
        <v>1149</v>
      </c>
      <c r="DL27" s="111">
        <v>944</v>
      </c>
      <c r="DM27" s="111">
        <v>777</v>
      </c>
      <c r="DN27" s="111">
        <v>167</v>
      </c>
      <c r="DO27" s="111">
        <v>205</v>
      </c>
      <c r="DP27" s="111">
        <v>76</v>
      </c>
      <c r="DQ27" s="111">
        <v>129</v>
      </c>
      <c r="DR27" s="111">
        <v>2472</v>
      </c>
      <c r="DS27" s="111">
        <v>0</v>
      </c>
      <c r="DT27" s="111">
        <v>2108</v>
      </c>
      <c r="DU27" s="111">
        <v>1757</v>
      </c>
      <c r="DV27" s="111">
        <v>351</v>
      </c>
      <c r="DW27" s="111">
        <v>364</v>
      </c>
      <c r="DX27" s="111">
        <v>104</v>
      </c>
      <c r="DY27" s="111">
        <v>260</v>
      </c>
      <c r="DZ27" s="111">
        <v>4447</v>
      </c>
      <c r="EA27" s="111">
        <v>4036</v>
      </c>
      <c r="EB27" s="111">
        <v>3503</v>
      </c>
      <c r="EC27" s="111">
        <v>533</v>
      </c>
      <c r="ED27" s="111">
        <v>411</v>
      </c>
      <c r="EE27" s="111">
        <v>177</v>
      </c>
      <c r="EF27" s="111">
        <v>234</v>
      </c>
      <c r="EG27" s="111">
        <v>466</v>
      </c>
      <c r="EH27" s="111">
        <v>258</v>
      </c>
      <c r="EI27" s="111">
        <v>227</v>
      </c>
      <c r="EJ27" s="111">
        <v>31</v>
      </c>
      <c r="EK27" s="111">
        <v>208</v>
      </c>
      <c r="EL27" s="111">
        <v>179</v>
      </c>
      <c r="EM27" s="111">
        <v>29</v>
      </c>
      <c r="EN27" s="111">
        <v>290</v>
      </c>
      <c r="EO27" s="111">
        <v>2</v>
      </c>
      <c r="EP27" s="111">
        <v>0</v>
      </c>
      <c r="EQ27" s="111">
        <v>288</v>
      </c>
      <c r="ER27" s="111">
        <v>0</v>
      </c>
      <c r="ES27" s="111">
        <v>0</v>
      </c>
      <c r="ET27" s="111">
        <v>0</v>
      </c>
      <c r="EU27" s="111">
        <v>0</v>
      </c>
      <c r="EV27" s="111">
        <v>0</v>
      </c>
      <c r="EW27" s="111">
        <v>0</v>
      </c>
      <c r="EX27" s="111">
        <v>0</v>
      </c>
      <c r="EY27" s="111">
        <v>2</v>
      </c>
      <c r="EZ27" s="111">
        <v>2</v>
      </c>
      <c r="FA27" s="111">
        <v>0</v>
      </c>
      <c r="FB27" s="111">
        <v>133</v>
      </c>
    </row>
    <row r="28" spans="1:158" ht="19.5" customHeight="1">
      <c r="A28" s="107">
        <v>25</v>
      </c>
      <c r="B28" s="107" t="s">
        <v>374</v>
      </c>
      <c r="C28" s="107" t="s">
        <v>377</v>
      </c>
      <c r="D28" s="110">
        <v>20255523</v>
      </c>
      <c r="E28" s="110">
        <v>10767140.5</v>
      </c>
      <c r="F28" s="110">
        <v>9488382.5</v>
      </c>
      <c r="G28" s="110">
        <v>31644</v>
      </c>
      <c r="H28" s="110">
        <v>1048</v>
      </c>
      <c r="I28" s="110">
        <v>97437.5</v>
      </c>
      <c r="J28" s="110">
        <v>0</v>
      </c>
      <c r="K28" s="110">
        <v>0</v>
      </c>
      <c r="L28" s="110">
        <v>377720</v>
      </c>
      <c r="M28" s="110">
        <v>2139</v>
      </c>
      <c r="N28" s="110">
        <v>0</v>
      </c>
      <c r="O28" s="110">
        <v>29346632.359999999</v>
      </c>
      <c r="P28" s="110">
        <v>25446674.73</v>
      </c>
      <c r="Q28" s="110">
        <v>22557036.039999999</v>
      </c>
      <c r="R28" s="110">
        <v>2889638.69</v>
      </c>
      <c r="S28" s="110">
        <v>3899957.63</v>
      </c>
      <c r="T28" s="110">
        <v>2415239.12</v>
      </c>
      <c r="U28" s="110">
        <v>1484718.51</v>
      </c>
      <c r="V28" s="110">
        <v>17974104.850000001</v>
      </c>
      <c r="W28" s="110">
        <v>15924358.6</v>
      </c>
      <c r="X28" s="110">
        <v>14296351.23</v>
      </c>
      <c r="Y28" s="110">
        <v>1628007.37</v>
      </c>
      <c r="Z28" s="110">
        <v>2049746.25</v>
      </c>
      <c r="AA28" s="110">
        <v>757597.93</v>
      </c>
      <c r="AB28" s="110">
        <v>1292148.32</v>
      </c>
      <c r="AC28" s="110">
        <v>6822791.2999999998</v>
      </c>
      <c r="AD28" s="110">
        <v>6162305.9699999997</v>
      </c>
      <c r="AE28" s="110">
        <v>5621879.9199999999</v>
      </c>
      <c r="AF28" s="110">
        <v>540426.05000000005</v>
      </c>
      <c r="AG28" s="110">
        <v>660485.32999999996</v>
      </c>
      <c r="AH28" s="110">
        <v>244532.77</v>
      </c>
      <c r="AI28" s="110">
        <v>415952.56</v>
      </c>
      <c r="AJ28" s="110">
        <v>384173.05</v>
      </c>
      <c r="AK28" s="110">
        <v>337331.13</v>
      </c>
      <c r="AL28" s="110">
        <v>306131.81</v>
      </c>
      <c r="AM28" s="110">
        <v>31199.32</v>
      </c>
      <c r="AN28" s="110">
        <v>46841.919999999998</v>
      </c>
      <c r="AO28" s="110">
        <v>17680.16</v>
      </c>
      <c r="AP28" s="110">
        <v>29161.759999999998</v>
      </c>
      <c r="AQ28" s="110">
        <v>7098082</v>
      </c>
      <c r="AR28" s="110">
        <v>6333649</v>
      </c>
      <c r="AS28" s="110">
        <v>5756254</v>
      </c>
      <c r="AT28" s="110">
        <v>577395</v>
      </c>
      <c r="AU28" s="110">
        <v>764433</v>
      </c>
      <c r="AV28" s="110">
        <v>287637</v>
      </c>
      <c r="AW28" s="110">
        <v>476796</v>
      </c>
      <c r="AX28" s="110">
        <v>3669058.5</v>
      </c>
      <c r="AY28" s="110">
        <v>3091072.5</v>
      </c>
      <c r="AZ28" s="110">
        <v>2612085.5</v>
      </c>
      <c r="BA28" s="110">
        <v>478987</v>
      </c>
      <c r="BB28" s="110">
        <v>577986</v>
      </c>
      <c r="BC28" s="110">
        <v>207748</v>
      </c>
      <c r="BD28" s="110">
        <v>370238</v>
      </c>
      <c r="BE28" s="110">
        <v>11372527.51</v>
      </c>
      <c r="BF28" s="110">
        <v>9522316.1300000008</v>
      </c>
      <c r="BG28" s="110">
        <v>8260684.8099999996</v>
      </c>
      <c r="BH28" s="110">
        <v>1261631.32</v>
      </c>
      <c r="BI28" s="110">
        <v>1850211.38</v>
      </c>
      <c r="BJ28" s="110">
        <v>1657641.19</v>
      </c>
      <c r="BK28" s="110">
        <v>192570.19</v>
      </c>
      <c r="BL28" s="110">
        <v>1421317.28</v>
      </c>
      <c r="BM28" s="110">
        <v>1119911.8700000001</v>
      </c>
      <c r="BN28" s="110">
        <v>1023277.08</v>
      </c>
      <c r="BO28" s="110">
        <v>96634.79</v>
      </c>
      <c r="BP28" s="110">
        <v>301405.40999999997</v>
      </c>
      <c r="BQ28" s="110">
        <v>276942.07</v>
      </c>
      <c r="BR28" s="110">
        <v>24463.34</v>
      </c>
      <c r="BS28" s="110">
        <v>462827.73</v>
      </c>
      <c r="BT28" s="110">
        <v>371685.26</v>
      </c>
      <c r="BU28" s="110">
        <v>332694.73</v>
      </c>
      <c r="BV28" s="110">
        <v>38990.53</v>
      </c>
      <c r="BW28" s="110">
        <v>91142.47</v>
      </c>
      <c r="BX28" s="110">
        <v>83484.12</v>
      </c>
      <c r="BY28" s="110">
        <v>7658.35</v>
      </c>
      <c r="BZ28" s="110">
        <v>6192854</v>
      </c>
      <c r="CA28" s="110">
        <v>5131792</v>
      </c>
      <c r="CB28" s="110">
        <v>4738905</v>
      </c>
      <c r="CC28" s="110">
        <v>392887</v>
      </c>
      <c r="CD28" s="110">
        <v>1061062</v>
      </c>
      <c r="CE28" s="110">
        <v>964733</v>
      </c>
      <c r="CF28" s="110">
        <v>96329</v>
      </c>
      <c r="CG28" s="110">
        <v>3295528.5</v>
      </c>
      <c r="CH28" s="110">
        <v>2898927</v>
      </c>
      <c r="CI28" s="110">
        <v>2165808</v>
      </c>
      <c r="CJ28" s="110">
        <v>733119</v>
      </c>
      <c r="CK28" s="110">
        <v>396601.5</v>
      </c>
      <c r="CL28" s="110">
        <v>332482</v>
      </c>
      <c r="CM28" s="110">
        <v>64119.5</v>
      </c>
      <c r="CN28" s="110">
        <v>2765713</v>
      </c>
      <c r="CO28" s="110">
        <v>3499560.58</v>
      </c>
      <c r="CP28" s="110">
        <v>2095391.13</v>
      </c>
      <c r="CQ28" s="110">
        <v>2509712.4900000002</v>
      </c>
      <c r="CR28" s="110">
        <v>7101919.6500000004</v>
      </c>
      <c r="CS28" s="110">
        <v>0</v>
      </c>
      <c r="CT28" s="110">
        <v>998994.83</v>
      </c>
      <c r="CU28" s="110">
        <v>0</v>
      </c>
      <c r="CV28" s="111">
        <v>31644</v>
      </c>
      <c r="CW28" s="111">
        <v>28258</v>
      </c>
      <c r="CX28" s="111">
        <v>24993</v>
      </c>
      <c r="CY28" s="111">
        <v>3265</v>
      </c>
      <c r="CZ28" s="111">
        <v>3386</v>
      </c>
      <c r="DA28" s="111">
        <v>1261</v>
      </c>
      <c r="DB28" s="111">
        <v>2125</v>
      </c>
      <c r="DC28" s="111">
        <v>12558</v>
      </c>
      <c r="DD28" s="111">
        <v>178</v>
      </c>
      <c r="DE28" s="111">
        <v>11547</v>
      </c>
      <c r="DF28" s="111">
        <v>10399</v>
      </c>
      <c r="DG28" s="111">
        <v>1148</v>
      </c>
      <c r="DH28" s="111">
        <v>1011</v>
      </c>
      <c r="DI28" s="111">
        <v>350</v>
      </c>
      <c r="DJ28" s="111">
        <v>661</v>
      </c>
      <c r="DK28" s="111">
        <v>4470</v>
      </c>
      <c r="DL28" s="111">
        <v>3967</v>
      </c>
      <c r="DM28" s="111">
        <v>3647</v>
      </c>
      <c r="DN28" s="111">
        <v>320</v>
      </c>
      <c r="DO28" s="111">
        <v>503</v>
      </c>
      <c r="DP28" s="111">
        <v>200</v>
      </c>
      <c r="DQ28" s="111">
        <v>303</v>
      </c>
      <c r="DR28" s="111">
        <v>8316</v>
      </c>
      <c r="DS28" s="111">
        <v>15</v>
      </c>
      <c r="DT28" s="111">
        <v>6998</v>
      </c>
      <c r="DU28" s="111">
        <v>6050</v>
      </c>
      <c r="DV28" s="111">
        <v>948</v>
      </c>
      <c r="DW28" s="111">
        <v>1318</v>
      </c>
      <c r="DX28" s="111">
        <v>477</v>
      </c>
      <c r="DY28" s="111">
        <v>841</v>
      </c>
      <c r="DZ28" s="111">
        <v>6107</v>
      </c>
      <c r="EA28" s="111">
        <v>5577</v>
      </c>
      <c r="EB28" s="111">
        <v>4757</v>
      </c>
      <c r="EC28" s="111">
        <v>820</v>
      </c>
      <c r="ED28" s="111">
        <v>530</v>
      </c>
      <c r="EE28" s="111">
        <v>234</v>
      </c>
      <c r="EF28" s="111">
        <v>296</v>
      </c>
      <c r="EG28" s="111">
        <v>1048</v>
      </c>
      <c r="EH28" s="111">
        <v>868</v>
      </c>
      <c r="EI28" s="111">
        <v>777</v>
      </c>
      <c r="EJ28" s="111">
        <v>91</v>
      </c>
      <c r="EK28" s="111">
        <v>180</v>
      </c>
      <c r="EL28" s="111">
        <v>162</v>
      </c>
      <c r="EM28" s="111">
        <v>18</v>
      </c>
      <c r="EN28" s="111">
        <v>28</v>
      </c>
      <c r="EO28" s="111">
        <v>0</v>
      </c>
      <c r="EP28" s="111">
        <v>0</v>
      </c>
      <c r="EQ28" s="111">
        <v>28</v>
      </c>
      <c r="ER28" s="111">
        <v>0</v>
      </c>
      <c r="ES28" s="111">
        <v>0</v>
      </c>
      <c r="ET28" s="111">
        <v>0</v>
      </c>
      <c r="EU28" s="111">
        <v>0</v>
      </c>
      <c r="EV28" s="111">
        <v>0</v>
      </c>
      <c r="EW28" s="111">
        <v>0</v>
      </c>
      <c r="EX28" s="111">
        <v>0</v>
      </c>
      <c r="EY28" s="111">
        <v>0</v>
      </c>
      <c r="EZ28" s="111">
        <v>0</v>
      </c>
      <c r="FA28" s="111">
        <v>0</v>
      </c>
      <c r="FB28" s="111">
        <v>673</v>
      </c>
    </row>
    <row r="29" spans="1:158" ht="19.5" customHeight="1">
      <c r="A29" s="107">
        <v>26</v>
      </c>
      <c r="B29" s="107" t="s">
        <v>374</v>
      </c>
      <c r="C29" s="107" t="s">
        <v>378</v>
      </c>
      <c r="D29" s="110">
        <v>7863891.7000000002</v>
      </c>
      <c r="E29" s="110">
        <v>4394684</v>
      </c>
      <c r="F29" s="110">
        <v>3469207.7</v>
      </c>
      <c r="G29" s="110">
        <v>19399</v>
      </c>
      <c r="H29" s="110">
        <v>422</v>
      </c>
      <c r="I29" s="110">
        <v>53301</v>
      </c>
      <c r="J29" s="110">
        <v>0</v>
      </c>
      <c r="K29" s="110">
        <v>0</v>
      </c>
      <c r="L29" s="110">
        <v>126307</v>
      </c>
      <c r="M29" s="110">
        <v>33857.199999999997</v>
      </c>
      <c r="N29" s="110">
        <v>7456.31</v>
      </c>
      <c r="O29" s="110">
        <v>12799950.109999999</v>
      </c>
      <c r="P29" s="110">
        <v>8680026.4299999997</v>
      </c>
      <c r="Q29" s="110">
        <v>7754890.4000000004</v>
      </c>
      <c r="R29" s="110">
        <v>925136.03</v>
      </c>
      <c r="S29" s="110">
        <v>4119923.68</v>
      </c>
      <c r="T29" s="110">
        <v>3185502.45</v>
      </c>
      <c r="U29" s="110">
        <v>934421.23</v>
      </c>
      <c r="V29" s="110">
        <v>8068113.4100000001</v>
      </c>
      <c r="W29" s="110">
        <v>6976142.0700000003</v>
      </c>
      <c r="X29" s="110">
        <v>6270399.8499999996</v>
      </c>
      <c r="Y29" s="110">
        <v>705742.22</v>
      </c>
      <c r="Z29" s="110">
        <v>1091971.3400000001</v>
      </c>
      <c r="AA29" s="110">
        <v>433249.48</v>
      </c>
      <c r="AB29" s="110">
        <v>658721.86</v>
      </c>
      <c r="AC29" s="110">
        <v>3550819.38</v>
      </c>
      <c r="AD29" s="110">
        <v>3147645.92</v>
      </c>
      <c r="AE29" s="110">
        <v>2880091.87</v>
      </c>
      <c r="AF29" s="110">
        <v>267554.05</v>
      </c>
      <c r="AG29" s="110">
        <v>403173.46</v>
      </c>
      <c r="AH29" s="110">
        <v>153028.96</v>
      </c>
      <c r="AI29" s="110">
        <v>250144.5</v>
      </c>
      <c r="AJ29" s="110">
        <v>122610.03</v>
      </c>
      <c r="AK29" s="110">
        <v>113520.15</v>
      </c>
      <c r="AL29" s="110">
        <v>100360.98</v>
      </c>
      <c r="AM29" s="110">
        <v>13159.17</v>
      </c>
      <c r="AN29" s="110">
        <v>9089.8799999999992</v>
      </c>
      <c r="AO29" s="110">
        <v>3091.52</v>
      </c>
      <c r="AP29" s="110">
        <v>5998.36</v>
      </c>
      <c r="AQ29" s="110">
        <v>3066265</v>
      </c>
      <c r="AR29" s="110">
        <v>2678917</v>
      </c>
      <c r="AS29" s="110">
        <v>2404326</v>
      </c>
      <c r="AT29" s="110">
        <v>274591</v>
      </c>
      <c r="AU29" s="110">
        <v>387348</v>
      </c>
      <c r="AV29" s="110">
        <v>167966</v>
      </c>
      <c r="AW29" s="110">
        <v>219382</v>
      </c>
      <c r="AX29" s="110">
        <v>1328419</v>
      </c>
      <c r="AY29" s="110">
        <v>1036059</v>
      </c>
      <c r="AZ29" s="110">
        <v>885621</v>
      </c>
      <c r="BA29" s="110">
        <v>150438</v>
      </c>
      <c r="BB29" s="110">
        <v>292360</v>
      </c>
      <c r="BC29" s="110">
        <v>109163</v>
      </c>
      <c r="BD29" s="110">
        <v>183197</v>
      </c>
      <c r="BE29" s="110">
        <v>4731836.7</v>
      </c>
      <c r="BF29" s="110">
        <v>1703884.36</v>
      </c>
      <c r="BG29" s="110">
        <v>1484490.55</v>
      </c>
      <c r="BH29" s="110">
        <v>219393.81</v>
      </c>
      <c r="BI29" s="110">
        <v>3027952.34</v>
      </c>
      <c r="BJ29" s="110">
        <v>2752252.97</v>
      </c>
      <c r="BK29" s="110">
        <v>275699.37</v>
      </c>
      <c r="BL29" s="110">
        <v>1124246.07</v>
      </c>
      <c r="BM29" s="110">
        <v>357937.8</v>
      </c>
      <c r="BN29" s="110">
        <v>342886.93</v>
      </c>
      <c r="BO29" s="110">
        <v>15050.87</v>
      </c>
      <c r="BP29" s="110">
        <v>766308.27</v>
      </c>
      <c r="BQ29" s="110">
        <v>685241.33</v>
      </c>
      <c r="BR29" s="110">
        <v>81066.94</v>
      </c>
      <c r="BS29" s="110">
        <v>138382.93</v>
      </c>
      <c r="BT29" s="110">
        <v>37803.06</v>
      </c>
      <c r="BU29" s="110">
        <v>32965.620000000003</v>
      </c>
      <c r="BV29" s="110">
        <v>4837.4399999999996</v>
      </c>
      <c r="BW29" s="110">
        <v>100579.87</v>
      </c>
      <c r="BX29" s="110">
        <v>97497.94</v>
      </c>
      <c r="BY29" s="110">
        <v>3081.93</v>
      </c>
      <c r="BZ29" s="110">
        <v>2463605</v>
      </c>
      <c r="CA29" s="110">
        <v>930625</v>
      </c>
      <c r="CB29" s="110">
        <v>842633</v>
      </c>
      <c r="CC29" s="110">
        <v>87992</v>
      </c>
      <c r="CD29" s="110">
        <v>1532980</v>
      </c>
      <c r="CE29" s="110">
        <v>1413516</v>
      </c>
      <c r="CF29" s="110">
        <v>119464</v>
      </c>
      <c r="CG29" s="110">
        <v>1005602.7</v>
      </c>
      <c r="CH29" s="110">
        <v>377518.5</v>
      </c>
      <c r="CI29" s="110">
        <v>266005</v>
      </c>
      <c r="CJ29" s="110">
        <v>111513.5</v>
      </c>
      <c r="CK29" s="110">
        <v>628084.19999999995</v>
      </c>
      <c r="CL29" s="110">
        <v>555997.69999999995</v>
      </c>
      <c r="CM29" s="110">
        <v>72086.5</v>
      </c>
      <c r="CN29" s="110">
        <v>1593832.36</v>
      </c>
      <c r="CO29" s="110">
        <v>1711904.67</v>
      </c>
      <c r="CP29" s="110">
        <v>2621416.91</v>
      </c>
      <c r="CQ29" s="110">
        <v>203274.89</v>
      </c>
      <c r="CR29" s="110">
        <v>1937684.58</v>
      </c>
      <c r="CS29" s="110">
        <v>0</v>
      </c>
      <c r="CT29" s="110">
        <v>252557.1</v>
      </c>
      <c r="CU29" s="110">
        <v>0</v>
      </c>
      <c r="CV29" s="111">
        <v>19399</v>
      </c>
      <c r="CW29" s="111">
        <v>16835</v>
      </c>
      <c r="CX29" s="111">
        <v>14829</v>
      </c>
      <c r="CY29" s="111">
        <v>2006</v>
      </c>
      <c r="CZ29" s="111">
        <v>2564</v>
      </c>
      <c r="DA29" s="111">
        <v>956</v>
      </c>
      <c r="DB29" s="111">
        <v>1608</v>
      </c>
      <c r="DC29" s="111">
        <v>6122</v>
      </c>
      <c r="DD29" s="111">
        <v>108</v>
      </c>
      <c r="DE29" s="111">
        <v>5585</v>
      </c>
      <c r="DF29" s="111">
        <v>5038</v>
      </c>
      <c r="DG29" s="111">
        <v>547</v>
      </c>
      <c r="DH29" s="111">
        <v>537</v>
      </c>
      <c r="DI29" s="111">
        <v>189</v>
      </c>
      <c r="DJ29" s="111">
        <v>348</v>
      </c>
      <c r="DK29" s="111">
        <v>5390</v>
      </c>
      <c r="DL29" s="111">
        <v>4354</v>
      </c>
      <c r="DM29" s="111">
        <v>3900</v>
      </c>
      <c r="DN29" s="111">
        <v>454</v>
      </c>
      <c r="DO29" s="111">
        <v>1036</v>
      </c>
      <c r="DP29" s="111">
        <v>392</v>
      </c>
      <c r="DQ29" s="111">
        <v>644</v>
      </c>
      <c r="DR29" s="111">
        <v>2946</v>
      </c>
      <c r="DS29" s="111">
        <v>0</v>
      </c>
      <c r="DT29" s="111">
        <v>2348</v>
      </c>
      <c r="DU29" s="111">
        <v>2042</v>
      </c>
      <c r="DV29" s="111">
        <v>306</v>
      </c>
      <c r="DW29" s="111">
        <v>598</v>
      </c>
      <c r="DX29" s="111">
        <v>216</v>
      </c>
      <c r="DY29" s="111">
        <v>382</v>
      </c>
      <c r="DZ29" s="111">
        <v>4833</v>
      </c>
      <c r="EA29" s="111">
        <v>4502</v>
      </c>
      <c r="EB29" s="111">
        <v>3813</v>
      </c>
      <c r="EC29" s="111">
        <v>689</v>
      </c>
      <c r="ED29" s="111">
        <v>331</v>
      </c>
      <c r="EE29" s="111">
        <v>159</v>
      </c>
      <c r="EF29" s="111">
        <v>172</v>
      </c>
      <c r="EG29" s="111">
        <v>422</v>
      </c>
      <c r="EH29" s="111">
        <v>170</v>
      </c>
      <c r="EI29" s="111">
        <v>154</v>
      </c>
      <c r="EJ29" s="111">
        <v>16</v>
      </c>
      <c r="EK29" s="111">
        <v>252</v>
      </c>
      <c r="EL29" s="111">
        <v>230</v>
      </c>
      <c r="EM29" s="111">
        <v>22</v>
      </c>
      <c r="EN29" s="111">
        <v>31</v>
      </c>
      <c r="EO29" s="111">
        <v>0</v>
      </c>
      <c r="EP29" s="111">
        <v>0</v>
      </c>
      <c r="EQ29" s="111">
        <v>31</v>
      </c>
      <c r="ER29" s="111">
        <v>0</v>
      </c>
      <c r="ES29" s="111">
        <v>0</v>
      </c>
      <c r="ET29" s="111">
        <v>0</v>
      </c>
      <c r="EU29" s="111">
        <v>0</v>
      </c>
      <c r="EV29" s="111">
        <v>0</v>
      </c>
      <c r="EW29" s="111">
        <v>0</v>
      </c>
      <c r="EX29" s="111">
        <v>0</v>
      </c>
      <c r="EY29" s="111">
        <v>0</v>
      </c>
      <c r="EZ29" s="111">
        <v>0</v>
      </c>
      <c r="FA29" s="111">
        <v>0</v>
      </c>
      <c r="FB29" s="111">
        <v>171</v>
      </c>
    </row>
    <row r="30" spans="1:158" ht="19.5" customHeight="1">
      <c r="A30" s="107">
        <v>27</v>
      </c>
      <c r="B30" s="107" t="s">
        <v>374</v>
      </c>
      <c r="C30" s="107" t="s">
        <v>379</v>
      </c>
      <c r="D30" s="110">
        <v>16219193</v>
      </c>
      <c r="E30" s="110">
        <v>4981603.5</v>
      </c>
      <c r="F30" s="110">
        <v>11237589.5</v>
      </c>
      <c r="G30" s="110">
        <v>16903</v>
      </c>
      <c r="H30" s="110">
        <v>1206</v>
      </c>
      <c r="I30" s="110">
        <v>73404.5</v>
      </c>
      <c r="J30" s="110">
        <v>0</v>
      </c>
      <c r="K30" s="110">
        <v>28946.44</v>
      </c>
      <c r="L30" s="110">
        <v>1893497</v>
      </c>
      <c r="M30" s="110">
        <v>17743</v>
      </c>
      <c r="N30" s="110">
        <v>10220.129999999999</v>
      </c>
      <c r="O30" s="110">
        <v>32878054.870000001</v>
      </c>
      <c r="P30" s="110">
        <v>9652657.8900000006</v>
      </c>
      <c r="Q30" s="110">
        <v>8667615.8200000003</v>
      </c>
      <c r="R30" s="110">
        <v>985042.07</v>
      </c>
      <c r="S30" s="110">
        <v>23225396.98</v>
      </c>
      <c r="T30" s="110">
        <v>20342936.350000001</v>
      </c>
      <c r="U30" s="110">
        <v>2882460.63</v>
      </c>
      <c r="V30" s="110">
        <v>9327046.4399999995</v>
      </c>
      <c r="W30" s="110">
        <v>6086960.4400000004</v>
      </c>
      <c r="X30" s="110">
        <v>5493226.8600000003</v>
      </c>
      <c r="Y30" s="110">
        <v>593733.57999999996</v>
      </c>
      <c r="Z30" s="110">
        <v>3240086</v>
      </c>
      <c r="AA30" s="110">
        <v>2103525.62</v>
      </c>
      <c r="AB30" s="110">
        <v>1136560.3799999999</v>
      </c>
      <c r="AC30" s="110">
        <v>4107884.99</v>
      </c>
      <c r="AD30" s="110">
        <v>2940656.87</v>
      </c>
      <c r="AE30" s="110">
        <v>2718581.02</v>
      </c>
      <c r="AF30" s="110">
        <v>222075.85</v>
      </c>
      <c r="AG30" s="110">
        <v>1167228.1200000001</v>
      </c>
      <c r="AH30" s="110">
        <v>890983.75</v>
      </c>
      <c r="AI30" s="110">
        <v>276244.37</v>
      </c>
      <c r="AJ30" s="110">
        <v>237557.95</v>
      </c>
      <c r="AK30" s="110">
        <v>119906.57</v>
      </c>
      <c r="AL30" s="110">
        <v>108297.84</v>
      </c>
      <c r="AM30" s="110">
        <v>11608.73</v>
      </c>
      <c r="AN30" s="110">
        <v>117651.38</v>
      </c>
      <c r="AO30" s="110">
        <v>98427.87</v>
      </c>
      <c r="AP30" s="110">
        <v>19223.509999999998</v>
      </c>
      <c r="AQ30" s="110">
        <v>3942515</v>
      </c>
      <c r="AR30" s="110">
        <v>2347041</v>
      </c>
      <c r="AS30" s="110">
        <v>2071861</v>
      </c>
      <c r="AT30" s="110">
        <v>275180</v>
      </c>
      <c r="AU30" s="110">
        <v>1595474</v>
      </c>
      <c r="AV30" s="110">
        <v>921126</v>
      </c>
      <c r="AW30" s="110">
        <v>674348</v>
      </c>
      <c r="AX30" s="110">
        <v>1039088.5</v>
      </c>
      <c r="AY30" s="110">
        <v>679356</v>
      </c>
      <c r="AZ30" s="110">
        <v>594487</v>
      </c>
      <c r="BA30" s="110">
        <v>84869</v>
      </c>
      <c r="BB30" s="110">
        <v>359732.5</v>
      </c>
      <c r="BC30" s="110">
        <v>192988</v>
      </c>
      <c r="BD30" s="110">
        <v>166744.5</v>
      </c>
      <c r="BE30" s="110">
        <v>23551008.43</v>
      </c>
      <c r="BF30" s="110">
        <v>3565697.45</v>
      </c>
      <c r="BG30" s="110">
        <v>3174388.96</v>
      </c>
      <c r="BH30" s="110">
        <v>391308.49</v>
      </c>
      <c r="BI30" s="110">
        <v>19985310.98</v>
      </c>
      <c r="BJ30" s="110">
        <v>18239410.73</v>
      </c>
      <c r="BK30" s="110">
        <v>1745900.25</v>
      </c>
      <c r="BL30" s="110">
        <v>11396426.960000001</v>
      </c>
      <c r="BM30" s="110">
        <v>1312996.21</v>
      </c>
      <c r="BN30" s="110">
        <v>1265841.98</v>
      </c>
      <c r="BO30" s="110">
        <v>47154.23</v>
      </c>
      <c r="BP30" s="110">
        <v>10083430.75</v>
      </c>
      <c r="BQ30" s="110">
        <v>9187284.4800000004</v>
      </c>
      <c r="BR30" s="110">
        <v>896146.27</v>
      </c>
      <c r="BS30" s="110">
        <v>916991.97</v>
      </c>
      <c r="BT30" s="110">
        <v>154760.74</v>
      </c>
      <c r="BU30" s="110">
        <v>131991.48000000001</v>
      </c>
      <c r="BV30" s="110">
        <v>22769.26</v>
      </c>
      <c r="BW30" s="110">
        <v>762231.23</v>
      </c>
      <c r="BX30" s="110">
        <v>703605.75</v>
      </c>
      <c r="BY30" s="110">
        <v>58625.48</v>
      </c>
      <c r="BZ30" s="110">
        <v>5656102</v>
      </c>
      <c r="CA30" s="110">
        <v>1184079</v>
      </c>
      <c r="CB30" s="110">
        <v>1058745</v>
      </c>
      <c r="CC30" s="110">
        <v>125334</v>
      </c>
      <c r="CD30" s="110">
        <v>4472023</v>
      </c>
      <c r="CE30" s="110">
        <v>4164552</v>
      </c>
      <c r="CF30" s="110">
        <v>307471</v>
      </c>
      <c r="CG30" s="110">
        <v>5581487.5</v>
      </c>
      <c r="CH30" s="110">
        <v>913861.5</v>
      </c>
      <c r="CI30" s="110">
        <v>717810.5</v>
      </c>
      <c r="CJ30" s="110">
        <v>196051</v>
      </c>
      <c r="CK30" s="110">
        <v>4667626</v>
      </c>
      <c r="CL30" s="110">
        <v>4183968.5</v>
      </c>
      <c r="CM30" s="110">
        <v>483657.5</v>
      </c>
      <c r="CN30" s="110">
        <v>1182893.46</v>
      </c>
      <c r="CO30" s="110">
        <v>2747715.99</v>
      </c>
      <c r="CP30" s="110">
        <v>2083733.24</v>
      </c>
      <c r="CQ30" s="110">
        <v>1236825.5900000001</v>
      </c>
      <c r="CR30" s="110">
        <v>2056238.33</v>
      </c>
      <c r="CS30" s="110">
        <v>19639.830000000002</v>
      </c>
      <c r="CT30" s="110">
        <v>791448.88</v>
      </c>
      <c r="CU30" s="110">
        <v>0</v>
      </c>
      <c r="CV30" s="111">
        <v>16903</v>
      </c>
      <c r="CW30" s="111">
        <v>12947</v>
      </c>
      <c r="CX30" s="111">
        <v>11457</v>
      </c>
      <c r="CY30" s="111">
        <v>1490</v>
      </c>
      <c r="CZ30" s="111">
        <v>3956</v>
      </c>
      <c r="DA30" s="111">
        <v>2330</v>
      </c>
      <c r="DB30" s="111">
        <v>1626</v>
      </c>
      <c r="DC30" s="111">
        <v>8209</v>
      </c>
      <c r="DD30" s="111">
        <v>69</v>
      </c>
      <c r="DE30" s="111">
        <v>6420</v>
      </c>
      <c r="DF30" s="111">
        <v>5714</v>
      </c>
      <c r="DG30" s="111">
        <v>706</v>
      </c>
      <c r="DH30" s="111">
        <v>1789</v>
      </c>
      <c r="DI30" s="111">
        <v>1103</v>
      </c>
      <c r="DJ30" s="111">
        <v>686</v>
      </c>
      <c r="DK30" s="111">
        <v>3168</v>
      </c>
      <c r="DL30" s="111">
        <v>2071</v>
      </c>
      <c r="DM30" s="111">
        <v>1858</v>
      </c>
      <c r="DN30" s="111">
        <v>213</v>
      </c>
      <c r="DO30" s="111">
        <v>1097</v>
      </c>
      <c r="DP30" s="111">
        <v>755</v>
      </c>
      <c r="DQ30" s="111">
        <v>342</v>
      </c>
      <c r="DR30" s="111">
        <v>2336</v>
      </c>
      <c r="DS30" s="111">
        <v>46</v>
      </c>
      <c r="DT30" s="111">
        <v>1666</v>
      </c>
      <c r="DU30" s="111">
        <v>1501</v>
      </c>
      <c r="DV30" s="111">
        <v>165</v>
      </c>
      <c r="DW30" s="111">
        <v>670</v>
      </c>
      <c r="DX30" s="111">
        <v>321</v>
      </c>
      <c r="DY30" s="111">
        <v>349</v>
      </c>
      <c r="DZ30" s="111">
        <v>3075</v>
      </c>
      <c r="EA30" s="111">
        <v>2759</v>
      </c>
      <c r="EB30" s="111">
        <v>2364</v>
      </c>
      <c r="EC30" s="111">
        <v>395</v>
      </c>
      <c r="ED30" s="111">
        <v>316</v>
      </c>
      <c r="EE30" s="111">
        <v>151</v>
      </c>
      <c r="EF30" s="111">
        <v>165</v>
      </c>
      <c r="EG30" s="111">
        <v>1206</v>
      </c>
      <c r="EH30" s="111">
        <v>275</v>
      </c>
      <c r="EI30" s="111">
        <v>250</v>
      </c>
      <c r="EJ30" s="111">
        <v>25</v>
      </c>
      <c r="EK30" s="111">
        <v>931</v>
      </c>
      <c r="EL30" s="111">
        <v>858</v>
      </c>
      <c r="EM30" s="111">
        <v>73</v>
      </c>
      <c r="EN30" s="111">
        <v>911</v>
      </c>
      <c r="EO30" s="111">
        <v>0</v>
      </c>
      <c r="EP30" s="111">
        <v>0</v>
      </c>
      <c r="EQ30" s="111">
        <v>911</v>
      </c>
      <c r="ER30" s="111">
        <v>0</v>
      </c>
      <c r="ES30" s="111">
        <v>0</v>
      </c>
      <c r="ET30" s="111">
        <v>0</v>
      </c>
      <c r="EU30" s="111">
        <v>0</v>
      </c>
      <c r="EV30" s="111">
        <v>0</v>
      </c>
      <c r="EW30" s="111">
        <v>0</v>
      </c>
      <c r="EX30" s="111">
        <v>0</v>
      </c>
      <c r="EY30" s="111">
        <v>0</v>
      </c>
      <c r="EZ30" s="111">
        <v>0</v>
      </c>
      <c r="FA30" s="111">
        <v>0</v>
      </c>
      <c r="FB30" s="111">
        <v>166</v>
      </c>
    </row>
    <row r="31" spans="1:158" ht="19.5" customHeight="1">
      <c r="A31" s="107">
        <v>28</v>
      </c>
      <c r="B31" s="107" t="s">
        <v>374</v>
      </c>
      <c r="C31" s="107" t="s">
        <v>380</v>
      </c>
      <c r="D31" s="110">
        <v>18493759.5</v>
      </c>
      <c r="E31" s="110">
        <v>15219921.5</v>
      </c>
      <c r="F31" s="110">
        <v>3273838</v>
      </c>
      <c r="G31" s="110">
        <v>25578</v>
      </c>
      <c r="H31" s="110">
        <v>568</v>
      </c>
      <c r="I31" s="110">
        <v>32544.5</v>
      </c>
      <c r="J31" s="110">
        <v>0</v>
      </c>
      <c r="K31" s="110">
        <v>7118.82</v>
      </c>
      <c r="L31" s="110">
        <v>52004.5</v>
      </c>
      <c r="M31" s="110">
        <v>9376</v>
      </c>
      <c r="N31" s="110">
        <v>0</v>
      </c>
      <c r="O31" s="110">
        <v>32326020.530000001</v>
      </c>
      <c r="P31" s="110">
        <v>23074280.18</v>
      </c>
      <c r="Q31" s="110">
        <v>20961419.440000001</v>
      </c>
      <c r="R31" s="110">
        <v>2112860.7400000002</v>
      </c>
      <c r="S31" s="110">
        <v>9251740.3499999996</v>
      </c>
      <c r="T31" s="110">
        <v>3107685.1</v>
      </c>
      <c r="U31" s="110">
        <v>6144055.25</v>
      </c>
      <c r="V31" s="110">
        <v>27362714.27</v>
      </c>
      <c r="W31" s="110">
        <v>21314084.550000001</v>
      </c>
      <c r="X31" s="110">
        <v>19862387.969999999</v>
      </c>
      <c r="Y31" s="110">
        <v>1451696.58</v>
      </c>
      <c r="Z31" s="110">
        <v>6048629.7199999997</v>
      </c>
      <c r="AA31" s="110">
        <v>1638148.72</v>
      </c>
      <c r="AB31" s="110">
        <v>4410481</v>
      </c>
      <c r="AC31" s="110">
        <v>12123840.77</v>
      </c>
      <c r="AD31" s="110">
        <v>11389405.75</v>
      </c>
      <c r="AE31" s="110">
        <v>11141293.449999999</v>
      </c>
      <c r="AF31" s="110">
        <v>248112.3</v>
      </c>
      <c r="AG31" s="110">
        <v>734435.02</v>
      </c>
      <c r="AH31" s="110">
        <v>270223.44</v>
      </c>
      <c r="AI31" s="110">
        <v>464211.58</v>
      </c>
      <c r="AJ31" s="110">
        <v>18952</v>
      </c>
      <c r="AK31" s="110">
        <v>16754.3</v>
      </c>
      <c r="AL31" s="110">
        <v>15532.02</v>
      </c>
      <c r="AM31" s="110">
        <v>1222.28</v>
      </c>
      <c r="AN31" s="110">
        <v>2197.6999999999998</v>
      </c>
      <c r="AO31" s="110">
        <v>1306.28</v>
      </c>
      <c r="AP31" s="110">
        <v>891.42</v>
      </c>
      <c r="AQ31" s="110">
        <v>11430320</v>
      </c>
      <c r="AR31" s="110">
        <v>7458312</v>
      </c>
      <c r="AS31" s="110">
        <v>6542362</v>
      </c>
      <c r="AT31" s="110">
        <v>915950</v>
      </c>
      <c r="AU31" s="110">
        <v>3972008</v>
      </c>
      <c r="AV31" s="110">
        <v>974608</v>
      </c>
      <c r="AW31" s="110">
        <v>2997400</v>
      </c>
      <c r="AX31" s="110">
        <v>3789601.5</v>
      </c>
      <c r="AY31" s="110">
        <v>2449612.5</v>
      </c>
      <c r="AZ31" s="110">
        <v>2163200.5</v>
      </c>
      <c r="BA31" s="110">
        <v>286412</v>
      </c>
      <c r="BB31" s="110">
        <v>1339989</v>
      </c>
      <c r="BC31" s="110">
        <v>392011</v>
      </c>
      <c r="BD31" s="110">
        <v>947978</v>
      </c>
      <c r="BE31" s="110">
        <v>4963306.26</v>
      </c>
      <c r="BF31" s="110">
        <v>1760195.63</v>
      </c>
      <c r="BG31" s="110">
        <v>1099031.47</v>
      </c>
      <c r="BH31" s="110">
        <v>661164.16</v>
      </c>
      <c r="BI31" s="110">
        <v>3203110.63</v>
      </c>
      <c r="BJ31" s="110">
        <v>1469536.38</v>
      </c>
      <c r="BK31" s="110">
        <v>1733574.25</v>
      </c>
      <c r="BL31" s="110">
        <v>1626259.15</v>
      </c>
      <c r="BM31" s="110">
        <v>372691.98</v>
      </c>
      <c r="BN31" s="110">
        <v>358638.92</v>
      </c>
      <c r="BO31" s="110">
        <v>14053.06</v>
      </c>
      <c r="BP31" s="110">
        <v>1253567.17</v>
      </c>
      <c r="BQ31" s="110">
        <v>213779.26</v>
      </c>
      <c r="BR31" s="110">
        <v>1039787.91</v>
      </c>
      <c r="BS31" s="110">
        <v>63209.11</v>
      </c>
      <c r="BT31" s="110">
        <v>25181.65</v>
      </c>
      <c r="BU31" s="110">
        <v>14611.55</v>
      </c>
      <c r="BV31" s="110">
        <v>10570.1</v>
      </c>
      <c r="BW31" s="110">
        <v>38027.46</v>
      </c>
      <c r="BX31" s="110">
        <v>26544.12</v>
      </c>
      <c r="BY31" s="110">
        <v>11483.34</v>
      </c>
      <c r="BZ31" s="110">
        <v>2552178</v>
      </c>
      <c r="CA31" s="110">
        <v>1087869</v>
      </c>
      <c r="CB31" s="110">
        <v>602040</v>
      </c>
      <c r="CC31" s="110">
        <v>485829</v>
      </c>
      <c r="CD31" s="110">
        <v>1464309</v>
      </c>
      <c r="CE31" s="110">
        <v>1009592</v>
      </c>
      <c r="CF31" s="110">
        <v>454717</v>
      </c>
      <c r="CG31" s="110">
        <v>721660</v>
      </c>
      <c r="CH31" s="110">
        <v>274453</v>
      </c>
      <c r="CI31" s="110">
        <v>123741</v>
      </c>
      <c r="CJ31" s="110">
        <v>150712</v>
      </c>
      <c r="CK31" s="110">
        <v>447207</v>
      </c>
      <c r="CL31" s="110">
        <v>219621</v>
      </c>
      <c r="CM31" s="110">
        <v>227586</v>
      </c>
      <c r="CN31" s="110">
        <v>1066943.23</v>
      </c>
      <c r="CO31" s="110">
        <v>6352983.1399999997</v>
      </c>
      <c r="CP31" s="110">
        <v>8542927.5399999991</v>
      </c>
      <c r="CQ31" s="110">
        <v>394195.46</v>
      </c>
      <c r="CR31" s="110">
        <v>11005664.9</v>
      </c>
      <c r="CS31" s="110">
        <v>0</v>
      </c>
      <c r="CT31" s="110">
        <v>1280510.06</v>
      </c>
      <c r="CU31" s="110">
        <v>0</v>
      </c>
      <c r="CV31" s="111">
        <v>25578</v>
      </c>
      <c r="CW31" s="111">
        <v>18633</v>
      </c>
      <c r="CX31" s="111">
        <v>16292</v>
      </c>
      <c r="CY31" s="111">
        <v>2341</v>
      </c>
      <c r="CZ31" s="111">
        <v>6945</v>
      </c>
      <c r="DA31" s="111">
        <v>1858</v>
      </c>
      <c r="DB31" s="111">
        <v>5087</v>
      </c>
      <c r="DC31" s="111">
        <v>4893</v>
      </c>
      <c r="DD31" s="111">
        <v>198</v>
      </c>
      <c r="DE31" s="111">
        <v>4261</v>
      </c>
      <c r="DF31" s="111">
        <v>3641</v>
      </c>
      <c r="DG31" s="111">
        <v>620</v>
      </c>
      <c r="DH31" s="111">
        <v>632</v>
      </c>
      <c r="DI31" s="111">
        <v>108</v>
      </c>
      <c r="DJ31" s="111">
        <v>524</v>
      </c>
      <c r="DK31" s="111">
        <v>8721</v>
      </c>
      <c r="DL31" s="111">
        <v>5912</v>
      </c>
      <c r="DM31" s="111">
        <v>5063</v>
      </c>
      <c r="DN31" s="111">
        <v>849</v>
      </c>
      <c r="DO31" s="111">
        <v>2809</v>
      </c>
      <c r="DP31" s="111">
        <v>676</v>
      </c>
      <c r="DQ31" s="111">
        <v>2133</v>
      </c>
      <c r="DR31" s="111">
        <v>10174</v>
      </c>
      <c r="DS31" s="111">
        <v>0</v>
      </c>
      <c r="DT31" s="111">
        <v>6890</v>
      </c>
      <c r="DU31" s="111">
        <v>6204</v>
      </c>
      <c r="DV31" s="111">
        <v>686</v>
      </c>
      <c r="DW31" s="111">
        <v>3284</v>
      </c>
      <c r="DX31" s="111">
        <v>1001</v>
      </c>
      <c r="DY31" s="111">
        <v>2283</v>
      </c>
      <c r="DZ31" s="111">
        <v>1592</v>
      </c>
      <c r="EA31" s="111">
        <v>1436</v>
      </c>
      <c r="EB31" s="111">
        <v>1278</v>
      </c>
      <c r="EC31" s="111">
        <v>158</v>
      </c>
      <c r="ED31" s="111">
        <v>156</v>
      </c>
      <c r="EE31" s="111">
        <v>73</v>
      </c>
      <c r="EF31" s="111">
        <v>83</v>
      </c>
      <c r="EG31" s="111">
        <v>568</v>
      </c>
      <c r="EH31" s="111">
        <v>236</v>
      </c>
      <c r="EI31" s="111">
        <v>126</v>
      </c>
      <c r="EJ31" s="111">
        <v>110</v>
      </c>
      <c r="EK31" s="111">
        <v>332</v>
      </c>
      <c r="EL31" s="111">
        <v>203</v>
      </c>
      <c r="EM31" s="111">
        <v>129</v>
      </c>
      <c r="EN31" s="111">
        <v>8</v>
      </c>
      <c r="EO31" s="111">
        <v>0</v>
      </c>
      <c r="EP31" s="111">
        <v>0</v>
      </c>
      <c r="EQ31" s="111">
        <v>8</v>
      </c>
      <c r="ER31" s="111">
        <v>0</v>
      </c>
      <c r="ES31" s="111">
        <v>0</v>
      </c>
      <c r="ET31" s="111">
        <v>0</v>
      </c>
      <c r="EU31" s="111">
        <v>0</v>
      </c>
      <c r="EV31" s="111">
        <v>0</v>
      </c>
      <c r="EW31" s="111">
        <v>0</v>
      </c>
      <c r="EX31" s="111">
        <v>0</v>
      </c>
      <c r="EY31" s="111">
        <v>0</v>
      </c>
      <c r="EZ31" s="111">
        <v>0</v>
      </c>
      <c r="FA31" s="111">
        <v>0</v>
      </c>
      <c r="FB31" s="111">
        <v>104</v>
      </c>
    </row>
    <row r="32" spans="1:158" ht="19.5" customHeight="1">
      <c r="A32" s="107">
        <v>29</v>
      </c>
      <c r="B32" s="107" t="s">
        <v>374</v>
      </c>
      <c r="C32" s="107" t="s">
        <v>381</v>
      </c>
      <c r="D32" s="110">
        <v>25958337.559999999</v>
      </c>
      <c r="E32" s="110">
        <v>5524574</v>
      </c>
      <c r="F32" s="110">
        <v>20433763.559999999</v>
      </c>
      <c r="G32" s="110">
        <v>18649</v>
      </c>
      <c r="H32" s="110">
        <v>1083</v>
      </c>
      <c r="I32" s="110">
        <v>54738</v>
      </c>
      <c r="J32" s="110">
        <v>0</v>
      </c>
      <c r="K32" s="110">
        <v>0</v>
      </c>
      <c r="L32" s="110">
        <v>3263150.75</v>
      </c>
      <c r="M32" s="110">
        <v>333904.95</v>
      </c>
      <c r="N32" s="110">
        <v>0</v>
      </c>
      <c r="O32" s="110">
        <v>32702422.949999999</v>
      </c>
      <c r="P32" s="110">
        <v>21947577.289999999</v>
      </c>
      <c r="Q32" s="110">
        <v>13204230.119999999</v>
      </c>
      <c r="R32" s="110">
        <v>8743347.1699999999</v>
      </c>
      <c r="S32" s="110">
        <v>10754845.66</v>
      </c>
      <c r="T32" s="110">
        <v>8203763.1399999997</v>
      </c>
      <c r="U32" s="110">
        <v>2551082.52</v>
      </c>
      <c r="V32" s="110">
        <v>8433173.3599999994</v>
      </c>
      <c r="W32" s="110">
        <v>7753415.7000000002</v>
      </c>
      <c r="X32" s="110">
        <v>6557074.1500000004</v>
      </c>
      <c r="Y32" s="110">
        <v>1196341.55</v>
      </c>
      <c r="Z32" s="110">
        <v>679757.66</v>
      </c>
      <c r="AA32" s="110">
        <v>243306.08</v>
      </c>
      <c r="AB32" s="110">
        <v>436451.58</v>
      </c>
      <c r="AC32" s="110">
        <v>2773651.88</v>
      </c>
      <c r="AD32" s="110">
        <v>2612033.12</v>
      </c>
      <c r="AE32" s="110">
        <v>2307916.27</v>
      </c>
      <c r="AF32" s="110">
        <v>304116.84999999998</v>
      </c>
      <c r="AG32" s="110">
        <v>161618.76</v>
      </c>
      <c r="AH32" s="110">
        <v>55368.88</v>
      </c>
      <c r="AI32" s="110">
        <v>106249.88</v>
      </c>
      <c r="AJ32" s="110">
        <v>134947.48000000001</v>
      </c>
      <c r="AK32" s="110">
        <v>124201.58</v>
      </c>
      <c r="AL32" s="110">
        <v>110183.88</v>
      </c>
      <c r="AM32" s="110">
        <v>14017.7</v>
      </c>
      <c r="AN32" s="110">
        <v>10745.9</v>
      </c>
      <c r="AO32" s="110">
        <v>4047.2</v>
      </c>
      <c r="AP32" s="110">
        <v>6698.7</v>
      </c>
      <c r="AQ32" s="110">
        <v>4144846</v>
      </c>
      <c r="AR32" s="110">
        <v>3812165</v>
      </c>
      <c r="AS32" s="110">
        <v>3253902</v>
      </c>
      <c r="AT32" s="110">
        <v>558263</v>
      </c>
      <c r="AU32" s="110">
        <v>332681</v>
      </c>
      <c r="AV32" s="110">
        <v>118284</v>
      </c>
      <c r="AW32" s="110">
        <v>214397</v>
      </c>
      <c r="AX32" s="110">
        <v>1379728</v>
      </c>
      <c r="AY32" s="110">
        <v>1205016</v>
      </c>
      <c r="AZ32" s="110">
        <v>885072</v>
      </c>
      <c r="BA32" s="110">
        <v>319944</v>
      </c>
      <c r="BB32" s="110">
        <v>174712</v>
      </c>
      <c r="BC32" s="110">
        <v>65606</v>
      </c>
      <c r="BD32" s="110">
        <v>109106</v>
      </c>
      <c r="BE32" s="110">
        <v>24269249.59</v>
      </c>
      <c r="BF32" s="110">
        <v>14194161.59</v>
      </c>
      <c r="BG32" s="110">
        <v>6647155.9699999997</v>
      </c>
      <c r="BH32" s="110">
        <v>7547005.6200000001</v>
      </c>
      <c r="BI32" s="110">
        <v>10075088</v>
      </c>
      <c r="BJ32" s="110">
        <v>7960457.0599999996</v>
      </c>
      <c r="BK32" s="110">
        <v>2114630.94</v>
      </c>
      <c r="BL32" s="110">
        <v>2363620.89</v>
      </c>
      <c r="BM32" s="110">
        <v>1146444.06</v>
      </c>
      <c r="BN32" s="110">
        <v>704111.79</v>
      </c>
      <c r="BO32" s="110">
        <v>442332.27</v>
      </c>
      <c r="BP32" s="110">
        <v>1217176.83</v>
      </c>
      <c r="BQ32" s="110">
        <v>1032110.4</v>
      </c>
      <c r="BR32" s="110">
        <v>185066.43</v>
      </c>
      <c r="BS32" s="110">
        <v>1471865.14</v>
      </c>
      <c r="BT32" s="110">
        <v>719714.57</v>
      </c>
      <c r="BU32" s="110">
        <v>440757.98</v>
      </c>
      <c r="BV32" s="110">
        <v>278956.59000000003</v>
      </c>
      <c r="BW32" s="110">
        <v>752150.57</v>
      </c>
      <c r="BX32" s="110">
        <v>641135.56000000006</v>
      </c>
      <c r="BY32" s="110">
        <v>111015.01</v>
      </c>
      <c r="BZ32" s="110">
        <v>8212911.5</v>
      </c>
      <c r="CA32" s="110">
        <v>5178334.5</v>
      </c>
      <c r="CB32" s="110">
        <v>2323029.5</v>
      </c>
      <c r="CC32" s="110">
        <v>2855305</v>
      </c>
      <c r="CD32" s="110">
        <v>3034577</v>
      </c>
      <c r="CE32" s="110">
        <v>2220687</v>
      </c>
      <c r="CF32" s="110">
        <v>813890</v>
      </c>
      <c r="CG32" s="110">
        <v>12220852.060000001</v>
      </c>
      <c r="CH32" s="110">
        <v>7149668.46</v>
      </c>
      <c r="CI32" s="110">
        <v>3179256.7</v>
      </c>
      <c r="CJ32" s="110">
        <v>3970411.76</v>
      </c>
      <c r="CK32" s="110">
        <v>5071183.5999999996</v>
      </c>
      <c r="CL32" s="110">
        <v>4066524.1</v>
      </c>
      <c r="CM32" s="110">
        <v>1004659.5</v>
      </c>
      <c r="CN32" s="110">
        <v>2559654.56</v>
      </c>
      <c r="CO32" s="110">
        <v>489376.47</v>
      </c>
      <c r="CP32" s="110">
        <v>3423651.67</v>
      </c>
      <c r="CQ32" s="110">
        <v>5204.3100000000004</v>
      </c>
      <c r="CR32" s="110">
        <v>1853629.3</v>
      </c>
      <c r="CS32" s="110">
        <v>101657.05</v>
      </c>
      <c r="CT32" s="110">
        <v>2532243.52</v>
      </c>
      <c r="CU32" s="110">
        <v>0</v>
      </c>
      <c r="CV32" s="111">
        <v>18649</v>
      </c>
      <c r="CW32" s="111">
        <v>16829</v>
      </c>
      <c r="CX32" s="111">
        <v>13350</v>
      </c>
      <c r="CY32" s="111">
        <v>3479</v>
      </c>
      <c r="CZ32" s="111">
        <v>1820</v>
      </c>
      <c r="DA32" s="111">
        <v>604</v>
      </c>
      <c r="DB32" s="111">
        <v>1216</v>
      </c>
      <c r="DC32" s="111">
        <v>1444</v>
      </c>
      <c r="DD32" s="111">
        <v>1474</v>
      </c>
      <c r="DE32" s="111">
        <v>1279</v>
      </c>
      <c r="DF32" s="111">
        <v>995</v>
      </c>
      <c r="DG32" s="111">
        <v>284</v>
      </c>
      <c r="DH32" s="111">
        <v>165</v>
      </c>
      <c r="DI32" s="111">
        <v>45</v>
      </c>
      <c r="DJ32" s="111">
        <v>120</v>
      </c>
      <c r="DK32" s="111">
        <v>6809</v>
      </c>
      <c r="DL32" s="111">
        <v>6256</v>
      </c>
      <c r="DM32" s="111">
        <v>5257</v>
      </c>
      <c r="DN32" s="111">
        <v>999</v>
      </c>
      <c r="DO32" s="111">
        <v>553</v>
      </c>
      <c r="DP32" s="111">
        <v>193</v>
      </c>
      <c r="DQ32" s="111">
        <v>360</v>
      </c>
      <c r="DR32" s="111">
        <v>3130</v>
      </c>
      <c r="DS32" s="111">
        <v>43</v>
      </c>
      <c r="DT32" s="111">
        <v>2744</v>
      </c>
      <c r="DU32" s="111">
        <v>1994</v>
      </c>
      <c r="DV32" s="111">
        <v>750</v>
      </c>
      <c r="DW32" s="111">
        <v>386</v>
      </c>
      <c r="DX32" s="111">
        <v>140</v>
      </c>
      <c r="DY32" s="111">
        <v>246</v>
      </c>
      <c r="DZ32" s="111">
        <v>5749</v>
      </c>
      <c r="EA32" s="111">
        <v>5264</v>
      </c>
      <c r="EB32" s="111">
        <v>4452</v>
      </c>
      <c r="EC32" s="111">
        <v>812</v>
      </c>
      <c r="ED32" s="111">
        <v>485</v>
      </c>
      <c r="EE32" s="111">
        <v>226</v>
      </c>
      <c r="EF32" s="111">
        <v>259</v>
      </c>
      <c r="EG32" s="111">
        <v>1083</v>
      </c>
      <c r="EH32" s="111">
        <v>757</v>
      </c>
      <c r="EI32" s="111">
        <v>278</v>
      </c>
      <c r="EJ32" s="111">
        <v>479</v>
      </c>
      <c r="EK32" s="111">
        <v>326</v>
      </c>
      <c r="EL32" s="111">
        <v>206</v>
      </c>
      <c r="EM32" s="111">
        <v>120</v>
      </c>
      <c r="EN32" s="111">
        <v>618</v>
      </c>
      <c r="EO32" s="111">
        <v>0</v>
      </c>
      <c r="EP32" s="111">
        <v>0</v>
      </c>
      <c r="EQ32" s="111">
        <v>618</v>
      </c>
      <c r="ER32" s="111">
        <v>0</v>
      </c>
      <c r="ES32" s="111">
        <v>0</v>
      </c>
      <c r="ET32" s="111">
        <v>0</v>
      </c>
      <c r="EU32" s="111">
        <v>0</v>
      </c>
      <c r="EV32" s="111">
        <v>0</v>
      </c>
      <c r="EW32" s="111">
        <v>0</v>
      </c>
      <c r="EX32" s="111">
        <v>0</v>
      </c>
      <c r="EY32" s="111">
        <v>0</v>
      </c>
      <c r="EZ32" s="111">
        <v>0</v>
      </c>
      <c r="FA32" s="111">
        <v>0</v>
      </c>
      <c r="FB32" s="111">
        <v>517</v>
      </c>
    </row>
    <row r="33" spans="1:158" ht="19.5" customHeight="1">
      <c r="A33" s="107">
        <v>30</v>
      </c>
      <c r="B33" s="107" t="s">
        <v>382</v>
      </c>
      <c r="C33" s="107" t="s">
        <v>383</v>
      </c>
      <c r="D33" s="110">
        <v>10667491</v>
      </c>
      <c r="E33" s="110">
        <v>3351901.5</v>
      </c>
      <c r="F33" s="110">
        <v>7315589.5</v>
      </c>
      <c r="G33" s="110">
        <v>9551</v>
      </c>
      <c r="H33" s="110">
        <v>555</v>
      </c>
      <c r="I33" s="110">
        <v>19693</v>
      </c>
      <c r="J33" s="110">
        <v>0</v>
      </c>
      <c r="K33" s="110">
        <v>0</v>
      </c>
      <c r="L33" s="110">
        <v>621211.25</v>
      </c>
      <c r="M33" s="110">
        <v>1172960.1000000001</v>
      </c>
      <c r="N33" s="110">
        <v>0</v>
      </c>
      <c r="O33" s="110">
        <v>16872680.07</v>
      </c>
      <c r="P33" s="110">
        <v>7570304.0700000003</v>
      </c>
      <c r="Q33" s="110">
        <v>6651898.8799999999</v>
      </c>
      <c r="R33" s="110">
        <v>918405.19</v>
      </c>
      <c r="S33" s="110">
        <v>9302376</v>
      </c>
      <c r="T33" s="110">
        <v>7918339.7000000002</v>
      </c>
      <c r="U33" s="110">
        <v>1384036.3</v>
      </c>
      <c r="V33" s="110">
        <v>4181517.64</v>
      </c>
      <c r="W33" s="110">
        <v>3239508.73</v>
      </c>
      <c r="X33" s="110">
        <v>2676108.75</v>
      </c>
      <c r="Y33" s="110">
        <v>563399.98</v>
      </c>
      <c r="Z33" s="110">
        <v>942008.91</v>
      </c>
      <c r="AA33" s="110">
        <v>239188.67</v>
      </c>
      <c r="AB33" s="110">
        <v>702820.24</v>
      </c>
      <c r="AC33" s="110">
        <v>774941.68</v>
      </c>
      <c r="AD33" s="110">
        <v>720217.55</v>
      </c>
      <c r="AE33" s="110">
        <v>665933.55000000005</v>
      </c>
      <c r="AF33" s="110">
        <v>54284</v>
      </c>
      <c r="AG33" s="110">
        <v>54724.13</v>
      </c>
      <c r="AH33" s="110">
        <v>17183.849999999999</v>
      </c>
      <c r="AI33" s="110">
        <v>37540.28</v>
      </c>
      <c r="AJ33" s="110">
        <v>54674.46</v>
      </c>
      <c r="AK33" s="110">
        <v>48456.18</v>
      </c>
      <c r="AL33" s="110">
        <v>43919.199999999997</v>
      </c>
      <c r="AM33" s="110">
        <v>4536.9799999999996</v>
      </c>
      <c r="AN33" s="110">
        <v>6218.28</v>
      </c>
      <c r="AO33" s="110">
        <v>2582.8200000000002</v>
      </c>
      <c r="AP33" s="110">
        <v>3635.46</v>
      </c>
      <c r="AQ33" s="110">
        <v>2357060.5</v>
      </c>
      <c r="AR33" s="110">
        <v>1830148</v>
      </c>
      <c r="AS33" s="110">
        <v>1542679</v>
      </c>
      <c r="AT33" s="110">
        <v>287469</v>
      </c>
      <c r="AU33" s="110">
        <v>526912.5</v>
      </c>
      <c r="AV33" s="110">
        <v>154522</v>
      </c>
      <c r="AW33" s="110">
        <v>372390.5</v>
      </c>
      <c r="AX33" s="110">
        <v>994841</v>
      </c>
      <c r="AY33" s="110">
        <v>640687</v>
      </c>
      <c r="AZ33" s="110">
        <v>423577</v>
      </c>
      <c r="BA33" s="110">
        <v>217110</v>
      </c>
      <c r="BB33" s="110">
        <v>354154</v>
      </c>
      <c r="BC33" s="110">
        <v>64900</v>
      </c>
      <c r="BD33" s="110">
        <v>289254</v>
      </c>
      <c r="BE33" s="110">
        <v>12691162.43</v>
      </c>
      <c r="BF33" s="110">
        <v>4330795.34</v>
      </c>
      <c r="BG33" s="110">
        <v>3975790.13</v>
      </c>
      <c r="BH33" s="110">
        <v>355005.21</v>
      </c>
      <c r="BI33" s="110">
        <v>8360367.0899999999</v>
      </c>
      <c r="BJ33" s="110">
        <v>7679151.0300000003</v>
      </c>
      <c r="BK33" s="110">
        <v>681216.06</v>
      </c>
      <c r="BL33" s="110">
        <v>1415559.74</v>
      </c>
      <c r="BM33" s="110">
        <v>572193.81999999995</v>
      </c>
      <c r="BN33" s="110">
        <v>537676.26</v>
      </c>
      <c r="BO33" s="110">
        <v>34517.56</v>
      </c>
      <c r="BP33" s="110">
        <v>843365.92</v>
      </c>
      <c r="BQ33" s="110">
        <v>776278.62</v>
      </c>
      <c r="BR33" s="110">
        <v>67087.3</v>
      </c>
      <c r="BS33" s="110">
        <v>3960013.19</v>
      </c>
      <c r="BT33" s="110">
        <v>1049725.6200000001</v>
      </c>
      <c r="BU33" s="110">
        <v>989450.82</v>
      </c>
      <c r="BV33" s="110">
        <v>60274.8</v>
      </c>
      <c r="BW33" s="110">
        <v>2910287.57</v>
      </c>
      <c r="BX33" s="110">
        <v>2723791.06</v>
      </c>
      <c r="BY33" s="110">
        <v>186496.51</v>
      </c>
      <c r="BZ33" s="110">
        <v>3602283.5</v>
      </c>
      <c r="CA33" s="110">
        <v>1465600</v>
      </c>
      <c r="CB33" s="110">
        <v>1374936</v>
      </c>
      <c r="CC33" s="110">
        <v>90664</v>
      </c>
      <c r="CD33" s="110">
        <v>2136683.5</v>
      </c>
      <c r="CE33" s="110">
        <v>1931848</v>
      </c>
      <c r="CF33" s="110">
        <v>204835.5</v>
      </c>
      <c r="CG33" s="110">
        <v>3713306</v>
      </c>
      <c r="CH33" s="110">
        <v>1243275.8999999999</v>
      </c>
      <c r="CI33" s="110">
        <v>1073727.05</v>
      </c>
      <c r="CJ33" s="110">
        <v>169548.85</v>
      </c>
      <c r="CK33" s="110">
        <v>2470030.1</v>
      </c>
      <c r="CL33" s="110">
        <v>2247233.35</v>
      </c>
      <c r="CM33" s="110">
        <v>222796.75</v>
      </c>
      <c r="CN33" s="110">
        <v>822149.88</v>
      </c>
      <c r="CO33" s="110">
        <v>97429.22</v>
      </c>
      <c r="CP33" s="110">
        <v>1915283.59</v>
      </c>
      <c r="CQ33" s="110">
        <v>105615.32</v>
      </c>
      <c r="CR33" s="110">
        <v>1241039.6299999999</v>
      </c>
      <c r="CS33" s="110">
        <v>0</v>
      </c>
      <c r="CT33" s="110">
        <v>208491.61</v>
      </c>
      <c r="CU33" s="110">
        <v>0</v>
      </c>
      <c r="CV33" s="111">
        <v>9551</v>
      </c>
      <c r="CW33" s="111">
        <v>7609</v>
      </c>
      <c r="CX33" s="111">
        <v>6478</v>
      </c>
      <c r="CY33" s="111">
        <v>1131</v>
      </c>
      <c r="CZ33" s="111">
        <v>1942</v>
      </c>
      <c r="DA33" s="111">
        <v>618</v>
      </c>
      <c r="DB33" s="111">
        <v>1324</v>
      </c>
      <c r="DC33" s="111">
        <v>672</v>
      </c>
      <c r="DD33" s="111">
        <v>23</v>
      </c>
      <c r="DE33" s="111">
        <v>542</v>
      </c>
      <c r="DF33" s="111">
        <v>484</v>
      </c>
      <c r="DG33" s="111">
        <v>58</v>
      </c>
      <c r="DH33" s="111">
        <v>130</v>
      </c>
      <c r="DI33" s="111">
        <v>57</v>
      </c>
      <c r="DJ33" s="111">
        <v>73</v>
      </c>
      <c r="DK33" s="111">
        <v>5139</v>
      </c>
      <c r="DL33" s="111">
        <v>4155</v>
      </c>
      <c r="DM33" s="111">
        <v>3731</v>
      </c>
      <c r="DN33" s="111">
        <v>424</v>
      </c>
      <c r="DO33" s="111">
        <v>984</v>
      </c>
      <c r="DP33" s="111">
        <v>365</v>
      </c>
      <c r="DQ33" s="111">
        <v>619</v>
      </c>
      <c r="DR33" s="111">
        <v>1616</v>
      </c>
      <c r="DS33" s="111">
        <v>12</v>
      </c>
      <c r="DT33" s="111">
        <v>1024</v>
      </c>
      <c r="DU33" s="111">
        <v>644</v>
      </c>
      <c r="DV33" s="111">
        <v>380</v>
      </c>
      <c r="DW33" s="111">
        <v>592</v>
      </c>
      <c r="DX33" s="111">
        <v>101</v>
      </c>
      <c r="DY33" s="111">
        <v>491</v>
      </c>
      <c r="DZ33" s="111">
        <v>2089</v>
      </c>
      <c r="EA33" s="111">
        <v>1874</v>
      </c>
      <c r="EB33" s="111">
        <v>1611</v>
      </c>
      <c r="EC33" s="111">
        <v>263</v>
      </c>
      <c r="ED33" s="111">
        <v>215</v>
      </c>
      <c r="EE33" s="111">
        <v>95</v>
      </c>
      <c r="EF33" s="111">
        <v>120</v>
      </c>
      <c r="EG33" s="111">
        <v>555</v>
      </c>
      <c r="EH33" s="111">
        <v>305</v>
      </c>
      <c r="EI33" s="111">
        <v>283</v>
      </c>
      <c r="EJ33" s="111">
        <v>22</v>
      </c>
      <c r="EK33" s="111">
        <v>250</v>
      </c>
      <c r="EL33" s="111">
        <v>216</v>
      </c>
      <c r="EM33" s="111">
        <v>34</v>
      </c>
      <c r="EN33" s="111">
        <v>205</v>
      </c>
      <c r="EO33" s="111">
        <v>92</v>
      </c>
      <c r="EP33" s="111">
        <v>63</v>
      </c>
      <c r="EQ33" s="111">
        <v>50</v>
      </c>
      <c r="ER33" s="111">
        <v>5</v>
      </c>
      <c r="ES33" s="111">
        <v>0</v>
      </c>
      <c r="ET33" s="111">
        <v>0</v>
      </c>
      <c r="EU33" s="111">
        <v>56</v>
      </c>
      <c r="EV33" s="111">
        <v>13</v>
      </c>
      <c r="EW33" s="111">
        <v>42</v>
      </c>
      <c r="EX33" s="111">
        <v>1</v>
      </c>
      <c r="EY33" s="111">
        <v>73</v>
      </c>
      <c r="EZ33" s="111">
        <v>69</v>
      </c>
      <c r="FA33" s="111">
        <v>4</v>
      </c>
      <c r="FB33" s="111">
        <v>94</v>
      </c>
    </row>
    <row r="34" spans="1:158" ht="19.5" customHeight="1">
      <c r="A34" s="107">
        <v>31</v>
      </c>
      <c r="B34" s="107" t="s">
        <v>374</v>
      </c>
      <c r="C34" s="107" t="s">
        <v>384</v>
      </c>
      <c r="D34" s="110">
        <v>12389472.5</v>
      </c>
      <c r="E34" s="110">
        <v>6098785</v>
      </c>
      <c r="F34" s="110">
        <v>6290687.5</v>
      </c>
      <c r="G34" s="110">
        <v>14638</v>
      </c>
      <c r="H34" s="110">
        <v>1282</v>
      </c>
      <c r="I34" s="110">
        <v>24994</v>
      </c>
      <c r="J34" s="110">
        <v>0</v>
      </c>
      <c r="K34" s="110">
        <v>0</v>
      </c>
      <c r="L34" s="110">
        <v>97038</v>
      </c>
      <c r="M34" s="110">
        <v>17708</v>
      </c>
      <c r="N34" s="110">
        <v>1168.4000000000001</v>
      </c>
      <c r="O34" s="110">
        <v>23608601.100000001</v>
      </c>
      <c r="P34" s="110">
        <v>9438921.4499999993</v>
      </c>
      <c r="Q34" s="110">
        <v>8252425.2599999998</v>
      </c>
      <c r="R34" s="110">
        <v>1186496.19</v>
      </c>
      <c r="S34" s="110">
        <v>14169679.65</v>
      </c>
      <c r="T34" s="110">
        <v>10728102.52</v>
      </c>
      <c r="U34" s="110">
        <v>3441577.13</v>
      </c>
      <c r="V34" s="110">
        <v>9145385.6799999997</v>
      </c>
      <c r="W34" s="110">
        <v>6315461.8799999999</v>
      </c>
      <c r="X34" s="110">
        <v>5555744.5800000001</v>
      </c>
      <c r="Y34" s="110">
        <v>759717.3</v>
      </c>
      <c r="Z34" s="110">
        <v>2829923.8</v>
      </c>
      <c r="AA34" s="110">
        <v>1075939.82</v>
      </c>
      <c r="AB34" s="110">
        <v>1753983.98</v>
      </c>
      <c r="AC34" s="110">
        <v>2983493.78</v>
      </c>
      <c r="AD34" s="110">
        <v>2138362.2599999998</v>
      </c>
      <c r="AE34" s="110">
        <v>1894196.48</v>
      </c>
      <c r="AF34" s="110">
        <v>244165.78</v>
      </c>
      <c r="AG34" s="110">
        <v>845131.52</v>
      </c>
      <c r="AH34" s="110">
        <v>352096.14</v>
      </c>
      <c r="AI34" s="110">
        <v>493035.38</v>
      </c>
      <c r="AJ34" s="110">
        <v>63106.9</v>
      </c>
      <c r="AK34" s="110">
        <v>56859.62</v>
      </c>
      <c r="AL34" s="110">
        <v>50618.1</v>
      </c>
      <c r="AM34" s="110">
        <v>6241.52</v>
      </c>
      <c r="AN34" s="110">
        <v>6247.28</v>
      </c>
      <c r="AO34" s="110">
        <v>2298.6799999999998</v>
      </c>
      <c r="AP34" s="110">
        <v>3948.6</v>
      </c>
      <c r="AQ34" s="110">
        <v>4133932</v>
      </c>
      <c r="AR34" s="110">
        <v>2961121</v>
      </c>
      <c r="AS34" s="110">
        <v>2635821</v>
      </c>
      <c r="AT34" s="110">
        <v>325300</v>
      </c>
      <c r="AU34" s="110">
        <v>1172811</v>
      </c>
      <c r="AV34" s="110">
        <v>449623</v>
      </c>
      <c r="AW34" s="110">
        <v>723188</v>
      </c>
      <c r="AX34" s="110">
        <v>1964853</v>
      </c>
      <c r="AY34" s="110">
        <v>1159119</v>
      </c>
      <c r="AZ34" s="110">
        <v>975109</v>
      </c>
      <c r="BA34" s="110">
        <v>184010</v>
      </c>
      <c r="BB34" s="110">
        <v>805734</v>
      </c>
      <c r="BC34" s="110">
        <v>271922</v>
      </c>
      <c r="BD34" s="110">
        <v>533812</v>
      </c>
      <c r="BE34" s="110">
        <v>14463215.42</v>
      </c>
      <c r="BF34" s="110">
        <v>3123459.57</v>
      </c>
      <c r="BG34" s="110">
        <v>2696680.68</v>
      </c>
      <c r="BH34" s="110">
        <v>426778.89</v>
      </c>
      <c r="BI34" s="110">
        <v>11339755.85</v>
      </c>
      <c r="BJ34" s="110">
        <v>9652162.6999999993</v>
      </c>
      <c r="BK34" s="110">
        <v>1687593.15</v>
      </c>
      <c r="BL34" s="110">
        <v>7984124.6299999999</v>
      </c>
      <c r="BM34" s="110">
        <v>1498866.84</v>
      </c>
      <c r="BN34" s="110">
        <v>1428089.8</v>
      </c>
      <c r="BO34" s="110">
        <v>70777.039999999994</v>
      </c>
      <c r="BP34" s="110">
        <v>6485257.79</v>
      </c>
      <c r="BQ34" s="110">
        <v>5896175.8200000003</v>
      </c>
      <c r="BR34" s="110">
        <v>589081.97</v>
      </c>
      <c r="BS34" s="110">
        <v>188403.29</v>
      </c>
      <c r="BT34" s="110">
        <v>45405.23</v>
      </c>
      <c r="BU34" s="110">
        <v>37590.879999999997</v>
      </c>
      <c r="BV34" s="110">
        <v>7814.35</v>
      </c>
      <c r="BW34" s="110">
        <v>142998.06</v>
      </c>
      <c r="BX34" s="110">
        <v>123473.88</v>
      </c>
      <c r="BY34" s="110">
        <v>19524.18</v>
      </c>
      <c r="BZ34" s="110">
        <v>4132553</v>
      </c>
      <c r="CA34" s="110">
        <v>883639</v>
      </c>
      <c r="CB34" s="110">
        <v>783668</v>
      </c>
      <c r="CC34" s="110">
        <v>99971</v>
      </c>
      <c r="CD34" s="110">
        <v>3248914</v>
      </c>
      <c r="CE34" s="110">
        <v>2711598</v>
      </c>
      <c r="CF34" s="110">
        <v>537316</v>
      </c>
      <c r="CG34" s="110">
        <v>2158134.5</v>
      </c>
      <c r="CH34" s="110">
        <v>695548.5</v>
      </c>
      <c r="CI34" s="110">
        <v>447332</v>
      </c>
      <c r="CJ34" s="110">
        <v>248216.5</v>
      </c>
      <c r="CK34" s="110">
        <v>1462586</v>
      </c>
      <c r="CL34" s="110">
        <v>920915</v>
      </c>
      <c r="CM34" s="110">
        <v>541671</v>
      </c>
      <c r="CN34" s="110">
        <v>1645514.18</v>
      </c>
      <c r="CO34" s="110">
        <v>421549.63</v>
      </c>
      <c r="CP34" s="110">
        <v>1878045.48</v>
      </c>
      <c r="CQ34" s="110">
        <v>706793.78</v>
      </c>
      <c r="CR34" s="110">
        <v>4493522.6100000003</v>
      </c>
      <c r="CS34" s="110">
        <v>0</v>
      </c>
      <c r="CT34" s="110">
        <v>1363084.41</v>
      </c>
      <c r="CU34" s="110">
        <v>0</v>
      </c>
      <c r="CV34" s="111">
        <v>14638</v>
      </c>
      <c r="CW34" s="111">
        <v>10506</v>
      </c>
      <c r="CX34" s="111">
        <v>9184</v>
      </c>
      <c r="CY34" s="111">
        <v>1322</v>
      </c>
      <c r="CZ34" s="111">
        <v>4132</v>
      </c>
      <c r="DA34" s="111">
        <v>1241</v>
      </c>
      <c r="DB34" s="111">
        <v>2891</v>
      </c>
      <c r="DC34" s="111">
        <v>2731</v>
      </c>
      <c r="DD34" s="111">
        <v>826</v>
      </c>
      <c r="DE34" s="111">
        <v>2291</v>
      </c>
      <c r="DF34" s="111">
        <v>2073</v>
      </c>
      <c r="DG34" s="111">
        <v>218</v>
      </c>
      <c r="DH34" s="111">
        <v>440</v>
      </c>
      <c r="DI34" s="111">
        <v>184</v>
      </c>
      <c r="DJ34" s="111">
        <v>256</v>
      </c>
      <c r="DK34" s="111">
        <v>3332</v>
      </c>
      <c r="DL34" s="111">
        <v>2380</v>
      </c>
      <c r="DM34" s="111">
        <v>2116</v>
      </c>
      <c r="DN34" s="111">
        <v>264</v>
      </c>
      <c r="DO34" s="111">
        <v>952</v>
      </c>
      <c r="DP34" s="111">
        <v>362</v>
      </c>
      <c r="DQ34" s="111">
        <v>590</v>
      </c>
      <c r="DR34" s="111">
        <v>4306</v>
      </c>
      <c r="DS34" s="111">
        <v>249</v>
      </c>
      <c r="DT34" s="111">
        <v>2580</v>
      </c>
      <c r="DU34" s="111">
        <v>2196</v>
      </c>
      <c r="DV34" s="111">
        <v>384</v>
      </c>
      <c r="DW34" s="111">
        <v>1726</v>
      </c>
      <c r="DX34" s="111">
        <v>566</v>
      </c>
      <c r="DY34" s="111">
        <v>1160</v>
      </c>
      <c r="DZ34" s="111">
        <v>3194</v>
      </c>
      <c r="EA34" s="111">
        <v>2881</v>
      </c>
      <c r="EB34" s="111">
        <v>2507</v>
      </c>
      <c r="EC34" s="111">
        <v>374</v>
      </c>
      <c r="ED34" s="111">
        <v>313</v>
      </c>
      <c r="EE34" s="111">
        <v>129</v>
      </c>
      <c r="EF34" s="111">
        <v>184</v>
      </c>
      <c r="EG34" s="111">
        <v>1282</v>
      </c>
      <c r="EH34" s="111">
        <v>439</v>
      </c>
      <c r="EI34" s="111">
        <v>366</v>
      </c>
      <c r="EJ34" s="111">
        <v>73</v>
      </c>
      <c r="EK34" s="111">
        <v>843</v>
      </c>
      <c r="EL34" s="111">
        <v>650</v>
      </c>
      <c r="EM34" s="111">
        <v>193</v>
      </c>
      <c r="EN34" s="111">
        <v>688</v>
      </c>
      <c r="EO34" s="111">
        <v>0</v>
      </c>
      <c r="EP34" s="111">
        <v>0</v>
      </c>
      <c r="EQ34" s="111">
        <v>688</v>
      </c>
      <c r="ER34" s="111">
        <v>0</v>
      </c>
      <c r="ES34" s="111">
        <v>0</v>
      </c>
      <c r="ET34" s="111">
        <v>0</v>
      </c>
      <c r="EU34" s="111">
        <v>0</v>
      </c>
      <c r="EV34" s="111">
        <v>0</v>
      </c>
      <c r="EW34" s="111">
        <v>0</v>
      </c>
      <c r="EX34" s="111">
        <v>0</v>
      </c>
      <c r="EY34" s="111">
        <v>0</v>
      </c>
      <c r="EZ34" s="111">
        <v>0</v>
      </c>
      <c r="FA34" s="111">
        <v>0</v>
      </c>
      <c r="FB34" s="111">
        <v>1175</v>
      </c>
    </row>
    <row r="35" spans="1:158" ht="19.5" customHeight="1">
      <c r="A35" s="107">
        <v>32</v>
      </c>
      <c r="B35" s="107" t="s">
        <v>374</v>
      </c>
      <c r="C35" s="107" t="s">
        <v>385</v>
      </c>
      <c r="D35" s="110">
        <v>12687668.5</v>
      </c>
      <c r="E35" s="110">
        <v>5679856</v>
      </c>
      <c r="F35" s="110">
        <v>7007812.5</v>
      </c>
      <c r="G35" s="110">
        <v>22609</v>
      </c>
      <c r="H35" s="110">
        <v>695</v>
      </c>
      <c r="I35" s="110">
        <v>74705</v>
      </c>
      <c r="J35" s="110">
        <v>0</v>
      </c>
      <c r="K35" s="110">
        <v>0</v>
      </c>
      <c r="L35" s="110">
        <v>156379</v>
      </c>
      <c r="M35" s="110">
        <v>13755</v>
      </c>
      <c r="N35" s="110">
        <v>507.89</v>
      </c>
      <c r="O35" s="110">
        <v>19176721.84</v>
      </c>
      <c r="P35" s="110">
        <v>16565872.460000001</v>
      </c>
      <c r="Q35" s="110">
        <v>12410401.869999999</v>
      </c>
      <c r="R35" s="110">
        <v>4155470.59</v>
      </c>
      <c r="S35" s="110">
        <v>2610849.38</v>
      </c>
      <c r="T35" s="110">
        <v>1459510.13</v>
      </c>
      <c r="U35" s="110">
        <v>1151339.25</v>
      </c>
      <c r="V35" s="110">
        <v>10843974</v>
      </c>
      <c r="W35" s="110">
        <v>10117631.890000001</v>
      </c>
      <c r="X35" s="110">
        <v>9019702.4100000001</v>
      </c>
      <c r="Y35" s="110">
        <v>1097929.48</v>
      </c>
      <c r="Z35" s="110">
        <v>726342.11</v>
      </c>
      <c r="AA35" s="110">
        <v>251243.13</v>
      </c>
      <c r="AB35" s="110">
        <v>475098.98</v>
      </c>
      <c r="AC35" s="110">
        <v>4974159.2699999996</v>
      </c>
      <c r="AD35" s="110">
        <v>4677205.8</v>
      </c>
      <c r="AE35" s="110">
        <v>4184955.81</v>
      </c>
      <c r="AF35" s="110">
        <v>492249.99</v>
      </c>
      <c r="AG35" s="110">
        <v>296953.46999999997</v>
      </c>
      <c r="AH35" s="110">
        <v>86005.43</v>
      </c>
      <c r="AI35" s="110">
        <v>210948.04</v>
      </c>
      <c r="AJ35" s="110">
        <v>189958.73</v>
      </c>
      <c r="AK35" s="110">
        <v>172348.09</v>
      </c>
      <c r="AL35" s="110">
        <v>154191.6</v>
      </c>
      <c r="AM35" s="110">
        <v>18156.490000000002</v>
      </c>
      <c r="AN35" s="110">
        <v>17610.64</v>
      </c>
      <c r="AO35" s="110">
        <v>8507.7000000000007</v>
      </c>
      <c r="AP35" s="110">
        <v>9102.94</v>
      </c>
      <c r="AQ35" s="110">
        <v>4262547</v>
      </c>
      <c r="AR35" s="110">
        <v>3965231</v>
      </c>
      <c r="AS35" s="110">
        <v>3579915</v>
      </c>
      <c r="AT35" s="110">
        <v>385316</v>
      </c>
      <c r="AU35" s="110">
        <v>297316</v>
      </c>
      <c r="AV35" s="110">
        <v>120436</v>
      </c>
      <c r="AW35" s="110">
        <v>176880</v>
      </c>
      <c r="AX35" s="110">
        <v>1417309</v>
      </c>
      <c r="AY35" s="110">
        <v>1302847</v>
      </c>
      <c r="AZ35" s="110">
        <v>1100640</v>
      </c>
      <c r="BA35" s="110">
        <v>202207</v>
      </c>
      <c r="BB35" s="110">
        <v>114462</v>
      </c>
      <c r="BC35" s="110">
        <v>36294</v>
      </c>
      <c r="BD35" s="110">
        <v>78168</v>
      </c>
      <c r="BE35" s="110">
        <v>8332747.8399999999</v>
      </c>
      <c r="BF35" s="110">
        <v>6448240.5700000003</v>
      </c>
      <c r="BG35" s="110">
        <v>3390699.46</v>
      </c>
      <c r="BH35" s="110">
        <v>3057541.11</v>
      </c>
      <c r="BI35" s="110">
        <v>1884507.27</v>
      </c>
      <c r="BJ35" s="110">
        <v>1208267</v>
      </c>
      <c r="BK35" s="110">
        <v>676240.27</v>
      </c>
      <c r="BL35" s="110">
        <v>1062607.3799999999</v>
      </c>
      <c r="BM35" s="110">
        <v>817702.56</v>
      </c>
      <c r="BN35" s="110">
        <v>548184.66</v>
      </c>
      <c r="BO35" s="110">
        <v>269517.90000000002</v>
      </c>
      <c r="BP35" s="110">
        <v>244904.82</v>
      </c>
      <c r="BQ35" s="110">
        <v>206133.87</v>
      </c>
      <c r="BR35" s="110">
        <v>38770.949999999997</v>
      </c>
      <c r="BS35" s="110">
        <v>262327.96000000002</v>
      </c>
      <c r="BT35" s="110">
        <v>197362.51</v>
      </c>
      <c r="BU35" s="110">
        <v>122854.3</v>
      </c>
      <c r="BV35" s="110">
        <v>74508.210000000006</v>
      </c>
      <c r="BW35" s="110">
        <v>64965.45</v>
      </c>
      <c r="BX35" s="110">
        <v>47775.63</v>
      </c>
      <c r="BY35" s="110">
        <v>17189.82</v>
      </c>
      <c r="BZ35" s="110">
        <v>3497330</v>
      </c>
      <c r="CA35" s="110">
        <v>2556647</v>
      </c>
      <c r="CB35" s="110">
        <v>1938140</v>
      </c>
      <c r="CC35" s="110">
        <v>618507</v>
      </c>
      <c r="CD35" s="110">
        <v>940683</v>
      </c>
      <c r="CE35" s="110">
        <v>764703</v>
      </c>
      <c r="CF35" s="110">
        <v>175980</v>
      </c>
      <c r="CG35" s="110">
        <v>3510482.5</v>
      </c>
      <c r="CH35" s="110">
        <v>2876528.5</v>
      </c>
      <c r="CI35" s="110">
        <v>781520.5</v>
      </c>
      <c r="CJ35" s="110">
        <v>2095008</v>
      </c>
      <c r="CK35" s="110">
        <v>633954</v>
      </c>
      <c r="CL35" s="110">
        <v>189654.5</v>
      </c>
      <c r="CM35" s="110">
        <v>444299.5</v>
      </c>
      <c r="CN35" s="110">
        <v>2695503.58</v>
      </c>
      <c r="CO35" s="110">
        <v>3054653.47</v>
      </c>
      <c r="CP35" s="110">
        <v>1961926.56</v>
      </c>
      <c r="CQ35" s="110">
        <v>20835.55</v>
      </c>
      <c r="CR35" s="110">
        <v>3111054.84</v>
      </c>
      <c r="CS35" s="110">
        <v>0</v>
      </c>
      <c r="CT35" s="110">
        <v>3573305.21</v>
      </c>
      <c r="CU35" s="110">
        <v>0</v>
      </c>
      <c r="CV35" s="111">
        <v>22609</v>
      </c>
      <c r="CW35" s="111">
        <v>20767</v>
      </c>
      <c r="CX35" s="111">
        <v>18200</v>
      </c>
      <c r="CY35" s="111">
        <v>2567</v>
      </c>
      <c r="CZ35" s="111">
        <v>1842</v>
      </c>
      <c r="DA35" s="111">
        <v>675</v>
      </c>
      <c r="DB35" s="111">
        <v>1167</v>
      </c>
      <c r="DC35" s="111">
        <v>8466</v>
      </c>
      <c r="DD35" s="111">
        <v>0</v>
      </c>
      <c r="DE35" s="111">
        <v>7723</v>
      </c>
      <c r="DF35" s="111">
        <v>6833</v>
      </c>
      <c r="DG35" s="111">
        <v>890</v>
      </c>
      <c r="DH35" s="111">
        <v>743</v>
      </c>
      <c r="DI35" s="111">
        <v>268</v>
      </c>
      <c r="DJ35" s="111">
        <v>475</v>
      </c>
      <c r="DK35" s="111">
        <v>4088</v>
      </c>
      <c r="DL35" s="111">
        <v>3725</v>
      </c>
      <c r="DM35" s="111">
        <v>3300</v>
      </c>
      <c r="DN35" s="111">
        <v>425</v>
      </c>
      <c r="DO35" s="111">
        <v>363</v>
      </c>
      <c r="DP35" s="111">
        <v>126</v>
      </c>
      <c r="DQ35" s="111">
        <v>237</v>
      </c>
      <c r="DR35" s="111">
        <v>4135</v>
      </c>
      <c r="DS35" s="111">
        <v>0</v>
      </c>
      <c r="DT35" s="111">
        <v>3885</v>
      </c>
      <c r="DU35" s="111">
        <v>3389</v>
      </c>
      <c r="DV35" s="111">
        <v>496</v>
      </c>
      <c r="DW35" s="111">
        <v>250</v>
      </c>
      <c r="DX35" s="111">
        <v>72</v>
      </c>
      <c r="DY35" s="111">
        <v>178</v>
      </c>
      <c r="DZ35" s="111">
        <v>5920</v>
      </c>
      <c r="EA35" s="111">
        <v>5434</v>
      </c>
      <c r="EB35" s="111">
        <v>4678</v>
      </c>
      <c r="EC35" s="111">
        <v>756</v>
      </c>
      <c r="ED35" s="111">
        <v>486</v>
      </c>
      <c r="EE35" s="111">
        <v>209</v>
      </c>
      <c r="EF35" s="111">
        <v>277</v>
      </c>
      <c r="EG35" s="111">
        <v>695</v>
      </c>
      <c r="EH35" s="111">
        <v>555</v>
      </c>
      <c r="EI35" s="111">
        <v>365</v>
      </c>
      <c r="EJ35" s="111">
        <v>190</v>
      </c>
      <c r="EK35" s="111">
        <v>140</v>
      </c>
      <c r="EL35" s="111">
        <v>91</v>
      </c>
      <c r="EM35" s="111">
        <v>49</v>
      </c>
      <c r="EN35" s="111">
        <v>39</v>
      </c>
      <c r="EO35" s="111">
        <v>0</v>
      </c>
      <c r="EP35" s="111">
        <v>0</v>
      </c>
      <c r="EQ35" s="111">
        <v>39</v>
      </c>
      <c r="ER35" s="111">
        <v>0</v>
      </c>
      <c r="ES35" s="111">
        <v>0</v>
      </c>
      <c r="ET35" s="111">
        <v>0</v>
      </c>
      <c r="EU35" s="111">
        <v>0</v>
      </c>
      <c r="EV35" s="111">
        <v>0</v>
      </c>
      <c r="EW35" s="111">
        <v>0</v>
      </c>
      <c r="EX35" s="111">
        <v>0</v>
      </c>
      <c r="EY35" s="111">
        <v>0</v>
      </c>
      <c r="EZ35" s="111">
        <v>0</v>
      </c>
      <c r="FA35" s="111">
        <v>0</v>
      </c>
      <c r="FB35" s="111">
        <v>191</v>
      </c>
    </row>
    <row r="36" spans="1:158" ht="19.5" customHeight="1">
      <c r="A36" s="107">
        <v>33</v>
      </c>
      <c r="B36" s="107" t="s">
        <v>374</v>
      </c>
      <c r="C36" s="107" t="s">
        <v>386</v>
      </c>
      <c r="D36" s="110">
        <v>23867866.859999999</v>
      </c>
      <c r="E36" s="110">
        <v>5374261.5</v>
      </c>
      <c r="F36" s="110">
        <v>18493605.359999999</v>
      </c>
      <c r="G36" s="110">
        <v>14326</v>
      </c>
      <c r="H36" s="110">
        <v>255</v>
      </c>
      <c r="I36" s="110">
        <v>141130.5</v>
      </c>
      <c r="J36" s="110">
        <v>0</v>
      </c>
      <c r="K36" s="110">
        <v>0</v>
      </c>
      <c r="L36" s="110">
        <v>1438921.03</v>
      </c>
      <c r="M36" s="110">
        <v>4032772.25</v>
      </c>
      <c r="N36" s="110">
        <v>1101.78</v>
      </c>
      <c r="O36" s="110">
        <v>34517363.859999999</v>
      </c>
      <c r="P36" s="110">
        <v>14187864.73</v>
      </c>
      <c r="Q36" s="110">
        <v>12039686.390000001</v>
      </c>
      <c r="R36" s="110">
        <v>2148178.34</v>
      </c>
      <c r="S36" s="110">
        <v>20329499.129999999</v>
      </c>
      <c r="T36" s="110">
        <v>18196845.370000001</v>
      </c>
      <c r="U36" s="110">
        <v>2132653.7599999998</v>
      </c>
      <c r="V36" s="110">
        <v>8026394.3700000001</v>
      </c>
      <c r="W36" s="110">
        <v>7451397.2300000004</v>
      </c>
      <c r="X36" s="110">
        <v>6547890.7000000002</v>
      </c>
      <c r="Y36" s="110">
        <v>903506.53</v>
      </c>
      <c r="Z36" s="110">
        <v>574997.14</v>
      </c>
      <c r="AA36" s="110">
        <v>240253.15</v>
      </c>
      <c r="AB36" s="110">
        <v>334743.99</v>
      </c>
      <c r="AC36" s="110">
        <v>2499171.75</v>
      </c>
      <c r="AD36" s="110">
        <v>2350312.98</v>
      </c>
      <c r="AE36" s="110">
        <v>2117298.5699999998</v>
      </c>
      <c r="AF36" s="110">
        <v>233014.41</v>
      </c>
      <c r="AG36" s="110">
        <v>148858.76999999999</v>
      </c>
      <c r="AH36" s="110">
        <v>61548.65</v>
      </c>
      <c r="AI36" s="110">
        <v>87310.12</v>
      </c>
      <c r="AJ36" s="110">
        <v>152961.12</v>
      </c>
      <c r="AK36" s="110">
        <v>130837.75</v>
      </c>
      <c r="AL36" s="110">
        <v>113579.13</v>
      </c>
      <c r="AM36" s="110">
        <v>17258.62</v>
      </c>
      <c r="AN36" s="110">
        <v>22123.37</v>
      </c>
      <c r="AO36" s="110">
        <v>12900</v>
      </c>
      <c r="AP36" s="110">
        <v>9223.3700000000008</v>
      </c>
      <c r="AQ36" s="110">
        <v>4499110</v>
      </c>
      <c r="AR36" s="110">
        <v>4190662</v>
      </c>
      <c r="AS36" s="110">
        <v>3749954</v>
      </c>
      <c r="AT36" s="110">
        <v>440708</v>
      </c>
      <c r="AU36" s="110">
        <v>308448</v>
      </c>
      <c r="AV36" s="110">
        <v>131139</v>
      </c>
      <c r="AW36" s="110">
        <v>177309</v>
      </c>
      <c r="AX36" s="110">
        <v>875151.5</v>
      </c>
      <c r="AY36" s="110">
        <v>779584.5</v>
      </c>
      <c r="AZ36" s="110">
        <v>567059</v>
      </c>
      <c r="BA36" s="110">
        <v>212525.5</v>
      </c>
      <c r="BB36" s="110">
        <v>95567</v>
      </c>
      <c r="BC36" s="110">
        <v>34665.5</v>
      </c>
      <c r="BD36" s="110">
        <v>60901.5</v>
      </c>
      <c r="BE36" s="110">
        <v>26490969.489999998</v>
      </c>
      <c r="BF36" s="110">
        <v>6736467.5</v>
      </c>
      <c r="BG36" s="110">
        <v>5491795.6900000004</v>
      </c>
      <c r="BH36" s="110">
        <v>1244671.81</v>
      </c>
      <c r="BI36" s="110">
        <v>19754501.989999998</v>
      </c>
      <c r="BJ36" s="110">
        <v>17956592.219999999</v>
      </c>
      <c r="BK36" s="110">
        <v>1797909.77</v>
      </c>
      <c r="BL36" s="110">
        <v>2980237.21</v>
      </c>
      <c r="BM36" s="110">
        <v>980885.84</v>
      </c>
      <c r="BN36" s="110">
        <v>869543.37</v>
      </c>
      <c r="BO36" s="110">
        <v>111342.47</v>
      </c>
      <c r="BP36" s="110">
        <v>1999351.37</v>
      </c>
      <c r="BQ36" s="110">
        <v>1798103.05</v>
      </c>
      <c r="BR36" s="110">
        <v>201248.32</v>
      </c>
      <c r="BS36" s="110">
        <v>5017126.92</v>
      </c>
      <c r="BT36" s="110">
        <v>802332.49</v>
      </c>
      <c r="BU36" s="110">
        <v>630417.4</v>
      </c>
      <c r="BV36" s="110">
        <v>171915.09</v>
      </c>
      <c r="BW36" s="110">
        <v>4214794.43</v>
      </c>
      <c r="BX36" s="110">
        <v>3849449.48</v>
      </c>
      <c r="BY36" s="110">
        <v>365344.95</v>
      </c>
      <c r="BZ36" s="110">
        <v>8707058.5</v>
      </c>
      <c r="CA36" s="110">
        <v>2763892</v>
      </c>
      <c r="CB36" s="110">
        <v>2363579.5</v>
      </c>
      <c r="CC36" s="110">
        <v>400312.5</v>
      </c>
      <c r="CD36" s="110">
        <v>5943166.5</v>
      </c>
      <c r="CE36" s="110">
        <v>5366405</v>
      </c>
      <c r="CF36" s="110">
        <v>576761.5</v>
      </c>
      <c r="CG36" s="110">
        <v>9786546.8599999994</v>
      </c>
      <c r="CH36" s="110">
        <v>2189357.17</v>
      </c>
      <c r="CI36" s="110">
        <v>1628255.42</v>
      </c>
      <c r="CJ36" s="110">
        <v>561101.75</v>
      </c>
      <c r="CK36" s="110">
        <v>7597189.6900000004</v>
      </c>
      <c r="CL36" s="110">
        <v>6942634.6900000004</v>
      </c>
      <c r="CM36" s="110">
        <v>654555</v>
      </c>
      <c r="CN36" s="110">
        <v>2743782.77</v>
      </c>
      <c r="CO36" s="110">
        <v>2878119.06</v>
      </c>
      <c r="CP36" s="110">
        <v>1006213.07</v>
      </c>
      <c r="CQ36" s="110">
        <v>23791.23</v>
      </c>
      <c r="CR36" s="110">
        <v>1374488.24</v>
      </c>
      <c r="CS36" s="110">
        <v>0</v>
      </c>
      <c r="CT36" s="110">
        <v>411115.35</v>
      </c>
      <c r="CU36" s="110">
        <v>0</v>
      </c>
      <c r="CV36" s="111">
        <v>14326</v>
      </c>
      <c r="CW36" s="111">
        <v>12909</v>
      </c>
      <c r="CX36" s="111">
        <v>10826</v>
      </c>
      <c r="CY36" s="111">
        <v>2083</v>
      </c>
      <c r="CZ36" s="111">
        <v>1417</v>
      </c>
      <c r="DA36" s="111">
        <v>568</v>
      </c>
      <c r="DB36" s="111">
        <v>849</v>
      </c>
      <c r="DC36" s="111">
        <v>5650</v>
      </c>
      <c r="DD36" s="111">
        <v>0</v>
      </c>
      <c r="DE36" s="111">
        <v>5201</v>
      </c>
      <c r="DF36" s="111">
        <v>4569</v>
      </c>
      <c r="DG36" s="111">
        <v>632</v>
      </c>
      <c r="DH36" s="111">
        <v>449</v>
      </c>
      <c r="DI36" s="111">
        <v>172</v>
      </c>
      <c r="DJ36" s="111">
        <v>277</v>
      </c>
      <c r="DK36" s="111">
        <v>1637</v>
      </c>
      <c r="DL36" s="111">
        <v>1504</v>
      </c>
      <c r="DM36" s="111">
        <v>1296</v>
      </c>
      <c r="DN36" s="111">
        <v>208</v>
      </c>
      <c r="DO36" s="111">
        <v>133</v>
      </c>
      <c r="DP36" s="111">
        <v>57</v>
      </c>
      <c r="DQ36" s="111">
        <v>76</v>
      </c>
      <c r="DR36" s="111">
        <v>1333</v>
      </c>
      <c r="DS36" s="111">
        <v>0</v>
      </c>
      <c r="DT36" s="111">
        <v>1243</v>
      </c>
      <c r="DU36" s="111">
        <v>941</v>
      </c>
      <c r="DV36" s="111">
        <v>302</v>
      </c>
      <c r="DW36" s="111">
        <v>90</v>
      </c>
      <c r="DX36" s="111">
        <v>17</v>
      </c>
      <c r="DY36" s="111">
        <v>73</v>
      </c>
      <c r="DZ36" s="111">
        <v>5706</v>
      </c>
      <c r="EA36" s="111">
        <v>4961</v>
      </c>
      <c r="EB36" s="111">
        <v>4020</v>
      </c>
      <c r="EC36" s="111">
        <v>941</v>
      </c>
      <c r="ED36" s="111">
        <v>745</v>
      </c>
      <c r="EE36" s="111">
        <v>322</v>
      </c>
      <c r="EF36" s="111">
        <v>423</v>
      </c>
      <c r="EG36" s="111">
        <v>255</v>
      </c>
      <c r="EH36" s="111">
        <v>190</v>
      </c>
      <c r="EI36" s="111">
        <v>153</v>
      </c>
      <c r="EJ36" s="111">
        <v>37</v>
      </c>
      <c r="EK36" s="111">
        <v>65</v>
      </c>
      <c r="EL36" s="111">
        <v>58</v>
      </c>
      <c r="EM36" s="111">
        <v>7</v>
      </c>
      <c r="EN36" s="111">
        <v>55</v>
      </c>
      <c r="EO36" s="111">
        <v>0</v>
      </c>
      <c r="EP36" s="111">
        <v>0</v>
      </c>
      <c r="EQ36" s="111">
        <v>55</v>
      </c>
      <c r="ER36" s="111">
        <v>0</v>
      </c>
      <c r="ES36" s="111">
        <v>0</v>
      </c>
      <c r="ET36" s="111">
        <v>0</v>
      </c>
      <c r="EU36" s="111">
        <v>0</v>
      </c>
      <c r="EV36" s="111">
        <v>0</v>
      </c>
      <c r="EW36" s="111">
        <v>0</v>
      </c>
      <c r="EX36" s="111">
        <v>0</v>
      </c>
      <c r="EY36" s="111">
        <v>0</v>
      </c>
      <c r="EZ36" s="111">
        <v>0</v>
      </c>
      <c r="FA36" s="111">
        <v>0</v>
      </c>
      <c r="FB36" s="111">
        <v>0</v>
      </c>
    </row>
    <row r="37" spans="1:158" ht="19.5" customHeight="1">
      <c r="A37" s="107">
        <v>34</v>
      </c>
      <c r="B37" s="107" t="s">
        <v>382</v>
      </c>
      <c r="C37" s="107" t="s">
        <v>387</v>
      </c>
      <c r="D37" s="110">
        <v>10296285.67</v>
      </c>
      <c r="E37" s="110">
        <v>1933021</v>
      </c>
      <c r="F37" s="110">
        <v>8363264.6699999999</v>
      </c>
      <c r="G37" s="110">
        <v>12276</v>
      </c>
      <c r="H37" s="110">
        <v>1042</v>
      </c>
      <c r="I37" s="110">
        <v>123549</v>
      </c>
      <c r="J37" s="110">
        <v>30996</v>
      </c>
      <c r="K37" s="110">
        <v>0</v>
      </c>
      <c r="L37" s="110">
        <v>532640.02</v>
      </c>
      <c r="M37" s="110">
        <v>2117914.65</v>
      </c>
      <c r="N37" s="110">
        <v>2803.37</v>
      </c>
      <c r="O37" s="110">
        <v>17208542.5</v>
      </c>
      <c r="P37" s="110">
        <v>8334763.3799999999</v>
      </c>
      <c r="Q37" s="110">
        <v>6553170.0599999996</v>
      </c>
      <c r="R37" s="110">
        <v>1781593.32</v>
      </c>
      <c r="S37" s="110">
        <v>8873779.1199999992</v>
      </c>
      <c r="T37" s="110">
        <v>7117395.04</v>
      </c>
      <c r="U37" s="110">
        <v>1756384.08</v>
      </c>
      <c r="V37" s="110">
        <v>2479439.9900000002</v>
      </c>
      <c r="W37" s="110">
        <v>1787949.66</v>
      </c>
      <c r="X37" s="110">
        <v>1417602.77</v>
      </c>
      <c r="Y37" s="110">
        <v>370346.89</v>
      </c>
      <c r="Z37" s="110">
        <v>691490.33</v>
      </c>
      <c r="AA37" s="110">
        <v>249144.11</v>
      </c>
      <c r="AB37" s="110">
        <v>442346.22</v>
      </c>
      <c r="AC37" s="110">
        <v>318675.88</v>
      </c>
      <c r="AD37" s="110">
        <v>270080</v>
      </c>
      <c r="AE37" s="110">
        <v>238954.96</v>
      </c>
      <c r="AF37" s="110">
        <v>31125.040000000001</v>
      </c>
      <c r="AG37" s="110">
        <v>48595.88</v>
      </c>
      <c r="AH37" s="110">
        <v>17695.57</v>
      </c>
      <c r="AI37" s="110">
        <v>30900.31</v>
      </c>
      <c r="AJ37" s="110">
        <v>227743.11</v>
      </c>
      <c r="AK37" s="110">
        <v>197153.66</v>
      </c>
      <c r="AL37" s="110">
        <v>152715.81</v>
      </c>
      <c r="AM37" s="110">
        <v>44437.85</v>
      </c>
      <c r="AN37" s="110">
        <v>30589.45</v>
      </c>
      <c r="AO37" s="110">
        <v>6009.54</v>
      </c>
      <c r="AP37" s="110">
        <v>24579.91</v>
      </c>
      <c r="AQ37" s="110">
        <v>1053346</v>
      </c>
      <c r="AR37" s="110">
        <v>738794</v>
      </c>
      <c r="AS37" s="110">
        <v>587265</v>
      </c>
      <c r="AT37" s="110">
        <v>151529</v>
      </c>
      <c r="AU37" s="110">
        <v>314552</v>
      </c>
      <c r="AV37" s="110">
        <v>114868</v>
      </c>
      <c r="AW37" s="110">
        <v>199684</v>
      </c>
      <c r="AX37" s="110">
        <v>879675</v>
      </c>
      <c r="AY37" s="110">
        <v>581922</v>
      </c>
      <c r="AZ37" s="110">
        <v>438667</v>
      </c>
      <c r="BA37" s="110">
        <v>143255</v>
      </c>
      <c r="BB37" s="110">
        <v>297753</v>
      </c>
      <c r="BC37" s="110">
        <v>110571</v>
      </c>
      <c r="BD37" s="110">
        <v>187182</v>
      </c>
      <c r="BE37" s="110">
        <v>14729102.51</v>
      </c>
      <c r="BF37" s="110">
        <v>6546813.7199999997</v>
      </c>
      <c r="BG37" s="110">
        <v>5135567.29</v>
      </c>
      <c r="BH37" s="110">
        <v>1411246.43</v>
      </c>
      <c r="BI37" s="110">
        <v>8182288.79</v>
      </c>
      <c r="BJ37" s="110">
        <v>6868250.9299999997</v>
      </c>
      <c r="BK37" s="110">
        <v>1314037.8600000001</v>
      </c>
      <c r="BL37" s="110">
        <v>2209350.2000000002</v>
      </c>
      <c r="BM37" s="110">
        <v>837767.97</v>
      </c>
      <c r="BN37" s="110">
        <v>762155.86</v>
      </c>
      <c r="BO37" s="110">
        <v>75612.11</v>
      </c>
      <c r="BP37" s="110">
        <v>1371582.23</v>
      </c>
      <c r="BQ37" s="110">
        <v>1277777.54</v>
      </c>
      <c r="BR37" s="110">
        <v>93804.69</v>
      </c>
      <c r="BS37" s="110">
        <v>4156487.64</v>
      </c>
      <c r="BT37" s="110">
        <v>1897462.5</v>
      </c>
      <c r="BU37" s="110">
        <v>1691611.93</v>
      </c>
      <c r="BV37" s="110">
        <v>205850.57</v>
      </c>
      <c r="BW37" s="110">
        <v>2259025.14</v>
      </c>
      <c r="BX37" s="110">
        <v>2055684.92</v>
      </c>
      <c r="BY37" s="110">
        <v>203340.22</v>
      </c>
      <c r="BZ37" s="110">
        <v>2049005</v>
      </c>
      <c r="CA37" s="110">
        <v>819243</v>
      </c>
      <c r="CB37" s="110">
        <v>691730</v>
      </c>
      <c r="CC37" s="110">
        <v>127513</v>
      </c>
      <c r="CD37" s="110">
        <v>1229762</v>
      </c>
      <c r="CE37" s="110">
        <v>1065272</v>
      </c>
      <c r="CF37" s="110">
        <v>164490</v>
      </c>
      <c r="CG37" s="110">
        <v>6314259.6699999999</v>
      </c>
      <c r="CH37" s="110">
        <v>2992340.25</v>
      </c>
      <c r="CI37" s="110">
        <v>1990069.5</v>
      </c>
      <c r="CJ37" s="110">
        <v>1002270.75</v>
      </c>
      <c r="CK37" s="110">
        <v>3321919.42</v>
      </c>
      <c r="CL37" s="110">
        <v>2469516.4700000002</v>
      </c>
      <c r="CM37" s="110">
        <v>852402.95</v>
      </c>
      <c r="CN37" s="110">
        <v>988806.06</v>
      </c>
      <c r="CO37" s="110">
        <v>548068.65</v>
      </c>
      <c r="CP37" s="110">
        <v>344901.29</v>
      </c>
      <c r="CQ37" s="110">
        <v>58321.89</v>
      </c>
      <c r="CR37" s="110">
        <v>538526.1</v>
      </c>
      <c r="CS37" s="110">
        <v>816</v>
      </c>
      <c r="CT37" s="110">
        <v>2011544.58</v>
      </c>
      <c r="CU37" s="110">
        <v>0</v>
      </c>
      <c r="CV37" s="111">
        <v>12276</v>
      </c>
      <c r="CW37" s="111">
        <v>9555</v>
      </c>
      <c r="CX37" s="111">
        <v>7773</v>
      </c>
      <c r="CY37" s="111">
        <v>1782</v>
      </c>
      <c r="CZ37" s="111">
        <v>2721</v>
      </c>
      <c r="DA37" s="111">
        <v>1032</v>
      </c>
      <c r="DB37" s="111">
        <v>1689</v>
      </c>
      <c r="DC37" s="111">
        <v>3902</v>
      </c>
      <c r="DD37" s="111">
        <v>35</v>
      </c>
      <c r="DE37" s="111">
        <v>3245</v>
      </c>
      <c r="DF37" s="111">
        <v>2710</v>
      </c>
      <c r="DG37" s="111">
        <v>535</v>
      </c>
      <c r="DH37" s="111">
        <v>657</v>
      </c>
      <c r="DI37" s="111">
        <v>243</v>
      </c>
      <c r="DJ37" s="111">
        <v>414</v>
      </c>
      <c r="DK37" s="111">
        <v>2073</v>
      </c>
      <c r="DL37" s="111">
        <v>1206</v>
      </c>
      <c r="DM37" s="111">
        <v>946</v>
      </c>
      <c r="DN37" s="111">
        <v>260</v>
      </c>
      <c r="DO37" s="111">
        <v>867</v>
      </c>
      <c r="DP37" s="111">
        <v>337</v>
      </c>
      <c r="DQ37" s="111">
        <v>530</v>
      </c>
      <c r="DR37" s="111">
        <v>1086</v>
      </c>
      <c r="DS37" s="111">
        <v>8</v>
      </c>
      <c r="DT37" s="111">
        <v>506</v>
      </c>
      <c r="DU37" s="111">
        <v>330</v>
      </c>
      <c r="DV37" s="111">
        <v>176</v>
      </c>
      <c r="DW37" s="111">
        <v>580</v>
      </c>
      <c r="DX37" s="111">
        <v>212</v>
      </c>
      <c r="DY37" s="111">
        <v>368</v>
      </c>
      <c r="DZ37" s="111">
        <v>5172</v>
      </c>
      <c r="EA37" s="111">
        <v>4572</v>
      </c>
      <c r="EB37" s="111">
        <v>3774</v>
      </c>
      <c r="EC37" s="111">
        <v>798</v>
      </c>
      <c r="ED37" s="111">
        <v>600</v>
      </c>
      <c r="EE37" s="111">
        <v>240</v>
      </c>
      <c r="EF37" s="111">
        <v>360</v>
      </c>
      <c r="EG37" s="111">
        <v>1042</v>
      </c>
      <c r="EH37" s="111">
        <v>518</v>
      </c>
      <c r="EI37" s="111">
        <v>426</v>
      </c>
      <c r="EJ37" s="111">
        <v>92</v>
      </c>
      <c r="EK37" s="111">
        <v>524</v>
      </c>
      <c r="EL37" s="111">
        <v>394</v>
      </c>
      <c r="EM37" s="111">
        <v>130</v>
      </c>
      <c r="EN37" s="111">
        <v>845</v>
      </c>
      <c r="EO37" s="111">
        <v>791</v>
      </c>
      <c r="EP37" s="111">
        <v>0</v>
      </c>
      <c r="EQ37" s="111">
        <v>54</v>
      </c>
      <c r="ER37" s="111">
        <v>419</v>
      </c>
      <c r="ES37" s="111">
        <v>0</v>
      </c>
      <c r="ET37" s="111">
        <v>0</v>
      </c>
      <c r="EU37" s="111">
        <v>190</v>
      </c>
      <c r="EV37" s="111">
        <v>190</v>
      </c>
      <c r="EW37" s="111">
        <v>0</v>
      </c>
      <c r="EX37" s="111">
        <v>0</v>
      </c>
      <c r="EY37" s="111">
        <v>142</v>
      </c>
      <c r="EZ37" s="111">
        <v>142</v>
      </c>
      <c r="FA37" s="111">
        <v>0</v>
      </c>
      <c r="FB37" s="111">
        <v>90</v>
      </c>
    </row>
    <row r="38" spans="1:158" ht="19.5" customHeight="1">
      <c r="A38" s="107">
        <v>35</v>
      </c>
      <c r="B38" s="107" t="s">
        <v>382</v>
      </c>
      <c r="C38" s="107" t="s">
        <v>388</v>
      </c>
      <c r="D38" s="110">
        <v>5803270.7199999997</v>
      </c>
      <c r="E38" s="110">
        <v>531545</v>
      </c>
      <c r="F38" s="110">
        <v>5271725.72</v>
      </c>
      <c r="G38" s="110">
        <v>5607</v>
      </c>
      <c r="H38" s="110">
        <v>586</v>
      </c>
      <c r="I38" s="110">
        <v>9266</v>
      </c>
      <c r="J38" s="110">
        <v>7462</v>
      </c>
      <c r="K38" s="110">
        <v>0</v>
      </c>
      <c r="L38" s="110">
        <v>194974.87</v>
      </c>
      <c r="M38" s="110">
        <v>1973438.85</v>
      </c>
      <c r="N38" s="110">
        <v>0</v>
      </c>
      <c r="O38" s="110">
        <v>8463096.6099999994</v>
      </c>
      <c r="P38" s="110">
        <v>3230144.99</v>
      </c>
      <c r="Q38" s="110">
        <v>2320907.81</v>
      </c>
      <c r="R38" s="110">
        <v>909237.18</v>
      </c>
      <c r="S38" s="110">
        <v>5232951.62</v>
      </c>
      <c r="T38" s="110">
        <v>3718934.6</v>
      </c>
      <c r="U38" s="110">
        <v>1514017.02</v>
      </c>
      <c r="V38" s="110">
        <v>640711.66</v>
      </c>
      <c r="W38" s="110">
        <v>439165.54</v>
      </c>
      <c r="X38" s="110">
        <v>372344.08</v>
      </c>
      <c r="Y38" s="110">
        <v>66821.460000000006</v>
      </c>
      <c r="Z38" s="110">
        <v>201546.12</v>
      </c>
      <c r="AA38" s="110">
        <v>75404.89</v>
      </c>
      <c r="AB38" s="110">
        <v>126141.23</v>
      </c>
      <c r="AC38" s="110">
        <v>52428.160000000003</v>
      </c>
      <c r="AD38" s="110">
        <v>30585.78</v>
      </c>
      <c r="AE38" s="110">
        <v>26117.9</v>
      </c>
      <c r="AF38" s="110">
        <v>4467.88</v>
      </c>
      <c r="AG38" s="110">
        <v>21842.38</v>
      </c>
      <c r="AH38" s="110">
        <v>8768.81</v>
      </c>
      <c r="AI38" s="110">
        <v>13073.57</v>
      </c>
      <c r="AJ38" s="110">
        <v>56738.5</v>
      </c>
      <c r="AK38" s="110">
        <v>49998.76</v>
      </c>
      <c r="AL38" s="110">
        <v>49834.18</v>
      </c>
      <c r="AM38" s="110">
        <v>164.58</v>
      </c>
      <c r="AN38" s="110">
        <v>6739.74</v>
      </c>
      <c r="AO38" s="110">
        <v>3804.08</v>
      </c>
      <c r="AP38" s="110">
        <v>2935.66</v>
      </c>
      <c r="AQ38" s="110">
        <v>222902</v>
      </c>
      <c r="AR38" s="110">
        <v>149993</v>
      </c>
      <c r="AS38" s="110">
        <v>127053</v>
      </c>
      <c r="AT38" s="110">
        <v>22940</v>
      </c>
      <c r="AU38" s="110">
        <v>72909</v>
      </c>
      <c r="AV38" s="110">
        <v>28066</v>
      </c>
      <c r="AW38" s="110">
        <v>44843</v>
      </c>
      <c r="AX38" s="110">
        <v>308643</v>
      </c>
      <c r="AY38" s="110">
        <v>208588</v>
      </c>
      <c r="AZ38" s="110">
        <v>169339</v>
      </c>
      <c r="BA38" s="110">
        <v>39249</v>
      </c>
      <c r="BB38" s="110">
        <v>100055</v>
      </c>
      <c r="BC38" s="110">
        <v>34766</v>
      </c>
      <c r="BD38" s="110">
        <v>65289</v>
      </c>
      <c r="BE38" s="110">
        <v>7822384.9500000002</v>
      </c>
      <c r="BF38" s="110">
        <v>2790979.45</v>
      </c>
      <c r="BG38" s="110">
        <v>1948563.73</v>
      </c>
      <c r="BH38" s="110">
        <v>842415.72</v>
      </c>
      <c r="BI38" s="110">
        <v>5031405.5</v>
      </c>
      <c r="BJ38" s="110">
        <v>3643529.71</v>
      </c>
      <c r="BK38" s="110">
        <v>1387875.79</v>
      </c>
      <c r="BL38" s="110">
        <v>717060.82</v>
      </c>
      <c r="BM38" s="110">
        <v>277429.17</v>
      </c>
      <c r="BN38" s="110">
        <v>223456.81</v>
      </c>
      <c r="BO38" s="110">
        <v>53972.36</v>
      </c>
      <c r="BP38" s="110">
        <v>439631.65</v>
      </c>
      <c r="BQ38" s="110">
        <v>352079.56</v>
      </c>
      <c r="BR38" s="110">
        <v>87552.09</v>
      </c>
      <c r="BS38" s="110">
        <v>1833598.41</v>
      </c>
      <c r="BT38" s="110">
        <v>686111.94</v>
      </c>
      <c r="BU38" s="110">
        <v>545500.82999999996</v>
      </c>
      <c r="BV38" s="110">
        <v>140611.10999999999</v>
      </c>
      <c r="BW38" s="110">
        <v>1147486.47</v>
      </c>
      <c r="BX38" s="110">
        <v>908530.02</v>
      </c>
      <c r="BY38" s="110">
        <v>238956.45</v>
      </c>
      <c r="BZ38" s="110">
        <v>959166</v>
      </c>
      <c r="CA38" s="110">
        <v>348759</v>
      </c>
      <c r="CB38" s="110">
        <v>287593</v>
      </c>
      <c r="CC38" s="110">
        <v>61166</v>
      </c>
      <c r="CD38" s="110">
        <v>610407</v>
      </c>
      <c r="CE38" s="110">
        <v>500166</v>
      </c>
      <c r="CF38" s="110">
        <v>110241</v>
      </c>
      <c r="CG38" s="110">
        <v>4312559.72</v>
      </c>
      <c r="CH38" s="110">
        <v>1478679.34</v>
      </c>
      <c r="CI38" s="110">
        <v>892013.09</v>
      </c>
      <c r="CJ38" s="110">
        <v>586666.25</v>
      </c>
      <c r="CK38" s="110">
        <v>2833880.38</v>
      </c>
      <c r="CL38" s="110">
        <v>1882754.13</v>
      </c>
      <c r="CM38" s="110">
        <v>951126.25</v>
      </c>
      <c r="CN38" s="110">
        <v>15333.78</v>
      </c>
      <c r="CO38" s="110">
        <v>244989.04</v>
      </c>
      <c r="CP38" s="110">
        <v>192413.89</v>
      </c>
      <c r="CQ38" s="110">
        <v>37676.910000000003</v>
      </c>
      <c r="CR38" s="110">
        <v>150298.04</v>
      </c>
      <c r="CS38" s="110">
        <v>0</v>
      </c>
      <c r="CT38" s="110">
        <v>1848688.17</v>
      </c>
      <c r="CU38" s="110">
        <v>0</v>
      </c>
      <c r="CV38" s="111">
        <v>5607</v>
      </c>
      <c r="CW38" s="111">
        <v>4175</v>
      </c>
      <c r="CX38" s="111">
        <v>3589</v>
      </c>
      <c r="CY38" s="111">
        <v>586</v>
      </c>
      <c r="CZ38" s="111">
        <v>1432</v>
      </c>
      <c r="DA38" s="111">
        <v>513</v>
      </c>
      <c r="DB38" s="111">
        <v>919</v>
      </c>
      <c r="DC38" s="111">
        <v>3011</v>
      </c>
      <c r="DD38" s="111">
        <v>49</v>
      </c>
      <c r="DE38" s="111">
        <v>2382</v>
      </c>
      <c r="DF38" s="111">
        <v>2110</v>
      </c>
      <c r="DG38" s="111">
        <v>272</v>
      </c>
      <c r="DH38" s="111">
        <v>629</v>
      </c>
      <c r="DI38" s="111">
        <v>216</v>
      </c>
      <c r="DJ38" s="111">
        <v>413</v>
      </c>
      <c r="DK38" s="111">
        <v>2038</v>
      </c>
      <c r="DL38" s="111">
        <v>1457</v>
      </c>
      <c r="DM38" s="111">
        <v>1212</v>
      </c>
      <c r="DN38" s="111">
        <v>245</v>
      </c>
      <c r="DO38" s="111">
        <v>581</v>
      </c>
      <c r="DP38" s="111">
        <v>213</v>
      </c>
      <c r="DQ38" s="111">
        <v>368</v>
      </c>
      <c r="DR38" s="111">
        <v>411</v>
      </c>
      <c r="DS38" s="111">
        <v>0</v>
      </c>
      <c r="DT38" s="111">
        <v>252</v>
      </c>
      <c r="DU38" s="111">
        <v>201</v>
      </c>
      <c r="DV38" s="111">
        <v>51</v>
      </c>
      <c r="DW38" s="111">
        <v>159</v>
      </c>
      <c r="DX38" s="111">
        <v>53</v>
      </c>
      <c r="DY38" s="111">
        <v>106</v>
      </c>
      <c r="DZ38" s="111">
        <v>98</v>
      </c>
      <c r="EA38" s="111">
        <v>46</v>
      </c>
      <c r="EB38" s="111">
        <v>43</v>
      </c>
      <c r="EC38" s="111">
        <v>3</v>
      </c>
      <c r="ED38" s="111">
        <v>52</v>
      </c>
      <c r="EE38" s="111">
        <v>31</v>
      </c>
      <c r="EF38" s="111">
        <v>21</v>
      </c>
      <c r="EG38" s="111">
        <v>586</v>
      </c>
      <c r="EH38" s="111">
        <v>252</v>
      </c>
      <c r="EI38" s="111">
        <v>196</v>
      </c>
      <c r="EJ38" s="111">
        <v>56</v>
      </c>
      <c r="EK38" s="111">
        <v>334</v>
      </c>
      <c r="EL38" s="111">
        <v>258</v>
      </c>
      <c r="EM38" s="111">
        <v>76</v>
      </c>
      <c r="EN38" s="111">
        <v>567</v>
      </c>
      <c r="EO38" s="111">
        <v>478</v>
      </c>
      <c r="EP38" s="111">
        <v>0</v>
      </c>
      <c r="EQ38" s="111">
        <v>89</v>
      </c>
      <c r="ER38" s="111">
        <v>200</v>
      </c>
      <c r="ES38" s="111">
        <v>0</v>
      </c>
      <c r="ET38" s="111">
        <v>0</v>
      </c>
      <c r="EU38" s="111">
        <v>167</v>
      </c>
      <c r="EV38" s="111">
        <v>167</v>
      </c>
      <c r="EW38" s="111">
        <v>0</v>
      </c>
      <c r="EX38" s="111">
        <v>0</v>
      </c>
      <c r="EY38" s="111">
        <v>72</v>
      </c>
      <c r="EZ38" s="111">
        <v>72</v>
      </c>
      <c r="FA38" s="111">
        <v>0</v>
      </c>
      <c r="FB38" s="111">
        <v>37</v>
      </c>
    </row>
    <row r="39" spans="1:158" ht="19.5" customHeight="1">
      <c r="A39" s="107">
        <v>36</v>
      </c>
      <c r="B39" s="107" t="s">
        <v>382</v>
      </c>
      <c r="C39" s="107" t="s">
        <v>389</v>
      </c>
      <c r="D39" s="110">
        <v>14261458.220000001</v>
      </c>
      <c r="E39" s="110">
        <v>4265590</v>
      </c>
      <c r="F39" s="110">
        <v>9995868.2200000007</v>
      </c>
      <c r="G39" s="110">
        <v>24669</v>
      </c>
      <c r="H39" s="110">
        <v>934</v>
      </c>
      <c r="I39" s="110">
        <v>102530</v>
      </c>
      <c r="J39" s="110">
        <v>267835</v>
      </c>
      <c r="K39" s="110">
        <v>0</v>
      </c>
      <c r="L39" s="110">
        <v>433017.12</v>
      </c>
      <c r="M39" s="110">
        <v>5329985.5999999996</v>
      </c>
      <c r="N39" s="110">
        <v>0</v>
      </c>
      <c r="O39" s="110">
        <v>35820129.109999999</v>
      </c>
      <c r="P39" s="110">
        <v>17302830.32</v>
      </c>
      <c r="Q39" s="110">
        <v>15109854.66</v>
      </c>
      <c r="R39" s="110">
        <v>2192975.66</v>
      </c>
      <c r="S39" s="110">
        <v>18517298.789999999</v>
      </c>
      <c r="T39" s="110">
        <v>15386498.83</v>
      </c>
      <c r="U39" s="110">
        <v>3130799.96</v>
      </c>
      <c r="V39" s="110">
        <v>7538729.6900000004</v>
      </c>
      <c r="W39" s="110">
        <v>6244402.2599999998</v>
      </c>
      <c r="X39" s="110">
        <v>5482123.7199999997</v>
      </c>
      <c r="Y39" s="110">
        <v>762278.54</v>
      </c>
      <c r="Z39" s="110">
        <v>1294327.43</v>
      </c>
      <c r="AA39" s="110">
        <v>438816.12</v>
      </c>
      <c r="AB39" s="110">
        <v>855511.31</v>
      </c>
      <c r="AC39" s="110">
        <v>235700.7</v>
      </c>
      <c r="AD39" s="110">
        <v>209771.19</v>
      </c>
      <c r="AE39" s="110">
        <v>174828.44</v>
      </c>
      <c r="AF39" s="110">
        <v>34942.75</v>
      </c>
      <c r="AG39" s="110">
        <v>25929.51</v>
      </c>
      <c r="AH39" s="110">
        <v>5106.3900000000003</v>
      </c>
      <c r="AI39" s="110">
        <v>20823.12</v>
      </c>
      <c r="AJ39" s="110">
        <v>3037438.99</v>
      </c>
      <c r="AK39" s="110">
        <v>2765963.07</v>
      </c>
      <c r="AL39" s="110">
        <v>2530895.2799999998</v>
      </c>
      <c r="AM39" s="110">
        <v>235067.79</v>
      </c>
      <c r="AN39" s="110">
        <v>271475.92</v>
      </c>
      <c r="AO39" s="110">
        <v>105163.73</v>
      </c>
      <c r="AP39" s="110">
        <v>166312.19</v>
      </c>
      <c r="AQ39" s="110">
        <v>2501750</v>
      </c>
      <c r="AR39" s="110">
        <v>1983778</v>
      </c>
      <c r="AS39" s="110">
        <v>1713876</v>
      </c>
      <c r="AT39" s="110">
        <v>269902</v>
      </c>
      <c r="AU39" s="110">
        <v>517972</v>
      </c>
      <c r="AV39" s="110">
        <v>162476</v>
      </c>
      <c r="AW39" s="110">
        <v>355496</v>
      </c>
      <c r="AX39" s="110">
        <v>1763840</v>
      </c>
      <c r="AY39" s="110">
        <v>1284890</v>
      </c>
      <c r="AZ39" s="110">
        <v>1062524</v>
      </c>
      <c r="BA39" s="110">
        <v>222366</v>
      </c>
      <c r="BB39" s="110">
        <v>478950</v>
      </c>
      <c r="BC39" s="110">
        <v>166070</v>
      </c>
      <c r="BD39" s="110">
        <v>312880</v>
      </c>
      <c r="BE39" s="110">
        <v>28281399.420000002</v>
      </c>
      <c r="BF39" s="110">
        <v>11058428.060000001</v>
      </c>
      <c r="BG39" s="110">
        <v>9627730.9399999995</v>
      </c>
      <c r="BH39" s="110">
        <v>1430697.12</v>
      </c>
      <c r="BI39" s="110">
        <v>17222971.359999999</v>
      </c>
      <c r="BJ39" s="110">
        <v>14947682.710000001</v>
      </c>
      <c r="BK39" s="110">
        <v>2275288.65</v>
      </c>
      <c r="BL39" s="110">
        <v>2327386.12</v>
      </c>
      <c r="BM39" s="110">
        <v>738239.12</v>
      </c>
      <c r="BN39" s="110">
        <v>637973.76000000001</v>
      </c>
      <c r="BO39" s="110">
        <v>100265.36</v>
      </c>
      <c r="BP39" s="110">
        <v>1589147</v>
      </c>
      <c r="BQ39" s="110">
        <v>1478547.83</v>
      </c>
      <c r="BR39" s="110">
        <v>110599.17</v>
      </c>
      <c r="BS39" s="110">
        <v>15958145.08</v>
      </c>
      <c r="BT39" s="110">
        <v>6415403.2199999997</v>
      </c>
      <c r="BU39" s="110">
        <v>5734015.46</v>
      </c>
      <c r="BV39" s="110">
        <v>681387.76</v>
      </c>
      <c r="BW39" s="110">
        <v>9542741.8599999994</v>
      </c>
      <c r="BX39" s="110">
        <v>8192572.8799999999</v>
      </c>
      <c r="BY39" s="110">
        <v>1350168.98</v>
      </c>
      <c r="BZ39" s="110">
        <v>2008621</v>
      </c>
      <c r="CA39" s="110">
        <v>688497</v>
      </c>
      <c r="CB39" s="110">
        <v>584857</v>
      </c>
      <c r="CC39" s="110">
        <v>103640</v>
      </c>
      <c r="CD39" s="110">
        <v>1320124</v>
      </c>
      <c r="CE39" s="110">
        <v>1205514</v>
      </c>
      <c r="CF39" s="110">
        <v>114610</v>
      </c>
      <c r="CG39" s="110">
        <v>7987247.2199999997</v>
      </c>
      <c r="CH39" s="110">
        <v>3216288.72</v>
      </c>
      <c r="CI39" s="110">
        <v>2670884.7200000002</v>
      </c>
      <c r="CJ39" s="110">
        <v>545404</v>
      </c>
      <c r="CK39" s="110">
        <v>4770958.5</v>
      </c>
      <c r="CL39" s="110">
        <v>4071048</v>
      </c>
      <c r="CM39" s="110">
        <v>699910.5</v>
      </c>
      <c r="CN39" s="110">
        <v>4031934.27</v>
      </c>
      <c r="CO39" s="110">
        <v>969479.17</v>
      </c>
      <c r="CP39" s="110">
        <v>1431353.88</v>
      </c>
      <c r="CQ39" s="110">
        <v>52999.24</v>
      </c>
      <c r="CR39" s="110">
        <v>1052923.1299999999</v>
      </c>
      <c r="CS39" s="110">
        <v>0</v>
      </c>
      <c r="CT39" s="110">
        <v>907334.01</v>
      </c>
      <c r="CU39" s="110">
        <v>0</v>
      </c>
      <c r="CV39" s="111">
        <v>24669</v>
      </c>
      <c r="CW39" s="111">
        <v>20076</v>
      </c>
      <c r="CX39" s="111">
        <v>17172</v>
      </c>
      <c r="CY39" s="111">
        <v>2904</v>
      </c>
      <c r="CZ39" s="111">
        <v>4593</v>
      </c>
      <c r="DA39" s="111">
        <v>1564</v>
      </c>
      <c r="DB39" s="111">
        <v>3029</v>
      </c>
      <c r="DC39" s="111">
        <v>5087</v>
      </c>
      <c r="DD39" s="111">
        <v>10</v>
      </c>
      <c r="DE39" s="111">
        <v>4599</v>
      </c>
      <c r="DF39" s="111">
        <v>4030</v>
      </c>
      <c r="DG39" s="111">
        <v>569</v>
      </c>
      <c r="DH39" s="111">
        <v>488</v>
      </c>
      <c r="DI39" s="111">
        <v>131</v>
      </c>
      <c r="DJ39" s="111">
        <v>357</v>
      </c>
      <c r="DK39" s="111">
        <v>6973</v>
      </c>
      <c r="DL39" s="111">
        <v>4628</v>
      </c>
      <c r="DM39" s="111">
        <v>3931</v>
      </c>
      <c r="DN39" s="111">
        <v>697</v>
      </c>
      <c r="DO39" s="111">
        <v>2345</v>
      </c>
      <c r="DP39" s="111">
        <v>882</v>
      </c>
      <c r="DQ39" s="111">
        <v>1463</v>
      </c>
      <c r="DR39" s="111">
        <v>2197</v>
      </c>
      <c r="DS39" s="111">
        <v>12</v>
      </c>
      <c r="DT39" s="111">
        <v>1396</v>
      </c>
      <c r="DU39" s="111">
        <v>1143</v>
      </c>
      <c r="DV39" s="111">
        <v>253</v>
      </c>
      <c r="DW39" s="111">
        <v>801</v>
      </c>
      <c r="DX39" s="111">
        <v>275</v>
      </c>
      <c r="DY39" s="111">
        <v>526</v>
      </c>
      <c r="DZ39" s="111">
        <v>10390</v>
      </c>
      <c r="EA39" s="111">
        <v>9443</v>
      </c>
      <c r="EB39" s="111">
        <v>8062</v>
      </c>
      <c r="EC39" s="111">
        <v>1381</v>
      </c>
      <c r="ED39" s="111">
        <v>947</v>
      </c>
      <c r="EE39" s="111">
        <v>276</v>
      </c>
      <c r="EF39" s="111">
        <v>671</v>
      </c>
      <c r="EG39" s="111">
        <v>934</v>
      </c>
      <c r="EH39" s="111">
        <v>439</v>
      </c>
      <c r="EI39" s="111">
        <v>384</v>
      </c>
      <c r="EJ39" s="111">
        <v>55</v>
      </c>
      <c r="EK39" s="111">
        <v>495</v>
      </c>
      <c r="EL39" s="111">
        <v>432</v>
      </c>
      <c r="EM39" s="111">
        <v>63</v>
      </c>
      <c r="EN39" s="111">
        <v>833</v>
      </c>
      <c r="EO39" s="111">
        <v>829</v>
      </c>
      <c r="EP39" s="111">
        <v>0</v>
      </c>
      <c r="EQ39" s="111">
        <v>4</v>
      </c>
      <c r="ER39" s="111">
        <v>32</v>
      </c>
      <c r="ES39" s="111">
        <v>0</v>
      </c>
      <c r="ET39" s="111">
        <v>0</v>
      </c>
      <c r="EU39" s="111">
        <v>431</v>
      </c>
      <c r="EV39" s="111">
        <v>431</v>
      </c>
      <c r="EW39" s="111">
        <v>0</v>
      </c>
      <c r="EX39" s="111">
        <v>0</v>
      </c>
      <c r="EY39" s="111">
        <v>55</v>
      </c>
      <c r="EZ39" s="111">
        <v>55</v>
      </c>
      <c r="FA39" s="111">
        <v>0</v>
      </c>
      <c r="FB39" s="111">
        <v>61</v>
      </c>
    </row>
    <row r="40" spans="1:158" ht="19.5" customHeight="1">
      <c r="A40" s="107">
        <v>37</v>
      </c>
      <c r="B40" s="107" t="s">
        <v>382</v>
      </c>
      <c r="C40" s="107" t="s">
        <v>390</v>
      </c>
      <c r="D40" s="110">
        <v>15854212.17</v>
      </c>
      <c r="E40" s="110">
        <v>3385929.5</v>
      </c>
      <c r="F40" s="110">
        <v>12468282.67</v>
      </c>
      <c r="G40" s="110">
        <v>14027</v>
      </c>
      <c r="H40" s="110">
        <v>1053</v>
      </c>
      <c r="I40" s="110">
        <v>59240.5</v>
      </c>
      <c r="J40" s="110">
        <v>22</v>
      </c>
      <c r="K40" s="110">
        <v>0</v>
      </c>
      <c r="L40" s="110">
        <v>718889.12</v>
      </c>
      <c r="M40" s="110">
        <v>3491247.75</v>
      </c>
      <c r="N40" s="110">
        <v>429.35</v>
      </c>
      <c r="O40" s="110">
        <v>46156259.75</v>
      </c>
      <c r="P40" s="110">
        <v>4841988.29</v>
      </c>
      <c r="Q40" s="110">
        <v>3884300.78</v>
      </c>
      <c r="R40" s="110">
        <v>957687.51</v>
      </c>
      <c r="S40" s="110">
        <v>41314271.460000001</v>
      </c>
      <c r="T40" s="110">
        <v>36478061.340000004</v>
      </c>
      <c r="U40" s="110">
        <v>4836210.12</v>
      </c>
      <c r="V40" s="110">
        <v>4332301.99</v>
      </c>
      <c r="W40" s="110">
        <v>1947628.13</v>
      </c>
      <c r="X40" s="110">
        <v>1522879.48</v>
      </c>
      <c r="Y40" s="110">
        <v>424748.65</v>
      </c>
      <c r="Z40" s="110">
        <v>2384673.86</v>
      </c>
      <c r="AA40" s="110">
        <v>695140.37</v>
      </c>
      <c r="AB40" s="110">
        <v>1689533.49</v>
      </c>
      <c r="AC40" s="110">
        <v>551410.16</v>
      </c>
      <c r="AD40" s="110">
        <v>473468.94</v>
      </c>
      <c r="AE40" s="110">
        <v>437360.4</v>
      </c>
      <c r="AF40" s="110">
        <v>36108.54</v>
      </c>
      <c r="AG40" s="110">
        <v>77941.22</v>
      </c>
      <c r="AH40" s="110">
        <v>23331.37</v>
      </c>
      <c r="AI40" s="110">
        <v>54609.85</v>
      </c>
      <c r="AJ40" s="110">
        <v>394962.33</v>
      </c>
      <c r="AK40" s="110">
        <v>331246.69</v>
      </c>
      <c r="AL40" s="110">
        <v>249143.58</v>
      </c>
      <c r="AM40" s="110">
        <v>82103.11</v>
      </c>
      <c r="AN40" s="110">
        <v>63715.64</v>
      </c>
      <c r="AO40" s="110">
        <v>14050</v>
      </c>
      <c r="AP40" s="110">
        <v>49665.64</v>
      </c>
      <c r="AQ40" s="110">
        <v>2182163</v>
      </c>
      <c r="AR40" s="110">
        <v>736957</v>
      </c>
      <c r="AS40" s="110">
        <v>553340</v>
      </c>
      <c r="AT40" s="110">
        <v>183617</v>
      </c>
      <c r="AU40" s="110">
        <v>1445206</v>
      </c>
      <c r="AV40" s="110">
        <v>418203</v>
      </c>
      <c r="AW40" s="110">
        <v>1027003</v>
      </c>
      <c r="AX40" s="110">
        <v>1203766.5</v>
      </c>
      <c r="AY40" s="110">
        <v>405955.5</v>
      </c>
      <c r="AZ40" s="110">
        <v>283035.5</v>
      </c>
      <c r="BA40" s="110">
        <v>122920</v>
      </c>
      <c r="BB40" s="110">
        <v>797811</v>
      </c>
      <c r="BC40" s="110">
        <v>239556</v>
      </c>
      <c r="BD40" s="110">
        <v>558255</v>
      </c>
      <c r="BE40" s="110">
        <v>41823957.759999998</v>
      </c>
      <c r="BF40" s="110">
        <v>2894360.16</v>
      </c>
      <c r="BG40" s="110">
        <v>2361421.2999999998</v>
      </c>
      <c r="BH40" s="110">
        <v>532938.86</v>
      </c>
      <c r="BI40" s="110">
        <v>38929597.600000001</v>
      </c>
      <c r="BJ40" s="110">
        <v>35782920.969999999</v>
      </c>
      <c r="BK40" s="110">
        <v>3146676.63</v>
      </c>
      <c r="BL40" s="110">
        <v>3730869.2</v>
      </c>
      <c r="BM40" s="110">
        <v>267974.99</v>
      </c>
      <c r="BN40" s="110">
        <v>220287.95</v>
      </c>
      <c r="BO40" s="110">
        <v>47687.040000000001</v>
      </c>
      <c r="BP40" s="110">
        <v>3462894.21</v>
      </c>
      <c r="BQ40" s="110">
        <v>3226335.78</v>
      </c>
      <c r="BR40" s="110">
        <v>236558.43</v>
      </c>
      <c r="BS40" s="110">
        <v>25624805.890000001</v>
      </c>
      <c r="BT40" s="110">
        <v>1615841.17</v>
      </c>
      <c r="BU40" s="110">
        <v>1493455.35</v>
      </c>
      <c r="BV40" s="110">
        <v>122385.82</v>
      </c>
      <c r="BW40" s="110">
        <v>24008964.719999999</v>
      </c>
      <c r="BX40" s="110">
        <v>22535157.68</v>
      </c>
      <c r="BY40" s="110">
        <v>1473807.04</v>
      </c>
      <c r="BZ40" s="110">
        <v>3410795</v>
      </c>
      <c r="CA40" s="110">
        <v>253388</v>
      </c>
      <c r="CB40" s="110">
        <v>187841</v>
      </c>
      <c r="CC40" s="110">
        <v>65547</v>
      </c>
      <c r="CD40" s="110">
        <v>3157407</v>
      </c>
      <c r="CE40" s="110">
        <v>2929382</v>
      </c>
      <c r="CF40" s="110">
        <v>228025</v>
      </c>
      <c r="CG40" s="110">
        <v>9057487.6699999999</v>
      </c>
      <c r="CH40" s="110">
        <v>757156</v>
      </c>
      <c r="CI40" s="110">
        <v>459837</v>
      </c>
      <c r="CJ40" s="110">
        <v>297319</v>
      </c>
      <c r="CK40" s="110">
        <v>8300331.6699999999</v>
      </c>
      <c r="CL40" s="110">
        <v>7092045.5099999998</v>
      </c>
      <c r="CM40" s="110">
        <v>1208286.1599999999</v>
      </c>
      <c r="CN40" s="110">
        <v>1004434.58</v>
      </c>
      <c r="CO40" s="110">
        <v>445508.52</v>
      </c>
      <c r="CP40" s="110">
        <v>1676767.39</v>
      </c>
      <c r="CQ40" s="110">
        <v>105607.91</v>
      </c>
      <c r="CR40" s="110">
        <v>1099983.5900000001</v>
      </c>
      <c r="CS40" s="110">
        <v>0</v>
      </c>
      <c r="CT40" s="110">
        <v>1760601.91</v>
      </c>
      <c r="CU40" s="110">
        <v>0</v>
      </c>
      <c r="CV40" s="111">
        <v>14027</v>
      </c>
      <c r="CW40" s="111">
        <v>6993</v>
      </c>
      <c r="CX40" s="111">
        <v>5273</v>
      </c>
      <c r="CY40" s="111">
        <v>1720</v>
      </c>
      <c r="CZ40" s="111">
        <v>7034</v>
      </c>
      <c r="DA40" s="111">
        <v>2360</v>
      </c>
      <c r="DB40" s="111">
        <v>4674</v>
      </c>
      <c r="DC40" s="111">
        <v>2040</v>
      </c>
      <c r="DD40" s="111">
        <v>74</v>
      </c>
      <c r="DE40" s="111">
        <v>1207</v>
      </c>
      <c r="DF40" s="111">
        <v>995</v>
      </c>
      <c r="DG40" s="111">
        <v>212</v>
      </c>
      <c r="DH40" s="111">
        <v>833</v>
      </c>
      <c r="DI40" s="111">
        <v>247</v>
      </c>
      <c r="DJ40" s="111">
        <v>586</v>
      </c>
      <c r="DK40" s="111">
        <v>5554</v>
      </c>
      <c r="DL40" s="111">
        <v>1853</v>
      </c>
      <c r="DM40" s="111">
        <v>1317</v>
      </c>
      <c r="DN40" s="111">
        <v>536</v>
      </c>
      <c r="DO40" s="111">
        <v>3701</v>
      </c>
      <c r="DP40" s="111">
        <v>1278</v>
      </c>
      <c r="DQ40" s="111">
        <v>2423</v>
      </c>
      <c r="DR40" s="111">
        <v>1943</v>
      </c>
      <c r="DS40" s="111">
        <v>0</v>
      </c>
      <c r="DT40" s="111">
        <v>392</v>
      </c>
      <c r="DU40" s="111">
        <v>246</v>
      </c>
      <c r="DV40" s="111">
        <v>146</v>
      </c>
      <c r="DW40" s="111">
        <v>1551</v>
      </c>
      <c r="DX40" s="111">
        <v>448</v>
      </c>
      <c r="DY40" s="111">
        <v>1103</v>
      </c>
      <c r="DZ40" s="111">
        <v>4416</v>
      </c>
      <c r="EA40" s="111">
        <v>3514</v>
      </c>
      <c r="EB40" s="111">
        <v>2700</v>
      </c>
      <c r="EC40" s="111">
        <v>814</v>
      </c>
      <c r="ED40" s="111">
        <v>902</v>
      </c>
      <c r="EE40" s="111">
        <v>387</v>
      </c>
      <c r="EF40" s="111">
        <v>515</v>
      </c>
      <c r="EG40" s="111">
        <v>1053</v>
      </c>
      <c r="EH40" s="111">
        <v>127</v>
      </c>
      <c r="EI40" s="111">
        <v>83</v>
      </c>
      <c r="EJ40" s="111">
        <v>44</v>
      </c>
      <c r="EK40" s="111">
        <v>926</v>
      </c>
      <c r="EL40" s="111">
        <v>841</v>
      </c>
      <c r="EM40" s="111">
        <v>85</v>
      </c>
      <c r="EN40" s="111">
        <v>922</v>
      </c>
      <c r="EO40" s="111">
        <v>842</v>
      </c>
      <c r="EP40" s="111">
        <v>10</v>
      </c>
      <c r="EQ40" s="111">
        <v>70</v>
      </c>
      <c r="ER40" s="111">
        <v>416</v>
      </c>
      <c r="ES40" s="111">
        <v>0</v>
      </c>
      <c r="ET40" s="111">
        <v>0</v>
      </c>
      <c r="EU40" s="111">
        <v>167</v>
      </c>
      <c r="EV40" s="111">
        <v>160</v>
      </c>
      <c r="EW40" s="111">
        <v>7</v>
      </c>
      <c r="EX40" s="111">
        <v>0</v>
      </c>
      <c r="EY40" s="111">
        <v>497</v>
      </c>
      <c r="EZ40" s="111">
        <v>494</v>
      </c>
      <c r="FA40" s="111">
        <v>3</v>
      </c>
      <c r="FB40" s="111">
        <v>190</v>
      </c>
    </row>
    <row r="41" spans="1:158" ht="19.5" customHeight="1">
      <c r="A41" s="107">
        <v>38</v>
      </c>
      <c r="B41" s="107" t="s">
        <v>374</v>
      </c>
      <c r="C41" s="107" t="s">
        <v>391</v>
      </c>
      <c r="D41" s="110">
        <v>15175340.380000001</v>
      </c>
      <c r="E41" s="110">
        <v>15175340.380000001</v>
      </c>
      <c r="F41" s="110">
        <v>0</v>
      </c>
      <c r="G41" s="110">
        <v>37933</v>
      </c>
      <c r="H41" s="110">
        <v>0</v>
      </c>
      <c r="I41" s="110">
        <v>3315630.38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20777659.129999999</v>
      </c>
      <c r="P41" s="110">
        <v>15292592.09</v>
      </c>
      <c r="Q41" s="110">
        <v>13473902.630000001</v>
      </c>
      <c r="R41" s="110">
        <v>1818689.46</v>
      </c>
      <c r="S41" s="110">
        <v>5485067.04</v>
      </c>
      <c r="T41" s="110">
        <v>2024750.41</v>
      </c>
      <c r="U41" s="110">
        <v>3460316.63</v>
      </c>
      <c r="V41" s="110">
        <v>20777659.129999999</v>
      </c>
      <c r="W41" s="110">
        <v>15292592.09</v>
      </c>
      <c r="X41" s="110">
        <v>13473902.630000001</v>
      </c>
      <c r="Y41" s="110">
        <v>1818689.46</v>
      </c>
      <c r="Z41" s="110">
        <v>5485067.04</v>
      </c>
      <c r="AA41" s="110">
        <v>2024750.41</v>
      </c>
      <c r="AB41" s="110">
        <v>3460316.63</v>
      </c>
      <c r="AC41" s="110">
        <v>5602232.75</v>
      </c>
      <c r="AD41" s="110">
        <v>4546408.5599999996</v>
      </c>
      <c r="AE41" s="110">
        <v>4308881.5</v>
      </c>
      <c r="AF41" s="110">
        <v>237527.06</v>
      </c>
      <c r="AG41" s="110">
        <v>1055824.19</v>
      </c>
      <c r="AH41" s="110">
        <v>379709.41</v>
      </c>
      <c r="AI41" s="110">
        <v>676114.78</v>
      </c>
      <c r="AJ41" s="110">
        <v>86</v>
      </c>
      <c r="AK41" s="110">
        <v>43</v>
      </c>
      <c r="AL41" s="110">
        <v>43</v>
      </c>
      <c r="AM41" s="110">
        <v>0</v>
      </c>
      <c r="AN41" s="110">
        <v>43</v>
      </c>
      <c r="AO41" s="110">
        <v>0</v>
      </c>
      <c r="AP41" s="110">
        <v>43</v>
      </c>
      <c r="AQ41" s="110">
        <v>9146933</v>
      </c>
      <c r="AR41" s="110">
        <v>6533109</v>
      </c>
      <c r="AS41" s="110">
        <v>5545091</v>
      </c>
      <c r="AT41" s="110">
        <v>988018</v>
      </c>
      <c r="AU41" s="110">
        <v>2613824</v>
      </c>
      <c r="AV41" s="110">
        <v>970914</v>
      </c>
      <c r="AW41" s="110">
        <v>1642910</v>
      </c>
      <c r="AX41" s="110">
        <v>6028407.3799999999</v>
      </c>
      <c r="AY41" s="110">
        <v>4213031.53</v>
      </c>
      <c r="AZ41" s="110">
        <v>3619887.13</v>
      </c>
      <c r="BA41" s="110">
        <v>593144.4</v>
      </c>
      <c r="BB41" s="110">
        <v>1815375.85</v>
      </c>
      <c r="BC41" s="110">
        <v>674127</v>
      </c>
      <c r="BD41" s="110">
        <v>1141248.8500000001</v>
      </c>
      <c r="BE41" s="110">
        <v>0</v>
      </c>
      <c r="BF41" s="110">
        <v>0</v>
      </c>
      <c r="BG41" s="110">
        <v>0</v>
      </c>
      <c r="BH41" s="110">
        <v>0</v>
      </c>
      <c r="BI41" s="110">
        <v>0</v>
      </c>
      <c r="BJ41" s="110">
        <v>0</v>
      </c>
      <c r="BK41" s="110">
        <v>0</v>
      </c>
      <c r="BL41" s="110">
        <v>0</v>
      </c>
      <c r="BM41" s="110">
        <v>0</v>
      </c>
      <c r="BN41" s="110">
        <v>0</v>
      </c>
      <c r="BO41" s="110">
        <v>0</v>
      </c>
      <c r="BP41" s="110">
        <v>0</v>
      </c>
      <c r="BQ41" s="110">
        <v>0</v>
      </c>
      <c r="BR41" s="110">
        <v>0</v>
      </c>
      <c r="BS41" s="110">
        <v>0</v>
      </c>
      <c r="BT41" s="110">
        <v>0</v>
      </c>
      <c r="BU41" s="110">
        <v>0</v>
      </c>
      <c r="BV41" s="110">
        <v>0</v>
      </c>
      <c r="BW41" s="110">
        <v>0</v>
      </c>
      <c r="BX41" s="110">
        <v>0</v>
      </c>
      <c r="BY41" s="110">
        <v>0</v>
      </c>
      <c r="BZ41" s="110">
        <v>0</v>
      </c>
      <c r="CA41" s="110">
        <v>0</v>
      </c>
      <c r="CB41" s="110">
        <v>0</v>
      </c>
      <c r="CC41" s="110">
        <v>0</v>
      </c>
      <c r="CD41" s="110">
        <v>0</v>
      </c>
      <c r="CE41" s="110">
        <v>0</v>
      </c>
      <c r="CF41" s="110">
        <v>0</v>
      </c>
      <c r="CG41" s="110">
        <v>0</v>
      </c>
      <c r="CH41" s="110">
        <v>0</v>
      </c>
      <c r="CI41" s="110">
        <v>0</v>
      </c>
      <c r="CJ41" s="110">
        <v>0</v>
      </c>
      <c r="CK41" s="110">
        <v>0</v>
      </c>
      <c r="CL41" s="110">
        <v>0</v>
      </c>
      <c r="CM41" s="110">
        <v>0</v>
      </c>
      <c r="CN41" s="110">
        <v>-526</v>
      </c>
      <c r="CO41" s="110">
        <v>7924196.5999999996</v>
      </c>
      <c r="CP41" s="110">
        <v>5101130.78</v>
      </c>
      <c r="CQ41" s="110">
        <v>2313174.5699999998</v>
      </c>
      <c r="CR41" s="110">
        <v>5438302.1799999997</v>
      </c>
      <c r="CS41" s="110">
        <v>855</v>
      </c>
      <c r="CT41" s="110">
        <v>0</v>
      </c>
      <c r="CU41" s="110">
        <v>0</v>
      </c>
      <c r="CV41" s="111">
        <v>37933</v>
      </c>
      <c r="CW41" s="111">
        <v>31813</v>
      </c>
      <c r="CX41" s="111">
        <v>27505</v>
      </c>
      <c r="CY41" s="111">
        <v>4308</v>
      </c>
      <c r="CZ41" s="111">
        <v>6120</v>
      </c>
      <c r="DA41" s="111">
        <v>2033</v>
      </c>
      <c r="DB41" s="111">
        <v>4087</v>
      </c>
      <c r="DC41" s="111">
        <v>24864</v>
      </c>
      <c r="DD41" s="111">
        <v>333</v>
      </c>
      <c r="DE41" s="111">
        <v>22126</v>
      </c>
      <c r="DF41" s="111">
        <v>19205</v>
      </c>
      <c r="DG41" s="111">
        <v>2921</v>
      </c>
      <c r="DH41" s="111">
        <v>2738</v>
      </c>
      <c r="DI41" s="111">
        <v>906</v>
      </c>
      <c r="DJ41" s="111">
        <v>1832</v>
      </c>
      <c r="DK41" s="111">
        <v>7535</v>
      </c>
      <c r="DL41" s="111">
        <v>6020</v>
      </c>
      <c r="DM41" s="111">
        <v>5347</v>
      </c>
      <c r="DN41" s="111">
        <v>673</v>
      </c>
      <c r="DO41" s="111">
        <v>1515</v>
      </c>
      <c r="DP41" s="111">
        <v>556</v>
      </c>
      <c r="DQ41" s="111">
        <v>959</v>
      </c>
      <c r="DR41" s="111">
        <v>5201</v>
      </c>
      <c r="DS41" s="111">
        <v>0</v>
      </c>
      <c r="DT41" s="111">
        <v>3409</v>
      </c>
      <c r="DU41" s="111">
        <v>2732</v>
      </c>
      <c r="DV41" s="111">
        <v>677</v>
      </c>
      <c r="DW41" s="111">
        <v>1792</v>
      </c>
      <c r="DX41" s="111">
        <v>571</v>
      </c>
      <c r="DY41" s="111">
        <v>1221</v>
      </c>
      <c r="DZ41" s="111">
        <v>0</v>
      </c>
      <c r="EA41" s="111">
        <v>0</v>
      </c>
      <c r="EB41" s="111">
        <v>0</v>
      </c>
      <c r="EC41" s="111">
        <v>0</v>
      </c>
      <c r="ED41" s="111">
        <v>0</v>
      </c>
      <c r="EE41" s="111">
        <v>0</v>
      </c>
      <c r="EF41" s="111">
        <v>0</v>
      </c>
      <c r="EG41" s="111">
        <v>0</v>
      </c>
      <c r="EH41" s="111">
        <v>0</v>
      </c>
      <c r="EI41" s="111">
        <v>0</v>
      </c>
      <c r="EJ41" s="111">
        <v>0</v>
      </c>
      <c r="EK41" s="111">
        <v>0</v>
      </c>
      <c r="EL41" s="111">
        <v>0</v>
      </c>
      <c r="EM41" s="111">
        <v>0</v>
      </c>
      <c r="EN41" s="111">
        <v>0</v>
      </c>
      <c r="EO41" s="111">
        <v>0</v>
      </c>
      <c r="EP41" s="111">
        <v>0</v>
      </c>
      <c r="EQ41" s="111">
        <v>0</v>
      </c>
      <c r="ER41" s="111">
        <v>0</v>
      </c>
      <c r="ES41" s="111">
        <v>0</v>
      </c>
      <c r="ET41" s="111">
        <v>0</v>
      </c>
      <c r="EU41" s="111">
        <v>0</v>
      </c>
      <c r="EV41" s="111">
        <v>0</v>
      </c>
      <c r="EW41" s="111">
        <v>0</v>
      </c>
      <c r="EX41" s="111">
        <v>0</v>
      </c>
      <c r="EY41" s="111">
        <v>0</v>
      </c>
      <c r="EZ41" s="111">
        <v>0</v>
      </c>
      <c r="FA41" s="111">
        <v>0</v>
      </c>
      <c r="FB41" s="111">
        <v>0</v>
      </c>
    </row>
    <row r="42" spans="1:158" ht="19.5" customHeight="1">
      <c r="A42" s="107">
        <v>39</v>
      </c>
      <c r="B42" s="107" t="s">
        <v>361</v>
      </c>
      <c r="C42" s="107" t="s">
        <v>392</v>
      </c>
      <c r="D42" s="110">
        <v>43587867.530000001</v>
      </c>
      <c r="E42" s="110">
        <v>21869430.780000001</v>
      </c>
      <c r="F42" s="110">
        <v>21718436.75</v>
      </c>
      <c r="G42" s="110">
        <v>86148</v>
      </c>
      <c r="H42" s="110">
        <v>3302</v>
      </c>
      <c r="I42" s="110">
        <v>2060060</v>
      </c>
      <c r="J42" s="110">
        <v>531247</v>
      </c>
      <c r="K42" s="110">
        <v>33232.42</v>
      </c>
      <c r="L42" s="110">
        <v>322356</v>
      </c>
      <c r="M42" s="110">
        <v>11697755.25</v>
      </c>
      <c r="N42" s="110">
        <v>0</v>
      </c>
      <c r="O42" s="110">
        <v>63872330.32</v>
      </c>
      <c r="P42" s="110">
        <v>37256940.479999997</v>
      </c>
      <c r="Q42" s="110">
        <v>33409526.75</v>
      </c>
      <c r="R42" s="110">
        <v>3847413.73</v>
      </c>
      <c r="S42" s="110">
        <v>26615389.84</v>
      </c>
      <c r="T42" s="110">
        <v>12470256.33</v>
      </c>
      <c r="U42" s="110">
        <v>14145133.51</v>
      </c>
      <c r="V42" s="110">
        <v>31428777.620000001</v>
      </c>
      <c r="W42" s="110">
        <v>22427120.93</v>
      </c>
      <c r="X42" s="110">
        <v>20983327.239999998</v>
      </c>
      <c r="Y42" s="110">
        <v>1443793.69</v>
      </c>
      <c r="Z42" s="110">
        <v>9001656.6899999995</v>
      </c>
      <c r="AA42" s="110">
        <v>4301350.33</v>
      </c>
      <c r="AB42" s="110">
        <v>4700306.3600000003</v>
      </c>
      <c r="AC42" s="110">
        <v>9541951.7899999991</v>
      </c>
      <c r="AD42" s="110">
        <v>7610744.0099999998</v>
      </c>
      <c r="AE42" s="110">
        <v>7319263.2599999998</v>
      </c>
      <c r="AF42" s="110">
        <v>291480.75</v>
      </c>
      <c r="AG42" s="110">
        <v>1931207.78</v>
      </c>
      <c r="AH42" s="110">
        <v>1139905.33</v>
      </c>
      <c r="AI42" s="110">
        <v>791302.45</v>
      </c>
      <c r="AJ42" s="110">
        <v>17395.05</v>
      </c>
      <c r="AK42" s="110">
        <v>7034.14</v>
      </c>
      <c r="AL42" s="110">
        <v>6022.98</v>
      </c>
      <c r="AM42" s="110">
        <v>1011.16</v>
      </c>
      <c r="AN42" s="110">
        <v>10360.91</v>
      </c>
      <c r="AO42" s="110">
        <v>4280</v>
      </c>
      <c r="AP42" s="110">
        <v>6080.91</v>
      </c>
      <c r="AQ42" s="110">
        <v>13786580</v>
      </c>
      <c r="AR42" s="110">
        <v>9657213</v>
      </c>
      <c r="AS42" s="110">
        <v>9071207</v>
      </c>
      <c r="AT42" s="110">
        <v>586006</v>
      </c>
      <c r="AU42" s="110">
        <v>4129367</v>
      </c>
      <c r="AV42" s="110">
        <v>1950688</v>
      </c>
      <c r="AW42" s="110">
        <v>2178679</v>
      </c>
      <c r="AX42" s="110">
        <v>8082850.7800000003</v>
      </c>
      <c r="AY42" s="110">
        <v>5152129.78</v>
      </c>
      <c r="AZ42" s="110">
        <v>4586834</v>
      </c>
      <c r="BA42" s="110">
        <v>565295.78</v>
      </c>
      <c r="BB42" s="110">
        <v>2930721</v>
      </c>
      <c r="BC42" s="110">
        <v>1206477</v>
      </c>
      <c r="BD42" s="110">
        <v>1724244</v>
      </c>
      <c r="BE42" s="110">
        <v>32443552.699999999</v>
      </c>
      <c r="BF42" s="110">
        <v>14829819.550000001</v>
      </c>
      <c r="BG42" s="110">
        <v>12426199.51</v>
      </c>
      <c r="BH42" s="110">
        <v>2403620.04</v>
      </c>
      <c r="BI42" s="110">
        <v>17613733.149999999</v>
      </c>
      <c r="BJ42" s="110">
        <v>8168906</v>
      </c>
      <c r="BK42" s="110">
        <v>9444827.1500000004</v>
      </c>
      <c r="BL42" s="110">
        <v>1511337.96</v>
      </c>
      <c r="BM42" s="110">
        <v>485796.31</v>
      </c>
      <c r="BN42" s="110">
        <v>329787.75</v>
      </c>
      <c r="BO42" s="110">
        <v>156008.56</v>
      </c>
      <c r="BP42" s="110">
        <v>1025541.65</v>
      </c>
      <c r="BQ42" s="110">
        <v>477928.95</v>
      </c>
      <c r="BR42" s="110">
        <v>547612.69999999995</v>
      </c>
      <c r="BS42" s="110">
        <v>9213777.9900000002</v>
      </c>
      <c r="BT42" s="110">
        <v>4536680.74</v>
      </c>
      <c r="BU42" s="110">
        <v>4070003.51</v>
      </c>
      <c r="BV42" s="110">
        <v>466677.23</v>
      </c>
      <c r="BW42" s="110">
        <v>4677097.25</v>
      </c>
      <c r="BX42" s="110">
        <v>2654124.5499999998</v>
      </c>
      <c r="BY42" s="110">
        <v>2022972.7</v>
      </c>
      <c r="BZ42" s="110">
        <v>238511</v>
      </c>
      <c r="CA42" s="110">
        <v>61474</v>
      </c>
      <c r="CB42" s="110">
        <v>43187</v>
      </c>
      <c r="CC42" s="110">
        <v>18287</v>
      </c>
      <c r="CD42" s="110">
        <v>177037</v>
      </c>
      <c r="CE42" s="110">
        <v>78018</v>
      </c>
      <c r="CF42" s="110">
        <v>99019</v>
      </c>
      <c r="CG42" s="110">
        <v>21479925.75</v>
      </c>
      <c r="CH42" s="110">
        <v>9745868.5</v>
      </c>
      <c r="CI42" s="110">
        <v>7983221.25</v>
      </c>
      <c r="CJ42" s="110">
        <v>1762647.25</v>
      </c>
      <c r="CK42" s="110">
        <v>11734057.25</v>
      </c>
      <c r="CL42" s="110">
        <v>4958834.5</v>
      </c>
      <c r="CM42" s="110">
        <v>6775222.75</v>
      </c>
      <c r="CN42" s="110">
        <v>717987.94</v>
      </c>
      <c r="CO42" s="110">
        <v>10397155.359999999</v>
      </c>
      <c r="CP42" s="110">
        <v>13521929.26</v>
      </c>
      <c r="CQ42" s="110">
        <v>786640.62</v>
      </c>
      <c r="CR42" s="110">
        <v>5959072.3099999996</v>
      </c>
      <c r="CS42" s="110">
        <v>45386.13</v>
      </c>
      <c r="CT42" s="110">
        <v>9082353.4399999995</v>
      </c>
      <c r="CU42" s="110">
        <v>0</v>
      </c>
      <c r="CV42" s="111">
        <v>86148</v>
      </c>
      <c r="CW42" s="111">
        <v>70129</v>
      </c>
      <c r="CX42" s="111">
        <v>65317</v>
      </c>
      <c r="CY42" s="111">
        <v>4812</v>
      </c>
      <c r="CZ42" s="111">
        <v>16019</v>
      </c>
      <c r="DA42" s="111">
        <v>7530</v>
      </c>
      <c r="DB42" s="111">
        <v>8489</v>
      </c>
      <c r="DC42" s="111">
        <v>46727</v>
      </c>
      <c r="DD42" s="111">
        <v>8</v>
      </c>
      <c r="DE42" s="111">
        <v>40889</v>
      </c>
      <c r="DF42" s="111">
        <v>38551</v>
      </c>
      <c r="DG42" s="111">
        <v>2338</v>
      </c>
      <c r="DH42" s="111">
        <v>5838</v>
      </c>
      <c r="DI42" s="111">
        <v>2824</v>
      </c>
      <c r="DJ42" s="111">
        <v>3014</v>
      </c>
      <c r="DK42" s="111">
        <v>26745</v>
      </c>
      <c r="DL42" s="111">
        <v>21008</v>
      </c>
      <c r="DM42" s="111">
        <v>19580</v>
      </c>
      <c r="DN42" s="111">
        <v>1428</v>
      </c>
      <c r="DO42" s="111">
        <v>5737</v>
      </c>
      <c r="DP42" s="111">
        <v>3018</v>
      </c>
      <c r="DQ42" s="111">
        <v>2719</v>
      </c>
      <c r="DR42" s="111">
        <v>7095</v>
      </c>
      <c r="DS42" s="111">
        <v>0</v>
      </c>
      <c r="DT42" s="111">
        <v>3347</v>
      </c>
      <c r="DU42" s="111">
        <v>2895</v>
      </c>
      <c r="DV42" s="111">
        <v>452</v>
      </c>
      <c r="DW42" s="111">
        <v>3748</v>
      </c>
      <c r="DX42" s="111">
        <v>1452</v>
      </c>
      <c r="DY42" s="111">
        <v>2296</v>
      </c>
      <c r="DZ42" s="111">
        <v>5573</v>
      </c>
      <c r="EA42" s="111">
        <v>4882</v>
      </c>
      <c r="EB42" s="111">
        <v>4291</v>
      </c>
      <c r="EC42" s="111">
        <v>591</v>
      </c>
      <c r="ED42" s="111">
        <v>691</v>
      </c>
      <c r="EE42" s="111">
        <v>236</v>
      </c>
      <c r="EF42" s="111">
        <v>455</v>
      </c>
      <c r="EG42" s="111">
        <v>3302</v>
      </c>
      <c r="EH42" s="111">
        <v>1856</v>
      </c>
      <c r="EI42" s="111">
        <v>1659</v>
      </c>
      <c r="EJ42" s="111">
        <v>197</v>
      </c>
      <c r="EK42" s="111">
        <v>1446</v>
      </c>
      <c r="EL42" s="111">
        <v>967</v>
      </c>
      <c r="EM42" s="111">
        <v>479</v>
      </c>
      <c r="EN42" s="111">
        <v>3319</v>
      </c>
      <c r="EO42" s="111">
        <v>3294</v>
      </c>
      <c r="EP42" s="111">
        <v>0</v>
      </c>
      <c r="EQ42" s="111">
        <v>25</v>
      </c>
      <c r="ER42" s="111">
        <v>0</v>
      </c>
      <c r="ES42" s="111">
        <v>0</v>
      </c>
      <c r="ET42" s="111">
        <v>0</v>
      </c>
      <c r="EU42" s="111">
        <v>2062</v>
      </c>
      <c r="EV42" s="111">
        <v>2061</v>
      </c>
      <c r="EW42" s="111">
        <v>0</v>
      </c>
      <c r="EX42" s="111">
        <v>1</v>
      </c>
      <c r="EY42" s="111">
        <v>747</v>
      </c>
      <c r="EZ42" s="111">
        <v>747</v>
      </c>
      <c r="FA42" s="111">
        <v>0</v>
      </c>
      <c r="FB42" s="111">
        <v>2200</v>
      </c>
    </row>
    <row r="43" spans="1:158" ht="19.5" customHeight="1">
      <c r="A43" s="107">
        <v>40</v>
      </c>
      <c r="B43" s="107" t="s">
        <v>361</v>
      </c>
      <c r="C43" s="107" t="s">
        <v>393</v>
      </c>
      <c r="D43" s="110">
        <v>28478305.75</v>
      </c>
      <c r="E43" s="110">
        <v>12125935</v>
      </c>
      <c r="F43" s="110">
        <v>16352370.75</v>
      </c>
      <c r="G43" s="110">
        <v>70173</v>
      </c>
      <c r="H43" s="110">
        <v>1755</v>
      </c>
      <c r="I43" s="110">
        <v>1932816</v>
      </c>
      <c r="J43" s="110">
        <v>75858</v>
      </c>
      <c r="K43" s="110">
        <v>138583.41</v>
      </c>
      <c r="L43" s="110">
        <v>462284.25</v>
      </c>
      <c r="M43" s="110">
        <v>6487640</v>
      </c>
      <c r="N43" s="110">
        <v>0</v>
      </c>
      <c r="O43" s="110">
        <v>52766066.939999998</v>
      </c>
      <c r="P43" s="110">
        <v>39029783.380000003</v>
      </c>
      <c r="Q43" s="110">
        <v>36684777.969999999</v>
      </c>
      <c r="R43" s="110">
        <v>2345005.41</v>
      </c>
      <c r="S43" s="110">
        <v>13736283.560000001</v>
      </c>
      <c r="T43" s="110">
        <v>11454239.43</v>
      </c>
      <c r="U43" s="110">
        <v>2282044.13</v>
      </c>
      <c r="V43" s="110">
        <v>24849971.5</v>
      </c>
      <c r="W43" s="110">
        <v>21372416.280000001</v>
      </c>
      <c r="X43" s="110">
        <v>20031002.98</v>
      </c>
      <c r="Y43" s="110">
        <v>1341413.3</v>
      </c>
      <c r="Z43" s="110">
        <v>3477555.22</v>
      </c>
      <c r="AA43" s="110">
        <v>1856665.24</v>
      </c>
      <c r="AB43" s="110">
        <v>1620889.98</v>
      </c>
      <c r="AC43" s="110">
        <v>12108375.859999999</v>
      </c>
      <c r="AD43" s="110">
        <v>10653605.779999999</v>
      </c>
      <c r="AE43" s="110">
        <v>10135508.23</v>
      </c>
      <c r="AF43" s="110">
        <v>518097.55</v>
      </c>
      <c r="AG43" s="110">
        <v>1454770.08</v>
      </c>
      <c r="AH43" s="110">
        <v>796922.85</v>
      </c>
      <c r="AI43" s="110">
        <v>657847.23</v>
      </c>
      <c r="AJ43" s="110">
        <v>615660.64</v>
      </c>
      <c r="AK43" s="110">
        <v>538864.5</v>
      </c>
      <c r="AL43" s="110">
        <v>497114.75</v>
      </c>
      <c r="AM43" s="110">
        <v>41749.75</v>
      </c>
      <c r="AN43" s="110">
        <v>76796.14</v>
      </c>
      <c r="AO43" s="110">
        <v>34373.39</v>
      </c>
      <c r="AP43" s="110">
        <v>42422.75</v>
      </c>
      <c r="AQ43" s="110">
        <v>6976021</v>
      </c>
      <c r="AR43" s="110">
        <v>5806660</v>
      </c>
      <c r="AS43" s="110">
        <v>5369101</v>
      </c>
      <c r="AT43" s="110">
        <v>437559</v>
      </c>
      <c r="AU43" s="110">
        <v>1169361</v>
      </c>
      <c r="AV43" s="110">
        <v>628412</v>
      </c>
      <c r="AW43" s="110">
        <v>540949</v>
      </c>
      <c r="AX43" s="110">
        <v>5149914</v>
      </c>
      <c r="AY43" s="110">
        <v>4373286</v>
      </c>
      <c r="AZ43" s="110">
        <v>4029279</v>
      </c>
      <c r="BA43" s="110">
        <v>344007</v>
      </c>
      <c r="BB43" s="110">
        <v>776628</v>
      </c>
      <c r="BC43" s="110">
        <v>396957</v>
      </c>
      <c r="BD43" s="110">
        <v>379671</v>
      </c>
      <c r="BE43" s="110">
        <v>27916095.440000001</v>
      </c>
      <c r="BF43" s="110">
        <v>17657367.100000001</v>
      </c>
      <c r="BG43" s="110">
        <v>16653774.99</v>
      </c>
      <c r="BH43" s="110">
        <v>1003592.11</v>
      </c>
      <c r="BI43" s="110">
        <v>10258728.34</v>
      </c>
      <c r="BJ43" s="110">
        <v>9597574.1899999995</v>
      </c>
      <c r="BK43" s="110">
        <v>661154.15</v>
      </c>
      <c r="BL43" s="110">
        <v>3849109.65</v>
      </c>
      <c r="BM43" s="110">
        <v>2372328.08</v>
      </c>
      <c r="BN43" s="110">
        <v>2266167.1</v>
      </c>
      <c r="BO43" s="110">
        <v>106160.98</v>
      </c>
      <c r="BP43" s="110">
        <v>1476781.57</v>
      </c>
      <c r="BQ43" s="110">
        <v>1393814.47</v>
      </c>
      <c r="BR43" s="110">
        <v>82967.100000000006</v>
      </c>
      <c r="BS43" s="110">
        <v>7714615.04</v>
      </c>
      <c r="BT43" s="110">
        <v>4872502.0199999996</v>
      </c>
      <c r="BU43" s="110">
        <v>4668697.8899999997</v>
      </c>
      <c r="BV43" s="110">
        <v>203804.13</v>
      </c>
      <c r="BW43" s="110">
        <v>2842113.02</v>
      </c>
      <c r="BX43" s="110">
        <v>2689239.72</v>
      </c>
      <c r="BY43" s="110">
        <v>152873.29999999999</v>
      </c>
      <c r="BZ43" s="110">
        <v>4876501</v>
      </c>
      <c r="CA43" s="110">
        <v>3071815</v>
      </c>
      <c r="CB43" s="110">
        <v>2932289</v>
      </c>
      <c r="CC43" s="110">
        <v>139526</v>
      </c>
      <c r="CD43" s="110">
        <v>1804686</v>
      </c>
      <c r="CE43" s="110">
        <v>1703426</v>
      </c>
      <c r="CF43" s="110">
        <v>101260</v>
      </c>
      <c r="CG43" s="110">
        <v>11475869.75</v>
      </c>
      <c r="CH43" s="110">
        <v>7340722</v>
      </c>
      <c r="CI43" s="110">
        <v>6786621</v>
      </c>
      <c r="CJ43" s="110">
        <v>554101</v>
      </c>
      <c r="CK43" s="110">
        <v>4135147.75</v>
      </c>
      <c r="CL43" s="110">
        <v>3811094</v>
      </c>
      <c r="CM43" s="110">
        <v>324053.75</v>
      </c>
      <c r="CN43" s="110">
        <v>1896777.03</v>
      </c>
      <c r="CO43" s="110">
        <v>5890986.0599999996</v>
      </c>
      <c r="CP43" s="110">
        <v>5154896.2699999996</v>
      </c>
      <c r="CQ43" s="110">
        <v>9359158.4800000004</v>
      </c>
      <c r="CR43" s="110">
        <v>2548138.66</v>
      </c>
      <c r="CS43" s="110">
        <v>0</v>
      </c>
      <c r="CT43" s="110">
        <v>771387.9</v>
      </c>
      <c r="CU43" s="110">
        <v>0</v>
      </c>
      <c r="CV43" s="111">
        <v>70173</v>
      </c>
      <c r="CW43" s="111">
        <v>61083</v>
      </c>
      <c r="CX43" s="111">
        <v>56639</v>
      </c>
      <c r="CY43" s="111">
        <v>4444</v>
      </c>
      <c r="CZ43" s="111">
        <v>9090</v>
      </c>
      <c r="DA43" s="111">
        <v>4521</v>
      </c>
      <c r="DB43" s="111">
        <v>4569</v>
      </c>
      <c r="DC43" s="111">
        <v>40195</v>
      </c>
      <c r="DD43" s="111">
        <v>406</v>
      </c>
      <c r="DE43" s="111">
        <v>35866</v>
      </c>
      <c r="DF43" s="111">
        <v>33696</v>
      </c>
      <c r="DG43" s="111">
        <v>2170</v>
      </c>
      <c r="DH43" s="111">
        <v>4329</v>
      </c>
      <c r="DI43" s="111">
        <v>2225</v>
      </c>
      <c r="DJ43" s="111">
        <v>2104</v>
      </c>
      <c r="DK43" s="111">
        <v>14440</v>
      </c>
      <c r="DL43" s="111">
        <v>11563</v>
      </c>
      <c r="DM43" s="111">
        <v>10656</v>
      </c>
      <c r="DN43" s="111">
        <v>907</v>
      </c>
      <c r="DO43" s="111">
        <v>2877</v>
      </c>
      <c r="DP43" s="111">
        <v>1551</v>
      </c>
      <c r="DQ43" s="111">
        <v>1326</v>
      </c>
      <c r="DR43" s="111">
        <v>4615</v>
      </c>
      <c r="DS43" s="111">
        <v>0</v>
      </c>
      <c r="DT43" s="111">
        <v>3766</v>
      </c>
      <c r="DU43" s="111">
        <v>3312</v>
      </c>
      <c r="DV43" s="111">
        <v>454</v>
      </c>
      <c r="DW43" s="111">
        <v>849</v>
      </c>
      <c r="DX43" s="111">
        <v>353</v>
      </c>
      <c r="DY43" s="111">
        <v>496</v>
      </c>
      <c r="DZ43" s="111">
        <v>10517</v>
      </c>
      <c r="EA43" s="111">
        <v>9535</v>
      </c>
      <c r="EB43" s="111">
        <v>8664</v>
      </c>
      <c r="EC43" s="111">
        <v>871</v>
      </c>
      <c r="ED43" s="111">
        <v>982</v>
      </c>
      <c r="EE43" s="111">
        <v>391</v>
      </c>
      <c r="EF43" s="111">
        <v>591</v>
      </c>
      <c r="EG43" s="111">
        <v>1755</v>
      </c>
      <c r="EH43" s="111">
        <v>1166</v>
      </c>
      <c r="EI43" s="111">
        <v>1113</v>
      </c>
      <c r="EJ43" s="111">
        <v>53</v>
      </c>
      <c r="EK43" s="111">
        <v>589</v>
      </c>
      <c r="EL43" s="111">
        <v>546</v>
      </c>
      <c r="EM43" s="111">
        <v>43</v>
      </c>
      <c r="EN43" s="111">
        <v>1725</v>
      </c>
      <c r="EO43" s="111">
        <v>1630</v>
      </c>
      <c r="EP43" s="111">
        <v>0</v>
      </c>
      <c r="EQ43" s="111">
        <v>95</v>
      </c>
      <c r="ER43" s="111">
        <v>7</v>
      </c>
      <c r="ES43" s="111">
        <v>0</v>
      </c>
      <c r="ET43" s="111">
        <v>0</v>
      </c>
      <c r="EU43" s="111">
        <v>1221</v>
      </c>
      <c r="EV43" s="111">
        <v>1221</v>
      </c>
      <c r="EW43" s="111">
        <v>0</v>
      </c>
      <c r="EX43" s="111">
        <v>0</v>
      </c>
      <c r="EY43" s="111">
        <v>142</v>
      </c>
      <c r="EZ43" s="111">
        <v>142</v>
      </c>
      <c r="FA43" s="111">
        <v>0</v>
      </c>
      <c r="FB43" s="111">
        <v>129</v>
      </c>
    </row>
    <row r="44" spans="1:158" ht="19.5" customHeight="1">
      <c r="A44" s="107">
        <v>41</v>
      </c>
      <c r="B44" s="107" t="s">
        <v>350</v>
      </c>
      <c r="C44" s="107" t="s">
        <v>394</v>
      </c>
      <c r="D44" s="110">
        <v>19529434.620000001</v>
      </c>
      <c r="E44" s="110">
        <v>19329867.620000001</v>
      </c>
      <c r="F44" s="110">
        <v>199567</v>
      </c>
      <c r="G44" s="110">
        <v>47804</v>
      </c>
      <c r="H44" s="110">
        <v>13</v>
      </c>
      <c r="I44" s="110">
        <v>11733843.5</v>
      </c>
      <c r="J44" s="110">
        <v>3091160.12</v>
      </c>
      <c r="K44" s="110">
        <v>0</v>
      </c>
      <c r="L44" s="110">
        <v>97676</v>
      </c>
      <c r="M44" s="110">
        <v>11201</v>
      </c>
      <c r="N44" s="110">
        <v>0</v>
      </c>
      <c r="O44" s="110">
        <v>21052398.52</v>
      </c>
      <c r="P44" s="110">
        <v>18224254.27</v>
      </c>
      <c r="Q44" s="110">
        <v>11877236.65</v>
      </c>
      <c r="R44" s="110">
        <v>6347017.6200000001</v>
      </c>
      <c r="S44" s="110">
        <v>2828144.25</v>
      </c>
      <c r="T44" s="110">
        <v>778898.11</v>
      </c>
      <c r="U44" s="110">
        <v>2049246.14</v>
      </c>
      <c r="V44" s="110">
        <v>20819664.129999999</v>
      </c>
      <c r="W44" s="110">
        <v>18058670.280000001</v>
      </c>
      <c r="X44" s="110">
        <v>11877236.65</v>
      </c>
      <c r="Y44" s="110">
        <v>6181433.6299999999</v>
      </c>
      <c r="Z44" s="110">
        <v>2760993.85</v>
      </c>
      <c r="AA44" s="110">
        <v>778898.11</v>
      </c>
      <c r="AB44" s="110">
        <v>1982095.74</v>
      </c>
      <c r="AC44" s="110">
        <v>832860.2</v>
      </c>
      <c r="AD44" s="110">
        <v>713074.94</v>
      </c>
      <c r="AE44" s="110">
        <v>658843.80000000005</v>
      </c>
      <c r="AF44" s="110">
        <v>54231.14</v>
      </c>
      <c r="AG44" s="110">
        <v>119785.26</v>
      </c>
      <c r="AH44" s="110">
        <v>59727.63</v>
      </c>
      <c r="AI44" s="110">
        <v>60057.63</v>
      </c>
      <c r="AJ44" s="110">
        <v>656936.31000000006</v>
      </c>
      <c r="AK44" s="110">
        <v>548588.84</v>
      </c>
      <c r="AL44" s="110">
        <v>50815.35</v>
      </c>
      <c r="AM44" s="110">
        <v>497773.49</v>
      </c>
      <c r="AN44" s="110">
        <v>108347.47</v>
      </c>
      <c r="AO44" s="110">
        <v>11037.48</v>
      </c>
      <c r="AP44" s="110">
        <v>97309.99</v>
      </c>
      <c r="AQ44" s="110">
        <v>2054145</v>
      </c>
      <c r="AR44" s="110">
        <v>1862125</v>
      </c>
      <c r="AS44" s="110">
        <v>1549775</v>
      </c>
      <c r="AT44" s="110">
        <v>312350</v>
      </c>
      <c r="AU44" s="110">
        <v>192020</v>
      </c>
      <c r="AV44" s="110">
        <v>88022</v>
      </c>
      <c r="AW44" s="110">
        <v>103998</v>
      </c>
      <c r="AX44" s="110">
        <v>17275722.620000001</v>
      </c>
      <c r="AY44" s="110">
        <v>14934881.5</v>
      </c>
      <c r="AZ44" s="110">
        <v>9617802.5</v>
      </c>
      <c r="BA44" s="110">
        <v>5317079</v>
      </c>
      <c r="BB44" s="110">
        <v>2340841.12</v>
      </c>
      <c r="BC44" s="110">
        <v>620111</v>
      </c>
      <c r="BD44" s="110">
        <v>1720730.12</v>
      </c>
      <c r="BE44" s="110">
        <v>232734.39</v>
      </c>
      <c r="BF44" s="110">
        <v>165583.99</v>
      </c>
      <c r="BG44" s="110">
        <v>0</v>
      </c>
      <c r="BH44" s="110">
        <v>165583.99</v>
      </c>
      <c r="BI44" s="110">
        <v>67150.399999999994</v>
      </c>
      <c r="BJ44" s="110">
        <v>0</v>
      </c>
      <c r="BK44" s="110">
        <v>67150.399999999994</v>
      </c>
      <c r="BL44" s="110">
        <v>15610.99</v>
      </c>
      <c r="BM44" s="110">
        <v>11358.09</v>
      </c>
      <c r="BN44" s="110">
        <v>0</v>
      </c>
      <c r="BO44" s="110">
        <v>11358.09</v>
      </c>
      <c r="BP44" s="110">
        <v>4252.8999999999996</v>
      </c>
      <c r="BQ44" s="110">
        <v>0</v>
      </c>
      <c r="BR44" s="110">
        <v>4252.8999999999996</v>
      </c>
      <c r="BS44" s="110">
        <v>17556.400000000001</v>
      </c>
      <c r="BT44" s="110">
        <v>13215.9</v>
      </c>
      <c r="BU44" s="110">
        <v>0</v>
      </c>
      <c r="BV44" s="110">
        <v>13215.9</v>
      </c>
      <c r="BW44" s="110">
        <v>4340.5</v>
      </c>
      <c r="BX44" s="110">
        <v>0</v>
      </c>
      <c r="BY44" s="110">
        <v>4340.5</v>
      </c>
      <c r="BZ44" s="110">
        <v>2010</v>
      </c>
      <c r="CA44" s="110">
        <v>1357</v>
      </c>
      <c r="CB44" s="110">
        <v>0</v>
      </c>
      <c r="CC44" s="110">
        <v>1357</v>
      </c>
      <c r="CD44" s="110">
        <v>653</v>
      </c>
      <c r="CE44" s="110">
        <v>0</v>
      </c>
      <c r="CF44" s="110">
        <v>653</v>
      </c>
      <c r="CG44" s="110">
        <v>197557</v>
      </c>
      <c r="CH44" s="110">
        <v>139653</v>
      </c>
      <c r="CI44" s="110">
        <v>0</v>
      </c>
      <c r="CJ44" s="110">
        <v>139653</v>
      </c>
      <c r="CK44" s="110">
        <v>57904</v>
      </c>
      <c r="CL44" s="110">
        <v>0</v>
      </c>
      <c r="CM44" s="110">
        <v>57904</v>
      </c>
      <c r="CN44" s="110">
        <v>17470.68</v>
      </c>
      <c r="CO44" s="110">
        <v>9830019.8499999996</v>
      </c>
      <c r="CP44" s="110">
        <v>4020057.97</v>
      </c>
      <c r="CQ44" s="110">
        <v>4302609.13</v>
      </c>
      <c r="CR44" s="110">
        <v>2584908.17</v>
      </c>
      <c r="CS44" s="110">
        <v>64638.33</v>
      </c>
      <c r="CT44" s="110">
        <v>232734.39</v>
      </c>
      <c r="CU44" s="110">
        <v>0</v>
      </c>
      <c r="CV44" s="111">
        <v>47804</v>
      </c>
      <c r="CW44" s="111">
        <v>42261</v>
      </c>
      <c r="CX44" s="111">
        <v>34828</v>
      </c>
      <c r="CY44" s="111">
        <v>7433</v>
      </c>
      <c r="CZ44" s="111">
        <v>5543</v>
      </c>
      <c r="DA44" s="111">
        <v>2187</v>
      </c>
      <c r="DB44" s="111">
        <v>3356</v>
      </c>
      <c r="DC44" s="111">
        <v>37320</v>
      </c>
      <c r="DD44" s="111">
        <v>11</v>
      </c>
      <c r="DE44" s="111">
        <v>33817</v>
      </c>
      <c r="DF44" s="111">
        <v>28344</v>
      </c>
      <c r="DG44" s="111">
        <v>5473</v>
      </c>
      <c r="DH44" s="111">
        <v>3503</v>
      </c>
      <c r="DI44" s="111">
        <v>1552</v>
      </c>
      <c r="DJ44" s="111">
        <v>1951</v>
      </c>
      <c r="DK44" s="111">
        <v>6267</v>
      </c>
      <c r="DL44" s="111">
        <v>5486</v>
      </c>
      <c r="DM44" s="111">
        <v>4168</v>
      </c>
      <c r="DN44" s="111">
        <v>1318</v>
      </c>
      <c r="DO44" s="111">
        <v>781</v>
      </c>
      <c r="DP44" s="111">
        <v>349</v>
      </c>
      <c r="DQ44" s="111">
        <v>432</v>
      </c>
      <c r="DR44" s="111">
        <v>4093</v>
      </c>
      <c r="DS44" s="111">
        <v>0</v>
      </c>
      <c r="DT44" s="111">
        <v>2845</v>
      </c>
      <c r="DU44" s="111">
        <v>2214</v>
      </c>
      <c r="DV44" s="111">
        <v>631</v>
      </c>
      <c r="DW44" s="111">
        <v>1248</v>
      </c>
      <c r="DX44" s="111">
        <v>282</v>
      </c>
      <c r="DY44" s="111">
        <v>966</v>
      </c>
      <c r="DZ44" s="111">
        <v>113</v>
      </c>
      <c r="EA44" s="111">
        <v>104</v>
      </c>
      <c r="EB44" s="111">
        <v>94</v>
      </c>
      <c r="EC44" s="111">
        <v>10</v>
      </c>
      <c r="ED44" s="111">
        <v>9</v>
      </c>
      <c r="EE44" s="111">
        <v>4</v>
      </c>
      <c r="EF44" s="111">
        <v>5</v>
      </c>
      <c r="EG44" s="111">
        <v>13</v>
      </c>
      <c r="EH44" s="111">
        <v>10</v>
      </c>
      <c r="EI44" s="111">
        <v>0</v>
      </c>
      <c r="EJ44" s="111">
        <v>10</v>
      </c>
      <c r="EK44" s="111">
        <v>3</v>
      </c>
      <c r="EL44" s="111">
        <v>0</v>
      </c>
      <c r="EM44" s="111">
        <v>3</v>
      </c>
      <c r="EN44" s="111">
        <v>23</v>
      </c>
      <c r="EO44" s="111">
        <v>2</v>
      </c>
      <c r="EP44" s="111">
        <v>0</v>
      </c>
      <c r="EQ44" s="111">
        <v>21</v>
      </c>
      <c r="ER44" s="111">
        <v>0</v>
      </c>
      <c r="ES44" s="111">
        <v>0</v>
      </c>
      <c r="ET44" s="111">
        <v>0</v>
      </c>
      <c r="EU44" s="111">
        <v>0</v>
      </c>
      <c r="EV44" s="111">
        <v>0</v>
      </c>
      <c r="EW44" s="111">
        <v>0</v>
      </c>
      <c r="EX44" s="111">
        <v>0</v>
      </c>
      <c r="EY44" s="111">
        <v>0</v>
      </c>
      <c r="EZ44" s="111">
        <v>0</v>
      </c>
      <c r="FA44" s="111">
        <v>0</v>
      </c>
      <c r="FB44" s="111">
        <v>0</v>
      </c>
    </row>
    <row r="45" spans="1:158" ht="19.5" customHeight="1">
      <c r="A45" s="107">
        <v>42</v>
      </c>
      <c r="B45" s="107" t="s">
        <v>350</v>
      </c>
      <c r="C45" s="107" t="s">
        <v>395</v>
      </c>
      <c r="D45" s="110">
        <v>42386299.549999997</v>
      </c>
      <c r="E45" s="110">
        <v>38535989.899999999</v>
      </c>
      <c r="F45" s="110">
        <v>3850309.65</v>
      </c>
      <c r="G45" s="110">
        <v>179610</v>
      </c>
      <c r="H45" s="110">
        <v>488</v>
      </c>
      <c r="I45" s="110">
        <v>11935623.699999999</v>
      </c>
      <c r="J45" s="110">
        <v>5982497.7000000002</v>
      </c>
      <c r="K45" s="110">
        <v>56921.82</v>
      </c>
      <c r="L45" s="110">
        <v>173014</v>
      </c>
      <c r="M45" s="110">
        <v>966226.65</v>
      </c>
      <c r="N45" s="110">
        <v>1018.28</v>
      </c>
      <c r="O45" s="110">
        <v>64425699.340000004</v>
      </c>
      <c r="P45" s="110">
        <v>53355124.25</v>
      </c>
      <c r="Q45" s="110">
        <v>44670801.229999997</v>
      </c>
      <c r="R45" s="110">
        <v>8684323.0199999996</v>
      </c>
      <c r="S45" s="110">
        <v>11070575.09</v>
      </c>
      <c r="T45" s="110">
        <v>5106342.04</v>
      </c>
      <c r="U45" s="110">
        <v>5964233.0499999998</v>
      </c>
      <c r="V45" s="110">
        <v>59621499.57</v>
      </c>
      <c r="W45" s="110">
        <v>50614914.57</v>
      </c>
      <c r="X45" s="110">
        <v>42572273.399999999</v>
      </c>
      <c r="Y45" s="110">
        <v>8042641.1699999999</v>
      </c>
      <c r="Z45" s="110">
        <v>9006585</v>
      </c>
      <c r="AA45" s="110">
        <v>3736876.75</v>
      </c>
      <c r="AB45" s="110">
        <v>5269708.25</v>
      </c>
      <c r="AC45" s="110">
        <v>20304937.239999998</v>
      </c>
      <c r="AD45" s="110">
        <v>17790997.530000001</v>
      </c>
      <c r="AE45" s="110">
        <v>16517625.550000001</v>
      </c>
      <c r="AF45" s="110">
        <v>1273371.98</v>
      </c>
      <c r="AG45" s="110">
        <v>2513939.71</v>
      </c>
      <c r="AH45" s="110">
        <v>1279538.6200000001</v>
      </c>
      <c r="AI45" s="110">
        <v>1234401.0900000001</v>
      </c>
      <c r="AJ45" s="110">
        <v>780572.43</v>
      </c>
      <c r="AK45" s="110">
        <v>679767.64</v>
      </c>
      <c r="AL45" s="110">
        <v>602346.65</v>
      </c>
      <c r="AM45" s="110">
        <v>77420.990000000005</v>
      </c>
      <c r="AN45" s="110">
        <v>100804.79</v>
      </c>
      <c r="AO45" s="110">
        <v>44903.43</v>
      </c>
      <c r="AP45" s="110">
        <v>55901.36</v>
      </c>
      <c r="AQ45" s="110">
        <v>9800711</v>
      </c>
      <c r="AR45" s="110">
        <v>8076222</v>
      </c>
      <c r="AS45" s="110">
        <v>7376115</v>
      </c>
      <c r="AT45" s="110">
        <v>700107</v>
      </c>
      <c r="AU45" s="110">
        <v>1724489</v>
      </c>
      <c r="AV45" s="110">
        <v>871564</v>
      </c>
      <c r="AW45" s="110">
        <v>852925</v>
      </c>
      <c r="AX45" s="110">
        <v>28735278.899999999</v>
      </c>
      <c r="AY45" s="110">
        <v>24067927.399999999</v>
      </c>
      <c r="AZ45" s="110">
        <v>18076186.199999999</v>
      </c>
      <c r="BA45" s="110">
        <v>5991741.2000000002</v>
      </c>
      <c r="BB45" s="110">
        <v>4667351.5</v>
      </c>
      <c r="BC45" s="110">
        <v>1540870.7</v>
      </c>
      <c r="BD45" s="110">
        <v>3126480.8</v>
      </c>
      <c r="BE45" s="110">
        <v>4804199.7699999996</v>
      </c>
      <c r="BF45" s="110">
        <v>2740209.68</v>
      </c>
      <c r="BG45" s="110">
        <v>2098527.83</v>
      </c>
      <c r="BH45" s="110">
        <v>641681.85</v>
      </c>
      <c r="BI45" s="110">
        <v>2063990.09</v>
      </c>
      <c r="BJ45" s="110">
        <v>1369465.29</v>
      </c>
      <c r="BK45" s="110">
        <v>694524.8</v>
      </c>
      <c r="BL45" s="110">
        <v>647514.64</v>
      </c>
      <c r="BM45" s="110">
        <v>332887.03999999998</v>
      </c>
      <c r="BN45" s="110">
        <v>312463.96000000002</v>
      </c>
      <c r="BO45" s="110">
        <v>20423.080000000002</v>
      </c>
      <c r="BP45" s="110">
        <v>314627.59999999998</v>
      </c>
      <c r="BQ45" s="110">
        <v>276292</v>
      </c>
      <c r="BR45" s="110">
        <v>38335.599999999999</v>
      </c>
      <c r="BS45" s="110">
        <v>306375.48</v>
      </c>
      <c r="BT45" s="110">
        <v>181089.69</v>
      </c>
      <c r="BU45" s="110">
        <v>129511.67</v>
      </c>
      <c r="BV45" s="110">
        <v>51578.02</v>
      </c>
      <c r="BW45" s="110">
        <v>125285.79</v>
      </c>
      <c r="BX45" s="110">
        <v>57328.29</v>
      </c>
      <c r="BY45" s="110">
        <v>67957.5</v>
      </c>
      <c r="BZ45" s="110">
        <v>1487190</v>
      </c>
      <c r="CA45" s="110">
        <v>875345</v>
      </c>
      <c r="CB45" s="110">
        <v>797985</v>
      </c>
      <c r="CC45" s="110">
        <v>77360</v>
      </c>
      <c r="CD45" s="110">
        <v>611845</v>
      </c>
      <c r="CE45" s="110">
        <v>522587</v>
      </c>
      <c r="CF45" s="110">
        <v>89258</v>
      </c>
      <c r="CG45" s="110">
        <v>2363119.65</v>
      </c>
      <c r="CH45" s="110">
        <v>1350887.95</v>
      </c>
      <c r="CI45" s="110">
        <v>858567.2</v>
      </c>
      <c r="CJ45" s="110">
        <v>492320.75</v>
      </c>
      <c r="CK45" s="110">
        <v>1012231.7</v>
      </c>
      <c r="CL45" s="110">
        <v>513258</v>
      </c>
      <c r="CM45" s="110">
        <v>498973.7</v>
      </c>
      <c r="CN45" s="110">
        <v>1257172.77</v>
      </c>
      <c r="CO45" s="110">
        <v>22503339.260000002</v>
      </c>
      <c r="CP45" s="110">
        <v>6450638.9100000001</v>
      </c>
      <c r="CQ45" s="110">
        <v>11576953.35</v>
      </c>
      <c r="CR45" s="110">
        <v>17755212.66</v>
      </c>
      <c r="CS45" s="110">
        <v>77956.62</v>
      </c>
      <c r="CT45" s="110">
        <v>693838.39</v>
      </c>
      <c r="CU45" s="110">
        <v>0</v>
      </c>
      <c r="CV45" s="111">
        <v>179610</v>
      </c>
      <c r="CW45" s="111">
        <v>155219</v>
      </c>
      <c r="CX45" s="111">
        <v>135613</v>
      </c>
      <c r="CY45" s="111">
        <v>19606</v>
      </c>
      <c r="CZ45" s="111">
        <v>24391</v>
      </c>
      <c r="DA45" s="111">
        <v>9645</v>
      </c>
      <c r="DB45" s="111">
        <v>14746</v>
      </c>
      <c r="DC45" s="111">
        <v>109636</v>
      </c>
      <c r="DD45" s="111">
        <v>9370</v>
      </c>
      <c r="DE45" s="111">
        <v>97546</v>
      </c>
      <c r="DF45" s="111">
        <v>87170</v>
      </c>
      <c r="DG45" s="111">
        <v>10376</v>
      </c>
      <c r="DH45" s="111">
        <v>12090</v>
      </c>
      <c r="DI45" s="111">
        <v>5262</v>
      </c>
      <c r="DJ45" s="111">
        <v>6828</v>
      </c>
      <c r="DK45" s="111">
        <v>14459</v>
      </c>
      <c r="DL45" s="111">
        <v>12066</v>
      </c>
      <c r="DM45" s="111">
        <v>10007</v>
      </c>
      <c r="DN45" s="111">
        <v>2059</v>
      </c>
      <c r="DO45" s="111">
        <v>2393</v>
      </c>
      <c r="DP45" s="111">
        <v>1008</v>
      </c>
      <c r="DQ45" s="111">
        <v>1385</v>
      </c>
      <c r="DR45" s="111">
        <v>35227</v>
      </c>
      <c r="DS45" s="111">
        <v>107</v>
      </c>
      <c r="DT45" s="111">
        <v>28430</v>
      </c>
      <c r="DU45" s="111">
        <v>24220</v>
      </c>
      <c r="DV45" s="111">
        <v>4210</v>
      </c>
      <c r="DW45" s="111">
        <v>6797</v>
      </c>
      <c r="DX45" s="111">
        <v>2882</v>
      </c>
      <c r="DY45" s="111">
        <v>3915</v>
      </c>
      <c r="DZ45" s="111">
        <v>10811</v>
      </c>
      <c r="EA45" s="111">
        <v>9676</v>
      </c>
      <c r="EB45" s="111">
        <v>9057</v>
      </c>
      <c r="EC45" s="111">
        <v>619</v>
      </c>
      <c r="ED45" s="111">
        <v>1135</v>
      </c>
      <c r="EE45" s="111">
        <v>445</v>
      </c>
      <c r="EF45" s="111">
        <v>690</v>
      </c>
      <c r="EG45" s="111">
        <v>488</v>
      </c>
      <c r="EH45" s="111">
        <v>284</v>
      </c>
      <c r="EI45" s="111">
        <v>212</v>
      </c>
      <c r="EJ45" s="111">
        <v>72</v>
      </c>
      <c r="EK45" s="111">
        <v>204</v>
      </c>
      <c r="EL45" s="111">
        <v>125</v>
      </c>
      <c r="EM45" s="111">
        <v>79</v>
      </c>
      <c r="EN45" s="111">
        <v>377</v>
      </c>
      <c r="EO45" s="111">
        <v>316</v>
      </c>
      <c r="EP45" s="111">
        <v>0</v>
      </c>
      <c r="EQ45" s="111">
        <v>61</v>
      </c>
      <c r="ER45" s="111">
        <v>0</v>
      </c>
      <c r="ES45" s="111">
        <v>0</v>
      </c>
      <c r="ET45" s="111">
        <v>0</v>
      </c>
      <c r="EU45" s="111">
        <v>30</v>
      </c>
      <c r="EV45" s="111">
        <v>30</v>
      </c>
      <c r="EW45" s="111">
        <v>0</v>
      </c>
      <c r="EX45" s="111">
        <v>0</v>
      </c>
      <c r="EY45" s="111">
        <v>0</v>
      </c>
      <c r="EZ45" s="111">
        <v>0</v>
      </c>
      <c r="FA45" s="111">
        <v>0</v>
      </c>
      <c r="FB45" s="111">
        <v>0</v>
      </c>
    </row>
    <row r="46" spans="1:158" ht="19.5" customHeight="1">
      <c r="A46" s="107">
        <v>43</v>
      </c>
      <c r="B46" s="107" t="s">
        <v>350</v>
      </c>
      <c r="C46" s="107" t="s">
        <v>396</v>
      </c>
      <c r="D46" s="110">
        <v>7389563.7000000002</v>
      </c>
      <c r="E46" s="110">
        <v>7389563.7000000002</v>
      </c>
      <c r="F46" s="110">
        <v>0</v>
      </c>
      <c r="G46" s="110">
        <v>21437</v>
      </c>
      <c r="H46" s="110">
        <v>0</v>
      </c>
      <c r="I46" s="110">
        <v>2830045.2</v>
      </c>
      <c r="J46" s="110">
        <v>0</v>
      </c>
      <c r="K46" s="110">
        <v>3914.05</v>
      </c>
      <c r="L46" s="110">
        <v>0</v>
      </c>
      <c r="M46" s="110">
        <v>0</v>
      </c>
      <c r="N46" s="110">
        <v>0</v>
      </c>
      <c r="O46" s="110">
        <v>11867583.83</v>
      </c>
      <c r="P46" s="110">
        <v>10397056</v>
      </c>
      <c r="Q46" s="110">
        <v>9803034.8900000006</v>
      </c>
      <c r="R46" s="110">
        <v>594021.11</v>
      </c>
      <c r="S46" s="110">
        <v>1470527.83</v>
      </c>
      <c r="T46" s="110">
        <v>606406.56000000006</v>
      </c>
      <c r="U46" s="110">
        <v>864121.27</v>
      </c>
      <c r="V46" s="110">
        <v>11867583.83</v>
      </c>
      <c r="W46" s="110">
        <v>10397056</v>
      </c>
      <c r="X46" s="110">
        <v>9803034.8900000006</v>
      </c>
      <c r="Y46" s="110">
        <v>594021.11</v>
      </c>
      <c r="Z46" s="110">
        <v>1470527.83</v>
      </c>
      <c r="AA46" s="110">
        <v>606406.56000000006</v>
      </c>
      <c r="AB46" s="110">
        <v>864121.27</v>
      </c>
      <c r="AC46" s="110">
        <v>4477977.13</v>
      </c>
      <c r="AD46" s="110">
        <v>4145441.7</v>
      </c>
      <c r="AE46" s="110">
        <v>4000908.69</v>
      </c>
      <c r="AF46" s="110">
        <v>144533.01</v>
      </c>
      <c r="AG46" s="110">
        <v>332535.43</v>
      </c>
      <c r="AH46" s="110">
        <v>140143.35999999999</v>
      </c>
      <c r="AI46" s="110">
        <v>192392.07</v>
      </c>
      <c r="AJ46" s="110">
        <v>43</v>
      </c>
      <c r="AK46" s="110">
        <v>43</v>
      </c>
      <c r="AL46" s="110">
        <v>43</v>
      </c>
      <c r="AM46" s="110">
        <v>0</v>
      </c>
      <c r="AN46" s="110">
        <v>0</v>
      </c>
      <c r="AO46" s="110">
        <v>0</v>
      </c>
      <c r="AP46" s="110">
        <v>0</v>
      </c>
      <c r="AQ46" s="110">
        <v>3503229.5</v>
      </c>
      <c r="AR46" s="110">
        <v>2975872.5</v>
      </c>
      <c r="AS46" s="110">
        <v>2776309.5</v>
      </c>
      <c r="AT46" s="110">
        <v>199563</v>
      </c>
      <c r="AU46" s="110">
        <v>527357</v>
      </c>
      <c r="AV46" s="110">
        <v>219351</v>
      </c>
      <c r="AW46" s="110">
        <v>308006</v>
      </c>
      <c r="AX46" s="110">
        <v>3886334.2</v>
      </c>
      <c r="AY46" s="110">
        <v>3275698.8</v>
      </c>
      <c r="AZ46" s="110">
        <v>3025773.7</v>
      </c>
      <c r="BA46" s="110">
        <v>249925.1</v>
      </c>
      <c r="BB46" s="110">
        <v>610635.4</v>
      </c>
      <c r="BC46" s="110">
        <v>246912.2</v>
      </c>
      <c r="BD46" s="110">
        <v>363723.2</v>
      </c>
      <c r="BE46" s="110">
        <v>0</v>
      </c>
      <c r="BF46" s="110">
        <v>0</v>
      </c>
      <c r="BG46" s="110">
        <v>0</v>
      </c>
      <c r="BH46" s="110">
        <v>0</v>
      </c>
      <c r="BI46" s="110">
        <v>0</v>
      </c>
      <c r="BJ46" s="110">
        <v>0</v>
      </c>
      <c r="BK46" s="110">
        <v>0</v>
      </c>
      <c r="BL46" s="110">
        <v>0</v>
      </c>
      <c r="BM46" s="110">
        <v>0</v>
      </c>
      <c r="BN46" s="110">
        <v>0</v>
      </c>
      <c r="BO46" s="110">
        <v>0</v>
      </c>
      <c r="BP46" s="110">
        <v>0</v>
      </c>
      <c r="BQ46" s="110">
        <v>0</v>
      </c>
      <c r="BR46" s="110">
        <v>0</v>
      </c>
      <c r="BS46" s="110">
        <v>0</v>
      </c>
      <c r="BT46" s="110">
        <v>0</v>
      </c>
      <c r="BU46" s="110">
        <v>0</v>
      </c>
      <c r="BV46" s="110">
        <v>0</v>
      </c>
      <c r="BW46" s="110">
        <v>0</v>
      </c>
      <c r="BX46" s="110">
        <v>0</v>
      </c>
      <c r="BY46" s="110">
        <v>0</v>
      </c>
      <c r="BZ46" s="110">
        <v>0</v>
      </c>
      <c r="CA46" s="110">
        <v>0</v>
      </c>
      <c r="CB46" s="110">
        <v>0</v>
      </c>
      <c r="CC46" s="110">
        <v>0</v>
      </c>
      <c r="CD46" s="110">
        <v>0</v>
      </c>
      <c r="CE46" s="110">
        <v>0</v>
      </c>
      <c r="CF46" s="110">
        <v>0</v>
      </c>
      <c r="CG46" s="110">
        <v>0</v>
      </c>
      <c r="CH46" s="110">
        <v>0</v>
      </c>
      <c r="CI46" s="110">
        <v>0</v>
      </c>
      <c r="CJ46" s="110">
        <v>0</v>
      </c>
      <c r="CK46" s="110">
        <v>0</v>
      </c>
      <c r="CL46" s="110">
        <v>0</v>
      </c>
      <c r="CM46" s="110">
        <v>0</v>
      </c>
      <c r="CN46" s="110">
        <v>-376</v>
      </c>
      <c r="CO46" s="110">
        <v>7237446.5099999998</v>
      </c>
      <c r="CP46" s="110">
        <v>402698.7</v>
      </c>
      <c r="CQ46" s="110">
        <v>3209889.19</v>
      </c>
      <c r="CR46" s="110">
        <v>1017549.43</v>
      </c>
      <c r="CS46" s="110">
        <v>0</v>
      </c>
      <c r="CT46" s="110">
        <v>0</v>
      </c>
      <c r="CU46" s="110">
        <v>0</v>
      </c>
      <c r="CV46" s="111">
        <v>21437</v>
      </c>
      <c r="CW46" s="111">
        <v>19241</v>
      </c>
      <c r="CX46" s="111">
        <v>18057</v>
      </c>
      <c r="CY46" s="111">
        <v>1184</v>
      </c>
      <c r="CZ46" s="111">
        <v>2196</v>
      </c>
      <c r="DA46" s="111">
        <v>941</v>
      </c>
      <c r="DB46" s="111">
        <v>1255</v>
      </c>
      <c r="DC46" s="111">
        <v>19693</v>
      </c>
      <c r="DD46" s="111">
        <v>0</v>
      </c>
      <c r="DE46" s="111">
        <v>17935</v>
      </c>
      <c r="DF46" s="111">
        <v>16877</v>
      </c>
      <c r="DG46" s="111">
        <v>1058</v>
      </c>
      <c r="DH46" s="111">
        <v>1758</v>
      </c>
      <c r="DI46" s="111">
        <v>758</v>
      </c>
      <c r="DJ46" s="111">
        <v>1000</v>
      </c>
      <c r="DK46" s="111">
        <v>645</v>
      </c>
      <c r="DL46" s="111">
        <v>544</v>
      </c>
      <c r="DM46" s="111">
        <v>518</v>
      </c>
      <c r="DN46" s="111">
        <v>26</v>
      </c>
      <c r="DO46" s="111">
        <v>101</v>
      </c>
      <c r="DP46" s="111">
        <v>45</v>
      </c>
      <c r="DQ46" s="111">
        <v>56</v>
      </c>
      <c r="DR46" s="111">
        <v>1099</v>
      </c>
      <c r="DS46" s="111">
        <v>0</v>
      </c>
      <c r="DT46" s="111">
        <v>762</v>
      </c>
      <c r="DU46" s="111">
        <v>662</v>
      </c>
      <c r="DV46" s="111">
        <v>100</v>
      </c>
      <c r="DW46" s="111">
        <v>337</v>
      </c>
      <c r="DX46" s="111">
        <v>138</v>
      </c>
      <c r="DY46" s="111">
        <v>199</v>
      </c>
      <c r="DZ46" s="111">
        <v>0</v>
      </c>
      <c r="EA46" s="111">
        <v>0</v>
      </c>
      <c r="EB46" s="111">
        <v>0</v>
      </c>
      <c r="EC46" s="111">
        <v>0</v>
      </c>
      <c r="ED46" s="111">
        <v>0</v>
      </c>
      <c r="EE46" s="111">
        <v>0</v>
      </c>
      <c r="EF46" s="111">
        <v>0</v>
      </c>
      <c r="EG46" s="111">
        <v>0</v>
      </c>
      <c r="EH46" s="111">
        <v>0</v>
      </c>
      <c r="EI46" s="111">
        <v>0</v>
      </c>
      <c r="EJ46" s="111">
        <v>0</v>
      </c>
      <c r="EK46" s="111">
        <v>0</v>
      </c>
      <c r="EL46" s="111">
        <v>0</v>
      </c>
      <c r="EM46" s="111">
        <v>0</v>
      </c>
      <c r="EN46" s="111">
        <v>0</v>
      </c>
      <c r="EO46" s="111">
        <v>0</v>
      </c>
      <c r="EP46" s="111">
        <v>0</v>
      </c>
      <c r="EQ46" s="111">
        <v>0</v>
      </c>
      <c r="ER46" s="111">
        <v>0</v>
      </c>
      <c r="ES46" s="111">
        <v>0</v>
      </c>
      <c r="ET46" s="111">
        <v>0</v>
      </c>
      <c r="EU46" s="111">
        <v>0</v>
      </c>
      <c r="EV46" s="111">
        <v>0</v>
      </c>
      <c r="EW46" s="111">
        <v>0</v>
      </c>
      <c r="EX46" s="111">
        <v>0</v>
      </c>
      <c r="EY46" s="111">
        <v>0</v>
      </c>
      <c r="EZ46" s="111">
        <v>0</v>
      </c>
      <c r="FA46" s="111">
        <v>0</v>
      </c>
      <c r="FB46" s="111">
        <v>0</v>
      </c>
    </row>
    <row r="47" spans="1:158" ht="19.5" customHeight="1">
      <c r="A47" s="107">
        <v>44</v>
      </c>
      <c r="B47" s="107" t="s">
        <v>350</v>
      </c>
      <c r="C47" s="107" t="s">
        <v>397</v>
      </c>
      <c r="D47" s="110">
        <v>10336534</v>
      </c>
      <c r="E47" s="110">
        <v>4969842</v>
      </c>
      <c r="F47" s="110">
        <v>5366692</v>
      </c>
      <c r="G47" s="110">
        <v>20237</v>
      </c>
      <c r="H47" s="110">
        <v>2184</v>
      </c>
      <c r="I47" s="110">
        <v>184714</v>
      </c>
      <c r="J47" s="110">
        <v>1154</v>
      </c>
      <c r="K47" s="110">
        <v>1483.16</v>
      </c>
      <c r="L47" s="110">
        <v>1953620</v>
      </c>
      <c r="M47" s="110">
        <v>10440</v>
      </c>
      <c r="N47" s="110">
        <v>1726.85</v>
      </c>
      <c r="O47" s="110">
        <v>49457793.990000002</v>
      </c>
      <c r="P47" s="110">
        <v>29949264.68</v>
      </c>
      <c r="Q47" s="110">
        <v>29192634.559999999</v>
      </c>
      <c r="R47" s="110">
        <v>756630.12</v>
      </c>
      <c r="S47" s="110">
        <v>19508529.309999999</v>
      </c>
      <c r="T47" s="110">
        <v>18689919.329999998</v>
      </c>
      <c r="U47" s="110">
        <v>818609.98</v>
      </c>
      <c r="V47" s="110">
        <v>25692658.699999999</v>
      </c>
      <c r="W47" s="110">
        <v>19248472.57</v>
      </c>
      <c r="X47" s="110">
        <v>18872817.789999999</v>
      </c>
      <c r="Y47" s="110">
        <v>375654.78</v>
      </c>
      <c r="Z47" s="110">
        <v>6444186.1299999999</v>
      </c>
      <c r="AA47" s="110">
        <v>6020262.1600000001</v>
      </c>
      <c r="AB47" s="110">
        <v>423923.97</v>
      </c>
      <c r="AC47" s="110">
        <v>19867316.940000001</v>
      </c>
      <c r="AD47" s="110">
        <v>14976260.789999999</v>
      </c>
      <c r="AE47" s="110">
        <v>14725249.15</v>
      </c>
      <c r="AF47" s="110">
        <v>251011.64</v>
      </c>
      <c r="AG47" s="110">
        <v>4891056.1500000004</v>
      </c>
      <c r="AH47" s="110">
        <v>4670203.0599999996</v>
      </c>
      <c r="AI47" s="110">
        <v>220853.09</v>
      </c>
      <c r="AJ47" s="110">
        <v>855499.76</v>
      </c>
      <c r="AK47" s="110">
        <v>592589.28</v>
      </c>
      <c r="AL47" s="110">
        <v>584614.14</v>
      </c>
      <c r="AM47" s="110">
        <v>7975.14</v>
      </c>
      <c r="AN47" s="110">
        <v>262910.48</v>
      </c>
      <c r="AO47" s="110">
        <v>248061.6</v>
      </c>
      <c r="AP47" s="110">
        <v>14848.88</v>
      </c>
      <c r="AQ47" s="110">
        <v>3982533</v>
      </c>
      <c r="AR47" s="110">
        <v>3008203</v>
      </c>
      <c r="AS47" s="110">
        <v>2945303</v>
      </c>
      <c r="AT47" s="110">
        <v>62900</v>
      </c>
      <c r="AU47" s="110">
        <v>974330</v>
      </c>
      <c r="AV47" s="110">
        <v>861210</v>
      </c>
      <c r="AW47" s="110">
        <v>113120</v>
      </c>
      <c r="AX47" s="110">
        <v>987309</v>
      </c>
      <c r="AY47" s="110">
        <v>671419.5</v>
      </c>
      <c r="AZ47" s="110">
        <v>617651.5</v>
      </c>
      <c r="BA47" s="110">
        <v>53768</v>
      </c>
      <c r="BB47" s="110">
        <v>315889.5</v>
      </c>
      <c r="BC47" s="110">
        <v>240787.5</v>
      </c>
      <c r="BD47" s="110">
        <v>75102</v>
      </c>
      <c r="BE47" s="110">
        <v>23765135.289999999</v>
      </c>
      <c r="BF47" s="110">
        <v>10700792.109999999</v>
      </c>
      <c r="BG47" s="110">
        <v>10319816.77</v>
      </c>
      <c r="BH47" s="110">
        <v>380975.34</v>
      </c>
      <c r="BI47" s="110">
        <v>13064343.18</v>
      </c>
      <c r="BJ47" s="110">
        <v>12669657.17</v>
      </c>
      <c r="BK47" s="110">
        <v>394686.01</v>
      </c>
      <c r="BL47" s="110">
        <v>17653651.309999999</v>
      </c>
      <c r="BM47" s="110">
        <v>8470536.4199999999</v>
      </c>
      <c r="BN47" s="110">
        <v>8237536.7800000003</v>
      </c>
      <c r="BO47" s="110">
        <v>232999.64</v>
      </c>
      <c r="BP47" s="110">
        <v>9183114.8900000006</v>
      </c>
      <c r="BQ47" s="110">
        <v>8974567.4499999993</v>
      </c>
      <c r="BR47" s="110">
        <v>208547.44</v>
      </c>
      <c r="BS47" s="110">
        <v>744791.98</v>
      </c>
      <c r="BT47" s="110">
        <v>345269.19</v>
      </c>
      <c r="BU47" s="110">
        <v>331196.49</v>
      </c>
      <c r="BV47" s="110">
        <v>14072.7</v>
      </c>
      <c r="BW47" s="110">
        <v>399522.79</v>
      </c>
      <c r="BX47" s="110">
        <v>383746.72</v>
      </c>
      <c r="BY47" s="110">
        <v>15776.07</v>
      </c>
      <c r="BZ47" s="110">
        <v>2779121</v>
      </c>
      <c r="CA47" s="110">
        <v>1057453</v>
      </c>
      <c r="CB47" s="110">
        <v>1013231</v>
      </c>
      <c r="CC47" s="110">
        <v>44222</v>
      </c>
      <c r="CD47" s="110">
        <v>1721668</v>
      </c>
      <c r="CE47" s="110">
        <v>1652232</v>
      </c>
      <c r="CF47" s="110">
        <v>69436</v>
      </c>
      <c r="CG47" s="110">
        <v>2587571</v>
      </c>
      <c r="CH47" s="110">
        <v>827533.5</v>
      </c>
      <c r="CI47" s="110">
        <v>737852.5</v>
      </c>
      <c r="CJ47" s="110">
        <v>89681</v>
      </c>
      <c r="CK47" s="110">
        <v>1760037.5</v>
      </c>
      <c r="CL47" s="110">
        <v>1659111</v>
      </c>
      <c r="CM47" s="110">
        <v>100926.5</v>
      </c>
      <c r="CN47" s="110">
        <v>0</v>
      </c>
      <c r="CO47" s="110">
        <v>10431531.060000001</v>
      </c>
      <c r="CP47" s="110">
        <v>13837833.119999999</v>
      </c>
      <c r="CQ47" s="110">
        <v>818632.82</v>
      </c>
      <c r="CR47" s="110">
        <v>269785.58</v>
      </c>
      <c r="CS47" s="110">
        <v>334876.12</v>
      </c>
      <c r="CT47" s="110">
        <v>427389.55</v>
      </c>
      <c r="CU47" s="110">
        <v>0</v>
      </c>
      <c r="CV47" s="111">
        <v>20237</v>
      </c>
      <c r="CW47" s="111">
        <v>14151</v>
      </c>
      <c r="CX47" s="111">
        <v>13738</v>
      </c>
      <c r="CY47" s="111">
        <v>413</v>
      </c>
      <c r="CZ47" s="111">
        <v>6086</v>
      </c>
      <c r="DA47" s="111">
        <v>5498</v>
      </c>
      <c r="DB47" s="111">
        <v>588</v>
      </c>
      <c r="DC47" s="111">
        <v>14530</v>
      </c>
      <c r="DD47" s="111">
        <v>4</v>
      </c>
      <c r="DE47" s="111">
        <v>9712</v>
      </c>
      <c r="DF47" s="111">
        <v>9516</v>
      </c>
      <c r="DG47" s="111">
        <v>196</v>
      </c>
      <c r="DH47" s="111">
        <v>4818</v>
      </c>
      <c r="DI47" s="111">
        <v>4441</v>
      </c>
      <c r="DJ47" s="111">
        <v>377</v>
      </c>
      <c r="DK47" s="111">
        <v>5290</v>
      </c>
      <c r="DL47" s="111">
        <v>4199</v>
      </c>
      <c r="DM47" s="111">
        <v>4062</v>
      </c>
      <c r="DN47" s="111">
        <v>137</v>
      </c>
      <c r="DO47" s="111">
        <v>1091</v>
      </c>
      <c r="DP47" s="111">
        <v>982</v>
      </c>
      <c r="DQ47" s="111">
        <v>109</v>
      </c>
      <c r="DR47" s="111">
        <v>413</v>
      </c>
      <c r="DS47" s="111">
        <v>0</v>
      </c>
      <c r="DT47" s="111">
        <v>236</v>
      </c>
      <c r="DU47" s="111">
        <v>156</v>
      </c>
      <c r="DV47" s="111">
        <v>80</v>
      </c>
      <c r="DW47" s="111">
        <v>177</v>
      </c>
      <c r="DX47" s="111">
        <v>75</v>
      </c>
      <c r="DY47" s="111">
        <v>102</v>
      </c>
      <c r="DZ47" s="111">
        <v>0</v>
      </c>
      <c r="EA47" s="111">
        <v>0</v>
      </c>
      <c r="EB47" s="111">
        <v>0</v>
      </c>
      <c r="EC47" s="111">
        <v>0</v>
      </c>
      <c r="ED47" s="111">
        <v>0</v>
      </c>
      <c r="EE47" s="111">
        <v>0</v>
      </c>
      <c r="EF47" s="111">
        <v>0</v>
      </c>
      <c r="EG47" s="111">
        <v>2184</v>
      </c>
      <c r="EH47" s="111">
        <v>943</v>
      </c>
      <c r="EI47" s="111">
        <v>926</v>
      </c>
      <c r="EJ47" s="111">
        <v>17</v>
      </c>
      <c r="EK47" s="111">
        <v>1241</v>
      </c>
      <c r="EL47" s="111">
        <v>1212</v>
      </c>
      <c r="EM47" s="111">
        <v>29</v>
      </c>
      <c r="EN47" s="111">
        <v>1583</v>
      </c>
      <c r="EO47" s="111">
        <v>0</v>
      </c>
      <c r="EP47" s="111">
        <v>0</v>
      </c>
      <c r="EQ47" s="111">
        <v>1583</v>
      </c>
      <c r="ER47" s="111">
        <v>0</v>
      </c>
      <c r="ES47" s="111">
        <v>0</v>
      </c>
      <c r="ET47" s="111">
        <v>0</v>
      </c>
      <c r="EU47" s="111">
        <v>0</v>
      </c>
      <c r="EV47" s="111">
        <v>0</v>
      </c>
      <c r="EW47" s="111">
        <v>0</v>
      </c>
      <c r="EX47" s="111">
        <v>0</v>
      </c>
      <c r="EY47" s="111">
        <v>0</v>
      </c>
      <c r="EZ47" s="111">
        <v>0</v>
      </c>
      <c r="FA47" s="111">
        <v>0</v>
      </c>
      <c r="FB47" s="111">
        <v>0</v>
      </c>
    </row>
    <row r="48" spans="1:158" ht="19.5" customHeight="1">
      <c r="A48" s="107">
        <v>45</v>
      </c>
      <c r="B48" s="107" t="s">
        <v>350</v>
      </c>
      <c r="C48" s="107" t="s">
        <v>398</v>
      </c>
      <c r="D48" s="110">
        <v>51366949.82</v>
      </c>
      <c r="E48" s="110">
        <v>41486556.920000002</v>
      </c>
      <c r="F48" s="110">
        <v>9880392.9000000004</v>
      </c>
      <c r="G48" s="110">
        <v>91747</v>
      </c>
      <c r="H48" s="110">
        <v>532</v>
      </c>
      <c r="I48" s="110">
        <v>2360605</v>
      </c>
      <c r="J48" s="110">
        <v>23580</v>
      </c>
      <c r="K48" s="110">
        <v>15</v>
      </c>
      <c r="L48" s="110">
        <v>1044090.6</v>
      </c>
      <c r="M48" s="110">
        <v>179935</v>
      </c>
      <c r="N48" s="110">
        <v>4516.16</v>
      </c>
      <c r="O48" s="110">
        <v>86731845.109999999</v>
      </c>
      <c r="P48" s="110">
        <v>76684093.260000005</v>
      </c>
      <c r="Q48" s="110">
        <v>73487784.689999998</v>
      </c>
      <c r="R48" s="110">
        <v>3196308.57</v>
      </c>
      <c r="S48" s="110">
        <v>10047751.85</v>
      </c>
      <c r="T48" s="110">
        <v>7792635.5300000003</v>
      </c>
      <c r="U48" s="110">
        <v>2255116.3199999998</v>
      </c>
      <c r="V48" s="110">
        <v>67136206.819999993</v>
      </c>
      <c r="W48" s="110">
        <v>60738540.780000001</v>
      </c>
      <c r="X48" s="110">
        <v>57841031.960000001</v>
      </c>
      <c r="Y48" s="110">
        <v>2897508.82</v>
      </c>
      <c r="Z48" s="110">
        <v>6397666.04</v>
      </c>
      <c r="AA48" s="110">
        <v>4453479.72</v>
      </c>
      <c r="AB48" s="110">
        <v>1944186.32</v>
      </c>
      <c r="AC48" s="110">
        <v>21956899.809999999</v>
      </c>
      <c r="AD48" s="110">
        <v>20004590.149999999</v>
      </c>
      <c r="AE48" s="110">
        <v>19224770.539999999</v>
      </c>
      <c r="AF48" s="110">
        <v>779819.61</v>
      </c>
      <c r="AG48" s="110">
        <v>1952309.66</v>
      </c>
      <c r="AH48" s="110">
        <v>1416583.53</v>
      </c>
      <c r="AI48" s="110">
        <v>535726.13</v>
      </c>
      <c r="AJ48" s="110">
        <v>3692750.09</v>
      </c>
      <c r="AK48" s="110">
        <v>3299240.71</v>
      </c>
      <c r="AL48" s="110">
        <v>3051683.5</v>
      </c>
      <c r="AM48" s="110">
        <v>247557.21</v>
      </c>
      <c r="AN48" s="110">
        <v>393509.38</v>
      </c>
      <c r="AO48" s="110">
        <v>267901.19</v>
      </c>
      <c r="AP48" s="110">
        <v>125608.19</v>
      </c>
      <c r="AQ48" s="110">
        <v>35602284.920000002</v>
      </c>
      <c r="AR48" s="110">
        <v>32160740.920000002</v>
      </c>
      <c r="AS48" s="110">
        <v>30553709.920000002</v>
      </c>
      <c r="AT48" s="110">
        <v>1607031</v>
      </c>
      <c r="AU48" s="110">
        <v>3441544</v>
      </c>
      <c r="AV48" s="110">
        <v>2330286</v>
      </c>
      <c r="AW48" s="110">
        <v>1111258</v>
      </c>
      <c r="AX48" s="110">
        <v>5884272</v>
      </c>
      <c r="AY48" s="110">
        <v>5273969</v>
      </c>
      <c r="AZ48" s="110">
        <v>5010868</v>
      </c>
      <c r="BA48" s="110">
        <v>263101</v>
      </c>
      <c r="BB48" s="110">
        <v>610303</v>
      </c>
      <c r="BC48" s="110">
        <v>438709</v>
      </c>
      <c r="BD48" s="110">
        <v>171594</v>
      </c>
      <c r="BE48" s="110">
        <v>19595638.289999999</v>
      </c>
      <c r="BF48" s="110">
        <v>15945552.48</v>
      </c>
      <c r="BG48" s="110">
        <v>15646752.73</v>
      </c>
      <c r="BH48" s="110">
        <v>298799.75</v>
      </c>
      <c r="BI48" s="110">
        <v>3650085.81</v>
      </c>
      <c r="BJ48" s="110">
        <v>3339155.81</v>
      </c>
      <c r="BK48" s="110">
        <v>310930</v>
      </c>
      <c r="BL48" s="110">
        <v>7902588.2300000004</v>
      </c>
      <c r="BM48" s="110">
        <v>6469799.7000000002</v>
      </c>
      <c r="BN48" s="110">
        <v>6385667.0800000001</v>
      </c>
      <c r="BO48" s="110">
        <v>84132.62</v>
      </c>
      <c r="BP48" s="110">
        <v>1432788.53</v>
      </c>
      <c r="BQ48" s="110">
        <v>1345383.23</v>
      </c>
      <c r="BR48" s="110">
        <v>87405.3</v>
      </c>
      <c r="BS48" s="110">
        <v>1812657.16</v>
      </c>
      <c r="BT48" s="110">
        <v>1321751.3799999999</v>
      </c>
      <c r="BU48" s="110">
        <v>1281860.75</v>
      </c>
      <c r="BV48" s="110">
        <v>39890.629999999997</v>
      </c>
      <c r="BW48" s="110">
        <v>490905.78</v>
      </c>
      <c r="BX48" s="110">
        <v>389492.58</v>
      </c>
      <c r="BY48" s="110">
        <v>101413.2</v>
      </c>
      <c r="BZ48" s="110">
        <v>4994712.0999999996</v>
      </c>
      <c r="CA48" s="110">
        <v>4127769.6</v>
      </c>
      <c r="CB48" s="110">
        <v>4056894.6</v>
      </c>
      <c r="CC48" s="110">
        <v>70875</v>
      </c>
      <c r="CD48" s="110">
        <v>866942.5</v>
      </c>
      <c r="CE48" s="110">
        <v>806004</v>
      </c>
      <c r="CF48" s="110">
        <v>60938.5</v>
      </c>
      <c r="CG48" s="110">
        <v>4885680.8</v>
      </c>
      <c r="CH48" s="110">
        <v>4026231.8</v>
      </c>
      <c r="CI48" s="110">
        <v>3922330.3</v>
      </c>
      <c r="CJ48" s="110">
        <v>103901.5</v>
      </c>
      <c r="CK48" s="110">
        <v>859449</v>
      </c>
      <c r="CL48" s="110">
        <v>798276</v>
      </c>
      <c r="CM48" s="110">
        <v>61173</v>
      </c>
      <c r="CN48" s="110">
        <v>66950057.560000002</v>
      </c>
      <c r="CO48" s="110">
        <v>181572.68</v>
      </c>
      <c r="CP48" s="110">
        <v>938.58</v>
      </c>
      <c r="CQ48" s="110">
        <v>1624</v>
      </c>
      <c r="CR48" s="110">
        <v>1954</v>
      </c>
      <c r="CS48" s="110">
        <v>0</v>
      </c>
      <c r="CT48" s="110">
        <v>31640.69</v>
      </c>
      <c r="CU48" s="110">
        <v>0</v>
      </c>
      <c r="CV48" s="111">
        <v>91747</v>
      </c>
      <c r="CW48" s="111">
        <v>82204</v>
      </c>
      <c r="CX48" s="111">
        <v>77938</v>
      </c>
      <c r="CY48" s="111">
        <v>4266</v>
      </c>
      <c r="CZ48" s="111">
        <v>9543</v>
      </c>
      <c r="DA48" s="111">
        <v>6113</v>
      </c>
      <c r="DB48" s="111">
        <v>3430</v>
      </c>
      <c r="DC48" s="111">
        <v>170</v>
      </c>
      <c r="DD48" s="111">
        <v>0</v>
      </c>
      <c r="DE48" s="111">
        <v>135</v>
      </c>
      <c r="DF48" s="111">
        <v>132</v>
      </c>
      <c r="DG48" s="111">
        <v>3</v>
      </c>
      <c r="DH48" s="111">
        <v>35</v>
      </c>
      <c r="DI48" s="111">
        <v>18</v>
      </c>
      <c r="DJ48" s="111">
        <v>17</v>
      </c>
      <c r="DK48" s="111">
        <v>0</v>
      </c>
      <c r="DL48" s="111">
        <v>0</v>
      </c>
      <c r="DM48" s="111">
        <v>0</v>
      </c>
      <c r="DN48" s="111">
        <v>0</v>
      </c>
      <c r="DO48" s="111">
        <v>0</v>
      </c>
      <c r="DP48" s="111">
        <v>0</v>
      </c>
      <c r="DQ48" s="111">
        <v>0</v>
      </c>
      <c r="DR48" s="111">
        <v>1</v>
      </c>
      <c r="DS48" s="111">
        <v>0</v>
      </c>
      <c r="DT48" s="111">
        <v>0</v>
      </c>
      <c r="DU48" s="111">
        <v>0</v>
      </c>
      <c r="DV48" s="111">
        <v>0</v>
      </c>
      <c r="DW48" s="111">
        <v>1</v>
      </c>
      <c r="DX48" s="111">
        <v>0</v>
      </c>
      <c r="DY48" s="111">
        <v>1</v>
      </c>
      <c r="DZ48" s="111">
        <v>91576</v>
      </c>
      <c r="EA48" s="111">
        <v>82069</v>
      </c>
      <c r="EB48" s="111">
        <v>77806</v>
      </c>
      <c r="EC48" s="111">
        <v>4263</v>
      </c>
      <c r="ED48" s="111">
        <v>9507</v>
      </c>
      <c r="EE48" s="111">
        <v>6095</v>
      </c>
      <c r="EF48" s="111">
        <v>3412</v>
      </c>
      <c r="EG48" s="111">
        <v>532</v>
      </c>
      <c r="EH48" s="111">
        <v>457</v>
      </c>
      <c r="EI48" s="111">
        <v>451</v>
      </c>
      <c r="EJ48" s="111">
        <v>6</v>
      </c>
      <c r="EK48" s="111">
        <v>75</v>
      </c>
      <c r="EL48" s="111">
        <v>69</v>
      </c>
      <c r="EM48" s="111">
        <v>6</v>
      </c>
      <c r="EN48" s="111">
        <v>203</v>
      </c>
      <c r="EO48" s="111">
        <v>0</v>
      </c>
      <c r="EP48" s="111">
        <v>0</v>
      </c>
      <c r="EQ48" s="111">
        <v>203</v>
      </c>
      <c r="ER48" s="111">
        <v>0</v>
      </c>
      <c r="ES48" s="111">
        <v>0</v>
      </c>
      <c r="ET48" s="111">
        <v>0</v>
      </c>
      <c r="EU48" s="111">
        <v>0</v>
      </c>
      <c r="EV48" s="111">
        <v>0</v>
      </c>
      <c r="EW48" s="111">
        <v>0</v>
      </c>
      <c r="EX48" s="111">
        <v>0</v>
      </c>
      <c r="EY48" s="111">
        <v>0</v>
      </c>
      <c r="EZ48" s="111">
        <v>0</v>
      </c>
      <c r="FA48" s="111">
        <v>0</v>
      </c>
      <c r="FB48" s="111">
        <v>0</v>
      </c>
    </row>
    <row r="49" spans="1:158" ht="19.5" customHeight="1">
      <c r="A49" s="107">
        <v>46</v>
      </c>
      <c r="B49" s="107" t="s">
        <v>350</v>
      </c>
      <c r="C49" s="107" t="s">
        <v>399</v>
      </c>
      <c r="D49" s="110">
        <v>5743419.5</v>
      </c>
      <c r="E49" s="110">
        <v>5195861</v>
      </c>
      <c r="F49" s="110">
        <v>547558.5</v>
      </c>
      <c r="G49" s="110">
        <v>5553</v>
      </c>
      <c r="H49" s="110">
        <v>60</v>
      </c>
      <c r="I49" s="110">
        <v>4470112</v>
      </c>
      <c r="J49" s="110">
        <v>0</v>
      </c>
      <c r="K49" s="110">
        <v>0</v>
      </c>
      <c r="L49" s="110">
        <v>404765</v>
      </c>
      <c r="M49" s="110">
        <v>0</v>
      </c>
      <c r="N49" s="110">
        <v>709.63</v>
      </c>
      <c r="O49" s="110">
        <v>5783495.2300000004</v>
      </c>
      <c r="P49" s="110">
        <v>4967085.5599999996</v>
      </c>
      <c r="Q49" s="110">
        <v>4747310.8099999996</v>
      </c>
      <c r="R49" s="110">
        <v>219774.75</v>
      </c>
      <c r="S49" s="110">
        <v>816409.67</v>
      </c>
      <c r="T49" s="110">
        <v>657082.4</v>
      </c>
      <c r="U49" s="110">
        <v>159327.26999999999</v>
      </c>
      <c r="V49" s="110">
        <v>5228757.33</v>
      </c>
      <c r="W49" s="110">
        <v>4876421.2</v>
      </c>
      <c r="X49" s="110">
        <v>4656646.45</v>
      </c>
      <c r="Y49" s="110">
        <v>219774.75</v>
      </c>
      <c r="Z49" s="110">
        <v>352336.13</v>
      </c>
      <c r="AA49" s="110">
        <v>193008.86</v>
      </c>
      <c r="AB49" s="110">
        <v>159327.26999999999</v>
      </c>
      <c r="AC49" s="110">
        <v>18166.330000000002</v>
      </c>
      <c r="AD49" s="110">
        <v>16185.2</v>
      </c>
      <c r="AE49" s="110">
        <v>14698.45</v>
      </c>
      <c r="AF49" s="110">
        <v>1486.75</v>
      </c>
      <c r="AG49" s="110">
        <v>1981.13</v>
      </c>
      <c r="AH49" s="110">
        <v>589.86</v>
      </c>
      <c r="AI49" s="110">
        <v>1391.27</v>
      </c>
      <c r="AJ49" s="110">
        <v>14730</v>
      </c>
      <c r="AK49" s="110">
        <v>13337</v>
      </c>
      <c r="AL49" s="110">
        <v>12432</v>
      </c>
      <c r="AM49" s="110">
        <v>905</v>
      </c>
      <c r="AN49" s="110">
        <v>1393</v>
      </c>
      <c r="AO49" s="110">
        <v>614</v>
      </c>
      <c r="AP49" s="110">
        <v>779</v>
      </c>
      <c r="AQ49" s="110">
        <v>537276</v>
      </c>
      <c r="AR49" s="110">
        <v>479725</v>
      </c>
      <c r="AS49" s="110">
        <v>438163</v>
      </c>
      <c r="AT49" s="110">
        <v>41562</v>
      </c>
      <c r="AU49" s="110">
        <v>57551</v>
      </c>
      <c r="AV49" s="110">
        <v>28442</v>
      </c>
      <c r="AW49" s="110">
        <v>29109</v>
      </c>
      <c r="AX49" s="110">
        <v>4658585</v>
      </c>
      <c r="AY49" s="110">
        <v>4367174</v>
      </c>
      <c r="AZ49" s="110">
        <v>4191353</v>
      </c>
      <c r="BA49" s="110">
        <v>175821</v>
      </c>
      <c r="BB49" s="110">
        <v>291411</v>
      </c>
      <c r="BC49" s="110">
        <v>163363</v>
      </c>
      <c r="BD49" s="110">
        <v>128048</v>
      </c>
      <c r="BE49" s="110">
        <v>554737.9</v>
      </c>
      <c r="BF49" s="110">
        <v>90664.36</v>
      </c>
      <c r="BG49" s="110">
        <v>90664.36</v>
      </c>
      <c r="BH49" s="110">
        <v>0</v>
      </c>
      <c r="BI49" s="110">
        <v>464073.54</v>
      </c>
      <c r="BJ49" s="110">
        <v>464073.54</v>
      </c>
      <c r="BK49" s="110">
        <v>0</v>
      </c>
      <c r="BL49" s="110">
        <v>5517.76</v>
      </c>
      <c r="BM49" s="110">
        <v>465.36</v>
      </c>
      <c r="BN49" s="110">
        <v>465.36</v>
      </c>
      <c r="BO49" s="110">
        <v>0</v>
      </c>
      <c r="BP49" s="110">
        <v>5052.3999999999996</v>
      </c>
      <c r="BQ49" s="110">
        <v>5052.3999999999996</v>
      </c>
      <c r="BR49" s="110">
        <v>0</v>
      </c>
      <c r="BS49" s="110">
        <v>1661.64</v>
      </c>
      <c r="BT49" s="110">
        <v>588</v>
      </c>
      <c r="BU49" s="110">
        <v>588</v>
      </c>
      <c r="BV49" s="110">
        <v>0</v>
      </c>
      <c r="BW49" s="110">
        <v>1073.6400000000001</v>
      </c>
      <c r="BX49" s="110">
        <v>1073.6400000000001</v>
      </c>
      <c r="BY49" s="110">
        <v>0</v>
      </c>
      <c r="BZ49" s="110">
        <v>56662</v>
      </c>
      <c r="CA49" s="110">
        <v>7664</v>
      </c>
      <c r="CB49" s="110">
        <v>7664</v>
      </c>
      <c r="CC49" s="110">
        <v>0</v>
      </c>
      <c r="CD49" s="110">
        <v>48998</v>
      </c>
      <c r="CE49" s="110">
        <v>48998</v>
      </c>
      <c r="CF49" s="110">
        <v>0</v>
      </c>
      <c r="CG49" s="110">
        <v>490896.5</v>
      </c>
      <c r="CH49" s="110">
        <v>81947</v>
      </c>
      <c r="CI49" s="110">
        <v>81947</v>
      </c>
      <c r="CJ49" s="110">
        <v>0</v>
      </c>
      <c r="CK49" s="110">
        <v>408949.5</v>
      </c>
      <c r="CL49" s="110">
        <v>408949.5</v>
      </c>
      <c r="CM49" s="110">
        <v>0</v>
      </c>
      <c r="CN49" s="110">
        <v>0</v>
      </c>
      <c r="CO49" s="110">
        <v>3049165.47</v>
      </c>
      <c r="CP49" s="110">
        <v>194381.44</v>
      </c>
      <c r="CQ49" s="110">
        <v>1806367.77</v>
      </c>
      <c r="CR49" s="110">
        <v>136491.65</v>
      </c>
      <c r="CS49" s="110">
        <v>42351</v>
      </c>
      <c r="CT49" s="110">
        <v>0</v>
      </c>
      <c r="CU49" s="110">
        <v>0</v>
      </c>
      <c r="CV49" s="111">
        <v>5553</v>
      </c>
      <c r="CW49" s="111">
        <v>4963</v>
      </c>
      <c r="CX49" s="111">
        <v>4464</v>
      </c>
      <c r="CY49" s="111">
        <v>499</v>
      </c>
      <c r="CZ49" s="111">
        <v>590</v>
      </c>
      <c r="DA49" s="111">
        <v>267</v>
      </c>
      <c r="DB49" s="111">
        <v>323</v>
      </c>
      <c r="DC49" s="111">
        <v>5030</v>
      </c>
      <c r="DD49" s="111">
        <v>0</v>
      </c>
      <c r="DE49" s="111">
        <v>4527</v>
      </c>
      <c r="DF49" s="111">
        <v>4230</v>
      </c>
      <c r="DG49" s="111">
        <v>297</v>
      </c>
      <c r="DH49" s="111">
        <v>503</v>
      </c>
      <c r="DI49" s="111">
        <v>239</v>
      </c>
      <c r="DJ49" s="111">
        <v>264</v>
      </c>
      <c r="DK49" s="111">
        <v>415</v>
      </c>
      <c r="DL49" s="111">
        <v>362</v>
      </c>
      <c r="DM49" s="111">
        <v>178</v>
      </c>
      <c r="DN49" s="111">
        <v>184</v>
      </c>
      <c r="DO49" s="111">
        <v>53</v>
      </c>
      <c r="DP49" s="111">
        <v>20</v>
      </c>
      <c r="DQ49" s="111">
        <v>33</v>
      </c>
      <c r="DR49" s="111">
        <v>108</v>
      </c>
      <c r="DS49" s="111">
        <v>0</v>
      </c>
      <c r="DT49" s="111">
        <v>74</v>
      </c>
      <c r="DU49" s="111">
        <v>56</v>
      </c>
      <c r="DV49" s="111">
        <v>18</v>
      </c>
      <c r="DW49" s="111">
        <v>34</v>
      </c>
      <c r="DX49" s="111">
        <v>8</v>
      </c>
      <c r="DY49" s="111">
        <v>26</v>
      </c>
      <c r="DZ49" s="111">
        <v>0</v>
      </c>
      <c r="EA49" s="111">
        <v>0</v>
      </c>
      <c r="EB49" s="111">
        <v>0</v>
      </c>
      <c r="EC49" s="111">
        <v>0</v>
      </c>
      <c r="ED49" s="111">
        <v>0</v>
      </c>
      <c r="EE49" s="111">
        <v>0</v>
      </c>
      <c r="EF49" s="111">
        <v>0</v>
      </c>
      <c r="EG49" s="111">
        <v>60</v>
      </c>
      <c r="EH49" s="111">
        <v>8</v>
      </c>
      <c r="EI49" s="111">
        <v>8</v>
      </c>
      <c r="EJ49" s="111">
        <v>0</v>
      </c>
      <c r="EK49" s="111">
        <v>52</v>
      </c>
      <c r="EL49" s="111">
        <v>52</v>
      </c>
      <c r="EM49" s="111">
        <v>0</v>
      </c>
      <c r="EN49" s="111">
        <v>233</v>
      </c>
      <c r="EO49" s="111">
        <v>0</v>
      </c>
      <c r="EP49" s="111">
        <v>0</v>
      </c>
      <c r="EQ49" s="111">
        <v>233</v>
      </c>
      <c r="ER49" s="111">
        <v>0</v>
      </c>
      <c r="ES49" s="111">
        <v>0</v>
      </c>
      <c r="ET49" s="111">
        <v>0</v>
      </c>
      <c r="EU49" s="111">
        <v>0</v>
      </c>
      <c r="EV49" s="111">
        <v>0</v>
      </c>
      <c r="EW49" s="111">
        <v>0</v>
      </c>
      <c r="EX49" s="111">
        <v>0</v>
      </c>
      <c r="EY49" s="111">
        <v>0</v>
      </c>
      <c r="EZ49" s="111">
        <v>0</v>
      </c>
      <c r="FA49" s="111">
        <v>0</v>
      </c>
      <c r="FB49" s="111">
        <v>0</v>
      </c>
    </row>
    <row r="50" spans="1:158" ht="19.5" customHeight="1">
      <c r="A50" s="107">
        <v>47</v>
      </c>
      <c r="B50" s="107" t="s">
        <v>350</v>
      </c>
      <c r="C50" s="107" t="s">
        <v>400</v>
      </c>
      <c r="D50" s="110">
        <v>14340672</v>
      </c>
      <c r="E50" s="110">
        <v>10489745.5</v>
      </c>
      <c r="F50" s="110">
        <v>3850926.5</v>
      </c>
      <c r="G50" s="110">
        <v>33004</v>
      </c>
      <c r="H50" s="110">
        <v>380</v>
      </c>
      <c r="I50" s="110">
        <v>7469940</v>
      </c>
      <c r="J50" s="110">
        <v>172</v>
      </c>
      <c r="K50" s="110">
        <v>8872676.5199999996</v>
      </c>
      <c r="L50" s="110">
        <v>1216222</v>
      </c>
      <c r="M50" s="110">
        <v>56783</v>
      </c>
      <c r="N50" s="110">
        <v>20050.919999999998</v>
      </c>
      <c r="O50" s="110">
        <v>32470398.98</v>
      </c>
      <c r="P50" s="110">
        <v>28266741.239999998</v>
      </c>
      <c r="Q50" s="110">
        <v>27509667.300000001</v>
      </c>
      <c r="R50" s="110">
        <v>757073.94</v>
      </c>
      <c r="S50" s="110">
        <v>4203657.74</v>
      </c>
      <c r="T50" s="110">
        <v>2811408.91</v>
      </c>
      <c r="U50" s="110">
        <v>1392248.83</v>
      </c>
      <c r="V50" s="110">
        <v>27768030.079999998</v>
      </c>
      <c r="W50" s="110">
        <v>24599905.149999999</v>
      </c>
      <c r="X50" s="110">
        <v>23842831.210000001</v>
      </c>
      <c r="Y50" s="110">
        <v>757073.94</v>
      </c>
      <c r="Z50" s="110">
        <v>3168124.93</v>
      </c>
      <c r="AA50" s="110">
        <v>1775876.1</v>
      </c>
      <c r="AB50" s="110">
        <v>1392248.83</v>
      </c>
      <c r="AC50" s="110">
        <v>16906374.989999998</v>
      </c>
      <c r="AD50" s="110">
        <v>15117217.560000001</v>
      </c>
      <c r="AE50" s="110">
        <v>14707012.52</v>
      </c>
      <c r="AF50" s="110">
        <v>410205.04</v>
      </c>
      <c r="AG50" s="110">
        <v>1789157.43</v>
      </c>
      <c r="AH50" s="110">
        <v>1020080.1</v>
      </c>
      <c r="AI50" s="110">
        <v>769077.33</v>
      </c>
      <c r="AJ50" s="110">
        <v>371909.59</v>
      </c>
      <c r="AK50" s="110">
        <v>347212.59</v>
      </c>
      <c r="AL50" s="110">
        <v>344669.69</v>
      </c>
      <c r="AM50" s="110">
        <v>2542.9</v>
      </c>
      <c r="AN50" s="110">
        <v>24697</v>
      </c>
      <c r="AO50" s="110">
        <v>24005</v>
      </c>
      <c r="AP50" s="110">
        <v>692</v>
      </c>
      <c r="AQ50" s="110">
        <v>1086418</v>
      </c>
      <c r="AR50" s="110">
        <v>943762</v>
      </c>
      <c r="AS50" s="110">
        <v>909418</v>
      </c>
      <c r="AT50" s="110">
        <v>34344</v>
      </c>
      <c r="AU50" s="110">
        <v>142656</v>
      </c>
      <c r="AV50" s="110">
        <v>87511</v>
      </c>
      <c r="AW50" s="110">
        <v>55145</v>
      </c>
      <c r="AX50" s="110">
        <v>9403327.5</v>
      </c>
      <c r="AY50" s="110">
        <v>8191713</v>
      </c>
      <c r="AZ50" s="110">
        <v>7881731</v>
      </c>
      <c r="BA50" s="110">
        <v>309982</v>
      </c>
      <c r="BB50" s="110">
        <v>1211614.5</v>
      </c>
      <c r="BC50" s="110">
        <v>644280</v>
      </c>
      <c r="BD50" s="110">
        <v>567334.5</v>
      </c>
      <c r="BE50" s="110">
        <v>4702368.9000000004</v>
      </c>
      <c r="BF50" s="110">
        <v>3666836.09</v>
      </c>
      <c r="BG50" s="110">
        <v>3666836.09</v>
      </c>
      <c r="BH50" s="110">
        <v>0</v>
      </c>
      <c r="BI50" s="110">
        <v>1035532.81</v>
      </c>
      <c r="BJ50" s="110">
        <v>1035532.81</v>
      </c>
      <c r="BK50" s="110">
        <v>0</v>
      </c>
      <c r="BL50" s="110">
        <v>583785.68000000005</v>
      </c>
      <c r="BM50" s="110">
        <v>452980.57</v>
      </c>
      <c r="BN50" s="110">
        <v>452980.57</v>
      </c>
      <c r="BO50" s="110">
        <v>0</v>
      </c>
      <c r="BP50" s="110">
        <v>130805.11</v>
      </c>
      <c r="BQ50" s="110">
        <v>130805.11</v>
      </c>
      <c r="BR50" s="110">
        <v>0</v>
      </c>
      <c r="BS50" s="110">
        <v>267656.71999999997</v>
      </c>
      <c r="BT50" s="110">
        <v>214372.52</v>
      </c>
      <c r="BU50" s="110">
        <v>214372.52</v>
      </c>
      <c r="BV50" s="110">
        <v>0</v>
      </c>
      <c r="BW50" s="110">
        <v>53284.2</v>
      </c>
      <c r="BX50" s="110">
        <v>53284.2</v>
      </c>
      <c r="BY50" s="110">
        <v>0</v>
      </c>
      <c r="BZ50" s="110">
        <v>2039765</v>
      </c>
      <c r="CA50" s="110">
        <v>1596512</v>
      </c>
      <c r="CB50" s="110">
        <v>1596512</v>
      </c>
      <c r="CC50" s="110">
        <v>0</v>
      </c>
      <c r="CD50" s="110">
        <v>443253</v>
      </c>
      <c r="CE50" s="110">
        <v>443253</v>
      </c>
      <c r="CF50" s="110">
        <v>0</v>
      </c>
      <c r="CG50" s="110">
        <v>1811161.5</v>
      </c>
      <c r="CH50" s="110">
        <v>1402971</v>
      </c>
      <c r="CI50" s="110">
        <v>1402971</v>
      </c>
      <c r="CJ50" s="110">
        <v>0</v>
      </c>
      <c r="CK50" s="110">
        <v>408190.5</v>
      </c>
      <c r="CL50" s="110">
        <v>408190.5</v>
      </c>
      <c r="CM50" s="110">
        <v>0</v>
      </c>
      <c r="CN50" s="110">
        <v>0</v>
      </c>
      <c r="CO50" s="110">
        <v>9692682.8499999996</v>
      </c>
      <c r="CP50" s="110">
        <v>13984973.85</v>
      </c>
      <c r="CQ50" s="110">
        <v>760334.64</v>
      </c>
      <c r="CR50" s="110">
        <v>3330038.74</v>
      </c>
      <c r="CS50" s="110">
        <v>0</v>
      </c>
      <c r="CT50" s="110">
        <v>0</v>
      </c>
      <c r="CU50" s="110">
        <v>0</v>
      </c>
      <c r="CV50" s="111">
        <v>33004</v>
      </c>
      <c r="CW50" s="111">
        <v>29627</v>
      </c>
      <c r="CX50" s="111">
        <v>28519</v>
      </c>
      <c r="CY50" s="111">
        <v>1108</v>
      </c>
      <c r="CZ50" s="111">
        <v>3377</v>
      </c>
      <c r="DA50" s="111">
        <v>1915</v>
      </c>
      <c r="DB50" s="111">
        <v>1462</v>
      </c>
      <c r="DC50" s="111">
        <v>16932</v>
      </c>
      <c r="DD50" s="111">
        <v>59</v>
      </c>
      <c r="DE50" s="111">
        <v>15628</v>
      </c>
      <c r="DF50" s="111">
        <v>15144</v>
      </c>
      <c r="DG50" s="111">
        <v>484</v>
      </c>
      <c r="DH50" s="111">
        <v>1304</v>
      </c>
      <c r="DI50" s="111">
        <v>727</v>
      </c>
      <c r="DJ50" s="111">
        <v>577</v>
      </c>
      <c r="DK50" s="111">
        <v>13718</v>
      </c>
      <c r="DL50" s="111">
        <v>12226</v>
      </c>
      <c r="DM50" s="111">
        <v>11791</v>
      </c>
      <c r="DN50" s="111">
        <v>435</v>
      </c>
      <c r="DO50" s="111">
        <v>1492</v>
      </c>
      <c r="DP50" s="111">
        <v>902</v>
      </c>
      <c r="DQ50" s="111">
        <v>590</v>
      </c>
      <c r="DR50" s="111">
        <v>2295</v>
      </c>
      <c r="DS50" s="111">
        <v>0</v>
      </c>
      <c r="DT50" s="111">
        <v>1727</v>
      </c>
      <c r="DU50" s="111">
        <v>1561</v>
      </c>
      <c r="DV50" s="111">
        <v>166</v>
      </c>
      <c r="DW50" s="111">
        <v>568</v>
      </c>
      <c r="DX50" s="111">
        <v>286</v>
      </c>
      <c r="DY50" s="111">
        <v>282</v>
      </c>
      <c r="DZ50" s="111">
        <v>0</v>
      </c>
      <c r="EA50" s="111">
        <v>0</v>
      </c>
      <c r="EB50" s="111">
        <v>0</v>
      </c>
      <c r="EC50" s="111">
        <v>0</v>
      </c>
      <c r="ED50" s="111">
        <v>0</v>
      </c>
      <c r="EE50" s="111">
        <v>0</v>
      </c>
      <c r="EF50" s="111">
        <v>0</v>
      </c>
      <c r="EG50" s="111">
        <v>380</v>
      </c>
      <c r="EH50" s="111">
        <v>303</v>
      </c>
      <c r="EI50" s="111">
        <v>303</v>
      </c>
      <c r="EJ50" s="111">
        <v>0</v>
      </c>
      <c r="EK50" s="111">
        <v>77</v>
      </c>
      <c r="EL50" s="111">
        <v>77</v>
      </c>
      <c r="EM50" s="111">
        <v>0</v>
      </c>
      <c r="EN50" s="111">
        <v>298</v>
      </c>
      <c r="EO50" s="111">
        <v>0</v>
      </c>
      <c r="EP50" s="111">
        <v>0</v>
      </c>
      <c r="EQ50" s="111">
        <v>298</v>
      </c>
      <c r="ER50" s="111">
        <v>0</v>
      </c>
      <c r="ES50" s="111">
        <v>0</v>
      </c>
      <c r="ET50" s="111">
        <v>0</v>
      </c>
      <c r="EU50" s="111">
        <v>0</v>
      </c>
      <c r="EV50" s="111">
        <v>0</v>
      </c>
      <c r="EW50" s="111">
        <v>0</v>
      </c>
      <c r="EX50" s="111">
        <v>0</v>
      </c>
      <c r="EY50" s="111">
        <v>0</v>
      </c>
      <c r="EZ50" s="111">
        <v>0</v>
      </c>
      <c r="FA50" s="111">
        <v>0</v>
      </c>
      <c r="FB50" s="111">
        <v>73</v>
      </c>
    </row>
    <row r="51" spans="1:158" ht="19.5" customHeight="1">
      <c r="A51" s="107">
        <v>48</v>
      </c>
      <c r="B51" s="107" t="s">
        <v>401</v>
      </c>
      <c r="C51" s="107" t="s">
        <v>402</v>
      </c>
      <c r="D51" s="110">
        <v>1058463.5</v>
      </c>
      <c r="E51" s="110">
        <v>661239</v>
      </c>
      <c r="F51" s="110">
        <v>397224.5</v>
      </c>
      <c r="G51" s="110">
        <v>1567</v>
      </c>
      <c r="H51" s="110">
        <v>80</v>
      </c>
      <c r="I51" s="110">
        <v>1680</v>
      </c>
      <c r="J51" s="110">
        <v>0</v>
      </c>
      <c r="K51" s="110">
        <v>0</v>
      </c>
      <c r="L51" s="110">
        <v>26760</v>
      </c>
      <c r="M51" s="110">
        <v>0</v>
      </c>
      <c r="N51" s="110">
        <v>0</v>
      </c>
      <c r="O51" s="110">
        <v>1716523.51</v>
      </c>
      <c r="P51" s="110">
        <v>1038939.53</v>
      </c>
      <c r="Q51" s="110">
        <v>974499.85</v>
      </c>
      <c r="R51" s="110">
        <v>64439.68</v>
      </c>
      <c r="S51" s="110">
        <v>677583.98</v>
      </c>
      <c r="T51" s="110">
        <v>472174.43</v>
      </c>
      <c r="U51" s="110">
        <v>205409.55</v>
      </c>
      <c r="V51" s="110">
        <v>864455.41</v>
      </c>
      <c r="W51" s="110">
        <v>529635.55000000005</v>
      </c>
      <c r="X51" s="110">
        <v>465195.87</v>
      </c>
      <c r="Y51" s="110">
        <v>64439.68</v>
      </c>
      <c r="Z51" s="110">
        <v>334819.86</v>
      </c>
      <c r="AA51" s="110">
        <v>129410.31</v>
      </c>
      <c r="AB51" s="110">
        <v>205409.55</v>
      </c>
      <c r="AC51" s="110">
        <v>202956.41</v>
      </c>
      <c r="AD51" s="110">
        <v>145128.54999999999</v>
      </c>
      <c r="AE51" s="110">
        <v>134157.87</v>
      </c>
      <c r="AF51" s="110">
        <v>10970.68</v>
      </c>
      <c r="AG51" s="110">
        <v>57827.86</v>
      </c>
      <c r="AH51" s="110">
        <v>17766.310000000001</v>
      </c>
      <c r="AI51" s="110">
        <v>40061.550000000003</v>
      </c>
      <c r="AJ51" s="110">
        <v>260</v>
      </c>
      <c r="AK51" s="110">
        <v>131</v>
      </c>
      <c r="AL51" s="110">
        <v>131</v>
      </c>
      <c r="AM51" s="110">
        <v>0</v>
      </c>
      <c r="AN51" s="110">
        <v>129</v>
      </c>
      <c r="AO51" s="110">
        <v>86</v>
      </c>
      <c r="AP51" s="110">
        <v>43</v>
      </c>
      <c r="AQ51" s="110">
        <v>584328</v>
      </c>
      <c r="AR51" s="110">
        <v>340732</v>
      </c>
      <c r="AS51" s="110">
        <v>291090</v>
      </c>
      <c r="AT51" s="110">
        <v>49642</v>
      </c>
      <c r="AU51" s="110">
        <v>243596</v>
      </c>
      <c r="AV51" s="110">
        <v>98729</v>
      </c>
      <c r="AW51" s="110">
        <v>144867</v>
      </c>
      <c r="AX51" s="110">
        <v>76911</v>
      </c>
      <c r="AY51" s="110">
        <v>43644</v>
      </c>
      <c r="AZ51" s="110">
        <v>39817</v>
      </c>
      <c r="BA51" s="110">
        <v>3827</v>
      </c>
      <c r="BB51" s="110">
        <v>33267</v>
      </c>
      <c r="BC51" s="110">
        <v>12829</v>
      </c>
      <c r="BD51" s="110">
        <v>20438</v>
      </c>
      <c r="BE51" s="110">
        <v>852068.1</v>
      </c>
      <c r="BF51" s="110">
        <v>509303.98</v>
      </c>
      <c r="BG51" s="110">
        <v>509303.98</v>
      </c>
      <c r="BH51" s="110">
        <v>0</v>
      </c>
      <c r="BI51" s="110">
        <v>342764.12</v>
      </c>
      <c r="BJ51" s="110">
        <v>342764.12</v>
      </c>
      <c r="BK51" s="110">
        <v>0</v>
      </c>
      <c r="BL51" s="110">
        <v>454843.6</v>
      </c>
      <c r="BM51" s="110">
        <v>272305.98</v>
      </c>
      <c r="BN51" s="110">
        <v>272305.98</v>
      </c>
      <c r="BO51" s="110">
        <v>0</v>
      </c>
      <c r="BP51" s="110">
        <v>182537.62</v>
      </c>
      <c r="BQ51" s="110">
        <v>182537.62</v>
      </c>
      <c r="BR51" s="110">
        <v>0</v>
      </c>
      <c r="BS51" s="110">
        <v>0</v>
      </c>
      <c r="BT51" s="110">
        <v>0</v>
      </c>
      <c r="BU51" s="110">
        <v>0</v>
      </c>
      <c r="BV51" s="110">
        <v>0</v>
      </c>
      <c r="BW51" s="110">
        <v>0</v>
      </c>
      <c r="BX51" s="110">
        <v>0</v>
      </c>
      <c r="BY51" s="110">
        <v>0</v>
      </c>
      <c r="BZ51" s="110">
        <v>334793</v>
      </c>
      <c r="CA51" s="110">
        <v>200080</v>
      </c>
      <c r="CB51" s="110">
        <v>200080</v>
      </c>
      <c r="CC51" s="110">
        <v>0</v>
      </c>
      <c r="CD51" s="110">
        <v>134713</v>
      </c>
      <c r="CE51" s="110">
        <v>134713</v>
      </c>
      <c r="CF51" s="110">
        <v>0</v>
      </c>
      <c r="CG51" s="110">
        <v>62431.5</v>
      </c>
      <c r="CH51" s="110">
        <v>36918</v>
      </c>
      <c r="CI51" s="110">
        <v>36918</v>
      </c>
      <c r="CJ51" s="110">
        <v>0</v>
      </c>
      <c r="CK51" s="110">
        <v>25513.5</v>
      </c>
      <c r="CL51" s="110">
        <v>25513.5</v>
      </c>
      <c r="CM51" s="110">
        <v>0</v>
      </c>
      <c r="CN51" s="110">
        <v>0</v>
      </c>
      <c r="CO51" s="110">
        <v>289491.94</v>
      </c>
      <c r="CP51" s="110">
        <v>434013.46</v>
      </c>
      <c r="CQ51" s="110">
        <v>119430.99</v>
      </c>
      <c r="CR51" s="110">
        <v>21519.02</v>
      </c>
      <c r="CS51" s="110">
        <v>0</v>
      </c>
      <c r="CT51" s="110">
        <v>0</v>
      </c>
      <c r="CU51" s="110">
        <v>0</v>
      </c>
      <c r="CV51" s="111">
        <v>1567</v>
      </c>
      <c r="CW51" s="111">
        <v>1096</v>
      </c>
      <c r="CX51" s="111">
        <v>1036</v>
      </c>
      <c r="CY51" s="111">
        <v>60</v>
      </c>
      <c r="CZ51" s="111">
        <v>471</v>
      </c>
      <c r="DA51" s="111">
        <v>205</v>
      </c>
      <c r="DB51" s="111">
        <v>266</v>
      </c>
      <c r="DC51" s="111">
        <v>628</v>
      </c>
      <c r="DD51" s="111">
        <v>7</v>
      </c>
      <c r="DE51" s="111">
        <v>522</v>
      </c>
      <c r="DF51" s="111">
        <v>501</v>
      </c>
      <c r="DG51" s="111">
        <v>21</v>
      </c>
      <c r="DH51" s="111">
        <v>106</v>
      </c>
      <c r="DI51" s="111">
        <v>60</v>
      </c>
      <c r="DJ51" s="111">
        <v>46</v>
      </c>
      <c r="DK51" s="111">
        <v>851</v>
      </c>
      <c r="DL51" s="111">
        <v>555</v>
      </c>
      <c r="DM51" s="111">
        <v>523</v>
      </c>
      <c r="DN51" s="111">
        <v>32</v>
      </c>
      <c r="DO51" s="111">
        <v>296</v>
      </c>
      <c r="DP51" s="111">
        <v>121</v>
      </c>
      <c r="DQ51" s="111">
        <v>175</v>
      </c>
      <c r="DR51" s="111">
        <v>81</v>
      </c>
      <c r="DS51" s="111">
        <v>0</v>
      </c>
      <c r="DT51" s="111">
        <v>14</v>
      </c>
      <c r="DU51" s="111">
        <v>7</v>
      </c>
      <c r="DV51" s="111">
        <v>7</v>
      </c>
      <c r="DW51" s="111">
        <v>67</v>
      </c>
      <c r="DX51" s="111">
        <v>24</v>
      </c>
      <c r="DY51" s="111">
        <v>43</v>
      </c>
      <c r="DZ51" s="111">
        <v>0</v>
      </c>
      <c r="EA51" s="111">
        <v>0</v>
      </c>
      <c r="EB51" s="111">
        <v>0</v>
      </c>
      <c r="EC51" s="111">
        <v>0</v>
      </c>
      <c r="ED51" s="111">
        <v>0</v>
      </c>
      <c r="EE51" s="111">
        <v>0</v>
      </c>
      <c r="EF51" s="111">
        <v>0</v>
      </c>
      <c r="EG51" s="111">
        <v>80</v>
      </c>
      <c r="EH51" s="111">
        <v>48</v>
      </c>
      <c r="EI51" s="111">
        <v>48</v>
      </c>
      <c r="EJ51" s="111">
        <v>0</v>
      </c>
      <c r="EK51" s="111">
        <v>32</v>
      </c>
      <c r="EL51" s="111">
        <v>32</v>
      </c>
      <c r="EM51" s="111">
        <v>0</v>
      </c>
      <c r="EN51" s="111">
        <v>86</v>
      </c>
      <c r="EO51" s="111">
        <v>0</v>
      </c>
      <c r="EP51" s="111">
        <v>0</v>
      </c>
      <c r="EQ51" s="111">
        <v>86</v>
      </c>
      <c r="ER51" s="111">
        <v>0</v>
      </c>
      <c r="ES51" s="111">
        <v>0</v>
      </c>
      <c r="ET51" s="111">
        <v>0</v>
      </c>
      <c r="EU51" s="111">
        <v>0</v>
      </c>
      <c r="EV51" s="111">
        <v>0</v>
      </c>
      <c r="EW51" s="111">
        <v>0</v>
      </c>
      <c r="EX51" s="111">
        <v>0</v>
      </c>
      <c r="EY51" s="111">
        <v>0</v>
      </c>
      <c r="EZ51" s="111">
        <v>0</v>
      </c>
      <c r="FA51" s="111">
        <v>0</v>
      </c>
      <c r="FB51" s="111">
        <v>80</v>
      </c>
    </row>
    <row r="52" spans="1:158" ht="19.5" customHeight="1">
      <c r="A52" s="107">
        <v>49</v>
      </c>
      <c r="B52" s="107" t="s">
        <v>401</v>
      </c>
      <c r="C52" s="107" t="s">
        <v>403</v>
      </c>
      <c r="D52" s="110">
        <v>295669</v>
      </c>
      <c r="E52" s="110">
        <v>295669</v>
      </c>
      <c r="F52" s="110">
        <v>0</v>
      </c>
      <c r="G52" s="110">
        <v>2064</v>
      </c>
      <c r="H52" s="110">
        <v>0</v>
      </c>
      <c r="I52" s="110">
        <v>160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  <c r="O52" s="110">
        <v>612299.77</v>
      </c>
      <c r="P52" s="110">
        <v>566153.02</v>
      </c>
      <c r="Q52" s="110">
        <v>548565.03</v>
      </c>
      <c r="R52" s="110">
        <v>17587.990000000002</v>
      </c>
      <c r="S52" s="110">
        <v>46146.75</v>
      </c>
      <c r="T52" s="110">
        <v>27911.65</v>
      </c>
      <c r="U52" s="110">
        <v>18235.099999999999</v>
      </c>
      <c r="V52" s="110">
        <v>612299.77</v>
      </c>
      <c r="W52" s="110">
        <v>566153.02</v>
      </c>
      <c r="X52" s="110">
        <v>548565.03</v>
      </c>
      <c r="Y52" s="110">
        <v>17587.990000000002</v>
      </c>
      <c r="Z52" s="110">
        <v>46146.75</v>
      </c>
      <c r="AA52" s="110">
        <v>27911.65</v>
      </c>
      <c r="AB52" s="110">
        <v>18235.099999999999</v>
      </c>
      <c r="AC52" s="110">
        <v>316630.77</v>
      </c>
      <c r="AD52" s="110">
        <v>294248.02</v>
      </c>
      <c r="AE52" s="110">
        <v>292050.03000000003</v>
      </c>
      <c r="AF52" s="110">
        <v>2197.9899999999998</v>
      </c>
      <c r="AG52" s="110">
        <v>22382.75</v>
      </c>
      <c r="AH52" s="110">
        <v>17534.650000000001</v>
      </c>
      <c r="AI52" s="110">
        <v>4848.1000000000004</v>
      </c>
      <c r="AJ52" s="110">
        <v>0</v>
      </c>
      <c r="AK52" s="110">
        <v>0</v>
      </c>
      <c r="AL52" s="110">
        <v>0</v>
      </c>
      <c r="AM52" s="110">
        <v>0</v>
      </c>
      <c r="AN52" s="110">
        <v>0</v>
      </c>
      <c r="AO52" s="110">
        <v>0</v>
      </c>
      <c r="AP52" s="110">
        <v>0</v>
      </c>
      <c r="AQ52" s="110">
        <v>227608</v>
      </c>
      <c r="AR52" s="110">
        <v>210481</v>
      </c>
      <c r="AS52" s="110">
        <v>198556</v>
      </c>
      <c r="AT52" s="110">
        <v>11925</v>
      </c>
      <c r="AU52" s="110">
        <v>17127</v>
      </c>
      <c r="AV52" s="110">
        <v>6946</v>
      </c>
      <c r="AW52" s="110">
        <v>10181</v>
      </c>
      <c r="AX52" s="110">
        <v>68061</v>
      </c>
      <c r="AY52" s="110">
        <v>61424</v>
      </c>
      <c r="AZ52" s="110">
        <v>57959</v>
      </c>
      <c r="BA52" s="110">
        <v>3465</v>
      </c>
      <c r="BB52" s="110">
        <v>6637</v>
      </c>
      <c r="BC52" s="110">
        <v>3431</v>
      </c>
      <c r="BD52" s="110">
        <v>3206</v>
      </c>
      <c r="BE52" s="110">
        <v>0</v>
      </c>
      <c r="BF52" s="110">
        <v>0</v>
      </c>
      <c r="BG52" s="110">
        <v>0</v>
      </c>
      <c r="BH52" s="110">
        <v>0</v>
      </c>
      <c r="BI52" s="110">
        <v>0</v>
      </c>
      <c r="BJ52" s="110">
        <v>0</v>
      </c>
      <c r="BK52" s="110">
        <v>0</v>
      </c>
      <c r="BL52" s="110">
        <v>0</v>
      </c>
      <c r="BM52" s="110">
        <v>0</v>
      </c>
      <c r="BN52" s="110">
        <v>0</v>
      </c>
      <c r="BO52" s="110">
        <v>0</v>
      </c>
      <c r="BP52" s="110">
        <v>0</v>
      </c>
      <c r="BQ52" s="110">
        <v>0</v>
      </c>
      <c r="BR52" s="110">
        <v>0</v>
      </c>
      <c r="BS52" s="110">
        <v>0</v>
      </c>
      <c r="BT52" s="110">
        <v>0</v>
      </c>
      <c r="BU52" s="110">
        <v>0</v>
      </c>
      <c r="BV52" s="110">
        <v>0</v>
      </c>
      <c r="BW52" s="110">
        <v>0</v>
      </c>
      <c r="BX52" s="110">
        <v>0</v>
      </c>
      <c r="BY52" s="110">
        <v>0</v>
      </c>
      <c r="BZ52" s="110">
        <v>0</v>
      </c>
      <c r="CA52" s="110">
        <v>0</v>
      </c>
      <c r="CB52" s="110">
        <v>0</v>
      </c>
      <c r="CC52" s="110">
        <v>0</v>
      </c>
      <c r="CD52" s="110">
        <v>0</v>
      </c>
      <c r="CE52" s="110">
        <v>0</v>
      </c>
      <c r="CF52" s="110">
        <v>0</v>
      </c>
      <c r="CG52" s="110">
        <v>0</v>
      </c>
      <c r="CH52" s="110">
        <v>0</v>
      </c>
      <c r="CI52" s="110">
        <v>0</v>
      </c>
      <c r="CJ52" s="110">
        <v>0</v>
      </c>
      <c r="CK52" s="110">
        <v>0</v>
      </c>
      <c r="CL52" s="110">
        <v>0</v>
      </c>
      <c r="CM52" s="110">
        <v>0</v>
      </c>
      <c r="CN52" s="110">
        <v>0</v>
      </c>
      <c r="CO52" s="110">
        <v>227508.77</v>
      </c>
      <c r="CP52" s="110">
        <v>165144.49</v>
      </c>
      <c r="CQ52" s="110">
        <v>197847.08</v>
      </c>
      <c r="CR52" s="110">
        <v>18791.43</v>
      </c>
      <c r="CS52" s="110">
        <v>3008</v>
      </c>
      <c r="CT52" s="110">
        <v>0</v>
      </c>
      <c r="CU52" s="110">
        <v>0</v>
      </c>
      <c r="CV52" s="111">
        <v>2064</v>
      </c>
      <c r="CW52" s="111">
        <v>1908</v>
      </c>
      <c r="CX52" s="111">
        <v>1858</v>
      </c>
      <c r="CY52" s="111">
        <v>50</v>
      </c>
      <c r="CZ52" s="111">
        <v>156</v>
      </c>
      <c r="DA52" s="111">
        <v>106</v>
      </c>
      <c r="DB52" s="111">
        <v>50</v>
      </c>
      <c r="DC52" s="111">
        <v>1475</v>
      </c>
      <c r="DD52" s="111">
        <v>120</v>
      </c>
      <c r="DE52" s="111">
        <v>1392</v>
      </c>
      <c r="DF52" s="111">
        <v>1367</v>
      </c>
      <c r="DG52" s="111">
        <v>25</v>
      </c>
      <c r="DH52" s="111">
        <v>83</v>
      </c>
      <c r="DI52" s="111">
        <v>61</v>
      </c>
      <c r="DJ52" s="111">
        <v>22</v>
      </c>
      <c r="DK52" s="111">
        <v>433</v>
      </c>
      <c r="DL52" s="111">
        <v>377</v>
      </c>
      <c r="DM52" s="111">
        <v>361</v>
      </c>
      <c r="DN52" s="111">
        <v>16</v>
      </c>
      <c r="DO52" s="111">
        <v>56</v>
      </c>
      <c r="DP52" s="111">
        <v>35</v>
      </c>
      <c r="DQ52" s="111">
        <v>21</v>
      </c>
      <c r="DR52" s="111">
        <v>36</v>
      </c>
      <c r="DS52" s="111">
        <v>0</v>
      </c>
      <c r="DT52" s="111">
        <v>29</v>
      </c>
      <c r="DU52" s="111">
        <v>24</v>
      </c>
      <c r="DV52" s="111">
        <v>5</v>
      </c>
      <c r="DW52" s="111">
        <v>7</v>
      </c>
      <c r="DX52" s="111">
        <v>1</v>
      </c>
      <c r="DY52" s="111">
        <v>6</v>
      </c>
      <c r="DZ52" s="111">
        <v>0</v>
      </c>
      <c r="EA52" s="111">
        <v>0</v>
      </c>
      <c r="EB52" s="111">
        <v>0</v>
      </c>
      <c r="EC52" s="111">
        <v>0</v>
      </c>
      <c r="ED52" s="111">
        <v>0</v>
      </c>
      <c r="EE52" s="111">
        <v>0</v>
      </c>
      <c r="EF52" s="111">
        <v>0</v>
      </c>
      <c r="EG52" s="111">
        <v>0</v>
      </c>
      <c r="EH52" s="111">
        <v>0</v>
      </c>
      <c r="EI52" s="111">
        <v>0</v>
      </c>
      <c r="EJ52" s="111">
        <v>0</v>
      </c>
      <c r="EK52" s="111">
        <v>0</v>
      </c>
      <c r="EL52" s="111">
        <v>0</v>
      </c>
      <c r="EM52" s="111">
        <v>0</v>
      </c>
      <c r="EN52" s="111">
        <v>0</v>
      </c>
      <c r="EO52" s="111">
        <v>0</v>
      </c>
      <c r="EP52" s="111">
        <v>0</v>
      </c>
      <c r="EQ52" s="111">
        <v>0</v>
      </c>
      <c r="ER52" s="111">
        <v>0</v>
      </c>
      <c r="ES52" s="111">
        <v>0</v>
      </c>
      <c r="ET52" s="111">
        <v>0</v>
      </c>
      <c r="EU52" s="111">
        <v>0</v>
      </c>
      <c r="EV52" s="111">
        <v>0</v>
      </c>
      <c r="EW52" s="111">
        <v>0</v>
      </c>
      <c r="EX52" s="111">
        <v>0</v>
      </c>
      <c r="EY52" s="111">
        <v>0</v>
      </c>
      <c r="EZ52" s="111">
        <v>0</v>
      </c>
      <c r="FA52" s="111">
        <v>0</v>
      </c>
      <c r="FB52" s="111">
        <v>0</v>
      </c>
    </row>
    <row r="53" spans="1:158" ht="19.5" customHeight="1">
      <c r="A53" s="107">
        <v>50</v>
      </c>
      <c r="B53" s="107" t="s">
        <v>401</v>
      </c>
      <c r="C53" s="107" t="s">
        <v>404</v>
      </c>
      <c r="D53" s="110">
        <v>16350748.189999999</v>
      </c>
      <c r="E53" s="110">
        <v>0</v>
      </c>
      <c r="F53" s="110">
        <v>16350748.189999999</v>
      </c>
      <c r="G53" s="110">
        <v>0</v>
      </c>
      <c r="H53" s="110">
        <v>21</v>
      </c>
      <c r="I53" s="110">
        <v>0</v>
      </c>
      <c r="J53" s="110">
        <v>0</v>
      </c>
      <c r="K53" s="110">
        <v>0</v>
      </c>
      <c r="L53" s="110">
        <v>1680161.09</v>
      </c>
      <c r="M53" s="110">
        <v>4621158.9000000004</v>
      </c>
      <c r="N53" s="110">
        <v>6659.81</v>
      </c>
      <c r="O53" s="110">
        <v>32160853.800000001</v>
      </c>
      <c r="P53" s="110">
        <v>21130500.98</v>
      </c>
      <c r="Q53" s="110">
        <v>19832963.640000001</v>
      </c>
      <c r="R53" s="110">
        <v>1297537.3400000001</v>
      </c>
      <c r="S53" s="110">
        <v>11030352.82</v>
      </c>
      <c r="T53" s="110">
        <v>10175480.75</v>
      </c>
      <c r="U53" s="110">
        <v>854872.07</v>
      </c>
      <c r="V53" s="110">
        <v>0</v>
      </c>
      <c r="W53" s="110">
        <v>0</v>
      </c>
      <c r="X53" s="110">
        <v>0</v>
      </c>
      <c r="Y53" s="110">
        <v>0</v>
      </c>
      <c r="Z53" s="110">
        <v>0</v>
      </c>
      <c r="AA53" s="110">
        <v>0</v>
      </c>
      <c r="AB53" s="110">
        <v>0</v>
      </c>
      <c r="AC53" s="110">
        <v>0</v>
      </c>
      <c r="AD53" s="110">
        <v>0</v>
      </c>
      <c r="AE53" s="110">
        <v>0</v>
      </c>
      <c r="AF53" s="110">
        <v>0</v>
      </c>
      <c r="AG53" s="110">
        <v>0</v>
      </c>
      <c r="AH53" s="110">
        <v>0</v>
      </c>
      <c r="AI53" s="110">
        <v>0</v>
      </c>
      <c r="AJ53" s="110">
        <v>0</v>
      </c>
      <c r="AK53" s="110">
        <v>0</v>
      </c>
      <c r="AL53" s="110">
        <v>0</v>
      </c>
      <c r="AM53" s="110">
        <v>0</v>
      </c>
      <c r="AN53" s="110">
        <v>0</v>
      </c>
      <c r="AO53" s="110">
        <v>0</v>
      </c>
      <c r="AP53" s="110">
        <v>0</v>
      </c>
      <c r="AQ53" s="110">
        <v>0</v>
      </c>
      <c r="AR53" s="110">
        <v>0</v>
      </c>
      <c r="AS53" s="110">
        <v>0</v>
      </c>
      <c r="AT53" s="110">
        <v>0</v>
      </c>
      <c r="AU53" s="110">
        <v>0</v>
      </c>
      <c r="AV53" s="110">
        <v>0</v>
      </c>
      <c r="AW53" s="110">
        <v>0</v>
      </c>
      <c r="AX53" s="110">
        <v>0</v>
      </c>
      <c r="AY53" s="110">
        <v>0</v>
      </c>
      <c r="AZ53" s="110">
        <v>0</v>
      </c>
      <c r="BA53" s="110">
        <v>0</v>
      </c>
      <c r="BB53" s="110">
        <v>0</v>
      </c>
      <c r="BC53" s="110">
        <v>0</v>
      </c>
      <c r="BD53" s="110">
        <v>0</v>
      </c>
      <c r="BE53" s="110">
        <v>32160853.800000001</v>
      </c>
      <c r="BF53" s="110">
        <v>21130500.98</v>
      </c>
      <c r="BG53" s="110">
        <v>19832963.640000001</v>
      </c>
      <c r="BH53" s="110">
        <v>1297537.3400000001</v>
      </c>
      <c r="BI53" s="110">
        <v>11030352.82</v>
      </c>
      <c r="BJ53" s="110">
        <v>10175480.75</v>
      </c>
      <c r="BK53" s="110">
        <v>854872.07</v>
      </c>
      <c r="BL53" s="110">
        <v>6702668.2800000003</v>
      </c>
      <c r="BM53" s="110">
        <v>4443577.28</v>
      </c>
      <c r="BN53" s="110">
        <v>4194213.6</v>
      </c>
      <c r="BO53" s="110">
        <v>249363.68</v>
      </c>
      <c r="BP53" s="110">
        <v>2259091</v>
      </c>
      <c r="BQ53" s="110">
        <v>2069099.48</v>
      </c>
      <c r="BR53" s="110">
        <v>189991.52</v>
      </c>
      <c r="BS53" s="110">
        <v>9107437.3300000001</v>
      </c>
      <c r="BT53" s="110">
        <v>6016766.7300000004</v>
      </c>
      <c r="BU53" s="110">
        <v>5573770.0700000003</v>
      </c>
      <c r="BV53" s="110">
        <v>442996.66</v>
      </c>
      <c r="BW53" s="110">
        <v>3090670.6</v>
      </c>
      <c r="BX53" s="110">
        <v>2805266.55</v>
      </c>
      <c r="BY53" s="110">
        <v>285404.05</v>
      </c>
      <c r="BZ53" s="110">
        <v>6669257.4000000004</v>
      </c>
      <c r="CA53" s="110">
        <v>4461199.2</v>
      </c>
      <c r="CB53" s="110">
        <v>4242615.7</v>
      </c>
      <c r="CC53" s="110">
        <v>218583.5</v>
      </c>
      <c r="CD53" s="110">
        <v>2208058.2000000002</v>
      </c>
      <c r="CE53" s="110">
        <v>2062370.5</v>
      </c>
      <c r="CF53" s="110">
        <v>145687.70000000001</v>
      </c>
      <c r="CG53" s="110">
        <v>9681490.7899999991</v>
      </c>
      <c r="CH53" s="110">
        <v>6208957.7699999996</v>
      </c>
      <c r="CI53" s="110">
        <v>5822364.2699999996</v>
      </c>
      <c r="CJ53" s="110">
        <v>386593.5</v>
      </c>
      <c r="CK53" s="110">
        <v>3472533.02</v>
      </c>
      <c r="CL53" s="110">
        <v>3238744.22</v>
      </c>
      <c r="CM53" s="110">
        <v>233788.79999999999</v>
      </c>
      <c r="CN53" s="110">
        <v>0</v>
      </c>
      <c r="CO53" s="110">
        <v>0</v>
      </c>
      <c r="CP53" s="110">
        <v>0</v>
      </c>
      <c r="CQ53" s="110">
        <v>0</v>
      </c>
      <c r="CR53" s="110">
        <v>0</v>
      </c>
      <c r="CS53" s="110">
        <v>0</v>
      </c>
      <c r="CT53" s="110">
        <v>0</v>
      </c>
      <c r="CU53" s="110">
        <v>0</v>
      </c>
      <c r="CV53" s="111">
        <v>0</v>
      </c>
      <c r="CW53" s="111">
        <v>0</v>
      </c>
      <c r="CX53" s="111">
        <v>0</v>
      </c>
      <c r="CY53" s="111">
        <v>0</v>
      </c>
      <c r="CZ53" s="111">
        <v>0</v>
      </c>
      <c r="DA53" s="111">
        <v>0</v>
      </c>
      <c r="DB53" s="111">
        <v>0</v>
      </c>
      <c r="DC53" s="111">
        <v>0</v>
      </c>
      <c r="DD53" s="111">
        <v>0</v>
      </c>
      <c r="DE53" s="111">
        <v>0</v>
      </c>
      <c r="DF53" s="111">
        <v>0</v>
      </c>
      <c r="DG53" s="111">
        <v>0</v>
      </c>
      <c r="DH53" s="111">
        <v>0</v>
      </c>
      <c r="DI53" s="111">
        <v>0</v>
      </c>
      <c r="DJ53" s="111">
        <v>0</v>
      </c>
      <c r="DK53" s="111">
        <v>0</v>
      </c>
      <c r="DL53" s="111">
        <v>0</v>
      </c>
      <c r="DM53" s="111">
        <v>0</v>
      </c>
      <c r="DN53" s="111">
        <v>0</v>
      </c>
      <c r="DO53" s="111">
        <v>0</v>
      </c>
      <c r="DP53" s="111">
        <v>0</v>
      </c>
      <c r="DQ53" s="111">
        <v>0</v>
      </c>
      <c r="DR53" s="111">
        <v>0</v>
      </c>
      <c r="DS53" s="111">
        <v>0</v>
      </c>
      <c r="DT53" s="111">
        <v>0</v>
      </c>
      <c r="DU53" s="111">
        <v>0</v>
      </c>
      <c r="DV53" s="111">
        <v>0</v>
      </c>
      <c r="DW53" s="111">
        <v>0</v>
      </c>
      <c r="DX53" s="111">
        <v>0</v>
      </c>
      <c r="DY53" s="111">
        <v>0</v>
      </c>
      <c r="DZ53" s="111">
        <v>0</v>
      </c>
      <c r="EA53" s="111">
        <v>0</v>
      </c>
      <c r="EB53" s="111">
        <v>0</v>
      </c>
      <c r="EC53" s="111">
        <v>0</v>
      </c>
      <c r="ED53" s="111">
        <v>0</v>
      </c>
      <c r="EE53" s="111">
        <v>0</v>
      </c>
      <c r="EF53" s="111">
        <v>0</v>
      </c>
      <c r="EG53" s="111">
        <v>21</v>
      </c>
      <c r="EH53" s="111">
        <v>16</v>
      </c>
      <c r="EI53" s="111">
        <v>16</v>
      </c>
      <c r="EJ53" s="111">
        <v>0</v>
      </c>
      <c r="EK53" s="111">
        <v>5</v>
      </c>
      <c r="EL53" s="111">
        <v>4</v>
      </c>
      <c r="EM53" s="111">
        <v>1</v>
      </c>
      <c r="EN53" s="111">
        <v>19</v>
      </c>
      <c r="EO53" s="111">
        <v>0</v>
      </c>
      <c r="EP53" s="111">
        <v>0</v>
      </c>
      <c r="EQ53" s="111">
        <v>19</v>
      </c>
      <c r="ER53" s="111">
        <v>0</v>
      </c>
      <c r="ES53" s="111">
        <v>0</v>
      </c>
      <c r="ET53" s="111">
        <v>0</v>
      </c>
      <c r="EU53" s="111">
        <v>0</v>
      </c>
      <c r="EV53" s="111">
        <v>0</v>
      </c>
      <c r="EW53" s="111">
        <v>0</v>
      </c>
      <c r="EX53" s="111">
        <v>0</v>
      </c>
      <c r="EY53" s="111">
        <v>0</v>
      </c>
      <c r="EZ53" s="111">
        <v>0</v>
      </c>
      <c r="FA53" s="111">
        <v>0</v>
      </c>
      <c r="FB53" s="111">
        <v>0</v>
      </c>
    </row>
    <row r="54" spans="1:158" ht="19.5" customHeight="1">
      <c r="A54" s="107">
        <v>51</v>
      </c>
      <c r="B54" s="107" t="s">
        <v>361</v>
      </c>
      <c r="C54" s="107" t="s">
        <v>405</v>
      </c>
      <c r="D54" s="110">
        <v>6952972</v>
      </c>
      <c r="E54" s="110">
        <v>1194924.5</v>
      </c>
      <c r="F54" s="110">
        <v>5758047.5</v>
      </c>
      <c r="G54" s="110">
        <v>8205</v>
      </c>
      <c r="H54" s="110">
        <v>1169</v>
      </c>
      <c r="I54" s="110">
        <v>105780</v>
      </c>
      <c r="J54" s="110">
        <v>0</v>
      </c>
      <c r="K54" s="110">
        <v>45.85</v>
      </c>
      <c r="L54" s="110">
        <v>357739</v>
      </c>
      <c r="M54" s="110">
        <v>3054546</v>
      </c>
      <c r="N54" s="110">
        <v>0</v>
      </c>
      <c r="O54" s="110">
        <v>19498590.23</v>
      </c>
      <c r="P54" s="110">
        <v>14035205.4</v>
      </c>
      <c r="Q54" s="110">
        <v>13693797.130000001</v>
      </c>
      <c r="R54" s="110">
        <v>341408.27</v>
      </c>
      <c r="S54" s="110">
        <v>5463384.8300000001</v>
      </c>
      <c r="T54" s="110">
        <v>5296032.1500000004</v>
      </c>
      <c r="U54" s="110">
        <v>167352.68</v>
      </c>
      <c r="V54" s="110">
        <v>2832217.68</v>
      </c>
      <c r="W54" s="110">
        <v>2481612.31</v>
      </c>
      <c r="X54" s="110">
        <v>2369946.08</v>
      </c>
      <c r="Y54" s="110">
        <v>111666.23</v>
      </c>
      <c r="Z54" s="110">
        <v>350605.37</v>
      </c>
      <c r="AA54" s="110">
        <v>251700.35</v>
      </c>
      <c r="AB54" s="110">
        <v>98905.02</v>
      </c>
      <c r="AC54" s="110">
        <v>1616353.9</v>
      </c>
      <c r="AD54" s="110">
        <v>1435544.93</v>
      </c>
      <c r="AE54" s="110">
        <v>1388021.71</v>
      </c>
      <c r="AF54" s="110">
        <v>47523.22</v>
      </c>
      <c r="AG54" s="110">
        <v>180808.97</v>
      </c>
      <c r="AH54" s="110">
        <v>134326.35</v>
      </c>
      <c r="AI54" s="110">
        <v>46482.62</v>
      </c>
      <c r="AJ54" s="110">
        <v>20939.28</v>
      </c>
      <c r="AK54" s="110">
        <v>16585.88</v>
      </c>
      <c r="AL54" s="110">
        <v>16213.87</v>
      </c>
      <c r="AM54" s="110">
        <v>372.01</v>
      </c>
      <c r="AN54" s="110">
        <v>4353.3999999999996</v>
      </c>
      <c r="AO54" s="110">
        <v>3407</v>
      </c>
      <c r="AP54" s="110">
        <v>946.4</v>
      </c>
      <c r="AQ54" s="110">
        <v>820174</v>
      </c>
      <c r="AR54" s="110">
        <v>718103</v>
      </c>
      <c r="AS54" s="110">
        <v>671744</v>
      </c>
      <c r="AT54" s="110">
        <v>46359</v>
      </c>
      <c r="AU54" s="110">
        <v>102071</v>
      </c>
      <c r="AV54" s="110">
        <v>72219</v>
      </c>
      <c r="AW54" s="110">
        <v>29852</v>
      </c>
      <c r="AX54" s="110">
        <v>374750.5</v>
      </c>
      <c r="AY54" s="110">
        <v>311378.5</v>
      </c>
      <c r="AZ54" s="110">
        <v>293966.5</v>
      </c>
      <c r="BA54" s="110">
        <v>17412</v>
      </c>
      <c r="BB54" s="110">
        <v>63372</v>
      </c>
      <c r="BC54" s="110">
        <v>41748</v>
      </c>
      <c r="BD54" s="110">
        <v>21624</v>
      </c>
      <c r="BE54" s="110">
        <v>16666372.550000001</v>
      </c>
      <c r="BF54" s="110">
        <v>11553593.09</v>
      </c>
      <c r="BG54" s="110">
        <v>11323851.050000001</v>
      </c>
      <c r="BH54" s="110">
        <v>229742.04</v>
      </c>
      <c r="BI54" s="110">
        <v>5112779.46</v>
      </c>
      <c r="BJ54" s="110">
        <v>5044331.8</v>
      </c>
      <c r="BK54" s="110">
        <v>68447.66</v>
      </c>
      <c r="BL54" s="110">
        <v>739008.96</v>
      </c>
      <c r="BM54" s="110">
        <v>494613.33</v>
      </c>
      <c r="BN54" s="110">
        <v>488710.25</v>
      </c>
      <c r="BO54" s="110">
        <v>5903.08</v>
      </c>
      <c r="BP54" s="110">
        <v>244395.63</v>
      </c>
      <c r="BQ54" s="110">
        <v>242571.92</v>
      </c>
      <c r="BR54" s="110">
        <v>1823.71</v>
      </c>
      <c r="BS54" s="110">
        <v>10169316.09</v>
      </c>
      <c r="BT54" s="110">
        <v>7040898.2599999998</v>
      </c>
      <c r="BU54" s="110">
        <v>6944600.7999999998</v>
      </c>
      <c r="BV54" s="110">
        <v>96297.46</v>
      </c>
      <c r="BW54" s="110">
        <v>3128417.83</v>
      </c>
      <c r="BX54" s="110">
        <v>3096802.38</v>
      </c>
      <c r="BY54" s="110">
        <v>31615.45</v>
      </c>
      <c r="BZ54" s="110">
        <v>1753612</v>
      </c>
      <c r="CA54" s="110">
        <v>1175075</v>
      </c>
      <c r="CB54" s="110">
        <v>1154466</v>
      </c>
      <c r="CC54" s="110">
        <v>20609</v>
      </c>
      <c r="CD54" s="110">
        <v>578537</v>
      </c>
      <c r="CE54" s="110">
        <v>570675</v>
      </c>
      <c r="CF54" s="110">
        <v>7862</v>
      </c>
      <c r="CG54" s="110">
        <v>4004435.5</v>
      </c>
      <c r="CH54" s="110">
        <v>2843006.5</v>
      </c>
      <c r="CI54" s="110">
        <v>2736074</v>
      </c>
      <c r="CJ54" s="110">
        <v>106932.5</v>
      </c>
      <c r="CK54" s="110">
        <v>1161429</v>
      </c>
      <c r="CL54" s="110">
        <v>1134282.5</v>
      </c>
      <c r="CM54" s="110">
        <v>27146.5</v>
      </c>
      <c r="CN54" s="110">
        <v>0</v>
      </c>
      <c r="CO54" s="110">
        <v>1863550.54</v>
      </c>
      <c r="CP54" s="110">
        <v>807507.56</v>
      </c>
      <c r="CQ54" s="110">
        <v>130609.43</v>
      </c>
      <c r="CR54" s="110">
        <v>30550.15</v>
      </c>
      <c r="CS54" s="110">
        <v>0</v>
      </c>
      <c r="CT54" s="110">
        <v>178958.19</v>
      </c>
      <c r="CU54" s="110">
        <v>0</v>
      </c>
      <c r="CV54" s="111">
        <v>8205</v>
      </c>
      <c r="CW54" s="111">
        <v>6930</v>
      </c>
      <c r="CX54" s="111">
        <v>6582</v>
      </c>
      <c r="CY54" s="111">
        <v>348</v>
      </c>
      <c r="CZ54" s="111">
        <v>1275</v>
      </c>
      <c r="DA54" s="111">
        <v>887</v>
      </c>
      <c r="DB54" s="111">
        <v>388</v>
      </c>
      <c r="DC54" s="111">
        <v>5618</v>
      </c>
      <c r="DD54" s="111">
        <v>0</v>
      </c>
      <c r="DE54" s="111">
        <v>4885</v>
      </c>
      <c r="DF54" s="111">
        <v>4669</v>
      </c>
      <c r="DG54" s="111">
        <v>216</v>
      </c>
      <c r="DH54" s="111">
        <v>733</v>
      </c>
      <c r="DI54" s="111">
        <v>531</v>
      </c>
      <c r="DJ54" s="111">
        <v>202</v>
      </c>
      <c r="DK54" s="111">
        <v>2509</v>
      </c>
      <c r="DL54" s="111">
        <v>2006</v>
      </c>
      <c r="DM54" s="111">
        <v>1883</v>
      </c>
      <c r="DN54" s="111">
        <v>123</v>
      </c>
      <c r="DO54" s="111">
        <v>503</v>
      </c>
      <c r="DP54" s="111">
        <v>335</v>
      </c>
      <c r="DQ54" s="111">
        <v>168</v>
      </c>
      <c r="DR54" s="111">
        <v>78</v>
      </c>
      <c r="DS54" s="111">
        <v>0</v>
      </c>
      <c r="DT54" s="111">
        <v>39</v>
      </c>
      <c r="DU54" s="111">
        <v>30</v>
      </c>
      <c r="DV54" s="111">
        <v>9</v>
      </c>
      <c r="DW54" s="111">
        <v>39</v>
      </c>
      <c r="DX54" s="111">
        <v>21</v>
      </c>
      <c r="DY54" s="111">
        <v>18</v>
      </c>
      <c r="DZ54" s="111">
        <v>0</v>
      </c>
      <c r="EA54" s="111">
        <v>0</v>
      </c>
      <c r="EB54" s="111">
        <v>0</v>
      </c>
      <c r="EC54" s="111">
        <v>0</v>
      </c>
      <c r="ED54" s="111">
        <v>0</v>
      </c>
      <c r="EE54" s="111">
        <v>0</v>
      </c>
      <c r="EF54" s="111">
        <v>0</v>
      </c>
      <c r="EG54" s="111">
        <v>1169</v>
      </c>
      <c r="EH54" s="111">
        <v>834</v>
      </c>
      <c r="EI54" s="111">
        <v>822</v>
      </c>
      <c r="EJ54" s="111">
        <v>12</v>
      </c>
      <c r="EK54" s="111">
        <v>335</v>
      </c>
      <c r="EL54" s="111">
        <v>330</v>
      </c>
      <c r="EM54" s="111">
        <v>5</v>
      </c>
      <c r="EN54" s="111">
        <v>1062</v>
      </c>
      <c r="EO54" s="111">
        <v>1043</v>
      </c>
      <c r="EP54" s="111">
        <v>0</v>
      </c>
      <c r="EQ54" s="111">
        <v>19</v>
      </c>
      <c r="ER54" s="111">
        <v>6</v>
      </c>
      <c r="ES54" s="111">
        <v>0</v>
      </c>
      <c r="ET54" s="111">
        <v>0</v>
      </c>
      <c r="EU54" s="111">
        <v>39</v>
      </c>
      <c r="EV54" s="111">
        <v>39</v>
      </c>
      <c r="EW54" s="111">
        <v>0</v>
      </c>
      <c r="EX54" s="111">
        <v>0</v>
      </c>
      <c r="EY54" s="111">
        <v>35</v>
      </c>
      <c r="EZ54" s="111">
        <v>35</v>
      </c>
      <c r="FA54" s="111">
        <v>0</v>
      </c>
      <c r="FB54" s="111">
        <v>9</v>
      </c>
    </row>
    <row r="55" spans="1:158" ht="19.5" customHeight="1">
      <c r="A55" s="107">
        <v>52</v>
      </c>
      <c r="B55" s="107" t="s">
        <v>350</v>
      </c>
      <c r="C55" s="107" t="s">
        <v>406</v>
      </c>
      <c r="D55" s="110">
        <v>9685554.5</v>
      </c>
      <c r="E55" s="110">
        <v>9685554.5</v>
      </c>
      <c r="F55" s="110">
        <v>0</v>
      </c>
      <c r="G55" s="110">
        <v>7775</v>
      </c>
      <c r="H55" s="110">
        <v>0</v>
      </c>
      <c r="I55" s="110">
        <v>4904729</v>
      </c>
      <c r="J55" s="110">
        <v>26174</v>
      </c>
      <c r="K55" s="110">
        <v>0</v>
      </c>
      <c r="L55" s="110">
        <v>0</v>
      </c>
      <c r="M55" s="110">
        <v>0</v>
      </c>
      <c r="N55" s="110">
        <v>0</v>
      </c>
      <c r="O55" s="110">
        <v>11621161.91</v>
      </c>
      <c r="P55" s="110">
        <v>8997200.9399999995</v>
      </c>
      <c r="Q55" s="110">
        <v>8583739.0999999996</v>
      </c>
      <c r="R55" s="110">
        <v>413461.84</v>
      </c>
      <c r="S55" s="110">
        <v>2623960.9700000002</v>
      </c>
      <c r="T55" s="110">
        <v>1729077.03</v>
      </c>
      <c r="U55" s="110">
        <v>894883.94</v>
      </c>
      <c r="V55" s="110">
        <v>11621161.91</v>
      </c>
      <c r="W55" s="110">
        <v>8997200.9399999995</v>
      </c>
      <c r="X55" s="110">
        <v>8583739.0999999996</v>
      </c>
      <c r="Y55" s="110">
        <v>413461.84</v>
      </c>
      <c r="Z55" s="110">
        <v>2623960.9700000002</v>
      </c>
      <c r="AA55" s="110">
        <v>1729077.03</v>
      </c>
      <c r="AB55" s="110">
        <v>894883.94</v>
      </c>
      <c r="AC55" s="110">
        <v>1932029.73</v>
      </c>
      <c r="AD55" s="110">
        <v>1591493.01</v>
      </c>
      <c r="AE55" s="110">
        <v>1520455.17</v>
      </c>
      <c r="AF55" s="110">
        <v>71037.84</v>
      </c>
      <c r="AG55" s="110">
        <v>340536.72</v>
      </c>
      <c r="AH55" s="110">
        <v>226623.87</v>
      </c>
      <c r="AI55" s="110">
        <v>113912.85</v>
      </c>
      <c r="AJ55" s="110">
        <v>3577.68</v>
      </c>
      <c r="AK55" s="110">
        <v>2131.4299999999998</v>
      </c>
      <c r="AL55" s="110">
        <v>2131.4299999999998</v>
      </c>
      <c r="AM55" s="110">
        <v>0</v>
      </c>
      <c r="AN55" s="110">
        <v>1446.25</v>
      </c>
      <c r="AO55" s="110">
        <v>791.16</v>
      </c>
      <c r="AP55" s="110">
        <v>655.09</v>
      </c>
      <c r="AQ55" s="110">
        <v>4171230.5</v>
      </c>
      <c r="AR55" s="110">
        <v>3125307.5</v>
      </c>
      <c r="AS55" s="110">
        <v>2958671.5</v>
      </c>
      <c r="AT55" s="110">
        <v>166636</v>
      </c>
      <c r="AU55" s="110">
        <v>1045923</v>
      </c>
      <c r="AV55" s="110">
        <v>635582</v>
      </c>
      <c r="AW55" s="110">
        <v>410341</v>
      </c>
      <c r="AX55" s="110">
        <v>5514324</v>
      </c>
      <c r="AY55" s="110">
        <v>4278269</v>
      </c>
      <c r="AZ55" s="110">
        <v>4102481</v>
      </c>
      <c r="BA55" s="110">
        <v>175788</v>
      </c>
      <c r="BB55" s="110">
        <v>1236055</v>
      </c>
      <c r="BC55" s="110">
        <v>866080</v>
      </c>
      <c r="BD55" s="110">
        <v>369975</v>
      </c>
      <c r="BE55" s="110">
        <v>0</v>
      </c>
      <c r="BF55" s="110">
        <v>0</v>
      </c>
      <c r="BG55" s="110">
        <v>0</v>
      </c>
      <c r="BH55" s="110">
        <v>0</v>
      </c>
      <c r="BI55" s="110">
        <v>0</v>
      </c>
      <c r="BJ55" s="110">
        <v>0</v>
      </c>
      <c r="BK55" s="110">
        <v>0</v>
      </c>
      <c r="BL55" s="110">
        <v>0</v>
      </c>
      <c r="BM55" s="110">
        <v>0</v>
      </c>
      <c r="BN55" s="110">
        <v>0</v>
      </c>
      <c r="BO55" s="110">
        <v>0</v>
      </c>
      <c r="BP55" s="110">
        <v>0</v>
      </c>
      <c r="BQ55" s="110">
        <v>0</v>
      </c>
      <c r="BR55" s="110">
        <v>0</v>
      </c>
      <c r="BS55" s="110">
        <v>0</v>
      </c>
      <c r="BT55" s="110">
        <v>0</v>
      </c>
      <c r="BU55" s="110">
        <v>0</v>
      </c>
      <c r="BV55" s="110">
        <v>0</v>
      </c>
      <c r="BW55" s="110">
        <v>0</v>
      </c>
      <c r="BX55" s="110">
        <v>0</v>
      </c>
      <c r="BY55" s="110">
        <v>0</v>
      </c>
      <c r="BZ55" s="110">
        <v>0</v>
      </c>
      <c r="CA55" s="110">
        <v>0</v>
      </c>
      <c r="CB55" s="110">
        <v>0</v>
      </c>
      <c r="CC55" s="110">
        <v>0</v>
      </c>
      <c r="CD55" s="110">
        <v>0</v>
      </c>
      <c r="CE55" s="110">
        <v>0</v>
      </c>
      <c r="CF55" s="110">
        <v>0</v>
      </c>
      <c r="CG55" s="110">
        <v>0</v>
      </c>
      <c r="CH55" s="110">
        <v>0</v>
      </c>
      <c r="CI55" s="110">
        <v>0</v>
      </c>
      <c r="CJ55" s="110">
        <v>0</v>
      </c>
      <c r="CK55" s="110">
        <v>0</v>
      </c>
      <c r="CL55" s="110">
        <v>0</v>
      </c>
      <c r="CM55" s="110">
        <v>0</v>
      </c>
      <c r="CN55" s="110">
        <v>1771.36</v>
      </c>
      <c r="CO55" s="110">
        <v>2456019.46</v>
      </c>
      <c r="CP55" s="110">
        <v>5611894.6299999999</v>
      </c>
      <c r="CQ55" s="110">
        <v>426285.74</v>
      </c>
      <c r="CR55" s="110">
        <v>3086309.72</v>
      </c>
      <c r="CS55" s="110">
        <v>38881</v>
      </c>
      <c r="CT55" s="110">
        <v>0</v>
      </c>
      <c r="CU55" s="110">
        <v>0</v>
      </c>
      <c r="CV55" s="111">
        <v>7775</v>
      </c>
      <c r="CW55" s="111">
        <v>6650</v>
      </c>
      <c r="CX55" s="111">
        <v>6315</v>
      </c>
      <c r="CY55" s="111">
        <v>335</v>
      </c>
      <c r="CZ55" s="111">
        <v>1125</v>
      </c>
      <c r="DA55" s="111">
        <v>634</v>
      </c>
      <c r="DB55" s="111">
        <v>491</v>
      </c>
      <c r="DC55" s="111">
        <v>2921</v>
      </c>
      <c r="DD55" s="111">
        <v>0</v>
      </c>
      <c r="DE55" s="111">
        <v>2528</v>
      </c>
      <c r="DF55" s="111">
        <v>2414</v>
      </c>
      <c r="DG55" s="111">
        <v>114</v>
      </c>
      <c r="DH55" s="111">
        <v>393</v>
      </c>
      <c r="DI55" s="111">
        <v>205</v>
      </c>
      <c r="DJ55" s="111">
        <v>188</v>
      </c>
      <c r="DK55" s="111">
        <v>4324</v>
      </c>
      <c r="DL55" s="111">
        <v>3714</v>
      </c>
      <c r="DM55" s="111">
        <v>3510</v>
      </c>
      <c r="DN55" s="111">
        <v>204</v>
      </c>
      <c r="DO55" s="111">
        <v>610</v>
      </c>
      <c r="DP55" s="111">
        <v>355</v>
      </c>
      <c r="DQ55" s="111">
        <v>255</v>
      </c>
      <c r="DR55" s="111">
        <v>526</v>
      </c>
      <c r="DS55" s="111">
        <v>0</v>
      </c>
      <c r="DT55" s="111">
        <v>405</v>
      </c>
      <c r="DU55" s="111">
        <v>388</v>
      </c>
      <c r="DV55" s="111">
        <v>17</v>
      </c>
      <c r="DW55" s="111">
        <v>121</v>
      </c>
      <c r="DX55" s="111">
        <v>74</v>
      </c>
      <c r="DY55" s="111">
        <v>47</v>
      </c>
      <c r="DZ55" s="111">
        <v>4</v>
      </c>
      <c r="EA55" s="111">
        <v>3</v>
      </c>
      <c r="EB55" s="111">
        <v>3</v>
      </c>
      <c r="EC55" s="111">
        <v>0</v>
      </c>
      <c r="ED55" s="111">
        <v>1</v>
      </c>
      <c r="EE55" s="111">
        <v>0</v>
      </c>
      <c r="EF55" s="111">
        <v>1</v>
      </c>
      <c r="EG55" s="111">
        <v>0</v>
      </c>
      <c r="EH55" s="111">
        <v>0</v>
      </c>
      <c r="EI55" s="111">
        <v>0</v>
      </c>
      <c r="EJ55" s="111">
        <v>0</v>
      </c>
      <c r="EK55" s="111">
        <v>0</v>
      </c>
      <c r="EL55" s="111">
        <v>0</v>
      </c>
      <c r="EM55" s="111">
        <v>0</v>
      </c>
      <c r="EN55" s="111">
        <v>0</v>
      </c>
      <c r="EO55" s="111">
        <v>0</v>
      </c>
      <c r="EP55" s="111">
        <v>0</v>
      </c>
      <c r="EQ55" s="111">
        <v>0</v>
      </c>
      <c r="ER55" s="111">
        <v>0</v>
      </c>
      <c r="ES55" s="111">
        <v>0</v>
      </c>
      <c r="ET55" s="111">
        <v>0</v>
      </c>
      <c r="EU55" s="111">
        <v>0</v>
      </c>
      <c r="EV55" s="111">
        <v>0</v>
      </c>
      <c r="EW55" s="111">
        <v>0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</row>
    <row r="56" spans="1:158" ht="19.5" customHeight="1">
      <c r="A56" s="107">
        <v>53</v>
      </c>
      <c r="B56" s="107" t="s">
        <v>407</v>
      </c>
      <c r="C56" s="107" t="s">
        <v>408</v>
      </c>
      <c r="D56" s="110">
        <v>14299</v>
      </c>
      <c r="E56" s="110">
        <v>14299</v>
      </c>
      <c r="F56" s="110">
        <v>0</v>
      </c>
      <c r="G56" s="110">
        <v>48</v>
      </c>
      <c r="H56" s="110">
        <v>0</v>
      </c>
      <c r="I56" s="110">
        <v>0</v>
      </c>
      <c r="J56" s="110">
        <v>0</v>
      </c>
      <c r="K56" s="110">
        <v>0</v>
      </c>
      <c r="L56" s="110">
        <v>0</v>
      </c>
      <c r="M56" s="110">
        <v>0</v>
      </c>
      <c r="N56" s="110">
        <v>0</v>
      </c>
      <c r="O56" s="110">
        <v>678150.96</v>
      </c>
      <c r="P56" s="110">
        <v>674450.96</v>
      </c>
      <c r="Q56" s="110">
        <v>674375.96</v>
      </c>
      <c r="R56" s="110">
        <v>75</v>
      </c>
      <c r="S56" s="110">
        <v>3700</v>
      </c>
      <c r="T56" s="110">
        <v>3625</v>
      </c>
      <c r="U56" s="110">
        <v>75</v>
      </c>
      <c r="V56" s="110">
        <v>678150.96</v>
      </c>
      <c r="W56" s="110">
        <v>674450.96</v>
      </c>
      <c r="X56" s="110">
        <v>674375.96</v>
      </c>
      <c r="Y56" s="110">
        <v>75</v>
      </c>
      <c r="Z56" s="110">
        <v>3700</v>
      </c>
      <c r="AA56" s="110">
        <v>3625</v>
      </c>
      <c r="AB56" s="110">
        <v>75</v>
      </c>
      <c r="AC56" s="110">
        <v>663851.96</v>
      </c>
      <c r="AD56" s="110">
        <v>663851.96</v>
      </c>
      <c r="AE56" s="110">
        <v>663851.96</v>
      </c>
      <c r="AF56" s="110">
        <v>0</v>
      </c>
      <c r="AG56" s="110">
        <v>0</v>
      </c>
      <c r="AH56" s="110">
        <v>0</v>
      </c>
      <c r="AI56" s="110">
        <v>0</v>
      </c>
      <c r="AJ56" s="110">
        <v>0</v>
      </c>
      <c r="AK56" s="110">
        <v>0</v>
      </c>
      <c r="AL56" s="110">
        <v>0</v>
      </c>
      <c r="AM56" s="110">
        <v>0</v>
      </c>
      <c r="AN56" s="110">
        <v>0</v>
      </c>
      <c r="AO56" s="110">
        <v>0</v>
      </c>
      <c r="AP56" s="110">
        <v>0</v>
      </c>
      <c r="AQ56" s="110">
        <v>13099</v>
      </c>
      <c r="AR56" s="110">
        <v>9499</v>
      </c>
      <c r="AS56" s="110">
        <v>9499</v>
      </c>
      <c r="AT56" s="110">
        <v>0</v>
      </c>
      <c r="AU56" s="110">
        <v>3600</v>
      </c>
      <c r="AV56" s="110">
        <v>3600</v>
      </c>
      <c r="AW56" s="110">
        <v>0</v>
      </c>
      <c r="AX56" s="110">
        <v>1200</v>
      </c>
      <c r="AY56" s="110">
        <v>1100</v>
      </c>
      <c r="AZ56" s="110">
        <v>1025</v>
      </c>
      <c r="BA56" s="110">
        <v>75</v>
      </c>
      <c r="BB56" s="110">
        <v>100</v>
      </c>
      <c r="BC56" s="110">
        <v>25</v>
      </c>
      <c r="BD56" s="110">
        <v>75</v>
      </c>
      <c r="BE56" s="110">
        <v>0</v>
      </c>
      <c r="BF56" s="110">
        <v>0</v>
      </c>
      <c r="BG56" s="110">
        <v>0</v>
      </c>
      <c r="BH56" s="110">
        <v>0</v>
      </c>
      <c r="BI56" s="110">
        <v>0</v>
      </c>
      <c r="BJ56" s="110">
        <v>0</v>
      </c>
      <c r="BK56" s="110">
        <v>0</v>
      </c>
      <c r="BL56" s="110">
        <v>0</v>
      </c>
      <c r="BM56" s="110">
        <v>0</v>
      </c>
      <c r="BN56" s="110">
        <v>0</v>
      </c>
      <c r="BO56" s="110">
        <v>0</v>
      </c>
      <c r="BP56" s="110">
        <v>0</v>
      </c>
      <c r="BQ56" s="110">
        <v>0</v>
      </c>
      <c r="BR56" s="110">
        <v>0</v>
      </c>
      <c r="BS56" s="110">
        <v>0</v>
      </c>
      <c r="BT56" s="110">
        <v>0</v>
      </c>
      <c r="BU56" s="110">
        <v>0</v>
      </c>
      <c r="BV56" s="110">
        <v>0</v>
      </c>
      <c r="BW56" s="110">
        <v>0</v>
      </c>
      <c r="BX56" s="110">
        <v>0</v>
      </c>
      <c r="BY56" s="110">
        <v>0</v>
      </c>
      <c r="BZ56" s="110">
        <v>0</v>
      </c>
      <c r="CA56" s="110">
        <v>0</v>
      </c>
      <c r="CB56" s="110">
        <v>0</v>
      </c>
      <c r="CC56" s="110">
        <v>0</v>
      </c>
      <c r="CD56" s="110">
        <v>0</v>
      </c>
      <c r="CE56" s="110">
        <v>0</v>
      </c>
      <c r="CF56" s="110">
        <v>0</v>
      </c>
      <c r="CG56" s="110">
        <v>0</v>
      </c>
      <c r="CH56" s="110">
        <v>0</v>
      </c>
      <c r="CI56" s="110">
        <v>0</v>
      </c>
      <c r="CJ56" s="110">
        <v>0</v>
      </c>
      <c r="CK56" s="110">
        <v>0</v>
      </c>
      <c r="CL56" s="110">
        <v>0</v>
      </c>
      <c r="CM56" s="110">
        <v>0</v>
      </c>
      <c r="CN56" s="110">
        <v>0</v>
      </c>
      <c r="CO56" s="110">
        <v>0</v>
      </c>
      <c r="CP56" s="110">
        <v>0</v>
      </c>
      <c r="CQ56" s="110">
        <v>678150.96</v>
      </c>
      <c r="CR56" s="110">
        <v>0</v>
      </c>
      <c r="CS56" s="110">
        <v>0</v>
      </c>
      <c r="CT56" s="110">
        <v>0</v>
      </c>
      <c r="CU56" s="110">
        <v>0</v>
      </c>
      <c r="CV56" s="111">
        <v>48</v>
      </c>
      <c r="CW56" s="111">
        <v>44</v>
      </c>
      <c r="CX56" s="111">
        <v>41</v>
      </c>
      <c r="CY56" s="111">
        <v>3</v>
      </c>
      <c r="CZ56" s="111">
        <v>4</v>
      </c>
      <c r="DA56" s="111">
        <v>1</v>
      </c>
      <c r="DB56" s="111">
        <v>3</v>
      </c>
      <c r="DC56" s="111">
        <v>48</v>
      </c>
      <c r="DD56" s="111">
        <v>0</v>
      </c>
      <c r="DE56" s="111">
        <v>44</v>
      </c>
      <c r="DF56" s="111">
        <v>41</v>
      </c>
      <c r="DG56" s="111">
        <v>3</v>
      </c>
      <c r="DH56" s="111">
        <v>4</v>
      </c>
      <c r="DI56" s="111">
        <v>1</v>
      </c>
      <c r="DJ56" s="111">
        <v>3</v>
      </c>
      <c r="DK56" s="111">
        <v>0</v>
      </c>
      <c r="DL56" s="111">
        <v>0</v>
      </c>
      <c r="DM56" s="111">
        <v>0</v>
      </c>
      <c r="DN56" s="111">
        <v>0</v>
      </c>
      <c r="DO56" s="111">
        <v>0</v>
      </c>
      <c r="DP56" s="111">
        <v>0</v>
      </c>
      <c r="DQ56" s="111">
        <v>0</v>
      </c>
      <c r="DR56" s="111">
        <v>0</v>
      </c>
      <c r="DS56" s="111">
        <v>0</v>
      </c>
      <c r="DT56" s="111">
        <v>0</v>
      </c>
      <c r="DU56" s="111">
        <v>0</v>
      </c>
      <c r="DV56" s="111">
        <v>0</v>
      </c>
      <c r="DW56" s="111">
        <v>0</v>
      </c>
      <c r="DX56" s="111">
        <v>0</v>
      </c>
      <c r="DY56" s="111">
        <v>0</v>
      </c>
      <c r="DZ56" s="111">
        <v>0</v>
      </c>
      <c r="EA56" s="111">
        <v>0</v>
      </c>
      <c r="EB56" s="111">
        <v>0</v>
      </c>
      <c r="EC56" s="111">
        <v>0</v>
      </c>
      <c r="ED56" s="111">
        <v>0</v>
      </c>
      <c r="EE56" s="111">
        <v>0</v>
      </c>
      <c r="EF56" s="111">
        <v>0</v>
      </c>
      <c r="EG56" s="111">
        <v>0</v>
      </c>
      <c r="EH56" s="111">
        <v>0</v>
      </c>
      <c r="EI56" s="111">
        <v>0</v>
      </c>
      <c r="EJ56" s="111">
        <v>0</v>
      </c>
      <c r="EK56" s="111">
        <v>0</v>
      </c>
      <c r="EL56" s="111">
        <v>0</v>
      </c>
      <c r="EM56" s="111">
        <v>0</v>
      </c>
      <c r="EN56" s="111">
        <v>0</v>
      </c>
      <c r="EO56" s="111">
        <v>0</v>
      </c>
      <c r="EP56" s="111">
        <v>0</v>
      </c>
      <c r="EQ56" s="111">
        <v>0</v>
      </c>
      <c r="ER56" s="111">
        <v>0</v>
      </c>
      <c r="ES56" s="111">
        <v>0</v>
      </c>
      <c r="ET56" s="111">
        <v>0</v>
      </c>
      <c r="EU56" s="111">
        <v>0</v>
      </c>
      <c r="EV56" s="111">
        <v>0</v>
      </c>
      <c r="EW56" s="111">
        <v>0</v>
      </c>
      <c r="EX56" s="111">
        <v>0</v>
      </c>
      <c r="EY56" s="111">
        <v>0</v>
      </c>
      <c r="EZ56" s="111">
        <v>0</v>
      </c>
      <c r="FA56" s="111">
        <v>0</v>
      </c>
      <c r="FB56" s="111">
        <v>0</v>
      </c>
    </row>
    <row r="57" spans="1:158" ht="19.5" customHeight="1">
      <c r="A57" s="107">
        <v>54</v>
      </c>
      <c r="B57" s="107" t="s">
        <v>401</v>
      </c>
      <c r="C57" s="107" t="s">
        <v>409</v>
      </c>
      <c r="D57" s="110">
        <v>18148595.739999998</v>
      </c>
      <c r="E57" s="110">
        <v>18148595.739999998</v>
      </c>
      <c r="F57" s="110">
        <v>0</v>
      </c>
      <c r="G57" s="110">
        <v>2734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110">
        <v>0</v>
      </c>
      <c r="N57" s="110">
        <v>0</v>
      </c>
      <c r="O57" s="110">
        <v>18148739.199999999</v>
      </c>
      <c r="P57" s="110">
        <v>2312690.61</v>
      </c>
      <c r="Q57" s="110">
        <v>143.46</v>
      </c>
      <c r="R57" s="110">
        <v>2312547.15</v>
      </c>
      <c r="S57" s="110">
        <v>15836048.59</v>
      </c>
      <c r="T57" s="110">
        <v>0</v>
      </c>
      <c r="U57" s="110">
        <v>15836048.59</v>
      </c>
      <c r="V57" s="110">
        <v>18148739.199999999</v>
      </c>
      <c r="W57" s="110">
        <v>2312690.61</v>
      </c>
      <c r="X57" s="110">
        <v>143.46</v>
      </c>
      <c r="Y57" s="110">
        <v>2312547.15</v>
      </c>
      <c r="Z57" s="110">
        <v>15836048.59</v>
      </c>
      <c r="AA57" s="110">
        <v>0</v>
      </c>
      <c r="AB57" s="110">
        <v>15836048.59</v>
      </c>
      <c r="AC57" s="110">
        <v>143.46</v>
      </c>
      <c r="AD57" s="110">
        <v>143.46</v>
      </c>
      <c r="AE57" s="110">
        <v>143.46</v>
      </c>
      <c r="AF57" s="110">
        <v>0</v>
      </c>
      <c r="AG57" s="110">
        <v>0</v>
      </c>
      <c r="AH57" s="110">
        <v>0</v>
      </c>
      <c r="AI57" s="110">
        <v>0</v>
      </c>
      <c r="AJ57" s="110">
        <v>0</v>
      </c>
      <c r="AK57" s="110">
        <v>0</v>
      </c>
      <c r="AL57" s="110">
        <v>0</v>
      </c>
      <c r="AM57" s="110">
        <v>0</v>
      </c>
      <c r="AN57" s="110">
        <v>0</v>
      </c>
      <c r="AO57" s="110">
        <v>0</v>
      </c>
      <c r="AP57" s="110">
        <v>0</v>
      </c>
      <c r="AQ57" s="110">
        <v>120</v>
      </c>
      <c r="AR57" s="110">
        <v>0</v>
      </c>
      <c r="AS57" s="110">
        <v>0</v>
      </c>
      <c r="AT57" s="110">
        <v>0</v>
      </c>
      <c r="AU57" s="110">
        <v>120</v>
      </c>
      <c r="AV57" s="110">
        <v>0</v>
      </c>
      <c r="AW57" s="110">
        <v>120</v>
      </c>
      <c r="AX57" s="110">
        <v>18148475.739999998</v>
      </c>
      <c r="AY57" s="110">
        <v>2312547.15</v>
      </c>
      <c r="AZ57" s="110">
        <v>0</v>
      </c>
      <c r="BA57" s="110">
        <v>2312547.15</v>
      </c>
      <c r="BB57" s="110">
        <v>15835928.59</v>
      </c>
      <c r="BC57" s="110">
        <v>0</v>
      </c>
      <c r="BD57" s="110">
        <v>15835928.59</v>
      </c>
      <c r="BE57" s="110">
        <v>0</v>
      </c>
      <c r="BF57" s="110">
        <v>0</v>
      </c>
      <c r="BG57" s="110">
        <v>0</v>
      </c>
      <c r="BH57" s="110">
        <v>0</v>
      </c>
      <c r="BI57" s="110">
        <v>0</v>
      </c>
      <c r="BJ57" s="110">
        <v>0</v>
      </c>
      <c r="BK57" s="110">
        <v>0</v>
      </c>
      <c r="BL57" s="110">
        <v>0</v>
      </c>
      <c r="BM57" s="110">
        <v>0</v>
      </c>
      <c r="BN57" s="110">
        <v>0</v>
      </c>
      <c r="BO57" s="110">
        <v>0</v>
      </c>
      <c r="BP57" s="110">
        <v>0</v>
      </c>
      <c r="BQ57" s="110">
        <v>0</v>
      </c>
      <c r="BR57" s="110">
        <v>0</v>
      </c>
      <c r="BS57" s="110">
        <v>0</v>
      </c>
      <c r="BT57" s="110">
        <v>0</v>
      </c>
      <c r="BU57" s="110">
        <v>0</v>
      </c>
      <c r="BV57" s="110">
        <v>0</v>
      </c>
      <c r="BW57" s="110">
        <v>0</v>
      </c>
      <c r="BX57" s="110">
        <v>0</v>
      </c>
      <c r="BY57" s="110">
        <v>0</v>
      </c>
      <c r="BZ57" s="110">
        <v>0</v>
      </c>
      <c r="CA57" s="110">
        <v>0</v>
      </c>
      <c r="CB57" s="110">
        <v>0</v>
      </c>
      <c r="CC57" s="110">
        <v>0</v>
      </c>
      <c r="CD57" s="110">
        <v>0</v>
      </c>
      <c r="CE57" s="110">
        <v>0</v>
      </c>
      <c r="CF57" s="110">
        <v>0</v>
      </c>
      <c r="CG57" s="110">
        <v>0</v>
      </c>
      <c r="CH57" s="110">
        <v>0</v>
      </c>
      <c r="CI57" s="110">
        <v>0</v>
      </c>
      <c r="CJ57" s="110">
        <v>0</v>
      </c>
      <c r="CK57" s="110">
        <v>0</v>
      </c>
      <c r="CL57" s="110">
        <v>0</v>
      </c>
      <c r="CM57" s="110">
        <v>0</v>
      </c>
      <c r="CN57" s="110">
        <v>0</v>
      </c>
      <c r="CO57" s="110">
        <v>18148739.199999999</v>
      </c>
      <c r="CP57" s="110">
        <v>0</v>
      </c>
      <c r="CQ57" s="110">
        <v>0</v>
      </c>
      <c r="CR57" s="110">
        <v>0</v>
      </c>
      <c r="CS57" s="110">
        <v>0</v>
      </c>
      <c r="CT57" s="110">
        <v>0</v>
      </c>
      <c r="CU57" s="110">
        <v>0</v>
      </c>
      <c r="CV57" s="111">
        <v>2734</v>
      </c>
      <c r="CW57" s="111">
        <v>1011</v>
      </c>
      <c r="CX57" s="111">
        <v>0</v>
      </c>
      <c r="CY57" s="111">
        <v>1011</v>
      </c>
      <c r="CZ57" s="111">
        <v>1723</v>
      </c>
      <c r="DA57" s="111">
        <v>0</v>
      </c>
      <c r="DB57" s="111">
        <v>1723</v>
      </c>
      <c r="DC57" s="111">
        <v>2734</v>
      </c>
      <c r="DD57" s="111">
        <v>0</v>
      </c>
      <c r="DE57" s="111">
        <v>1011</v>
      </c>
      <c r="DF57" s="111">
        <v>0</v>
      </c>
      <c r="DG57" s="111">
        <v>1011</v>
      </c>
      <c r="DH57" s="111">
        <v>1723</v>
      </c>
      <c r="DI57" s="111">
        <v>0</v>
      </c>
      <c r="DJ57" s="111">
        <v>1723</v>
      </c>
      <c r="DK57" s="111">
        <v>0</v>
      </c>
      <c r="DL57" s="111">
        <v>0</v>
      </c>
      <c r="DM57" s="111">
        <v>0</v>
      </c>
      <c r="DN57" s="111">
        <v>0</v>
      </c>
      <c r="DO57" s="111">
        <v>0</v>
      </c>
      <c r="DP57" s="111">
        <v>0</v>
      </c>
      <c r="DQ57" s="111">
        <v>0</v>
      </c>
      <c r="DR57" s="111">
        <v>0</v>
      </c>
      <c r="DS57" s="111">
        <v>0</v>
      </c>
      <c r="DT57" s="111">
        <v>0</v>
      </c>
      <c r="DU57" s="111">
        <v>0</v>
      </c>
      <c r="DV57" s="111">
        <v>0</v>
      </c>
      <c r="DW57" s="111">
        <v>0</v>
      </c>
      <c r="DX57" s="111">
        <v>0</v>
      </c>
      <c r="DY57" s="111">
        <v>0</v>
      </c>
      <c r="DZ57" s="111">
        <v>0</v>
      </c>
      <c r="EA57" s="111">
        <v>0</v>
      </c>
      <c r="EB57" s="111">
        <v>0</v>
      </c>
      <c r="EC57" s="111">
        <v>0</v>
      </c>
      <c r="ED57" s="111">
        <v>0</v>
      </c>
      <c r="EE57" s="111">
        <v>0</v>
      </c>
      <c r="EF57" s="111">
        <v>0</v>
      </c>
      <c r="EG57" s="111">
        <v>0</v>
      </c>
      <c r="EH57" s="111">
        <v>0</v>
      </c>
      <c r="EI57" s="111">
        <v>0</v>
      </c>
      <c r="EJ57" s="111">
        <v>0</v>
      </c>
      <c r="EK57" s="111">
        <v>0</v>
      </c>
      <c r="EL57" s="111">
        <v>0</v>
      </c>
      <c r="EM57" s="111">
        <v>0</v>
      </c>
      <c r="EN57" s="111">
        <v>0</v>
      </c>
      <c r="EO57" s="111">
        <v>0</v>
      </c>
      <c r="EP57" s="111">
        <v>0</v>
      </c>
      <c r="EQ57" s="111">
        <v>0</v>
      </c>
      <c r="ER57" s="111">
        <v>0</v>
      </c>
      <c r="ES57" s="111">
        <v>0</v>
      </c>
      <c r="ET57" s="111">
        <v>0</v>
      </c>
      <c r="EU57" s="111">
        <v>0</v>
      </c>
      <c r="EV57" s="111">
        <v>0</v>
      </c>
      <c r="EW57" s="111">
        <v>0</v>
      </c>
      <c r="EX57" s="111">
        <v>0</v>
      </c>
      <c r="EY57" s="111">
        <v>0</v>
      </c>
      <c r="EZ57" s="111">
        <v>0</v>
      </c>
      <c r="FA57" s="111">
        <v>0</v>
      </c>
      <c r="FB57" s="111">
        <v>0</v>
      </c>
    </row>
    <row r="58" spans="1:158" ht="19.5" customHeight="1">
      <c r="A58" s="107">
        <v>55</v>
      </c>
      <c r="B58" s="107"/>
      <c r="C58" s="107" t="s">
        <v>586</v>
      </c>
      <c r="D58" s="110">
        <v>27848</v>
      </c>
      <c r="E58" s="110">
        <v>0</v>
      </c>
      <c r="F58" s="110">
        <v>27848</v>
      </c>
      <c r="G58" s="110">
        <v>0</v>
      </c>
      <c r="H58" s="110">
        <v>2</v>
      </c>
      <c r="I58" s="110">
        <v>0</v>
      </c>
      <c r="J58" s="110">
        <v>0</v>
      </c>
      <c r="K58" s="110">
        <v>0</v>
      </c>
      <c r="L58" s="110">
        <v>952</v>
      </c>
      <c r="M58" s="110">
        <v>0</v>
      </c>
      <c r="N58" s="110">
        <v>0</v>
      </c>
      <c r="O58" s="110">
        <v>31162.07</v>
      </c>
      <c r="P58" s="110">
        <v>31162.07</v>
      </c>
      <c r="Q58" s="110">
        <v>0</v>
      </c>
      <c r="R58" s="110">
        <v>31162.07</v>
      </c>
      <c r="S58" s="110">
        <v>0</v>
      </c>
      <c r="T58" s="110">
        <v>0</v>
      </c>
      <c r="U58" s="110">
        <v>0</v>
      </c>
      <c r="V58" s="110">
        <v>0</v>
      </c>
      <c r="W58" s="110">
        <v>0</v>
      </c>
      <c r="X58" s="110">
        <v>0</v>
      </c>
      <c r="Y58" s="110">
        <v>0</v>
      </c>
      <c r="Z58" s="110">
        <v>0</v>
      </c>
      <c r="AA58" s="110">
        <v>0</v>
      </c>
      <c r="AB58" s="110">
        <v>0</v>
      </c>
      <c r="AC58" s="110">
        <v>0</v>
      </c>
      <c r="AD58" s="110">
        <v>0</v>
      </c>
      <c r="AE58" s="110">
        <v>0</v>
      </c>
      <c r="AF58" s="110">
        <v>0</v>
      </c>
      <c r="AG58" s="110">
        <v>0</v>
      </c>
      <c r="AH58" s="110">
        <v>0</v>
      </c>
      <c r="AI58" s="110">
        <v>0</v>
      </c>
      <c r="AJ58" s="110">
        <v>0</v>
      </c>
      <c r="AK58" s="110">
        <v>0</v>
      </c>
      <c r="AL58" s="110">
        <v>0</v>
      </c>
      <c r="AM58" s="110">
        <v>0</v>
      </c>
      <c r="AN58" s="110">
        <v>0</v>
      </c>
      <c r="AO58" s="110">
        <v>0</v>
      </c>
      <c r="AP58" s="110">
        <v>0</v>
      </c>
      <c r="AQ58" s="110">
        <v>0</v>
      </c>
      <c r="AR58" s="110">
        <v>0</v>
      </c>
      <c r="AS58" s="110">
        <v>0</v>
      </c>
      <c r="AT58" s="110">
        <v>0</v>
      </c>
      <c r="AU58" s="110">
        <v>0</v>
      </c>
      <c r="AV58" s="110">
        <v>0</v>
      </c>
      <c r="AW58" s="110">
        <v>0</v>
      </c>
      <c r="AX58" s="110">
        <v>0</v>
      </c>
      <c r="AY58" s="110">
        <v>0</v>
      </c>
      <c r="AZ58" s="110">
        <v>0</v>
      </c>
      <c r="BA58" s="110">
        <v>0</v>
      </c>
      <c r="BB58" s="110">
        <v>0</v>
      </c>
      <c r="BC58" s="110">
        <v>0</v>
      </c>
      <c r="BD58" s="110">
        <v>0</v>
      </c>
      <c r="BE58" s="110">
        <v>31162.07</v>
      </c>
      <c r="BF58" s="110">
        <v>31162.07</v>
      </c>
      <c r="BG58" s="110">
        <v>0</v>
      </c>
      <c r="BH58" s="110">
        <v>31162.07</v>
      </c>
      <c r="BI58" s="110">
        <v>0</v>
      </c>
      <c r="BJ58" s="110">
        <v>0</v>
      </c>
      <c r="BK58" s="110">
        <v>0</v>
      </c>
      <c r="BL58" s="110">
        <v>1587.89</v>
      </c>
      <c r="BM58" s="110">
        <v>1587.89</v>
      </c>
      <c r="BN58" s="110">
        <v>0</v>
      </c>
      <c r="BO58" s="110">
        <v>1587.89</v>
      </c>
      <c r="BP58" s="110">
        <v>0</v>
      </c>
      <c r="BQ58" s="110">
        <v>0</v>
      </c>
      <c r="BR58" s="110">
        <v>0</v>
      </c>
      <c r="BS58" s="110">
        <v>1726.18</v>
      </c>
      <c r="BT58" s="110">
        <v>1726.18</v>
      </c>
      <c r="BU58" s="110">
        <v>0</v>
      </c>
      <c r="BV58" s="110">
        <v>1726.18</v>
      </c>
      <c r="BW58" s="110">
        <v>0</v>
      </c>
      <c r="BX58" s="110">
        <v>0</v>
      </c>
      <c r="BY58" s="110">
        <v>0</v>
      </c>
      <c r="BZ58" s="110">
        <v>8872</v>
      </c>
      <c r="CA58" s="110">
        <v>8872</v>
      </c>
      <c r="CB58" s="110">
        <v>0</v>
      </c>
      <c r="CC58" s="110">
        <v>8872</v>
      </c>
      <c r="CD58" s="110">
        <v>0</v>
      </c>
      <c r="CE58" s="110">
        <v>0</v>
      </c>
      <c r="CF58" s="110">
        <v>0</v>
      </c>
      <c r="CG58" s="110">
        <v>18976</v>
      </c>
      <c r="CH58" s="110">
        <v>18976</v>
      </c>
      <c r="CI58" s="110">
        <v>0</v>
      </c>
      <c r="CJ58" s="110">
        <v>18976</v>
      </c>
      <c r="CK58" s="110">
        <v>0</v>
      </c>
      <c r="CL58" s="110">
        <v>0</v>
      </c>
      <c r="CM58" s="110">
        <v>0</v>
      </c>
      <c r="CN58" s="110">
        <v>0</v>
      </c>
      <c r="CO58" s="110">
        <v>0</v>
      </c>
      <c r="CP58" s="110">
        <v>0</v>
      </c>
      <c r="CQ58" s="110">
        <v>0</v>
      </c>
      <c r="CR58" s="110">
        <v>0</v>
      </c>
      <c r="CS58" s="110">
        <v>0</v>
      </c>
      <c r="CT58" s="110">
        <v>31162.07</v>
      </c>
      <c r="CU58" s="110">
        <v>0</v>
      </c>
      <c r="CV58" s="111">
        <v>0</v>
      </c>
      <c r="CW58" s="111">
        <v>0</v>
      </c>
      <c r="CX58" s="111">
        <v>0</v>
      </c>
      <c r="CY58" s="111">
        <v>0</v>
      </c>
      <c r="CZ58" s="111">
        <v>0</v>
      </c>
      <c r="DA58" s="111">
        <v>0</v>
      </c>
      <c r="DB58" s="111">
        <v>0</v>
      </c>
      <c r="DC58" s="111">
        <v>0</v>
      </c>
      <c r="DD58" s="111">
        <v>0</v>
      </c>
      <c r="DE58" s="111">
        <v>0</v>
      </c>
      <c r="DF58" s="111">
        <v>0</v>
      </c>
      <c r="DG58" s="111">
        <v>0</v>
      </c>
      <c r="DH58" s="111">
        <v>0</v>
      </c>
      <c r="DI58" s="111">
        <v>0</v>
      </c>
      <c r="DJ58" s="111">
        <v>0</v>
      </c>
      <c r="DK58" s="111">
        <v>0</v>
      </c>
      <c r="DL58" s="111">
        <v>0</v>
      </c>
      <c r="DM58" s="111">
        <v>0</v>
      </c>
      <c r="DN58" s="111">
        <v>0</v>
      </c>
      <c r="DO58" s="111">
        <v>0</v>
      </c>
      <c r="DP58" s="111">
        <v>0</v>
      </c>
      <c r="DQ58" s="111">
        <v>0</v>
      </c>
      <c r="DR58" s="111">
        <v>0</v>
      </c>
      <c r="DS58" s="111">
        <v>0</v>
      </c>
      <c r="DT58" s="111">
        <v>0</v>
      </c>
      <c r="DU58" s="111">
        <v>0</v>
      </c>
      <c r="DV58" s="111">
        <v>0</v>
      </c>
      <c r="DW58" s="111">
        <v>0</v>
      </c>
      <c r="DX58" s="111">
        <v>0</v>
      </c>
      <c r="DY58" s="111">
        <v>0</v>
      </c>
      <c r="DZ58" s="111">
        <v>0</v>
      </c>
      <c r="EA58" s="111">
        <v>0</v>
      </c>
      <c r="EB58" s="111">
        <v>0</v>
      </c>
      <c r="EC58" s="111">
        <v>0</v>
      </c>
      <c r="ED58" s="111">
        <v>0</v>
      </c>
      <c r="EE58" s="111">
        <v>0</v>
      </c>
      <c r="EF58" s="111">
        <v>0</v>
      </c>
      <c r="EG58" s="111">
        <v>2</v>
      </c>
      <c r="EH58" s="111">
        <v>2</v>
      </c>
      <c r="EI58" s="111">
        <v>0</v>
      </c>
      <c r="EJ58" s="111">
        <v>2</v>
      </c>
      <c r="EK58" s="111">
        <v>0</v>
      </c>
      <c r="EL58" s="111">
        <v>0</v>
      </c>
      <c r="EM58" s="111">
        <v>0</v>
      </c>
      <c r="EN58" s="111">
        <v>0</v>
      </c>
      <c r="EO58" s="111">
        <v>0</v>
      </c>
      <c r="EP58" s="111">
        <v>0</v>
      </c>
      <c r="EQ58" s="111">
        <v>0</v>
      </c>
      <c r="ER58" s="111">
        <v>0</v>
      </c>
      <c r="ES58" s="111">
        <v>0</v>
      </c>
      <c r="ET58" s="111">
        <v>0</v>
      </c>
      <c r="EU58" s="111">
        <v>0</v>
      </c>
      <c r="EV58" s="111">
        <v>0</v>
      </c>
      <c r="EW58" s="111">
        <v>0</v>
      </c>
      <c r="EX58" s="111">
        <v>0</v>
      </c>
      <c r="EY58" s="111">
        <v>0</v>
      </c>
      <c r="EZ58" s="111">
        <v>0</v>
      </c>
      <c r="FA58" s="111">
        <v>0</v>
      </c>
      <c r="FB58" s="111">
        <v>0</v>
      </c>
    </row>
    <row r="59" spans="1:158" ht="19.5" customHeight="1">
      <c r="A59" s="107">
        <v>56</v>
      </c>
      <c r="B59" s="107" t="s">
        <v>350</v>
      </c>
      <c r="C59" s="107" t="s">
        <v>410</v>
      </c>
      <c r="D59" s="110">
        <v>2437082.5</v>
      </c>
      <c r="E59" s="110">
        <v>1129853</v>
      </c>
      <c r="F59" s="110">
        <v>1307229.5</v>
      </c>
      <c r="G59" s="110">
        <v>3991</v>
      </c>
      <c r="H59" s="110">
        <v>126</v>
      </c>
      <c r="I59" s="110">
        <v>18788</v>
      </c>
      <c r="J59" s="110">
        <v>0</v>
      </c>
      <c r="K59" s="110">
        <v>0</v>
      </c>
      <c r="L59" s="110">
        <v>79477.5</v>
      </c>
      <c r="M59" s="110">
        <v>4959</v>
      </c>
      <c r="N59" s="110">
        <v>105</v>
      </c>
      <c r="O59" s="110">
        <v>3883855.25</v>
      </c>
      <c r="P59" s="110">
        <v>3283055.26</v>
      </c>
      <c r="Q59" s="110">
        <v>3246834.38</v>
      </c>
      <c r="R59" s="110">
        <v>36220.879999999997</v>
      </c>
      <c r="S59" s="110">
        <v>600799.99</v>
      </c>
      <c r="T59" s="110">
        <v>543762.67000000004</v>
      </c>
      <c r="U59" s="110">
        <v>57037.32</v>
      </c>
      <c r="V59" s="110">
        <v>1782299.06</v>
      </c>
      <c r="W59" s="110">
        <v>1640184.39</v>
      </c>
      <c r="X59" s="110">
        <v>1603963.51</v>
      </c>
      <c r="Y59" s="110">
        <v>36220.879999999997</v>
      </c>
      <c r="Z59" s="110">
        <v>142114.67000000001</v>
      </c>
      <c r="AA59" s="110">
        <v>85077.35</v>
      </c>
      <c r="AB59" s="110">
        <v>57037.32</v>
      </c>
      <c r="AC59" s="110">
        <v>620324.30000000005</v>
      </c>
      <c r="AD59" s="110">
        <v>576583.87</v>
      </c>
      <c r="AE59" s="110">
        <v>566807</v>
      </c>
      <c r="AF59" s="110">
        <v>9776.8700000000008</v>
      </c>
      <c r="AG59" s="110">
        <v>43740.43</v>
      </c>
      <c r="AH59" s="110">
        <v>28451.09</v>
      </c>
      <c r="AI59" s="110">
        <v>15289.34</v>
      </c>
      <c r="AJ59" s="110">
        <v>32121.759999999998</v>
      </c>
      <c r="AK59" s="110">
        <v>29329.52</v>
      </c>
      <c r="AL59" s="110">
        <v>28898.51</v>
      </c>
      <c r="AM59" s="110">
        <v>431.01</v>
      </c>
      <c r="AN59" s="110">
        <v>2792.24</v>
      </c>
      <c r="AO59" s="110">
        <v>1956.26</v>
      </c>
      <c r="AP59" s="110">
        <v>835.98</v>
      </c>
      <c r="AQ59" s="110">
        <v>995395</v>
      </c>
      <c r="AR59" s="110">
        <v>912067</v>
      </c>
      <c r="AS59" s="110">
        <v>889004</v>
      </c>
      <c r="AT59" s="110">
        <v>23063</v>
      </c>
      <c r="AU59" s="110">
        <v>83328</v>
      </c>
      <c r="AV59" s="110">
        <v>46901</v>
      </c>
      <c r="AW59" s="110">
        <v>36427</v>
      </c>
      <c r="AX59" s="110">
        <v>134458</v>
      </c>
      <c r="AY59" s="110">
        <v>122204</v>
      </c>
      <c r="AZ59" s="110">
        <v>119254</v>
      </c>
      <c r="BA59" s="110">
        <v>2950</v>
      </c>
      <c r="BB59" s="110">
        <v>12254</v>
      </c>
      <c r="BC59" s="110">
        <v>7769</v>
      </c>
      <c r="BD59" s="110">
        <v>4485</v>
      </c>
      <c r="BE59" s="110">
        <v>2101556.19</v>
      </c>
      <c r="BF59" s="110">
        <v>1642870.87</v>
      </c>
      <c r="BG59" s="110">
        <v>1642870.87</v>
      </c>
      <c r="BH59" s="110">
        <v>0</v>
      </c>
      <c r="BI59" s="110">
        <v>458685.32</v>
      </c>
      <c r="BJ59" s="110">
        <v>458685.32</v>
      </c>
      <c r="BK59" s="110">
        <v>0</v>
      </c>
      <c r="BL59" s="110">
        <v>692079.23</v>
      </c>
      <c r="BM59" s="110">
        <v>528162.02</v>
      </c>
      <c r="BN59" s="110">
        <v>528162.02</v>
      </c>
      <c r="BO59" s="110">
        <v>0</v>
      </c>
      <c r="BP59" s="110">
        <v>163917.21</v>
      </c>
      <c r="BQ59" s="110">
        <v>163917.21</v>
      </c>
      <c r="BR59" s="110">
        <v>0</v>
      </c>
      <c r="BS59" s="110">
        <v>102247.46</v>
      </c>
      <c r="BT59" s="110">
        <v>80103.350000000006</v>
      </c>
      <c r="BU59" s="110">
        <v>80103.350000000006</v>
      </c>
      <c r="BV59" s="110">
        <v>0</v>
      </c>
      <c r="BW59" s="110">
        <v>22144.11</v>
      </c>
      <c r="BX59" s="110">
        <v>22144.11</v>
      </c>
      <c r="BY59" s="110">
        <v>0</v>
      </c>
      <c r="BZ59" s="110">
        <v>1015644</v>
      </c>
      <c r="CA59" s="110">
        <v>799978</v>
      </c>
      <c r="CB59" s="110">
        <v>799978</v>
      </c>
      <c r="CC59" s="110">
        <v>0</v>
      </c>
      <c r="CD59" s="110">
        <v>215666</v>
      </c>
      <c r="CE59" s="110">
        <v>215666</v>
      </c>
      <c r="CF59" s="110">
        <v>0</v>
      </c>
      <c r="CG59" s="110">
        <v>291585.5</v>
      </c>
      <c r="CH59" s="110">
        <v>234627.5</v>
      </c>
      <c r="CI59" s="110">
        <v>234627.5</v>
      </c>
      <c r="CJ59" s="110">
        <v>0</v>
      </c>
      <c r="CK59" s="110">
        <v>56958</v>
      </c>
      <c r="CL59" s="110">
        <v>56958</v>
      </c>
      <c r="CM59" s="110">
        <v>0</v>
      </c>
      <c r="CN59" s="110">
        <v>1463771.1</v>
      </c>
      <c r="CO59" s="110">
        <v>0</v>
      </c>
      <c r="CP59" s="110">
        <v>39234.730000000003</v>
      </c>
      <c r="CQ59" s="110">
        <v>279293.23</v>
      </c>
      <c r="CR59" s="110">
        <v>0</v>
      </c>
      <c r="CS59" s="110">
        <v>0</v>
      </c>
      <c r="CT59" s="110">
        <v>0</v>
      </c>
      <c r="CU59" s="110">
        <v>0</v>
      </c>
      <c r="CV59" s="111">
        <v>3991</v>
      </c>
      <c r="CW59" s="111">
        <v>3631</v>
      </c>
      <c r="CX59" s="111">
        <v>3535</v>
      </c>
      <c r="CY59" s="111">
        <v>96</v>
      </c>
      <c r="CZ59" s="111">
        <v>360</v>
      </c>
      <c r="DA59" s="111">
        <v>223</v>
      </c>
      <c r="DB59" s="111">
        <v>137</v>
      </c>
      <c r="DC59" s="111">
        <v>724</v>
      </c>
      <c r="DD59" s="111">
        <v>0</v>
      </c>
      <c r="DE59" s="111">
        <v>648</v>
      </c>
      <c r="DF59" s="111">
        <v>619</v>
      </c>
      <c r="DG59" s="111">
        <v>29</v>
      </c>
      <c r="DH59" s="111">
        <v>76</v>
      </c>
      <c r="DI59" s="111">
        <v>44</v>
      </c>
      <c r="DJ59" s="111">
        <v>32</v>
      </c>
      <c r="DK59" s="111">
        <v>120</v>
      </c>
      <c r="DL59" s="111">
        <v>98</v>
      </c>
      <c r="DM59" s="111">
        <v>92</v>
      </c>
      <c r="DN59" s="111">
        <v>6</v>
      </c>
      <c r="DO59" s="111">
        <v>22</v>
      </c>
      <c r="DP59" s="111">
        <v>16</v>
      </c>
      <c r="DQ59" s="111">
        <v>6</v>
      </c>
      <c r="DR59" s="111">
        <v>0</v>
      </c>
      <c r="DS59" s="111">
        <v>0</v>
      </c>
      <c r="DT59" s="111">
        <v>0</v>
      </c>
      <c r="DU59" s="111">
        <v>0</v>
      </c>
      <c r="DV59" s="111">
        <v>0</v>
      </c>
      <c r="DW59" s="111">
        <v>0</v>
      </c>
      <c r="DX59" s="111">
        <v>0</v>
      </c>
      <c r="DY59" s="111">
        <v>0</v>
      </c>
      <c r="DZ59" s="111">
        <v>3147</v>
      </c>
      <c r="EA59" s="111">
        <v>2885</v>
      </c>
      <c r="EB59" s="111">
        <v>2824</v>
      </c>
      <c r="EC59" s="111">
        <v>61</v>
      </c>
      <c r="ED59" s="111">
        <v>262</v>
      </c>
      <c r="EE59" s="111">
        <v>163</v>
      </c>
      <c r="EF59" s="111">
        <v>99</v>
      </c>
      <c r="EG59" s="111">
        <v>126</v>
      </c>
      <c r="EH59" s="111">
        <v>105</v>
      </c>
      <c r="EI59" s="111">
        <v>105</v>
      </c>
      <c r="EJ59" s="111">
        <v>0</v>
      </c>
      <c r="EK59" s="111">
        <v>21</v>
      </c>
      <c r="EL59" s="111">
        <v>21</v>
      </c>
      <c r="EM59" s="111">
        <v>0</v>
      </c>
      <c r="EN59" s="111">
        <v>3</v>
      </c>
      <c r="EO59" s="111">
        <v>0</v>
      </c>
      <c r="EP59" s="111">
        <v>0</v>
      </c>
      <c r="EQ59" s="111">
        <v>3</v>
      </c>
      <c r="ER59" s="111">
        <v>0</v>
      </c>
      <c r="ES59" s="111">
        <v>0</v>
      </c>
      <c r="ET59" s="111">
        <v>0</v>
      </c>
      <c r="EU59" s="111">
        <v>0</v>
      </c>
      <c r="EV59" s="111">
        <v>0</v>
      </c>
      <c r="EW59" s="111">
        <v>0</v>
      </c>
      <c r="EX59" s="111">
        <v>0</v>
      </c>
      <c r="EY59" s="111">
        <v>0</v>
      </c>
      <c r="EZ59" s="111">
        <v>0</v>
      </c>
      <c r="FA59" s="111">
        <v>0</v>
      </c>
      <c r="FB59" s="111">
        <v>20</v>
      </c>
    </row>
    <row r="60" spans="1:158" ht="19.5" customHeight="1">
      <c r="A60" s="107">
        <v>57</v>
      </c>
      <c r="B60" s="107" t="s">
        <v>407</v>
      </c>
      <c r="C60" s="107" t="s">
        <v>411</v>
      </c>
      <c r="D60" s="110">
        <v>673</v>
      </c>
      <c r="E60" s="110">
        <v>673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743.96</v>
      </c>
      <c r="P60" s="110">
        <v>727.96</v>
      </c>
      <c r="Q60" s="110">
        <v>711.96</v>
      </c>
      <c r="R60" s="110">
        <v>16</v>
      </c>
      <c r="S60" s="110">
        <v>16</v>
      </c>
      <c r="T60" s="110">
        <v>16</v>
      </c>
      <c r="U60" s="110">
        <v>0</v>
      </c>
      <c r="V60" s="110">
        <v>743.96</v>
      </c>
      <c r="W60" s="110">
        <v>727.96</v>
      </c>
      <c r="X60" s="110">
        <v>711.96</v>
      </c>
      <c r="Y60" s="110">
        <v>16</v>
      </c>
      <c r="Z60" s="110">
        <v>16</v>
      </c>
      <c r="AA60" s="110">
        <v>16</v>
      </c>
      <c r="AB60" s="110">
        <v>0</v>
      </c>
      <c r="AC60" s="110">
        <v>70.959999999999994</v>
      </c>
      <c r="AD60" s="110">
        <v>70.959999999999994</v>
      </c>
      <c r="AE60" s="110">
        <v>70.959999999999994</v>
      </c>
      <c r="AF60" s="110">
        <v>0</v>
      </c>
      <c r="AG60" s="110">
        <v>0</v>
      </c>
      <c r="AH60" s="110">
        <v>0</v>
      </c>
      <c r="AI60" s="110">
        <v>0</v>
      </c>
      <c r="AJ60" s="110">
        <v>0</v>
      </c>
      <c r="AK60" s="110">
        <v>0</v>
      </c>
      <c r="AL60" s="110">
        <v>0</v>
      </c>
      <c r="AM60" s="110">
        <v>0</v>
      </c>
      <c r="AN60" s="110">
        <v>0</v>
      </c>
      <c r="AO60" s="110">
        <v>0</v>
      </c>
      <c r="AP60" s="110">
        <v>0</v>
      </c>
      <c r="AQ60" s="110">
        <v>673</v>
      </c>
      <c r="AR60" s="110">
        <v>657</v>
      </c>
      <c r="AS60" s="110">
        <v>641</v>
      </c>
      <c r="AT60" s="110">
        <v>16</v>
      </c>
      <c r="AU60" s="110">
        <v>16</v>
      </c>
      <c r="AV60" s="110">
        <v>16</v>
      </c>
      <c r="AW60" s="110">
        <v>0</v>
      </c>
      <c r="AX60" s="110">
        <v>0</v>
      </c>
      <c r="AY60" s="110">
        <v>0</v>
      </c>
      <c r="AZ60" s="110">
        <v>0</v>
      </c>
      <c r="BA60" s="110">
        <v>0</v>
      </c>
      <c r="BB60" s="110">
        <v>0</v>
      </c>
      <c r="BC60" s="110">
        <v>0</v>
      </c>
      <c r="BD60" s="110">
        <v>0</v>
      </c>
      <c r="BE60" s="110">
        <v>0</v>
      </c>
      <c r="BF60" s="110">
        <v>0</v>
      </c>
      <c r="BG60" s="110">
        <v>0</v>
      </c>
      <c r="BH60" s="110">
        <v>0</v>
      </c>
      <c r="BI60" s="110">
        <v>0</v>
      </c>
      <c r="BJ60" s="110">
        <v>0</v>
      </c>
      <c r="BK60" s="110">
        <v>0</v>
      </c>
      <c r="BL60" s="110">
        <v>0</v>
      </c>
      <c r="BM60" s="110">
        <v>0</v>
      </c>
      <c r="BN60" s="110">
        <v>0</v>
      </c>
      <c r="BO60" s="110">
        <v>0</v>
      </c>
      <c r="BP60" s="110">
        <v>0</v>
      </c>
      <c r="BQ60" s="110">
        <v>0</v>
      </c>
      <c r="BR60" s="110">
        <v>0</v>
      </c>
      <c r="BS60" s="110">
        <v>0</v>
      </c>
      <c r="BT60" s="110">
        <v>0</v>
      </c>
      <c r="BU60" s="110">
        <v>0</v>
      </c>
      <c r="BV60" s="110">
        <v>0</v>
      </c>
      <c r="BW60" s="110">
        <v>0</v>
      </c>
      <c r="BX60" s="110">
        <v>0</v>
      </c>
      <c r="BY60" s="110">
        <v>0</v>
      </c>
      <c r="BZ60" s="110">
        <v>0</v>
      </c>
      <c r="CA60" s="110">
        <v>0</v>
      </c>
      <c r="CB60" s="110">
        <v>0</v>
      </c>
      <c r="CC60" s="110">
        <v>0</v>
      </c>
      <c r="CD60" s="110">
        <v>0</v>
      </c>
      <c r="CE60" s="110">
        <v>0</v>
      </c>
      <c r="CF60" s="110">
        <v>0</v>
      </c>
      <c r="CG60" s="110">
        <v>0</v>
      </c>
      <c r="CH60" s="110">
        <v>0</v>
      </c>
      <c r="CI60" s="110">
        <v>0</v>
      </c>
      <c r="CJ60" s="110">
        <v>0</v>
      </c>
      <c r="CK60" s="110">
        <v>0</v>
      </c>
      <c r="CL60" s="110">
        <v>0</v>
      </c>
      <c r="CM60" s="110">
        <v>0</v>
      </c>
      <c r="CN60" s="110">
        <v>0</v>
      </c>
      <c r="CO60" s="110">
        <v>743.96</v>
      </c>
      <c r="CP60" s="110">
        <v>0</v>
      </c>
      <c r="CQ60" s="110">
        <v>0</v>
      </c>
      <c r="CR60" s="110">
        <v>0</v>
      </c>
      <c r="CS60" s="110">
        <v>0</v>
      </c>
      <c r="CT60" s="110">
        <v>0</v>
      </c>
      <c r="CU60" s="110">
        <v>0</v>
      </c>
      <c r="CV60" s="111">
        <v>0</v>
      </c>
      <c r="CW60" s="111">
        <v>0</v>
      </c>
      <c r="CX60" s="111">
        <v>0</v>
      </c>
      <c r="CY60" s="111">
        <v>0</v>
      </c>
      <c r="CZ60" s="111">
        <v>0</v>
      </c>
      <c r="DA60" s="111">
        <v>0</v>
      </c>
      <c r="DB60" s="111">
        <v>0</v>
      </c>
      <c r="DC60" s="111">
        <v>0</v>
      </c>
      <c r="DD60" s="111">
        <v>0</v>
      </c>
      <c r="DE60" s="111">
        <v>0</v>
      </c>
      <c r="DF60" s="111">
        <v>0</v>
      </c>
      <c r="DG60" s="111">
        <v>0</v>
      </c>
      <c r="DH60" s="111">
        <v>0</v>
      </c>
      <c r="DI60" s="111">
        <v>0</v>
      </c>
      <c r="DJ60" s="111">
        <v>0</v>
      </c>
      <c r="DK60" s="111">
        <v>0</v>
      </c>
      <c r="DL60" s="111">
        <v>0</v>
      </c>
      <c r="DM60" s="111">
        <v>0</v>
      </c>
      <c r="DN60" s="111">
        <v>0</v>
      </c>
      <c r="DO60" s="111">
        <v>0</v>
      </c>
      <c r="DP60" s="111">
        <v>0</v>
      </c>
      <c r="DQ60" s="111">
        <v>0</v>
      </c>
      <c r="DR60" s="111">
        <v>0</v>
      </c>
      <c r="DS60" s="111">
        <v>0</v>
      </c>
      <c r="DT60" s="111">
        <v>0</v>
      </c>
      <c r="DU60" s="111">
        <v>0</v>
      </c>
      <c r="DV60" s="111">
        <v>0</v>
      </c>
      <c r="DW60" s="111">
        <v>0</v>
      </c>
      <c r="DX60" s="111">
        <v>0</v>
      </c>
      <c r="DY60" s="111">
        <v>0</v>
      </c>
      <c r="DZ60" s="111">
        <v>0</v>
      </c>
      <c r="EA60" s="111">
        <v>0</v>
      </c>
      <c r="EB60" s="111">
        <v>0</v>
      </c>
      <c r="EC60" s="111">
        <v>0</v>
      </c>
      <c r="ED60" s="111">
        <v>0</v>
      </c>
      <c r="EE60" s="111">
        <v>0</v>
      </c>
      <c r="EF60" s="111">
        <v>0</v>
      </c>
      <c r="EG60" s="111">
        <v>0</v>
      </c>
      <c r="EH60" s="111">
        <v>0</v>
      </c>
      <c r="EI60" s="111">
        <v>0</v>
      </c>
      <c r="EJ60" s="111">
        <v>0</v>
      </c>
      <c r="EK60" s="111">
        <v>0</v>
      </c>
      <c r="EL60" s="111">
        <v>0</v>
      </c>
      <c r="EM60" s="111">
        <v>0</v>
      </c>
      <c r="EN60" s="111">
        <v>0</v>
      </c>
      <c r="EO60" s="111">
        <v>0</v>
      </c>
      <c r="EP60" s="111">
        <v>0</v>
      </c>
      <c r="EQ60" s="111">
        <v>0</v>
      </c>
      <c r="ER60" s="111">
        <v>0</v>
      </c>
      <c r="ES60" s="111">
        <v>0</v>
      </c>
      <c r="ET60" s="111">
        <v>0</v>
      </c>
      <c r="EU60" s="111">
        <v>0</v>
      </c>
      <c r="EV60" s="111">
        <v>0</v>
      </c>
      <c r="EW60" s="111">
        <v>0</v>
      </c>
      <c r="EX60" s="111">
        <v>0</v>
      </c>
      <c r="EY60" s="111">
        <v>0</v>
      </c>
      <c r="EZ60" s="111">
        <v>0</v>
      </c>
      <c r="FA60" s="111">
        <v>0</v>
      </c>
      <c r="FB60" s="111">
        <v>0</v>
      </c>
    </row>
    <row r="61" spans="1:158" ht="28.5" customHeight="1">
      <c r="A61" s="107">
        <v>58</v>
      </c>
      <c r="B61" s="107" t="s">
        <v>361</v>
      </c>
      <c r="C61" s="107" t="s">
        <v>468</v>
      </c>
      <c r="D61" s="110">
        <v>5198277.6500000004</v>
      </c>
      <c r="E61" s="110">
        <v>4236787</v>
      </c>
      <c r="F61" s="110">
        <v>961490.65</v>
      </c>
      <c r="G61" s="110">
        <v>3382</v>
      </c>
      <c r="H61" s="110">
        <v>111</v>
      </c>
      <c r="I61" s="110">
        <v>1941</v>
      </c>
      <c r="J61" s="110">
        <v>241</v>
      </c>
      <c r="K61" s="110">
        <v>0</v>
      </c>
      <c r="L61" s="110">
        <v>147566</v>
      </c>
      <c r="M61" s="110">
        <v>118426</v>
      </c>
      <c r="N61" s="110">
        <v>3517.3</v>
      </c>
      <c r="O61" s="110">
        <v>5679626.8700000001</v>
      </c>
      <c r="P61" s="110">
        <v>1993093.83</v>
      </c>
      <c r="Q61" s="110">
        <v>644276.72</v>
      </c>
      <c r="R61" s="110">
        <v>1348817.11</v>
      </c>
      <c r="S61" s="110">
        <v>3686533.04</v>
      </c>
      <c r="T61" s="110">
        <v>796117.31</v>
      </c>
      <c r="U61" s="110">
        <v>2890415.73</v>
      </c>
      <c r="V61" s="110">
        <v>4298047.3</v>
      </c>
      <c r="W61" s="110">
        <v>1616562.38</v>
      </c>
      <c r="X61" s="110">
        <v>313070.76</v>
      </c>
      <c r="Y61" s="110">
        <v>1303491.6200000001</v>
      </c>
      <c r="Z61" s="110">
        <v>2681484.92</v>
      </c>
      <c r="AA61" s="110">
        <v>26122.27</v>
      </c>
      <c r="AB61" s="110">
        <v>2655362.65</v>
      </c>
      <c r="AC61" s="110">
        <v>44439.43</v>
      </c>
      <c r="AD61" s="110">
        <v>35474.300000000003</v>
      </c>
      <c r="AE61" s="110">
        <v>31957.18</v>
      </c>
      <c r="AF61" s="110">
        <v>3517.12</v>
      </c>
      <c r="AG61" s="110">
        <v>8965.1299999999992</v>
      </c>
      <c r="AH61" s="110">
        <v>3106.48</v>
      </c>
      <c r="AI61" s="110">
        <v>5858.65</v>
      </c>
      <c r="AJ61" s="110">
        <v>16820.87</v>
      </c>
      <c r="AK61" s="110">
        <v>5541.08</v>
      </c>
      <c r="AL61" s="110">
        <v>336.58</v>
      </c>
      <c r="AM61" s="110">
        <v>5204.5</v>
      </c>
      <c r="AN61" s="110">
        <v>11279.79</v>
      </c>
      <c r="AO61" s="110">
        <v>124.79</v>
      </c>
      <c r="AP61" s="110">
        <v>11155</v>
      </c>
      <c r="AQ61" s="110">
        <v>2995186</v>
      </c>
      <c r="AR61" s="110">
        <v>1181442</v>
      </c>
      <c r="AS61" s="110">
        <v>256678</v>
      </c>
      <c r="AT61" s="110">
        <v>924764</v>
      </c>
      <c r="AU61" s="110">
        <v>1813744</v>
      </c>
      <c r="AV61" s="110">
        <v>19972</v>
      </c>
      <c r="AW61" s="110">
        <v>1793772</v>
      </c>
      <c r="AX61" s="110">
        <v>1241601</v>
      </c>
      <c r="AY61" s="110">
        <v>394105</v>
      </c>
      <c r="AZ61" s="110">
        <v>24099</v>
      </c>
      <c r="BA61" s="110">
        <v>370006</v>
      </c>
      <c r="BB61" s="110">
        <v>847496</v>
      </c>
      <c r="BC61" s="110">
        <v>2919</v>
      </c>
      <c r="BD61" s="110">
        <v>844577</v>
      </c>
      <c r="BE61" s="110">
        <v>1381579.57</v>
      </c>
      <c r="BF61" s="110">
        <v>376531.45</v>
      </c>
      <c r="BG61" s="110">
        <v>331205.96000000002</v>
      </c>
      <c r="BH61" s="110">
        <v>45325.49</v>
      </c>
      <c r="BI61" s="110">
        <v>1005048.12</v>
      </c>
      <c r="BJ61" s="110">
        <v>769995.04</v>
      </c>
      <c r="BK61" s="110">
        <v>235053.08</v>
      </c>
      <c r="BL61" s="110">
        <v>282093.99</v>
      </c>
      <c r="BM61" s="110">
        <v>128141.07</v>
      </c>
      <c r="BN61" s="110">
        <v>108147.71</v>
      </c>
      <c r="BO61" s="110">
        <v>19993.36</v>
      </c>
      <c r="BP61" s="110">
        <v>153952.92000000001</v>
      </c>
      <c r="BQ61" s="110">
        <v>114342.72</v>
      </c>
      <c r="BR61" s="110">
        <v>39610.199999999997</v>
      </c>
      <c r="BS61" s="110">
        <v>137994.93</v>
      </c>
      <c r="BT61" s="110">
        <v>33819.879999999997</v>
      </c>
      <c r="BU61" s="110">
        <v>30026.55</v>
      </c>
      <c r="BV61" s="110">
        <v>3793.33</v>
      </c>
      <c r="BW61" s="110">
        <v>104175.05</v>
      </c>
      <c r="BX61" s="110">
        <v>76864.070000000007</v>
      </c>
      <c r="BY61" s="110">
        <v>27310.98</v>
      </c>
      <c r="BZ61" s="110">
        <v>446690.25</v>
      </c>
      <c r="CA61" s="110">
        <v>96063.5</v>
      </c>
      <c r="CB61" s="110">
        <v>93180</v>
      </c>
      <c r="CC61" s="110">
        <v>2883.5</v>
      </c>
      <c r="CD61" s="110">
        <v>350626.75</v>
      </c>
      <c r="CE61" s="110">
        <v>292879.25</v>
      </c>
      <c r="CF61" s="110">
        <v>57747.5</v>
      </c>
      <c r="CG61" s="110">
        <v>514800.4</v>
      </c>
      <c r="CH61" s="110">
        <v>118507</v>
      </c>
      <c r="CI61" s="110">
        <v>99851.7</v>
      </c>
      <c r="CJ61" s="110">
        <v>18655.3</v>
      </c>
      <c r="CK61" s="110">
        <v>396293.4</v>
      </c>
      <c r="CL61" s="110">
        <v>285909</v>
      </c>
      <c r="CM61" s="110">
        <v>110384.4</v>
      </c>
      <c r="CN61" s="110">
        <v>93389.94</v>
      </c>
      <c r="CO61" s="110">
        <v>593623.85</v>
      </c>
      <c r="CP61" s="110">
        <v>4218.2700000000004</v>
      </c>
      <c r="CQ61" s="110">
        <v>677752.63</v>
      </c>
      <c r="CR61" s="110">
        <v>2777040.11</v>
      </c>
      <c r="CS61" s="110">
        <v>152022.5</v>
      </c>
      <c r="CT61" s="110">
        <v>56972.79</v>
      </c>
      <c r="CU61" s="110">
        <v>0</v>
      </c>
      <c r="CV61" s="111">
        <v>3382</v>
      </c>
      <c r="CW61" s="111">
        <v>1881</v>
      </c>
      <c r="CX61" s="111">
        <v>860</v>
      </c>
      <c r="CY61" s="111">
        <v>1021</v>
      </c>
      <c r="CZ61" s="111">
        <v>1501</v>
      </c>
      <c r="DA61" s="111">
        <v>81</v>
      </c>
      <c r="DB61" s="111">
        <v>1420</v>
      </c>
      <c r="DC61" s="111">
        <v>1553</v>
      </c>
      <c r="DD61" s="111">
        <v>0</v>
      </c>
      <c r="DE61" s="111">
        <v>1167</v>
      </c>
      <c r="DF61" s="111">
        <v>788</v>
      </c>
      <c r="DG61" s="111">
        <v>379</v>
      </c>
      <c r="DH61" s="111">
        <v>386</v>
      </c>
      <c r="DI61" s="111">
        <v>69</v>
      </c>
      <c r="DJ61" s="111">
        <v>317</v>
      </c>
      <c r="DK61" s="111">
        <v>13</v>
      </c>
      <c r="DL61" s="111">
        <v>10</v>
      </c>
      <c r="DM61" s="111">
        <v>10</v>
      </c>
      <c r="DN61" s="111">
        <v>0</v>
      </c>
      <c r="DO61" s="111">
        <v>3</v>
      </c>
      <c r="DP61" s="111">
        <v>1</v>
      </c>
      <c r="DQ61" s="111">
        <v>2</v>
      </c>
      <c r="DR61" s="111">
        <v>1430</v>
      </c>
      <c r="DS61" s="111">
        <v>0</v>
      </c>
      <c r="DT61" s="111">
        <v>426</v>
      </c>
      <c r="DU61" s="111">
        <v>3</v>
      </c>
      <c r="DV61" s="111">
        <v>423</v>
      </c>
      <c r="DW61" s="111">
        <v>1004</v>
      </c>
      <c r="DX61" s="111">
        <v>1</v>
      </c>
      <c r="DY61" s="111">
        <v>1003</v>
      </c>
      <c r="DZ61" s="111">
        <v>386</v>
      </c>
      <c r="EA61" s="111">
        <v>278</v>
      </c>
      <c r="EB61" s="111">
        <v>59</v>
      </c>
      <c r="EC61" s="111">
        <v>219</v>
      </c>
      <c r="ED61" s="111">
        <v>108</v>
      </c>
      <c r="EE61" s="111">
        <v>10</v>
      </c>
      <c r="EF61" s="111">
        <v>98</v>
      </c>
      <c r="EG61" s="111">
        <v>111</v>
      </c>
      <c r="EH61" s="111">
        <v>30</v>
      </c>
      <c r="EI61" s="111">
        <v>28</v>
      </c>
      <c r="EJ61" s="111">
        <v>2</v>
      </c>
      <c r="EK61" s="111">
        <v>81</v>
      </c>
      <c r="EL61" s="111">
        <v>65</v>
      </c>
      <c r="EM61" s="111">
        <v>16</v>
      </c>
      <c r="EN61" s="111">
        <v>121</v>
      </c>
      <c r="EO61" s="111">
        <v>45</v>
      </c>
      <c r="EP61" s="111">
        <v>0</v>
      </c>
      <c r="EQ61" s="111">
        <v>76</v>
      </c>
      <c r="ER61" s="111">
        <v>2</v>
      </c>
      <c r="ES61" s="111">
        <v>0</v>
      </c>
      <c r="ET61" s="111">
        <v>0</v>
      </c>
      <c r="EU61" s="111">
        <v>19</v>
      </c>
      <c r="EV61" s="111">
        <v>4</v>
      </c>
      <c r="EW61" s="111">
        <v>0</v>
      </c>
      <c r="EX61" s="111">
        <v>15</v>
      </c>
      <c r="EY61" s="111">
        <v>0</v>
      </c>
      <c r="EZ61" s="111">
        <v>0</v>
      </c>
      <c r="FA61" s="111">
        <v>0</v>
      </c>
      <c r="FB61" s="111">
        <v>0</v>
      </c>
    </row>
    <row r="62" spans="1:158" ht="19.5" customHeight="1">
      <c r="A62" s="107">
        <v>59</v>
      </c>
      <c r="B62" s="107" t="s">
        <v>401</v>
      </c>
      <c r="C62" s="107" t="s">
        <v>413</v>
      </c>
      <c r="D62" s="110">
        <v>7191496</v>
      </c>
      <c r="E62" s="110">
        <v>7191496</v>
      </c>
      <c r="F62" s="110">
        <v>0</v>
      </c>
      <c r="G62" s="110">
        <v>11404</v>
      </c>
      <c r="H62" s="110">
        <v>0</v>
      </c>
      <c r="I62" s="110">
        <v>95656</v>
      </c>
      <c r="J62" s="110">
        <v>2451552</v>
      </c>
      <c r="K62" s="110">
        <v>0</v>
      </c>
      <c r="L62" s="110">
        <v>0</v>
      </c>
      <c r="M62" s="110">
        <v>0</v>
      </c>
      <c r="N62" s="110">
        <v>0</v>
      </c>
      <c r="O62" s="110">
        <v>10651560.060000001</v>
      </c>
      <c r="P62" s="110">
        <v>8779095.9100000001</v>
      </c>
      <c r="Q62" s="110">
        <v>8115493.2000000002</v>
      </c>
      <c r="R62" s="110">
        <v>663602.71</v>
      </c>
      <c r="S62" s="110">
        <v>1872464.15</v>
      </c>
      <c r="T62" s="110">
        <v>982043.57</v>
      </c>
      <c r="U62" s="110">
        <v>890420.58</v>
      </c>
      <c r="V62" s="110">
        <v>10651560.060000001</v>
      </c>
      <c r="W62" s="110">
        <v>8779095.9100000001</v>
      </c>
      <c r="X62" s="110">
        <v>8115493.2000000002</v>
      </c>
      <c r="Y62" s="110">
        <v>663602.71</v>
      </c>
      <c r="Z62" s="110">
        <v>1872464.15</v>
      </c>
      <c r="AA62" s="110">
        <v>982043.57</v>
      </c>
      <c r="AB62" s="110">
        <v>890420.58</v>
      </c>
      <c r="AC62" s="110">
        <v>895432.28</v>
      </c>
      <c r="AD62" s="110">
        <v>747163.55</v>
      </c>
      <c r="AE62" s="110">
        <v>717754.68</v>
      </c>
      <c r="AF62" s="110">
        <v>29408.87</v>
      </c>
      <c r="AG62" s="110">
        <v>148268.73000000001</v>
      </c>
      <c r="AH62" s="110">
        <v>84962.01</v>
      </c>
      <c r="AI62" s="110">
        <v>63306.720000000001</v>
      </c>
      <c r="AJ62" s="110">
        <v>2564631.7799999998</v>
      </c>
      <c r="AK62" s="110">
        <v>2130081.36</v>
      </c>
      <c r="AL62" s="110">
        <v>2045553.52</v>
      </c>
      <c r="AM62" s="110">
        <v>84527.84</v>
      </c>
      <c r="AN62" s="110">
        <v>434550.42</v>
      </c>
      <c r="AO62" s="110">
        <v>247807.56</v>
      </c>
      <c r="AP62" s="110">
        <v>186742.86</v>
      </c>
      <c r="AQ62" s="110">
        <v>2905</v>
      </c>
      <c r="AR62" s="110">
        <v>2260</v>
      </c>
      <c r="AS62" s="110">
        <v>2190</v>
      </c>
      <c r="AT62" s="110">
        <v>70</v>
      </c>
      <c r="AU62" s="110">
        <v>645</v>
      </c>
      <c r="AV62" s="110">
        <v>505</v>
      </c>
      <c r="AW62" s="110">
        <v>140</v>
      </c>
      <c r="AX62" s="110">
        <v>7188591</v>
      </c>
      <c r="AY62" s="110">
        <v>5899591</v>
      </c>
      <c r="AZ62" s="110">
        <v>5349995</v>
      </c>
      <c r="BA62" s="110">
        <v>549596</v>
      </c>
      <c r="BB62" s="110">
        <v>1289000</v>
      </c>
      <c r="BC62" s="110">
        <v>648769</v>
      </c>
      <c r="BD62" s="110">
        <v>640231</v>
      </c>
      <c r="BE62" s="110">
        <v>0</v>
      </c>
      <c r="BF62" s="110">
        <v>0</v>
      </c>
      <c r="BG62" s="110">
        <v>0</v>
      </c>
      <c r="BH62" s="110">
        <v>0</v>
      </c>
      <c r="BI62" s="110">
        <v>0</v>
      </c>
      <c r="BJ62" s="110">
        <v>0</v>
      </c>
      <c r="BK62" s="110">
        <v>0</v>
      </c>
      <c r="BL62" s="110">
        <v>0</v>
      </c>
      <c r="BM62" s="110">
        <v>0</v>
      </c>
      <c r="BN62" s="110">
        <v>0</v>
      </c>
      <c r="BO62" s="110">
        <v>0</v>
      </c>
      <c r="BP62" s="110">
        <v>0</v>
      </c>
      <c r="BQ62" s="110">
        <v>0</v>
      </c>
      <c r="BR62" s="110">
        <v>0</v>
      </c>
      <c r="BS62" s="110">
        <v>0</v>
      </c>
      <c r="BT62" s="110">
        <v>0</v>
      </c>
      <c r="BU62" s="110">
        <v>0</v>
      </c>
      <c r="BV62" s="110">
        <v>0</v>
      </c>
      <c r="BW62" s="110">
        <v>0</v>
      </c>
      <c r="BX62" s="110">
        <v>0</v>
      </c>
      <c r="BY62" s="110">
        <v>0</v>
      </c>
      <c r="BZ62" s="110">
        <v>0</v>
      </c>
      <c r="CA62" s="110">
        <v>0</v>
      </c>
      <c r="CB62" s="110">
        <v>0</v>
      </c>
      <c r="CC62" s="110">
        <v>0</v>
      </c>
      <c r="CD62" s="110">
        <v>0</v>
      </c>
      <c r="CE62" s="110">
        <v>0</v>
      </c>
      <c r="CF62" s="110">
        <v>0</v>
      </c>
      <c r="CG62" s="110">
        <v>0</v>
      </c>
      <c r="CH62" s="110">
        <v>0</v>
      </c>
      <c r="CI62" s="110">
        <v>0</v>
      </c>
      <c r="CJ62" s="110">
        <v>0</v>
      </c>
      <c r="CK62" s="110">
        <v>0</v>
      </c>
      <c r="CL62" s="110">
        <v>0</v>
      </c>
      <c r="CM62" s="110">
        <v>0</v>
      </c>
      <c r="CN62" s="110">
        <v>-25</v>
      </c>
      <c r="CO62" s="110">
        <v>330</v>
      </c>
      <c r="CP62" s="110">
        <v>0</v>
      </c>
      <c r="CQ62" s="110">
        <v>8446424.2599999998</v>
      </c>
      <c r="CR62" s="110">
        <v>2204714</v>
      </c>
      <c r="CS62" s="110">
        <v>91.8</v>
      </c>
      <c r="CT62" s="110">
        <v>0</v>
      </c>
      <c r="CU62" s="110">
        <v>0</v>
      </c>
      <c r="CV62" s="111">
        <v>11404</v>
      </c>
      <c r="CW62" s="111">
        <v>9400</v>
      </c>
      <c r="CX62" s="111">
        <v>8454</v>
      </c>
      <c r="CY62" s="111">
        <v>946</v>
      </c>
      <c r="CZ62" s="111">
        <v>2004</v>
      </c>
      <c r="DA62" s="111">
        <v>1028</v>
      </c>
      <c r="DB62" s="111">
        <v>976</v>
      </c>
      <c r="DC62" s="111">
        <v>9285</v>
      </c>
      <c r="DD62" s="111">
        <v>0</v>
      </c>
      <c r="DE62" s="111">
        <v>7833</v>
      </c>
      <c r="DF62" s="111">
        <v>7535</v>
      </c>
      <c r="DG62" s="111">
        <v>298</v>
      </c>
      <c r="DH62" s="111">
        <v>1452</v>
      </c>
      <c r="DI62" s="111">
        <v>897</v>
      </c>
      <c r="DJ62" s="111">
        <v>555</v>
      </c>
      <c r="DK62" s="111">
        <v>0</v>
      </c>
      <c r="DL62" s="111">
        <v>0</v>
      </c>
      <c r="DM62" s="111">
        <v>0</v>
      </c>
      <c r="DN62" s="111">
        <v>0</v>
      </c>
      <c r="DO62" s="111">
        <v>0</v>
      </c>
      <c r="DP62" s="111">
        <v>0</v>
      </c>
      <c r="DQ62" s="111">
        <v>0</v>
      </c>
      <c r="DR62" s="111">
        <v>2119</v>
      </c>
      <c r="DS62" s="111">
        <v>0</v>
      </c>
      <c r="DT62" s="111">
        <v>1567</v>
      </c>
      <c r="DU62" s="111">
        <v>919</v>
      </c>
      <c r="DV62" s="111">
        <v>648</v>
      </c>
      <c r="DW62" s="111">
        <v>552</v>
      </c>
      <c r="DX62" s="111">
        <v>131</v>
      </c>
      <c r="DY62" s="111">
        <v>421</v>
      </c>
      <c r="DZ62" s="111">
        <v>0</v>
      </c>
      <c r="EA62" s="111">
        <v>0</v>
      </c>
      <c r="EB62" s="111">
        <v>0</v>
      </c>
      <c r="EC62" s="111">
        <v>0</v>
      </c>
      <c r="ED62" s="111">
        <v>0</v>
      </c>
      <c r="EE62" s="111">
        <v>0</v>
      </c>
      <c r="EF62" s="111">
        <v>0</v>
      </c>
      <c r="EG62" s="111">
        <v>0</v>
      </c>
      <c r="EH62" s="111">
        <v>0</v>
      </c>
      <c r="EI62" s="111">
        <v>0</v>
      </c>
      <c r="EJ62" s="111">
        <v>0</v>
      </c>
      <c r="EK62" s="111">
        <v>0</v>
      </c>
      <c r="EL62" s="111">
        <v>0</v>
      </c>
      <c r="EM62" s="111">
        <v>0</v>
      </c>
      <c r="EN62" s="111">
        <v>85</v>
      </c>
      <c r="EO62" s="111">
        <v>0</v>
      </c>
      <c r="EP62" s="111">
        <v>0</v>
      </c>
      <c r="EQ62" s="111">
        <v>85</v>
      </c>
      <c r="ER62" s="111">
        <v>0</v>
      </c>
      <c r="ES62" s="111">
        <v>0</v>
      </c>
      <c r="ET62" s="111">
        <v>0</v>
      </c>
      <c r="EU62" s="111">
        <v>0</v>
      </c>
      <c r="EV62" s="111">
        <v>0</v>
      </c>
      <c r="EW62" s="111">
        <v>0</v>
      </c>
      <c r="EX62" s="111">
        <v>0</v>
      </c>
      <c r="EY62" s="111">
        <v>0</v>
      </c>
      <c r="EZ62" s="111">
        <v>0</v>
      </c>
      <c r="FA62" s="111">
        <v>0</v>
      </c>
      <c r="FB62" s="111">
        <v>0</v>
      </c>
    </row>
    <row r="63" spans="1:158" ht="19.5" customHeight="1">
      <c r="A63" s="107">
        <v>60</v>
      </c>
      <c r="B63" s="107" t="s">
        <v>350</v>
      </c>
      <c r="C63" s="107" t="s">
        <v>414</v>
      </c>
      <c r="D63" s="110">
        <v>31987920.5</v>
      </c>
      <c r="E63" s="110">
        <v>18938320</v>
      </c>
      <c r="F63" s="110">
        <v>13049600.5</v>
      </c>
      <c r="G63" s="110">
        <v>5584</v>
      </c>
      <c r="H63" s="110">
        <v>1173</v>
      </c>
      <c r="I63" s="110">
        <v>17571950</v>
      </c>
      <c r="J63" s="110">
        <v>22</v>
      </c>
      <c r="K63" s="110">
        <v>0</v>
      </c>
      <c r="L63" s="110">
        <v>10352051</v>
      </c>
      <c r="M63" s="110">
        <v>8351</v>
      </c>
      <c r="N63" s="110">
        <v>13117.01</v>
      </c>
      <c r="O63" s="110">
        <v>45872986.280000001</v>
      </c>
      <c r="P63" s="110">
        <v>19240539.120000001</v>
      </c>
      <c r="Q63" s="110">
        <v>18928844.460000001</v>
      </c>
      <c r="R63" s="110">
        <v>311694.65999999997</v>
      </c>
      <c r="S63" s="110">
        <v>26632447.16</v>
      </c>
      <c r="T63" s="110">
        <v>25587212.530000001</v>
      </c>
      <c r="U63" s="110">
        <v>1045234.63</v>
      </c>
      <c r="V63" s="110">
        <v>22216547.390000001</v>
      </c>
      <c r="W63" s="110">
        <v>12627363.390000001</v>
      </c>
      <c r="X63" s="110">
        <v>12331438.17</v>
      </c>
      <c r="Y63" s="110">
        <v>295925.21999999997</v>
      </c>
      <c r="Z63" s="110">
        <v>9589184</v>
      </c>
      <c r="AA63" s="110">
        <v>8795026.9700000007</v>
      </c>
      <c r="AB63" s="110">
        <v>794157.03</v>
      </c>
      <c r="AC63" s="110">
        <v>3218645.83</v>
      </c>
      <c r="AD63" s="110">
        <v>2187718.0499999998</v>
      </c>
      <c r="AE63" s="110">
        <v>2150649.83</v>
      </c>
      <c r="AF63" s="110">
        <v>37068.22</v>
      </c>
      <c r="AG63" s="110">
        <v>1030927.78</v>
      </c>
      <c r="AH63" s="110">
        <v>896524.36</v>
      </c>
      <c r="AI63" s="110">
        <v>134403.42000000001</v>
      </c>
      <c r="AJ63" s="110">
        <v>59581.56</v>
      </c>
      <c r="AK63" s="110">
        <v>13203.34</v>
      </c>
      <c r="AL63" s="110">
        <v>11999.34</v>
      </c>
      <c r="AM63" s="110">
        <v>1204</v>
      </c>
      <c r="AN63" s="110">
        <v>46378.22</v>
      </c>
      <c r="AO63" s="110">
        <v>38527.61</v>
      </c>
      <c r="AP63" s="110">
        <v>7850.61</v>
      </c>
      <c r="AQ63" s="110">
        <v>1170053</v>
      </c>
      <c r="AR63" s="110">
        <v>434830</v>
      </c>
      <c r="AS63" s="110">
        <v>408704</v>
      </c>
      <c r="AT63" s="110">
        <v>26126</v>
      </c>
      <c r="AU63" s="110">
        <v>735223</v>
      </c>
      <c r="AV63" s="110">
        <v>537272</v>
      </c>
      <c r="AW63" s="110">
        <v>197951</v>
      </c>
      <c r="AX63" s="110">
        <v>17768267</v>
      </c>
      <c r="AY63" s="110">
        <v>9991612</v>
      </c>
      <c r="AZ63" s="110">
        <v>9760085</v>
      </c>
      <c r="BA63" s="110">
        <v>231527</v>
      </c>
      <c r="BB63" s="110">
        <v>7776655</v>
      </c>
      <c r="BC63" s="110">
        <v>7322703</v>
      </c>
      <c r="BD63" s="110">
        <v>453952</v>
      </c>
      <c r="BE63" s="110">
        <v>23656438.890000001</v>
      </c>
      <c r="BF63" s="110">
        <v>6613175.7300000004</v>
      </c>
      <c r="BG63" s="110">
        <v>6597406.29</v>
      </c>
      <c r="BH63" s="110">
        <v>15769.44</v>
      </c>
      <c r="BI63" s="110">
        <v>17043263.16</v>
      </c>
      <c r="BJ63" s="110">
        <v>16792185.559999999</v>
      </c>
      <c r="BK63" s="110">
        <v>251077.6</v>
      </c>
      <c r="BL63" s="110">
        <v>10093890.539999999</v>
      </c>
      <c r="BM63" s="110">
        <v>4399608.71</v>
      </c>
      <c r="BN63" s="110">
        <v>4392652.88</v>
      </c>
      <c r="BO63" s="110">
        <v>6955.83</v>
      </c>
      <c r="BP63" s="110">
        <v>5694281.8300000001</v>
      </c>
      <c r="BQ63" s="110">
        <v>5670130.3300000001</v>
      </c>
      <c r="BR63" s="110">
        <v>24151.5</v>
      </c>
      <c r="BS63" s="110">
        <v>512947.85</v>
      </c>
      <c r="BT63" s="110">
        <v>186153.02</v>
      </c>
      <c r="BU63" s="110">
        <v>185838.41</v>
      </c>
      <c r="BV63" s="110">
        <v>314.61</v>
      </c>
      <c r="BW63" s="110">
        <v>326794.83</v>
      </c>
      <c r="BX63" s="110">
        <v>322226.23</v>
      </c>
      <c r="BY63" s="110">
        <v>4568.6000000000004</v>
      </c>
      <c r="BZ63" s="110">
        <v>1692469</v>
      </c>
      <c r="CA63" s="110">
        <v>635954</v>
      </c>
      <c r="CB63" s="110">
        <v>628450</v>
      </c>
      <c r="CC63" s="110">
        <v>7504</v>
      </c>
      <c r="CD63" s="110">
        <v>1056515</v>
      </c>
      <c r="CE63" s="110">
        <v>1043366</v>
      </c>
      <c r="CF63" s="110">
        <v>13149</v>
      </c>
      <c r="CG63" s="110">
        <v>11357131.5</v>
      </c>
      <c r="CH63" s="110">
        <v>1391460</v>
      </c>
      <c r="CI63" s="110">
        <v>1390465</v>
      </c>
      <c r="CJ63" s="110">
        <v>995</v>
      </c>
      <c r="CK63" s="110">
        <v>9965671.5</v>
      </c>
      <c r="CL63" s="110">
        <v>9756463</v>
      </c>
      <c r="CM63" s="110">
        <v>209208.5</v>
      </c>
      <c r="CN63" s="110">
        <v>0</v>
      </c>
      <c r="CO63" s="110">
        <v>16753183.83</v>
      </c>
      <c r="CP63" s="110">
        <v>5359146.08</v>
      </c>
      <c r="CQ63" s="110">
        <v>0</v>
      </c>
      <c r="CR63" s="110">
        <v>104217.48</v>
      </c>
      <c r="CS63" s="110">
        <v>0</v>
      </c>
      <c r="CT63" s="110">
        <v>163707.13</v>
      </c>
      <c r="CU63" s="110">
        <v>0</v>
      </c>
      <c r="CV63" s="111">
        <v>5584</v>
      </c>
      <c r="CW63" s="111">
        <v>2431</v>
      </c>
      <c r="CX63" s="111">
        <v>2318</v>
      </c>
      <c r="CY63" s="111">
        <v>113</v>
      </c>
      <c r="CZ63" s="111">
        <v>3153</v>
      </c>
      <c r="DA63" s="111">
        <v>2501</v>
      </c>
      <c r="DB63" s="111">
        <v>652</v>
      </c>
      <c r="DC63" s="111">
        <v>3956</v>
      </c>
      <c r="DD63" s="111">
        <v>0</v>
      </c>
      <c r="DE63" s="111">
        <v>1605</v>
      </c>
      <c r="DF63" s="111">
        <v>1532</v>
      </c>
      <c r="DG63" s="111">
        <v>73</v>
      </c>
      <c r="DH63" s="111">
        <v>2351</v>
      </c>
      <c r="DI63" s="111">
        <v>1959</v>
      </c>
      <c r="DJ63" s="111">
        <v>392</v>
      </c>
      <c r="DK63" s="111">
        <v>1555</v>
      </c>
      <c r="DL63" s="111">
        <v>811</v>
      </c>
      <c r="DM63" s="111">
        <v>772</v>
      </c>
      <c r="DN63" s="111">
        <v>39</v>
      </c>
      <c r="DO63" s="111">
        <v>744</v>
      </c>
      <c r="DP63" s="111">
        <v>506</v>
      </c>
      <c r="DQ63" s="111">
        <v>238</v>
      </c>
      <c r="DR63" s="111">
        <v>73</v>
      </c>
      <c r="DS63" s="111">
        <v>0</v>
      </c>
      <c r="DT63" s="111">
        <v>15</v>
      </c>
      <c r="DU63" s="111">
        <v>14</v>
      </c>
      <c r="DV63" s="111">
        <v>1</v>
      </c>
      <c r="DW63" s="111">
        <v>58</v>
      </c>
      <c r="DX63" s="111">
        <v>36</v>
      </c>
      <c r="DY63" s="111">
        <v>22</v>
      </c>
      <c r="DZ63" s="111">
        <v>0</v>
      </c>
      <c r="EA63" s="111">
        <v>0</v>
      </c>
      <c r="EB63" s="111">
        <v>0</v>
      </c>
      <c r="EC63" s="111">
        <v>0</v>
      </c>
      <c r="ED63" s="111">
        <v>0</v>
      </c>
      <c r="EE63" s="111">
        <v>0</v>
      </c>
      <c r="EF63" s="111">
        <v>0</v>
      </c>
      <c r="EG63" s="111">
        <v>1173</v>
      </c>
      <c r="EH63" s="111">
        <v>393</v>
      </c>
      <c r="EI63" s="111">
        <v>392</v>
      </c>
      <c r="EJ63" s="111">
        <v>1</v>
      </c>
      <c r="EK63" s="111">
        <v>780</v>
      </c>
      <c r="EL63" s="111">
        <v>772</v>
      </c>
      <c r="EM63" s="111">
        <v>8</v>
      </c>
      <c r="EN63" s="111">
        <v>1208</v>
      </c>
      <c r="EO63" s="111">
        <v>0</v>
      </c>
      <c r="EP63" s="111">
        <v>0</v>
      </c>
      <c r="EQ63" s="111">
        <v>1208</v>
      </c>
      <c r="ER63" s="111">
        <v>0</v>
      </c>
      <c r="ES63" s="111">
        <v>0</v>
      </c>
      <c r="ET63" s="111">
        <v>0</v>
      </c>
      <c r="EU63" s="111">
        <v>0</v>
      </c>
      <c r="EV63" s="111">
        <v>0</v>
      </c>
      <c r="EW63" s="111">
        <v>0</v>
      </c>
      <c r="EX63" s="111">
        <v>0</v>
      </c>
      <c r="EY63" s="111">
        <v>0</v>
      </c>
      <c r="EZ63" s="111">
        <v>0</v>
      </c>
      <c r="FA63" s="111">
        <v>0</v>
      </c>
      <c r="FB63" s="111">
        <v>0</v>
      </c>
    </row>
    <row r="64" spans="1:158" ht="19.5" customHeight="1">
      <c r="A64" s="107">
        <v>61</v>
      </c>
      <c r="B64" s="107" t="s">
        <v>407</v>
      </c>
      <c r="C64" s="107" t="s">
        <v>415</v>
      </c>
      <c r="D64" s="110">
        <v>-654</v>
      </c>
      <c r="E64" s="110">
        <v>-654</v>
      </c>
      <c r="F64" s="110">
        <v>0</v>
      </c>
      <c r="G64" s="110">
        <v>0</v>
      </c>
      <c r="H64" s="110">
        <v>0</v>
      </c>
      <c r="I64" s="110">
        <v>6</v>
      </c>
      <c r="J64" s="110">
        <v>0</v>
      </c>
      <c r="K64" s="110">
        <v>0</v>
      </c>
      <c r="L64" s="110">
        <v>0</v>
      </c>
      <c r="M64" s="110">
        <v>0</v>
      </c>
      <c r="N64" s="110">
        <v>0</v>
      </c>
      <c r="O64" s="110">
        <v>-654</v>
      </c>
      <c r="P64" s="110">
        <v>-660</v>
      </c>
      <c r="Q64" s="110">
        <v>-660</v>
      </c>
      <c r="R64" s="110">
        <v>0</v>
      </c>
      <c r="S64" s="110">
        <v>6</v>
      </c>
      <c r="T64" s="110">
        <v>6</v>
      </c>
      <c r="U64" s="110">
        <v>0</v>
      </c>
      <c r="V64" s="110">
        <v>-654</v>
      </c>
      <c r="W64" s="110">
        <v>-660</v>
      </c>
      <c r="X64" s="110">
        <v>-660</v>
      </c>
      <c r="Y64" s="110">
        <v>0</v>
      </c>
      <c r="Z64" s="110">
        <v>6</v>
      </c>
      <c r="AA64" s="110">
        <v>6</v>
      </c>
      <c r="AB64" s="110">
        <v>0</v>
      </c>
      <c r="AC64" s="110">
        <v>0</v>
      </c>
      <c r="AD64" s="110">
        <v>0</v>
      </c>
      <c r="AE64" s="110">
        <v>0</v>
      </c>
      <c r="AF64" s="110">
        <v>0</v>
      </c>
      <c r="AG64" s="110">
        <v>0</v>
      </c>
      <c r="AH64" s="110">
        <v>0</v>
      </c>
      <c r="AI64" s="110">
        <v>0</v>
      </c>
      <c r="AJ64" s="110">
        <v>0</v>
      </c>
      <c r="AK64" s="110">
        <v>0</v>
      </c>
      <c r="AL64" s="110">
        <v>0</v>
      </c>
      <c r="AM64" s="110">
        <v>0</v>
      </c>
      <c r="AN64" s="110">
        <v>0</v>
      </c>
      <c r="AO64" s="110">
        <v>0</v>
      </c>
      <c r="AP64" s="110">
        <v>0</v>
      </c>
      <c r="AQ64" s="110">
        <v>-660</v>
      </c>
      <c r="AR64" s="110">
        <v>-660</v>
      </c>
      <c r="AS64" s="110">
        <v>-660</v>
      </c>
      <c r="AT64" s="110">
        <v>0</v>
      </c>
      <c r="AU64" s="110">
        <v>0</v>
      </c>
      <c r="AV64" s="110">
        <v>0</v>
      </c>
      <c r="AW64" s="110">
        <v>0</v>
      </c>
      <c r="AX64" s="110">
        <v>6</v>
      </c>
      <c r="AY64" s="110">
        <v>0</v>
      </c>
      <c r="AZ64" s="110">
        <v>0</v>
      </c>
      <c r="BA64" s="110">
        <v>0</v>
      </c>
      <c r="BB64" s="110">
        <v>6</v>
      </c>
      <c r="BC64" s="110">
        <v>6</v>
      </c>
      <c r="BD64" s="110">
        <v>0</v>
      </c>
      <c r="BE64" s="110">
        <v>0</v>
      </c>
      <c r="BF64" s="110">
        <v>0</v>
      </c>
      <c r="BG64" s="110">
        <v>0</v>
      </c>
      <c r="BH64" s="110">
        <v>0</v>
      </c>
      <c r="BI64" s="110">
        <v>0</v>
      </c>
      <c r="BJ64" s="110">
        <v>0</v>
      </c>
      <c r="BK64" s="110">
        <v>0</v>
      </c>
      <c r="BL64" s="110">
        <v>0</v>
      </c>
      <c r="BM64" s="110">
        <v>0</v>
      </c>
      <c r="BN64" s="110">
        <v>0</v>
      </c>
      <c r="BO64" s="110">
        <v>0</v>
      </c>
      <c r="BP64" s="110">
        <v>0</v>
      </c>
      <c r="BQ64" s="110">
        <v>0</v>
      </c>
      <c r="BR64" s="110">
        <v>0</v>
      </c>
      <c r="BS64" s="110">
        <v>0</v>
      </c>
      <c r="BT64" s="110">
        <v>0</v>
      </c>
      <c r="BU64" s="110">
        <v>0</v>
      </c>
      <c r="BV64" s="110">
        <v>0</v>
      </c>
      <c r="BW64" s="110">
        <v>0</v>
      </c>
      <c r="BX64" s="110">
        <v>0</v>
      </c>
      <c r="BY64" s="110">
        <v>0</v>
      </c>
      <c r="BZ64" s="110">
        <v>0</v>
      </c>
      <c r="CA64" s="110">
        <v>0</v>
      </c>
      <c r="CB64" s="110">
        <v>0</v>
      </c>
      <c r="CC64" s="110">
        <v>0</v>
      </c>
      <c r="CD64" s="110">
        <v>0</v>
      </c>
      <c r="CE64" s="110">
        <v>0</v>
      </c>
      <c r="CF64" s="110">
        <v>0</v>
      </c>
      <c r="CG64" s="110">
        <v>0</v>
      </c>
      <c r="CH64" s="110">
        <v>0</v>
      </c>
      <c r="CI64" s="110">
        <v>0</v>
      </c>
      <c r="CJ64" s="110">
        <v>0</v>
      </c>
      <c r="CK64" s="110">
        <v>0</v>
      </c>
      <c r="CL64" s="110">
        <v>0</v>
      </c>
      <c r="CM64" s="110">
        <v>0</v>
      </c>
      <c r="CN64" s="110">
        <v>0</v>
      </c>
      <c r="CO64" s="110">
        <v>0</v>
      </c>
      <c r="CP64" s="110">
        <v>0</v>
      </c>
      <c r="CQ64" s="110">
        <v>0</v>
      </c>
      <c r="CR64" s="110">
        <v>-654</v>
      </c>
      <c r="CS64" s="110">
        <v>0</v>
      </c>
      <c r="CT64" s="110">
        <v>0</v>
      </c>
      <c r="CU64" s="110">
        <v>0</v>
      </c>
      <c r="CV64" s="111">
        <v>0</v>
      </c>
      <c r="CW64" s="111">
        <v>0</v>
      </c>
      <c r="CX64" s="111">
        <v>0</v>
      </c>
      <c r="CY64" s="111">
        <v>0</v>
      </c>
      <c r="CZ64" s="111">
        <v>0</v>
      </c>
      <c r="DA64" s="111">
        <v>0</v>
      </c>
      <c r="DB64" s="111">
        <v>0</v>
      </c>
      <c r="DC64" s="111">
        <v>0</v>
      </c>
      <c r="DD64" s="111">
        <v>0</v>
      </c>
      <c r="DE64" s="111">
        <v>0</v>
      </c>
      <c r="DF64" s="111">
        <v>0</v>
      </c>
      <c r="DG64" s="111">
        <v>0</v>
      </c>
      <c r="DH64" s="111">
        <v>0</v>
      </c>
      <c r="DI64" s="111">
        <v>0</v>
      </c>
      <c r="DJ64" s="111">
        <v>0</v>
      </c>
      <c r="DK64" s="111">
        <v>0</v>
      </c>
      <c r="DL64" s="111">
        <v>0</v>
      </c>
      <c r="DM64" s="111">
        <v>0</v>
      </c>
      <c r="DN64" s="111">
        <v>0</v>
      </c>
      <c r="DO64" s="111">
        <v>0</v>
      </c>
      <c r="DP64" s="111">
        <v>0</v>
      </c>
      <c r="DQ64" s="111">
        <v>0</v>
      </c>
      <c r="DR64" s="111">
        <v>0</v>
      </c>
      <c r="DS64" s="111">
        <v>0</v>
      </c>
      <c r="DT64" s="111">
        <v>0</v>
      </c>
      <c r="DU64" s="111">
        <v>0</v>
      </c>
      <c r="DV64" s="111">
        <v>0</v>
      </c>
      <c r="DW64" s="111">
        <v>0</v>
      </c>
      <c r="DX64" s="111">
        <v>0</v>
      </c>
      <c r="DY64" s="111">
        <v>0</v>
      </c>
      <c r="DZ64" s="111">
        <v>0</v>
      </c>
      <c r="EA64" s="111">
        <v>0</v>
      </c>
      <c r="EB64" s="111">
        <v>0</v>
      </c>
      <c r="EC64" s="111">
        <v>0</v>
      </c>
      <c r="ED64" s="111">
        <v>0</v>
      </c>
      <c r="EE64" s="111">
        <v>0</v>
      </c>
      <c r="EF64" s="111">
        <v>0</v>
      </c>
      <c r="EG64" s="111">
        <v>0</v>
      </c>
      <c r="EH64" s="111">
        <v>0</v>
      </c>
      <c r="EI64" s="111">
        <v>0</v>
      </c>
      <c r="EJ64" s="111">
        <v>0</v>
      </c>
      <c r="EK64" s="111">
        <v>0</v>
      </c>
      <c r="EL64" s="111">
        <v>0</v>
      </c>
      <c r="EM64" s="111">
        <v>0</v>
      </c>
      <c r="EN64" s="111">
        <v>0</v>
      </c>
      <c r="EO64" s="111">
        <v>0</v>
      </c>
      <c r="EP64" s="111">
        <v>0</v>
      </c>
      <c r="EQ64" s="111">
        <v>0</v>
      </c>
      <c r="ER64" s="111">
        <v>0</v>
      </c>
      <c r="ES64" s="111">
        <v>0</v>
      </c>
      <c r="ET64" s="111">
        <v>0</v>
      </c>
      <c r="EU64" s="111">
        <v>0</v>
      </c>
      <c r="EV64" s="111">
        <v>0</v>
      </c>
      <c r="EW64" s="111">
        <v>0</v>
      </c>
      <c r="EX64" s="111">
        <v>0</v>
      </c>
      <c r="EY64" s="111">
        <v>0</v>
      </c>
      <c r="EZ64" s="111">
        <v>0</v>
      </c>
      <c r="FA64" s="111">
        <v>0</v>
      </c>
      <c r="FB64" s="111">
        <v>0</v>
      </c>
    </row>
    <row r="65" spans="1:158" ht="19.5" customHeight="1">
      <c r="A65" s="107">
        <v>62</v>
      </c>
      <c r="B65" s="107" t="s">
        <v>401</v>
      </c>
      <c r="C65" s="107" t="s">
        <v>416</v>
      </c>
      <c r="D65" s="110">
        <v>1305695</v>
      </c>
      <c r="E65" s="110">
        <v>1305695</v>
      </c>
      <c r="F65" s="110">
        <v>0</v>
      </c>
      <c r="G65" s="110">
        <v>1161</v>
      </c>
      <c r="H65" s="110">
        <v>0</v>
      </c>
      <c r="I65" s="110">
        <v>0</v>
      </c>
      <c r="J65" s="110">
        <v>0</v>
      </c>
      <c r="K65" s="110">
        <v>0</v>
      </c>
      <c r="L65" s="110">
        <v>0</v>
      </c>
      <c r="M65" s="110">
        <v>0</v>
      </c>
      <c r="N65" s="110">
        <v>0</v>
      </c>
      <c r="O65" s="110">
        <v>1305695</v>
      </c>
      <c r="P65" s="110">
        <v>941225</v>
      </c>
      <c r="Q65" s="110">
        <v>777165</v>
      </c>
      <c r="R65" s="110">
        <v>164060</v>
      </c>
      <c r="S65" s="110">
        <v>364470</v>
      </c>
      <c r="T65" s="110">
        <v>195468</v>
      </c>
      <c r="U65" s="110">
        <v>169002</v>
      </c>
      <c r="V65" s="110">
        <v>1305695</v>
      </c>
      <c r="W65" s="110">
        <v>941225</v>
      </c>
      <c r="X65" s="110">
        <v>777165</v>
      </c>
      <c r="Y65" s="110">
        <v>164060</v>
      </c>
      <c r="Z65" s="110">
        <v>364470</v>
      </c>
      <c r="AA65" s="110">
        <v>195468</v>
      </c>
      <c r="AB65" s="110">
        <v>169002</v>
      </c>
      <c r="AC65" s="110">
        <v>0</v>
      </c>
      <c r="AD65" s="110">
        <v>0</v>
      </c>
      <c r="AE65" s="110">
        <v>0</v>
      </c>
      <c r="AF65" s="110">
        <v>0</v>
      </c>
      <c r="AG65" s="110">
        <v>0</v>
      </c>
      <c r="AH65" s="110">
        <v>0</v>
      </c>
      <c r="AI65" s="110">
        <v>0</v>
      </c>
      <c r="AJ65" s="110">
        <v>0</v>
      </c>
      <c r="AK65" s="110">
        <v>0</v>
      </c>
      <c r="AL65" s="110">
        <v>0</v>
      </c>
      <c r="AM65" s="110">
        <v>0</v>
      </c>
      <c r="AN65" s="110">
        <v>0</v>
      </c>
      <c r="AO65" s="110">
        <v>0</v>
      </c>
      <c r="AP65" s="110">
        <v>0</v>
      </c>
      <c r="AQ65" s="110">
        <v>1265247</v>
      </c>
      <c r="AR65" s="110">
        <v>928425</v>
      </c>
      <c r="AS65" s="110">
        <v>771021</v>
      </c>
      <c r="AT65" s="110">
        <v>157404</v>
      </c>
      <c r="AU65" s="110">
        <v>336822</v>
      </c>
      <c r="AV65" s="110">
        <v>189324</v>
      </c>
      <c r="AW65" s="110">
        <v>147498</v>
      </c>
      <c r="AX65" s="110">
        <v>40448</v>
      </c>
      <c r="AY65" s="110">
        <v>12800</v>
      </c>
      <c r="AZ65" s="110">
        <v>6144</v>
      </c>
      <c r="BA65" s="110">
        <v>6656</v>
      </c>
      <c r="BB65" s="110">
        <v>27648</v>
      </c>
      <c r="BC65" s="110">
        <v>6144</v>
      </c>
      <c r="BD65" s="110">
        <v>21504</v>
      </c>
      <c r="BE65" s="110">
        <v>0</v>
      </c>
      <c r="BF65" s="110">
        <v>0</v>
      </c>
      <c r="BG65" s="110">
        <v>0</v>
      </c>
      <c r="BH65" s="110">
        <v>0</v>
      </c>
      <c r="BI65" s="110">
        <v>0</v>
      </c>
      <c r="BJ65" s="110">
        <v>0</v>
      </c>
      <c r="BK65" s="110">
        <v>0</v>
      </c>
      <c r="BL65" s="110">
        <v>0</v>
      </c>
      <c r="BM65" s="110">
        <v>0</v>
      </c>
      <c r="BN65" s="110">
        <v>0</v>
      </c>
      <c r="BO65" s="110">
        <v>0</v>
      </c>
      <c r="BP65" s="110">
        <v>0</v>
      </c>
      <c r="BQ65" s="110">
        <v>0</v>
      </c>
      <c r="BR65" s="110">
        <v>0</v>
      </c>
      <c r="BS65" s="110">
        <v>0</v>
      </c>
      <c r="BT65" s="110">
        <v>0</v>
      </c>
      <c r="BU65" s="110">
        <v>0</v>
      </c>
      <c r="BV65" s="110">
        <v>0</v>
      </c>
      <c r="BW65" s="110">
        <v>0</v>
      </c>
      <c r="BX65" s="110">
        <v>0</v>
      </c>
      <c r="BY65" s="110">
        <v>0</v>
      </c>
      <c r="BZ65" s="110">
        <v>0</v>
      </c>
      <c r="CA65" s="110">
        <v>0</v>
      </c>
      <c r="CB65" s="110">
        <v>0</v>
      </c>
      <c r="CC65" s="110">
        <v>0</v>
      </c>
      <c r="CD65" s="110">
        <v>0</v>
      </c>
      <c r="CE65" s="110">
        <v>0</v>
      </c>
      <c r="CF65" s="110">
        <v>0</v>
      </c>
      <c r="CG65" s="110">
        <v>0</v>
      </c>
      <c r="CH65" s="110">
        <v>0</v>
      </c>
      <c r="CI65" s="110">
        <v>0</v>
      </c>
      <c r="CJ65" s="110">
        <v>0</v>
      </c>
      <c r="CK65" s="110">
        <v>0</v>
      </c>
      <c r="CL65" s="110">
        <v>0</v>
      </c>
      <c r="CM65" s="110">
        <v>0</v>
      </c>
      <c r="CN65" s="110">
        <v>0</v>
      </c>
      <c r="CO65" s="110">
        <v>0</v>
      </c>
      <c r="CP65" s="110">
        <v>0</v>
      </c>
      <c r="CQ65" s="110">
        <v>1210852</v>
      </c>
      <c r="CR65" s="110">
        <v>94843</v>
      </c>
      <c r="CS65" s="110">
        <v>0</v>
      </c>
      <c r="CT65" s="110">
        <v>0</v>
      </c>
      <c r="CU65" s="110">
        <v>0</v>
      </c>
      <c r="CV65" s="111">
        <v>1161</v>
      </c>
      <c r="CW65" s="111">
        <v>744</v>
      </c>
      <c r="CX65" s="111">
        <v>624</v>
      </c>
      <c r="CY65" s="111">
        <v>120</v>
      </c>
      <c r="CZ65" s="111">
        <v>417</v>
      </c>
      <c r="DA65" s="111">
        <v>182</v>
      </c>
      <c r="DB65" s="111">
        <v>235</v>
      </c>
      <c r="DC65" s="111">
        <v>1003</v>
      </c>
      <c r="DD65" s="111">
        <v>0</v>
      </c>
      <c r="DE65" s="111">
        <v>694</v>
      </c>
      <c r="DF65" s="111">
        <v>600</v>
      </c>
      <c r="DG65" s="111">
        <v>94</v>
      </c>
      <c r="DH65" s="111">
        <v>309</v>
      </c>
      <c r="DI65" s="111">
        <v>158</v>
      </c>
      <c r="DJ65" s="111">
        <v>151</v>
      </c>
      <c r="DK65" s="111">
        <v>0</v>
      </c>
      <c r="DL65" s="111">
        <v>0</v>
      </c>
      <c r="DM65" s="111">
        <v>0</v>
      </c>
      <c r="DN65" s="111">
        <v>0</v>
      </c>
      <c r="DO65" s="111">
        <v>0</v>
      </c>
      <c r="DP65" s="111">
        <v>0</v>
      </c>
      <c r="DQ65" s="111">
        <v>0</v>
      </c>
      <c r="DR65" s="111">
        <v>158</v>
      </c>
      <c r="DS65" s="111">
        <v>0</v>
      </c>
      <c r="DT65" s="111">
        <v>50</v>
      </c>
      <c r="DU65" s="111">
        <v>24</v>
      </c>
      <c r="DV65" s="111">
        <v>26</v>
      </c>
      <c r="DW65" s="111">
        <v>108</v>
      </c>
      <c r="DX65" s="111">
        <v>24</v>
      </c>
      <c r="DY65" s="111">
        <v>84</v>
      </c>
      <c r="DZ65" s="111">
        <v>0</v>
      </c>
      <c r="EA65" s="111">
        <v>0</v>
      </c>
      <c r="EB65" s="111">
        <v>0</v>
      </c>
      <c r="EC65" s="111">
        <v>0</v>
      </c>
      <c r="ED65" s="111">
        <v>0</v>
      </c>
      <c r="EE65" s="111">
        <v>0</v>
      </c>
      <c r="EF65" s="111">
        <v>0</v>
      </c>
      <c r="EG65" s="111">
        <v>0</v>
      </c>
      <c r="EH65" s="111">
        <v>0</v>
      </c>
      <c r="EI65" s="111">
        <v>0</v>
      </c>
      <c r="EJ65" s="111">
        <v>0</v>
      </c>
      <c r="EK65" s="111">
        <v>0</v>
      </c>
      <c r="EL65" s="111">
        <v>0</v>
      </c>
      <c r="EM65" s="111">
        <v>0</v>
      </c>
      <c r="EN65" s="111">
        <v>1</v>
      </c>
      <c r="EO65" s="111">
        <v>0</v>
      </c>
      <c r="EP65" s="111">
        <v>0</v>
      </c>
      <c r="EQ65" s="111">
        <v>1</v>
      </c>
      <c r="ER65" s="111">
        <v>0</v>
      </c>
      <c r="ES65" s="111">
        <v>0</v>
      </c>
      <c r="ET65" s="111">
        <v>0</v>
      </c>
      <c r="EU65" s="111">
        <v>0</v>
      </c>
      <c r="EV65" s="111">
        <v>0</v>
      </c>
      <c r="EW65" s="111">
        <v>0</v>
      </c>
      <c r="EX65" s="111">
        <v>0</v>
      </c>
      <c r="EY65" s="111">
        <v>0</v>
      </c>
      <c r="EZ65" s="111">
        <v>0</v>
      </c>
      <c r="FA65" s="111">
        <v>0</v>
      </c>
      <c r="FB65" s="111">
        <v>0</v>
      </c>
    </row>
    <row r="66" spans="1:158" ht="19.5" customHeight="1">
      <c r="A66" s="107">
        <v>63</v>
      </c>
      <c r="B66" s="107" t="s">
        <v>401</v>
      </c>
      <c r="C66" s="107" t="s">
        <v>417</v>
      </c>
      <c r="D66" s="110">
        <v>1332417</v>
      </c>
      <c r="E66" s="110">
        <v>1332417</v>
      </c>
      <c r="F66" s="110">
        <v>0</v>
      </c>
      <c r="G66" s="110">
        <v>12359</v>
      </c>
      <c r="H66" s="110">
        <v>0</v>
      </c>
      <c r="I66" s="110">
        <v>318</v>
      </c>
      <c r="J66" s="110">
        <v>0</v>
      </c>
      <c r="K66" s="110">
        <v>0</v>
      </c>
      <c r="L66" s="110">
        <v>0</v>
      </c>
      <c r="M66" s="110">
        <v>0</v>
      </c>
      <c r="N66" s="110">
        <v>0</v>
      </c>
      <c r="O66" s="110">
        <v>1336711.1299999999</v>
      </c>
      <c r="P66" s="110">
        <v>682163.97</v>
      </c>
      <c r="Q66" s="110">
        <v>488763.97</v>
      </c>
      <c r="R66" s="110">
        <v>193400</v>
      </c>
      <c r="S66" s="110">
        <v>654547.16</v>
      </c>
      <c r="T66" s="110">
        <v>178773</v>
      </c>
      <c r="U66" s="110">
        <v>475774.16</v>
      </c>
      <c r="V66" s="110">
        <v>1336711.1299999999</v>
      </c>
      <c r="W66" s="110">
        <v>682163.97</v>
      </c>
      <c r="X66" s="110">
        <v>488763.97</v>
      </c>
      <c r="Y66" s="110">
        <v>193400</v>
      </c>
      <c r="Z66" s="110">
        <v>654547.16</v>
      </c>
      <c r="AA66" s="110">
        <v>178773</v>
      </c>
      <c r="AB66" s="110">
        <v>475774.16</v>
      </c>
      <c r="AC66" s="110">
        <v>2019.13</v>
      </c>
      <c r="AD66" s="110">
        <v>1281.97</v>
      </c>
      <c r="AE66" s="110">
        <v>1281.97</v>
      </c>
      <c r="AF66" s="110">
        <v>0</v>
      </c>
      <c r="AG66" s="110">
        <v>737.16</v>
      </c>
      <c r="AH66" s="110">
        <v>0</v>
      </c>
      <c r="AI66" s="110">
        <v>737.16</v>
      </c>
      <c r="AJ66" s="110">
        <v>2275</v>
      </c>
      <c r="AK66" s="110">
        <v>387</v>
      </c>
      <c r="AL66" s="110">
        <v>387</v>
      </c>
      <c r="AM66" s="110">
        <v>0</v>
      </c>
      <c r="AN66" s="110">
        <v>1888</v>
      </c>
      <c r="AO66" s="110">
        <v>1630</v>
      </c>
      <c r="AP66" s="110">
        <v>258</v>
      </c>
      <c r="AQ66" s="110">
        <v>623175</v>
      </c>
      <c r="AR66" s="110">
        <v>439067</v>
      </c>
      <c r="AS66" s="110">
        <v>322575</v>
      </c>
      <c r="AT66" s="110">
        <v>116492</v>
      </c>
      <c r="AU66" s="110">
        <v>184108</v>
      </c>
      <c r="AV66" s="110">
        <v>86127</v>
      </c>
      <c r="AW66" s="110">
        <v>97981</v>
      </c>
      <c r="AX66" s="110">
        <v>709242</v>
      </c>
      <c r="AY66" s="110">
        <v>241428</v>
      </c>
      <c r="AZ66" s="110">
        <v>164520</v>
      </c>
      <c r="BA66" s="110">
        <v>76908</v>
      </c>
      <c r="BB66" s="110">
        <v>467814</v>
      </c>
      <c r="BC66" s="110">
        <v>91016</v>
      </c>
      <c r="BD66" s="110">
        <v>376798</v>
      </c>
      <c r="BE66" s="110">
        <v>0</v>
      </c>
      <c r="BF66" s="110">
        <v>0</v>
      </c>
      <c r="BG66" s="110">
        <v>0</v>
      </c>
      <c r="BH66" s="110">
        <v>0</v>
      </c>
      <c r="BI66" s="110">
        <v>0</v>
      </c>
      <c r="BJ66" s="110">
        <v>0</v>
      </c>
      <c r="BK66" s="110">
        <v>0</v>
      </c>
      <c r="BL66" s="110">
        <v>0</v>
      </c>
      <c r="BM66" s="110">
        <v>0</v>
      </c>
      <c r="BN66" s="110">
        <v>0</v>
      </c>
      <c r="BO66" s="110">
        <v>0</v>
      </c>
      <c r="BP66" s="110">
        <v>0</v>
      </c>
      <c r="BQ66" s="110">
        <v>0</v>
      </c>
      <c r="BR66" s="110">
        <v>0</v>
      </c>
      <c r="BS66" s="110">
        <v>0</v>
      </c>
      <c r="BT66" s="110">
        <v>0</v>
      </c>
      <c r="BU66" s="110">
        <v>0</v>
      </c>
      <c r="BV66" s="110">
        <v>0</v>
      </c>
      <c r="BW66" s="110">
        <v>0</v>
      </c>
      <c r="BX66" s="110">
        <v>0</v>
      </c>
      <c r="BY66" s="110">
        <v>0</v>
      </c>
      <c r="BZ66" s="110">
        <v>0</v>
      </c>
      <c r="CA66" s="110">
        <v>0</v>
      </c>
      <c r="CB66" s="110">
        <v>0</v>
      </c>
      <c r="CC66" s="110">
        <v>0</v>
      </c>
      <c r="CD66" s="110">
        <v>0</v>
      </c>
      <c r="CE66" s="110">
        <v>0</v>
      </c>
      <c r="CF66" s="110">
        <v>0</v>
      </c>
      <c r="CG66" s="110">
        <v>0</v>
      </c>
      <c r="CH66" s="110">
        <v>0</v>
      </c>
      <c r="CI66" s="110">
        <v>0</v>
      </c>
      <c r="CJ66" s="110">
        <v>0</v>
      </c>
      <c r="CK66" s="110">
        <v>0</v>
      </c>
      <c r="CL66" s="110">
        <v>0</v>
      </c>
      <c r="CM66" s="110">
        <v>0</v>
      </c>
      <c r="CN66" s="110">
        <v>126</v>
      </c>
      <c r="CO66" s="110">
        <v>1102</v>
      </c>
      <c r="CP66" s="110">
        <v>606</v>
      </c>
      <c r="CQ66" s="110">
        <v>578780</v>
      </c>
      <c r="CR66" s="110">
        <v>756097.13</v>
      </c>
      <c r="CS66" s="110">
        <v>0</v>
      </c>
      <c r="CT66" s="110">
        <v>0</v>
      </c>
      <c r="CU66" s="110">
        <v>0</v>
      </c>
      <c r="CV66" s="111">
        <v>12359</v>
      </c>
      <c r="CW66" s="111">
        <v>8525</v>
      </c>
      <c r="CX66" s="111">
        <v>6698</v>
      </c>
      <c r="CY66" s="111">
        <v>1827</v>
      </c>
      <c r="CZ66" s="111">
        <v>3834</v>
      </c>
      <c r="DA66" s="111">
        <v>1622</v>
      </c>
      <c r="DB66" s="111">
        <v>2212</v>
      </c>
      <c r="DC66" s="111">
        <v>10588</v>
      </c>
      <c r="DD66" s="111">
        <v>121</v>
      </c>
      <c r="DE66" s="111">
        <v>7850</v>
      </c>
      <c r="DF66" s="111">
        <v>6204</v>
      </c>
      <c r="DG66" s="111">
        <v>1646</v>
      </c>
      <c r="DH66" s="111">
        <v>2738</v>
      </c>
      <c r="DI66" s="111">
        <v>1377</v>
      </c>
      <c r="DJ66" s="111">
        <v>1361</v>
      </c>
      <c r="DK66" s="111">
        <v>0</v>
      </c>
      <c r="DL66" s="111">
        <v>0</v>
      </c>
      <c r="DM66" s="111">
        <v>0</v>
      </c>
      <c r="DN66" s="111">
        <v>0</v>
      </c>
      <c r="DO66" s="111">
        <v>0</v>
      </c>
      <c r="DP66" s="111">
        <v>0</v>
      </c>
      <c r="DQ66" s="111">
        <v>0</v>
      </c>
      <c r="DR66" s="111">
        <v>1650</v>
      </c>
      <c r="DS66" s="111">
        <v>0</v>
      </c>
      <c r="DT66" s="111">
        <v>602</v>
      </c>
      <c r="DU66" s="111">
        <v>436</v>
      </c>
      <c r="DV66" s="111">
        <v>166</v>
      </c>
      <c r="DW66" s="111">
        <v>1048</v>
      </c>
      <c r="DX66" s="111">
        <v>241</v>
      </c>
      <c r="DY66" s="111">
        <v>807</v>
      </c>
      <c r="DZ66" s="111">
        <v>0</v>
      </c>
      <c r="EA66" s="111">
        <v>0</v>
      </c>
      <c r="EB66" s="111">
        <v>0</v>
      </c>
      <c r="EC66" s="111">
        <v>0</v>
      </c>
      <c r="ED66" s="111">
        <v>0</v>
      </c>
      <c r="EE66" s="111">
        <v>0</v>
      </c>
      <c r="EF66" s="111">
        <v>0</v>
      </c>
      <c r="EG66" s="111">
        <v>0</v>
      </c>
      <c r="EH66" s="111">
        <v>0</v>
      </c>
      <c r="EI66" s="111">
        <v>0</v>
      </c>
      <c r="EJ66" s="111">
        <v>0</v>
      </c>
      <c r="EK66" s="111">
        <v>0</v>
      </c>
      <c r="EL66" s="111">
        <v>0</v>
      </c>
      <c r="EM66" s="111">
        <v>0</v>
      </c>
      <c r="EN66" s="111">
        <v>32</v>
      </c>
      <c r="EO66" s="111">
        <v>0</v>
      </c>
      <c r="EP66" s="111">
        <v>0</v>
      </c>
      <c r="EQ66" s="111">
        <v>32</v>
      </c>
      <c r="ER66" s="111">
        <v>0</v>
      </c>
      <c r="ES66" s="111">
        <v>0</v>
      </c>
      <c r="ET66" s="111">
        <v>0</v>
      </c>
      <c r="EU66" s="111">
        <v>0</v>
      </c>
      <c r="EV66" s="111">
        <v>0</v>
      </c>
      <c r="EW66" s="111">
        <v>0</v>
      </c>
      <c r="EX66" s="111">
        <v>0</v>
      </c>
      <c r="EY66" s="111">
        <v>0</v>
      </c>
      <c r="EZ66" s="111">
        <v>0</v>
      </c>
      <c r="FA66" s="111">
        <v>0</v>
      </c>
      <c r="FB66" s="111">
        <v>0</v>
      </c>
    </row>
    <row r="67" spans="1:158" ht="19.5" customHeight="1">
      <c r="A67" s="107">
        <v>64</v>
      </c>
      <c r="B67" s="107" t="s">
        <v>401</v>
      </c>
      <c r="C67" s="107" t="s">
        <v>418</v>
      </c>
      <c r="D67" s="110">
        <v>1023600</v>
      </c>
      <c r="E67" s="110">
        <v>1023600</v>
      </c>
      <c r="F67" s="110">
        <v>0</v>
      </c>
      <c r="G67" s="110">
        <v>6032</v>
      </c>
      <c r="H67" s="110">
        <v>0</v>
      </c>
      <c r="I67" s="110">
        <v>8450</v>
      </c>
      <c r="J67" s="110">
        <v>79604</v>
      </c>
      <c r="K67" s="110">
        <v>0</v>
      </c>
      <c r="L67" s="110">
        <v>0</v>
      </c>
      <c r="M67" s="110">
        <v>0</v>
      </c>
      <c r="N67" s="110">
        <v>0</v>
      </c>
      <c r="O67" s="110">
        <v>1302847.6299999999</v>
      </c>
      <c r="P67" s="110">
        <v>1025245.38</v>
      </c>
      <c r="Q67" s="110">
        <v>924213.26</v>
      </c>
      <c r="R67" s="110">
        <v>101032.12</v>
      </c>
      <c r="S67" s="110">
        <v>277602.25</v>
      </c>
      <c r="T67" s="110">
        <v>174845.96</v>
      </c>
      <c r="U67" s="110">
        <v>102756.29</v>
      </c>
      <c r="V67" s="110">
        <v>1302847.6299999999</v>
      </c>
      <c r="W67" s="110">
        <v>1025245.38</v>
      </c>
      <c r="X67" s="110">
        <v>924213.26</v>
      </c>
      <c r="Y67" s="110">
        <v>101032.12</v>
      </c>
      <c r="Z67" s="110">
        <v>277602.25</v>
      </c>
      <c r="AA67" s="110">
        <v>174845.96</v>
      </c>
      <c r="AB67" s="110">
        <v>102756.29</v>
      </c>
      <c r="AC67" s="110">
        <v>195368.13</v>
      </c>
      <c r="AD67" s="110">
        <v>148752.98000000001</v>
      </c>
      <c r="AE67" s="110">
        <v>138251.85999999999</v>
      </c>
      <c r="AF67" s="110">
        <v>10501.12</v>
      </c>
      <c r="AG67" s="110">
        <v>46615.15</v>
      </c>
      <c r="AH67" s="110">
        <v>30456.86</v>
      </c>
      <c r="AI67" s="110">
        <v>16158.29</v>
      </c>
      <c r="AJ67" s="110">
        <v>83879.5</v>
      </c>
      <c r="AK67" s="110">
        <v>70114.399999999994</v>
      </c>
      <c r="AL67" s="110">
        <v>65044.4</v>
      </c>
      <c r="AM67" s="110">
        <v>5070</v>
      </c>
      <c r="AN67" s="110">
        <v>13765.1</v>
      </c>
      <c r="AO67" s="110">
        <v>11045.1</v>
      </c>
      <c r="AP67" s="110">
        <v>2720</v>
      </c>
      <c r="AQ67" s="110">
        <v>595296</v>
      </c>
      <c r="AR67" s="110">
        <v>470515</v>
      </c>
      <c r="AS67" s="110">
        <v>440256</v>
      </c>
      <c r="AT67" s="110">
        <v>30259</v>
      </c>
      <c r="AU67" s="110">
        <v>124781</v>
      </c>
      <c r="AV67" s="110">
        <v>83201</v>
      </c>
      <c r="AW67" s="110">
        <v>41580</v>
      </c>
      <c r="AX67" s="110">
        <v>428304</v>
      </c>
      <c r="AY67" s="110">
        <v>335863</v>
      </c>
      <c r="AZ67" s="110">
        <v>280661</v>
      </c>
      <c r="BA67" s="110">
        <v>55202</v>
      </c>
      <c r="BB67" s="110">
        <v>92441</v>
      </c>
      <c r="BC67" s="110">
        <v>50143</v>
      </c>
      <c r="BD67" s="110">
        <v>42298</v>
      </c>
      <c r="BE67" s="110">
        <v>0</v>
      </c>
      <c r="BF67" s="110">
        <v>0</v>
      </c>
      <c r="BG67" s="110">
        <v>0</v>
      </c>
      <c r="BH67" s="110">
        <v>0</v>
      </c>
      <c r="BI67" s="110">
        <v>0</v>
      </c>
      <c r="BJ67" s="110">
        <v>0</v>
      </c>
      <c r="BK67" s="110">
        <v>0</v>
      </c>
      <c r="BL67" s="110">
        <v>0</v>
      </c>
      <c r="BM67" s="110">
        <v>0</v>
      </c>
      <c r="BN67" s="110">
        <v>0</v>
      </c>
      <c r="BO67" s="110">
        <v>0</v>
      </c>
      <c r="BP67" s="110">
        <v>0</v>
      </c>
      <c r="BQ67" s="110">
        <v>0</v>
      </c>
      <c r="BR67" s="110">
        <v>0</v>
      </c>
      <c r="BS67" s="110">
        <v>0</v>
      </c>
      <c r="BT67" s="110">
        <v>0</v>
      </c>
      <c r="BU67" s="110">
        <v>0</v>
      </c>
      <c r="BV67" s="110">
        <v>0</v>
      </c>
      <c r="BW67" s="110">
        <v>0</v>
      </c>
      <c r="BX67" s="110">
        <v>0</v>
      </c>
      <c r="BY67" s="110">
        <v>0</v>
      </c>
      <c r="BZ67" s="110">
        <v>0</v>
      </c>
      <c r="CA67" s="110">
        <v>0</v>
      </c>
      <c r="CB67" s="110">
        <v>0</v>
      </c>
      <c r="CC67" s="110">
        <v>0</v>
      </c>
      <c r="CD67" s="110">
        <v>0</v>
      </c>
      <c r="CE67" s="110">
        <v>0</v>
      </c>
      <c r="CF67" s="110">
        <v>0</v>
      </c>
      <c r="CG67" s="110">
        <v>0</v>
      </c>
      <c r="CH67" s="110">
        <v>0</v>
      </c>
      <c r="CI67" s="110">
        <v>0</v>
      </c>
      <c r="CJ67" s="110">
        <v>0</v>
      </c>
      <c r="CK67" s="110">
        <v>0</v>
      </c>
      <c r="CL67" s="110">
        <v>0</v>
      </c>
      <c r="CM67" s="110">
        <v>0</v>
      </c>
      <c r="CN67" s="110">
        <v>-1420</v>
      </c>
      <c r="CO67" s="110">
        <v>667</v>
      </c>
      <c r="CP67" s="110">
        <v>86277.8</v>
      </c>
      <c r="CQ67" s="110">
        <v>551393.88</v>
      </c>
      <c r="CR67" s="110">
        <v>665928.94999999995</v>
      </c>
      <c r="CS67" s="110">
        <v>0</v>
      </c>
      <c r="CT67" s="110">
        <v>0</v>
      </c>
      <c r="CU67" s="110">
        <v>0</v>
      </c>
      <c r="CV67" s="111">
        <v>6032</v>
      </c>
      <c r="CW67" s="111">
        <v>4844</v>
      </c>
      <c r="CX67" s="111">
        <v>4495</v>
      </c>
      <c r="CY67" s="111">
        <v>349</v>
      </c>
      <c r="CZ67" s="111">
        <v>1188</v>
      </c>
      <c r="DA67" s="111">
        <v>649</v>
      </c>
      <c r="DB67" s="111">
        <v>539</v>
      </c>
      <c r="DC67" s="111">
        <v>4893</v>
      </c>
      <c r="DD67" s="111">
        <v>43</v>
      </c>
      <c r="DE67" s="111">
        <v>3906</v>
      </c>
      <c r="DF67" s="111">
        <v>3680</v>
      </c>
      <c r="DG67" s="111">
        <v>226</v>
      </c>
      <c r="DH67" s="111">
        <v>987</v>
      </c>
      <c r="DI67" s="111">
        <v>552</v>
      </c>
      <c r="DJ67" s="111">
        <v>435</v>
      </c>
      <c r="DK67" s="111">
        <v>366</v>
      </c>
      <c r="DL67" s="111">
        <v>334</v>
      </c>
      <c r="DM67" s="111">
        <v>333</v>
      </c>
      <c r="DN67" s="111">
        <v>1</v>
      </c>
      <c r="DO67" s="111">
        <v>32</v>
      </c>
      <c r="DP67" s="111">
        <v>24</v>
      </c>
      <c r="DQ67" s="111">
        <v>8</v>
      </c>
      <c r="DR67" s="111">
        <v>730</v>
      </c>
      <c r="DS67" s="111">
        <v>0</v>
      </c>
      <c r="DT67" s="111">
        <v>569</v>
      </c>
      <c r="DU67" s="111">
        <v>448</v>
      </c>
      <c r="DV67" s="111">
        <v>121</v>
      </c>
      <c r="DW67" s="111">
        <v>161</v>
      </c>
      <c r="DX67" s="111">
        <v>73</v>
      </c>
      <c r="DY67" s="111">
        <v>88</v>
      </c>
      <c r="DZ67" s="111">
        <v>0</v>
      </c>
      <c r="EA67" s="111">
        <v>0</v>
      </c>
      <c r="EB67" s="111">
        <v>0</v>
      </c>
      <c r="EC67" s="111">
        <v>0</v>
      </c>
      <c r="ED67" s="111">
        <v>0</v>
      </c>
      <c r="EE67" s="111">
        <v>0</v>
      </c>
      <c r="EF67" s="111">
        <v>0</v>
      </c>
      <c r="EG67" s="111">
        <v>0</v>
      </c>
      <c r="EH67" s="111">
        <v>0</v>
      </c>
      <c r="EI67" s="111">
        <v>0</v>
      </c>
      <c r="EJ67" s="111">
        <v>0</v>
      </c>
      <c r="EK67" s="111">
        <v>0</v>
      </c>
      <c r="EL67" s="111">
        <v>0</v>
      </c>
      <c r="EM67" s="111">
        <v>0</v>
      </c>
      <c r="EN67" s="111">
        <v>394</v>
      </c>
      <c r="EO67" s="111">
        <v>5</v>
      </c>
      <c r="EP67" s="111">
        <v>0</v>
      </c>
      <c r="EQ67" s="111">
        <v>389</v>
      </c>
      <c r="ER67" s="111">
        <v>0</v>
      </c>
      <c r="ES67" s="111">
        <v>0</v>
      </c>
      <c r="ET67" s="111">
        <v>0</v>
      </c>
      <c r="EU67" s="111">
        <v>0</v>
      </c>
      <c r="EV67" s="111">
        <v>0</v>
      </c>
      <c r="EW67" s="111">
        <v>0</v>
      </c>
      <c r="EX67" s="111">
        <v>0</v>
      </c>
      <c r="EY67" s="111">
        <v>0</v>
      </c>
      <c r="EZ67" s="111">
        <v>0</v>
      </c>
      <c r="FA67" s="111">
        <v>0</v>
      </c>
      <c r="FB67" s="111">
        <v>0</v>
      </c>
    </row>
    <row r="68" spans="1:158" ht="28.5" customHeight="1">
      <c r="A68" s="107">
        <v>65</v>
      </c>
      <c r="B68" s="107" t="s">
        <v>407</v>
      </c>
      <c r="C68" s="107" t="s">
        <v>419</v>
      </c>
      <c r="D68" s="110">
        <v>177107.5</v>
      </c>
      <c r="E68" s="110">
        <v>176300</v>
      </c>
      <c r="F68" s="110">
        <v>807.5</v>
      </c>
      <c r="G68" s="110">
        <v>716</v>
      </c>
      <c r="H68" s="110">
        <v>4</v>
      </c>
      <c r="I68" s="110">
        <v>6</v>
      </c>
      <c r="J68" s="110">
        <v>0</v>
      </c>
      <c r="K68" s="110">
        <v>0</v>
      </c>
      <c r="L68" s="110">
        <v>132</v>
      </c>
      <c r="M68" s="110">
        <v>0</v>
      </c>
      <c r="N68" s="110">
        <v>0</v>
      </c>
      <c r="O68" s="110">
        <v>192489.67</v>
      </c>
      <c r="P68" s="110">
        <v>78774.83</v>
      </c>
      <c r="Q68" s="110">
        <v>0</v>
      </c>
      <c r="R68" s="110">
        <v>78774.83</v>
      </c>
      <c r="S68" s="110">
        <v>113714.84</v>
      </c>
      <c r="T68" s="110">
        <v>0</v>
      </c>
      <c r="U68" s="110">
        <v>113714.84</v>
      </c>
      <c r="V68" s="110">
        <v>191408.9</v>
      </c>
      <c r="W68" s="110">
        <v>78774.83</v>
      </c>
      <c r="X68" s="110">
        <v>0</v>
      </c>
      <c r="Y68" s="110">
        <v>78774.83</v>
      </c>
      <c r="Z68" s="110">
        <v>112634.07</v>
      </c>
      <c r="AA68" s="110">
        <v>0</v>
      </c>
      <c r="AB68" s="110">
        <v>112634.07</v>
      </c>
      <c r="AC68" s="110">
        <v>14980.9</v>
      </c>
      <c r="AD68" s="110">
        <v>2768.83</v>
      </c>
      <c r="AE68" s="110">
        <v>0</v>
      </c>
      <c r="AF68" s="110">
        <v>2768.83</v>
      </c>
      <c r="AG68" s="110">
        <v>12212.07</v>
      </c>
      <c r="AH68" s="110">
        <v>0</v>
      </c>
      <c r="AI68" s="110">
        <v>12212.07</v>
      </c>
      <c r="AJ68" s="110">
        <v>128</v>
      </c>
      <c r="AK68" s="110">
        <v>128</v>
      </c>
      <c r="AL68" s="110">
        <v>0</v>
      </c>
      <c r="AM68" s="110">
        <v>128</v>
      </c>
      <c r="AN68" s="110">
        <v>0</v>
      </c>
      <c r="AO68" s="110">
        <v>0</v>
      </c>
      <c r="AP68" s="110">
        <v>0</v>
      </c>
      <c r="AQ68" s="110">
        <v>158394</v>
      </c>
      <c r="AR68" s="110">
        <v>65772</v>
      </c>
      <c r="AS68" s="110">
        <v>0</v>
      </c>
      <c r="AT68" s="110">
        <v>65772</v>
      </c>
      <c r="AU68" s="110">
        <v>92622</v>
      </c>
      <c r="AV68" s="110">
        <v>0</v>
      </c>
      <c r="AW68" s="110">
        <v>92622</v>
      </c>
      <c r="AX68" s="110">
        <v>17906</v>
      </c>
      <c r="AY68" s="110">
        <v>10106</v>
      </c>
      <c r="AZ68" s="110">
        <v>0</v>
      </c>
      <c r="BA68" s="110">
        <v>10106</v>
      </c>
      <c r="BB68" s="110">
        <v>7800</v>
      </c>
      <c r="BC68" s="110">
        <v>0</v>
      </c>
      <c r="BD68" s="110">
        <v>7800</v>
      </c>
      <c r="BE68" s="110">
        <v>1080.77</v>
      </c>
      <c r="BF68" s="110">
        <v>0</v>
      </c>
      <c r="BG68" s="110">
        <v>0</v>
      </c>
      <c r="BH68" s="110">
        <v>0</v>
      </c>
      <c r="BI68" s="110">
        <v>1080.77</v>
      </c>
      <c r="BJ68" s="110">
        <v>0</v>
      </c>
      <c r="BK68" s="110">
        <v>1080.77</v>
      </c>
      <c r="BL68" s="110">
        <v>110.17</v>
      </c>
      <c r="BM68" s="110">
        <v>0</v>
      </c>
      <c r="BN68" s="110">
        <v>0</v>
      </c>
      <c r="BO68" s="110">
        <v>0</v>
      </c>
      <c r="BP68" s="110">
        <v>110.17</v>
      </c>
      <c r="BQ68" s="110">
        <v>0</v>
      </c>
      <c r="BR68" s="110">
        <v>110.17</v>
      </c>
      <c r="BS68" s="110">
        <v>163.1</v>
      </c>
      <c r="BT68" s="110">
        <v>0</v>
      </c>
      <c r="BU68" s="110">
        <v>0</v>
      </c>
      <c r="BV68" s="110">
        <v>0</v>
      </c>
      <c r="BW68" s="110">
        <v>163.1</v>
      </c>
      <c r="BX68" s="110">
        <v>0</v>
      </c>
      <c r="BY68" s="110">
        <v>163.1</v>
      </c>
      <c r="BZ68" s="110">
        <v>140</v>
      </c>
      <c r="CA68" s="110">
        <v>0</v>
      </c>
      <c r="CB68" s="110">
        <v>0</v>
      </c>
      <c r="CC68" s="110">
        <v>0</v>
      </c>
      <c r="CD68" s="110">
        <v>140</v>
      </c>
      <c r="CE68" s="110">
        <v>0</v>
      </c>
      <c r="CF68" s="110">
        <v>140</v>
      </c>
      <c r="CG68" s="110">
        <v>667.5</v>
      </c>
      <c r="CH68" s="110">
        <v>0</v>
      </c>
      <c r="CI68" s="110">
        <v>0</v>
      </c>
      <c r="CJ68" s="110">
        <v>0</v>
      </c>
      <c r="CK68" s="110">
        <v>667.5</v>
      </c>
      <c r="CL68" s="110">
        <v>0</v>
      </c>
      <c r="CM68" s="110">
        <v>667.5</v>
      </c>
      <c r="CN68" s="110">
        <v>0</v>
      </c>
      <c r="CO68" s="110">
        <v>0</v>
      </c>
      <c r="CP68" s="110">
        <v>0</v>
      </c>
      <c r="CQ68" s="110">
        <v>191408.9</v>
      </c>
      <c r="CR68" s="110">
        <v>0</v>
      </c>
      <c r="CS68" s="110">
        <v>0</v>
      </c>
      <c r="CT68" s="110">
        <v>0</v>
      </c>
      <c r="CU68" s="110">
        <v>0</v>
      </c>
      <c r="CV68" s="111">
        <v>716</v>
      </c>
      <c r="CW68" s="111">
        <v>404</v>
      </c>
      <c r="CX68" s="111">
        <v>0</v>
      </c>
      <c r="CY68" s="111">
        <v>404</v>
      </c>
      <c r="CZ68" s="111">
        <v>312</v>
      </c>
      <c r="DA68" s="111">
        <v>0</v>
      </c>
      <c r="DB68" s="111">
        <v>312</v>
      </c>
      <c r="DC68" s="111">
        <v>716</v>
      </c>
      <c r="DD68" s="111">
        <v>0</v>
      </c>
      <c r="DE68" s="111">
        <v>404</v>
      </c>
      <c r="DF68" s="111">
        <v>0</v>
      </c>
      <c r="DG68" s="111">
        <v>404</v>
      </c>
      <c r="DH68" s="111">
        <v>312</v>
      </c>
      <c r="DI68" s="111">
        <v>0</v>
      </c>
      <c r="DJ68" s="111">
        <v>312</v>
      </c>
      <c r="DK68" s="111">
        <v>0</v>
      </c>
      <c r="DL68" s="111">
        <v>0</v>
      </c>
      <c r="DM68" s="111">
        <v>0</v>
      </c>
      <c r="DN68" s="111">
        <v>0</v>
      </c>
      <c r="DO68" s="111">
        <v>0</v>
      </c>
      <c r="DP68" s="111">
        <v>0</v>
      </c>
      <c r="DQ68" s="111">
        <v>0</v>
      </c>
      <c r="DR68" s="111">
        <v>0</v>
      </c>
      <c r="DS68" s="111">
        <v>0</v>
      </c>
      <c r="DT68" s="111">
        <v>0</v>
      </c>
      <c r="DU68" s="111">
        <v>0</v>
      </c>
      <c r="DV68" s="111">
        <v>0</v>
      </c>
      <c r="DW68" s="111">
        <v>0</v>
      </c>
      <c r="DX68" s="111">
        <v>0</v>
      </c>
      <c r="DY68" s="111">
        <v>0</v>
      </c>
      <c r="DZ68" s="111">
        <v>0</v>
      </c>
      <c r="EA68" s="111">
        <v>0</v>
      </c>
      <c r="EB68" s="111">
        <v>0</v>
      </c>
      <c r="EC68" s="111">
        <v>0</v>
      </c>
      <c r="ED68" s="111">
        <v>0</v>
      </c>
      <c r="EE68" s="111">
        <v>0</v>
      </c>
      <c r="EF68" s="111">
        <v>0</v>
      </c>
      <c r="EG68" s="111">
        <v>4</v>
      </c>
      <c r="EH68" s="111">
        <v>0</v>
      </c>
      <c r="EI68" s="111">
        <v>0</v>
      </c>
      <c r="EJ68" s="111">
        <v>0</v>
      </c>
      <c r="EK68" s="111">
        <v>4</v>
      </c>
      <c r="EL68" s="111">
        <v>0</v>
      </c>
      <c r="EM68" s="111">
        <v>4</v>
      </c>
      <c r="EN68" s="111">
        <v>0</v>
      </c>
      <c r="EO68" s="111">
        <v>0</v>
      </c>
      <c r="EP68" s="111">
        <v>0</v>
      </c>
      <c r="EQ68" s="111">
        <v>0</v>
      </c>
      <c r="ER68" s="111">
        <v>0</v>
      </c>
      <c r="ES68" s="111">
        <v>0</v>
      </c>
      <c r="ET68" s="111">
        <v>0</v>
      </c>
      <c r="EU68" s="111">
        <v>0</v>
      </c>
      <c r="EV68" s="111">
        <v>0</v>
      </c>
      <c r="EW68" s="111">
        <v>0</v>
      </c>
      <c r="EX68" s="111">
        <v>0</v>
      </c>
      <c r="EY68" s="111">
        <v>0</v>
      </c>
      <c r="EZ68" s="111">
        <v>0</v>
      </c>
      <c r="FA68" s="111">
        <v>0</v>
      </c>
      <c r="FB68" s="111">
        <v>0</v>
      </c>
    </row>
    <row r="69" spans="1:158" ht="19.5" customHeight="1">
      <c r="A69" s="107">
        <v>66</v>
      </c>
      <c r="B69" s="107"/>
      <c r="C69" s="107" t="s">
        <v>420</v>
      </c>
      <c r="D69" s="110">
        <v>117.5</v>
      </c>
      <c r="E69" s="110">
        <v>50</v>
      </c>
      <c r="F69" s="110">
        <v>67.5</v>
      </c>
      <c r="G69" s="110">
        <v>495</v>
      </c>
      <c r="H69" s="110">
        <v>74</v>
      </c>
      <c r="I69" s="110">
        <v>0</v>
      </c>
      <c r="J69" s="110">
        <v>0</v>
      </c>
      <c r="K69" s="110">
        <v>0</v>
      </c>
      <c r="L69" s="110">
        <v>0</v>
      </c>
      <c r="M69" s="110">
        <v>0</v>
      </c>
      <c r="N69" s="110">
        <v>0</v>
      </c>
      <c r="O69" s="110">
        <v>117.5</v>
      </c>
      <c r="P69" s="110">
        <v>25</v>
      </c>
      <c r="Q69" s="110">
        <v>25</v>
      </c>
      <c r="R69" s="110">
        <v>0</v>
      </c>
      <c r="S69" s="110">
        <v>92.5</v>
      </c>
      <c r="T69" s="110">
        <v>0</v>
      </c>
      <c r="U69" s="110">
        <v>92.5</v>
      </c>
      <c r="V69" s="110">
        <v>50</v>
      </c>
      <c r="W69" s="110">
        <v>25</v>
      </c>
      <c r="X69" s="110">
        <v>25</v>
      </c>
      <c r="Y69" s="110">
        <v>0</v>
      </c>
      <c r="Z69" s="110">
        <v>25</v>
      </c>
      <c r="AA69" s="110">
        <v>0</v>
      </c>
      <c r="AB69" s="110">
        <v>25</v>
      </c>
      <c r="AC69" s="110">
        <v>0</v>
      </c>
      <c r="AD69" s="110">
        <v>0</v>
      </c>
      <c r="AE69" s="110">
        <v>0</v>
      </c>
      <c r="AF69" s="110">
        <v>0</v>
      </c>
      <c r="AG69" s="110">
        <v>0</v>
      </c>
      <c r="AH69" s="110">
        <v>0</v>
      </c>
      <c r="AI69" s="110">
        <v>0</v>
      </c>
      <c r="AJ69" s="110">
        <v>0</v>
      </c>
      <c r="AK69" s="110">
        <v>0</v>
      </c>
      <c r="AL69" s="110">
        <v>0</v>
      </c>
      <c r="AM69" s="110">
        <v>0</v>
      </c>
      <c r="AN69" s="110">
        <v>0</v>
      </c>
      <c r="AO69" s="110">
        <v>0</v>
      </c>
      <c r="AP69" s="110">
        <v>0</v>
      </c>
      <c r="AQ69" s="110">
        <v>0</v>
      </c>
      <c r="AR69" s="110">
        <v>0</v>
      </c>
      <c r="AS69" s="110">
        <v>0</v>
      </c>
      <c r="AT69" s="110">
        <v>0</v>
      </c>
      <c r="AU69" s="110">
        <v>0</v>
      </c>
      <c r="AV69" s="110">
        <v>0</v>
      </c>
      <c r="AW69" s="110">
        <v>0</v>
      </c>
      <c r="AX69" s="110">
        <v>50</v>
      </c>
      <c r="AY69" s="110">
        <v>25</v>
      </c>
      <c r="AZ69" s="110">
        <v>25</v>
      </c>
      <c r="BA69" s="110">
        <v>0</v>
      </c>
      <c r="BB69" s="110">
        <v>25</v>
      </c>
      <c r="BC69" s="110">
        <v>0</v>
      </c>
      <c r="BD69" s="110">
        <v>25</v>
      </c>
      <c r="BE69" s="110">
        <v>67.5</v>
      </c>
      <c r="BF69" s="110">
        <v>0</v>
      </c>
      <c r="BG69" s="110">
        <v>0</v>
      </c>
      <c r="BH69" s="110">
        <v>0</v>
      </c>
      <c r="BI69" s="110">
        <v>67.5</v>
      </c>
      <c r="BJ69" s="110">
        <v>0</v>
      </c>
      <c r="BK69" s="110">
        <v>67.5</v>
      </c>
      <c r="BL69" s="110">
        <v>0</v>
      </c>
      <c r="BM69" s="110">
        <v>0</v>
      </c>
      <c r="BN69" s="110">
        <v>0</v>
      </c>
      <c r="BO69" s="110">
        <v>0</v>
      </c>
      <c r="BP69" s="110">
        <v>0</v>
      </c>
      <c r="BQ69" s="110">
        <v>0</v>
      </c>
      <c r="BR69" s="110">
        <v>0</v>
      </c>
      <c r="BS69" s="110">
        <v>0</v>
      </c>
      <c r="BT69" s="110">
        <v>0</v>
      </c>
      <c r="BU69" s="110">
        <v>0</v>
      </c>
      <c r="BV69" s="110">
        <v>0</v>
      </c>
      <c r="BW69" s="110">
        <v>0</v>
      </c>
      <c r="BX69" s="110">
        <v>0</v>
      </c>
      <c r="BY69" s="110">
        <v>0</v>
      </c>
      <c r="BZ69" s="110">
        <v>0</v>
      </c>
      <c r="CA69" s="110">
        <v>0</v>
      </c>
      <c r="CB69" s="110">
        <v>0</v>
      </c>
      <c r="CC69" s="110">
        <v>0</v>
      </c>
      <c r="CD69" s="110">
        <v>0</v>
      </c>
      <c r="CE69" s="110">
        <v>0</v>
      </c>
      <c r="CF69" s="110">
        <v>0</v>
      </c>
      <c r="CG69" s="110">
        <v>67.5</v>
      </c>
      <c r="CH69" s="110">
        <v>0</v>
      </c>
      <c r="CI69" s="110">
        <v>0</v>
      </c>
      <c r="CJ69" s="110">
        <v>0</v>
      </c>
      <c r="CK69" s="110">
        <v>67.5</v>
      </c>
      <c r="CL69" s="110">
        <v>0</v>
      </c>
      <c r="CM69" s="110">
        <v>67.5</v>
      </c>
      <c r="CN69" s="110">
        <v>0</v>
      </c>
      <c r="CO69" s="110">
        <v>0</v>
      </c>
      <c r="CP69" s="110">
        <v>0</v>
      </c>
      <c r="CQ69" s="110">
        <v>1475</v>
      </c>
      <c r="CR69" s="110">
        <v>0</v>
      </c>
      <c r="CS69" s="110">
        <v>0</v>
      </c>
      <c r="CT69" s="110">
        <v>0</v>
      </c>
      <c r="CU69" s="110">
        <v>0</v>
      </c>
      <c r="CV69" s="111">
        <v>495</v>
      </c>
      <c r="CW69" s="111">
        <v>182</v>
      </c>
      <c r="CX69" s="111">
        <v>54</v>
      </c>
      <c r="CY69" s="111">
        <v>128</v>
      </c>
      <c r="CZ69" s="111">
        <v>313</v>
      </c>
      <c r="DA69" s="111">
        <v>1</v>
      </c>
      <c r="DB69" s="111">
        <v>312</v>
      </c>
      <c r="DC69" s="111">
        <v>495</v>
      </c>
      <c r="DD69" s="111">
        <v>0</v>
      </c>
      <c r="DE69" s="111">
        <v>182</v>
      </c>
      <c r="DF69" s="111">
        <v>54</v>
      </c>
      <c r="DG69" s="111">
        <v>128</v>
      </c>
      <c r="DH69" s="111">
        <v>313</v>
      </c>
      <c r="DI69" s="111">
        <v>1</v>
      </c>
      <c r="DJ69" s="111">
        <v>312</v>
      </c>
      <c r="DK69" s="111">
        <v>0</v>
      </c>
      <c r="DL69" s="111">
        <v>0</v>
      </c>
      <c r="DM69" s="111">
        <v>0</v>
      </c>
      <c r="DN69" s="111">
        <v>0</v>
      </c>
      <c r="DO69" s="111">
        <v>0</v>
      </c>
      <c r="DP69" s="111">
        <v>0</v>
      </c>
      <c r="DQ69" s="111">
        <v>0</v>
      </c>
      <c r="DR69" s="111">
        <v>0</v>
      </c>
      <c r="DS69" s="111">
        <v>0</v>
      </c>
      <c r="DT69" s="111">
        <v>0</v>
      </c>
      <c r="DU69" s="111">
        <v>0</v>
      </c>
      <c r="DV69" s="111">
        <v>0</v>
      </c>
      <c r="DW69" s="111">
        <v>0</v>
      </c>
      <c r="DX69" s="111">
        <v>0</v>
      </c>
      <c r="DY69" s="111">
        <v>0</v>
      </c>
      <c r="DZ69" s="111">
        <v>0</v>
      </c>
      <c r="EA69" s="111">
        <v>0</v>
      </c>
      <c r="EB69" s="111">
        <v>0</v>
      </c>
      <c r="EC69" s="111">
        <v>0</v>
      </c>
      <c r="ED69" s="111">
        <v>0</v>
      </c>
      <c r="EE69" s="111">
        <v>0</v>
      </c>
      <c r="EF69" s="111">
        <v>0</v>
      </c>
      <c r="EG69" s="111">
        <v>74</v>
      </c>
      <c r="EH69" s="111">
        <v>50</v>
      </c>
      <c r="EI69" s="111">
        <v>48</v>
      </c>
      <c r="EJ69" s="111">
        <v>2</v>
      </c>
      <c r="EK69" s="111">
        <v>24</v>
      </c>
      <c r="EL69" s="111">
        <v>23</v>
      </c>
      <c r="EM69" s="111">
        <v>1</v>
      </c>
      <c r="EN69" s="111">
        <v>0</v>
      </c>
      <c r="EO69" s="111">
        <v>0</v>
      </c>
      <c r="EP69" s="111">
        <v>0</v>
      </c>
      <c r="EQ69" s="111">
        <v>0</v>
      </c>
      <c r="ER69" s="111">
        <v>0</v>
      </c>
      <c r="ES69" s="111">
        <v>0</v>
      </c>
      <c r="ET69" s="111">
        <v>0</v>
      </c>
      <c r="EU69" s="111">
        <v>0</v>
      </c>
      <c r="EV69" s="111">
        <v>0</v>
      </c>
      <c r="EW69" s="111">
        <v>0</v>
      </c>
      <c r="EX69" s="111">
        <v>0</v>
      </c>
      <c r="EY69" s="111">
        <v>0</v>
      </c>
      <c r="EZ69" s="111">
        <v>0</v>
      </c>
      <c r="FA69" s="111">
        <v>0</v>
      </c>
      <c r="FB69" s="111">
        <v>0</v>
      </c>
    </row>
  </sheetData>
  <mergeCells count="2">
    <mergeCell ref="A1:C1"/>
    <mergeCell ref="A3:C3"/>
  </mergeCells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1"/>
  <sheetViews>
    <sheetView workbookViewId="0">
      <selection activeCell="B15" sqref="B15"/>
    </sheetView>
  </sheetViews>
  <sheetFormatPr defaultRowHeight="14.25"/>
  <cols>
    <col min="1" max="1" width="57.375" customWidth="1"/>
    <col min="2" max="3" width="33.875" customWidth="1"/>
    <col min="4" max="4" width="6.25" customWidth="1"/>
  </cols>
  <sheetData>
    <row r="1" spans="1:4" ht="21.95" customHeight="1">
      <c r="A1" s="213" t="s">
        <v>202</v>
      </c>
      <c r="B1" s="213"/>
      <c r="C1" s="213"/>
      <c r="D1" s="95" t="s">
        <v>15</v>
      </c>
    </row>
    <row r="2" spans="1:4" ht="12.95" customHeight="1">
      <c r="A2" s="145"/>
      <c r="B2" s="145"/>
      <c r="C2" s="146" t="s">
        <v>203</v>
      </c>
      <c r="D2" s="95" t="s">
        <v>15</v>
      </c>
    </row>
    <row r="3" spans="1:4" ht="12.95" customHeight="1">
      <c r="A3" s="147" t="s">
        <v>17</v>
      </c>
      <c r="B3" s="147" t="s">
        <v>469</v>
      </c>
      <c r="C3" s="148" t="s">
        <v>18</v>
      </c>
      <c r="D3" s="95" t="s">
        <v>15</v>
      </c>
    </row>
    <row r="4" spans="1:4" ht="21" customHeight="1">
      <c r="A4" s="149" t="s">
        <v>470</v>
      </c>
      <c r="B4" s="149" t="s">
        <v>23</v>
      </c>
      <c r="C4" s="149" t="s">
        <v>148</v>
      </c>
      <c r="D4" s="96" t="s">
        <v>15</v>
      </c>
    </row>
    <row r="5" spans="1:4" ht="21" customHeight="1">
      <c r="A5" s="150" t="s">
        <v>204</v>
      </c>
      <c r="B5" s="151">
        <v>-2014551.4</v>
      </c>
      <c r="C5" s="151">
        <v>-211073540.69</v>
      </c>
      <c r="D5" s="96" t="s">
        <v>15</v>
      </c>
    </row>
    <row r="6" spans="1:4" ht="21" customHeight="1">
      <c r="A6" s="150" t="s">
        <v>205</v>
      </c>
      <c r="B6" s="151">
        <v>-3434589.14</v>
      </c>
      <c r="C6" s="151">
        <v>-235229558.80000001</v>
      </c>
      <c r="D6" s="96" t="s">
        <v>15</v>
      </c>
    </row>
    <row r="7" spans="1:4" ht="21" customHeight="1">
      <c r="A7" s="152" t="s">
        <v>194</v>
      </c>
      <c r="B7" s="151">
        <v>674724517.64999998</v>
      </c>
      <c r="C7" s="151">
        <v>2421461909.0999999</v>
      </c>
      <c r="D7" s="96" t="s">
        <v>15</v>
      </c>
    </row>
    <row r="8" spans="1:4" ht="21" customHeight="1">
      <c r="A8" s="152" t="s">
        <v>196</v>
      </c>
      <c r="B8" s="151">
        <v>25021856.620000001</v>
      </c>
      <c r="C8" s="151">
        <v>100087426.48</v>
      </c>
      <c r="D8" s="96" t="s">
        <v>15</v>
      </c>
    </row>
    <row r="9" spans="1:4" ht="21" customHeight="1">
      <c r="A9" s="152" t="s">
        <v>471</v>
      </c>
      <c r="B9" s="153">
        <v>0</v>
      </c>
      <c r="C9" s="153">
        <v>0</v>
      </c>
      <c r="D9" s="96" t="s">
        <v>15</v>
      </c>
    </row>
    <row r="10" spans="1:4" ht="21" customHeight="1">
      <c r="A10" s="152" t="s">
        <v>198</v>
      </c>
      <c r="B10" s="151">
        <v>703180963.40999997</v>
      </c>
      <c r="C10" s="151">
        <v>2756778894.3800001</v>
      </c>
      <c r="D10" s="96" t="s">
        <v>15</v>
      </c>
    </row>
    <row r="11" spans="1:4" ht="21" customHeight="1">
      <c r="A11" s="150" t="s">
        <v>210</v>
      </c>
      <c r="B11" s="151">
        <v>1420037.74</v>
      </c>
      <c r="C11" s="151">
        <v>24156018.109999999</v>
      </c>
      <c r="D11" s="96" t="s">
        <v>15</v>
      </c>
    </row>
    <row r="12" spans="1:4" ht="21" customHeight="1">
      <c r="A12" s="152" t="s">
        <v>472</v>
      </c>
      <c r="B12" s="151">
        <v>4705658.95</v>
      </c>
      <c r="C12" s="151">
        <v>37538726.869999997</v>
      </c>
      <c r="D12" s="96" t="s">
        <v>15</v>
      </c>
    </row>
    <row r="13" spans="1:4" ht="21" customHeight="1">
      <c r="A13" s="152" t="s">
        <v>473</v>
      </c>
      <c r="B13" s="151">
        <v>3285621.21</v>
      </c>
      <c r="C13" s="151">
        <v>13382708.76</v>
      </c>
      <c r="D13" s="96" t="s">
        <v>15</v>
      </c>
    </row>
    <row r="14" spans="1:4" ht="21" customHeight="1">
      <c r="A14" s="150" t="s">
        <v>213</v>
      </c>
      <c r="B14" s="154" t="s">
        <v>214</v>
      </c>
      <c r="C14" s="153"/>
      <c r="D14" s="96" t="s">
        <v>15</v>
      </c>
    </row>
    <row r="15" spans="1:4" ht="21" customHeight="1">
      <c r="A15" s="152" t="s">
        <v>474</v>
      </c>
      <c r="B15" s="154" t="s">
        <v>214</v>
      </c>
      <c r="C15" s="153"/>
      <c r="D15" s="96" t="s">
        <v>15</v>
      </c>
    </row>
    <row r="16" spans="1:4" ht="21" customHeight="1">
      <c r="A16" s="152" t="s">
        <v>475</v>
      </c>
      <c r="B16" s="154" t="s">
        <v>214</v>
      </c>
      <c r="C16" s="153"/>
      <c r="D16" s="96" t="s">
        <v>15</v>
      </c>
    </row>
    <row r="17" spans="1:4" ht="21" customHeight="1">
      <c r="A17" s="152" t="s">
        <v>476</v>
      </c>
      <c r="B17" s="154" t="s">
        <v>214</v>
      </c>
      <c r="C17" s="153"/>
      <c r="D17" s="96" t="s">
        <v>15</v>
      </c>
    </row>
    <row r="18" spans="1:4" ht="21" customHeight="1">
      <c r="A18" s="152" t="s">
        <v>477</v>
      </c>
      <c r="B18" s="154" t="s">
        <v>214</v>
      </c>
      <c r="C18" s="153"/>
      <c r="D18" s="96" t="s">
        <v>15</v>
      </c>
    </row>
    <row r="19" spans="1:4" ht="21" customHeight="1">
      <c r="A19" s="152" t="s">
        <v>478</v>
      </c>
      <c r="B19" s="154" t="s">
        <v>214</v>
      </c>
      <c r="C19" s="153"/>
      <c r="D19" s="96" t="s">
        <v>15</v>
      </c>
    </row>
    <row r="20" spans="1:4" ht="21" customHeight="1">
      <c r="A20" s="150" t="s">
        <v>220</v>
      </c>
      <c r="B20" s="151">
        <v>-3511852.64</v>
      </c>
      <c r="C20" s="151">
        <v>-12642522.77</v>
      </c>
      <c r="D20" s="96" t="s">
        <v>15</v>
      </c>
    </row>
    <row r="21" spans="1:4" ht="21" customHeight="1">
      <c r="A21" s="152" t="s">
        <v>479</v>
      </c>
      <c r="B21" s="153">
        <v>0</v>
      </c>
      <c r="C21" s="153">
        <v>0</v>
      </c>
      <c r="D21" s="96" t="s">
        <v>15</v>
      </c>
    </row>
    <row r="22" spans="1:4" ht="21" customHeight="1">
      <c r="A22" s="152" t="s">
        <v>480</v>
      </c>
      <c r="B22" s="151">
        <v>3511852.64</v>
      </c>
      <c r="C22" s="151">
        <v>12642522.77</v>
      </c>
      <c r="D22" s="96" t="s">
        <v>15</v>
      </c>
    </row>
    <row r="23" spans="1:4" ht="21" customHeight="1">
      <c r="A23" s="150" t="s">
        <v>223</v>
      </c>
      <c r="B23" s="151">
        <v>-18215909.09</v>
      </c>
      <c r="C23" s="151">
        <v>-11134187.07</v>
      </c>
      <c r="D23" s="96" t="s">
        <v>15</v>
      </c>
    </row>
    <row r="24" spans="1:4" ht="21" customHeight="1">
      <c r="A24" s="152" t="s">
        <v>481</v>
      </c>
      <c r="B24" s="151">
        <v>4050000</v>
      </c>
      <c r="C24" s="151">
        <v>75263743.329999998</v>
      </c>
      <c r="D24" s="96" t="s">
        <v>15</v>
      </c>
    </row>
    <row r="25" spans="1:4" ht="21" customHeight="1">
      <c r="A25" s="152" t="s">
        <v>482</v>
      </c>
      <c r="B25" s="151">
        <v>22265909.09</v>
      </c>
      <c r="C25" s="151">
        <v>86397930.400000006</v>
      </c>
      <c r="D25" s="96" t="s">
        <v>15</v>
      </c>
    </row>
    <row r="26" spans="1:4" ht="21" customHeight="1">
      <c r="A26" s="150" t="s">
        <v>226</v>
      </c>
      <c r="B26" s="151">
        <v>-18712.7</v>
      </c>
      <c r="C26" s="151">
        <v>-9131998.9399999995</v>
      </c>
      <c r="D26" s="96" t="s">
        <v>15</v>
      </c>
    </row>
    <row r="27" spans="1:4" ht="21" customHeight="1">
      <c r="A27" s="152" t="s">
        <v>483</v>
      </c>
      <c r="B27" s="151">
        <v>11415814.09</v>
      </c>
      <c r="C27" s="151">
        <v>48031599.439999998</v>
      </c>
      <c r="D27" s="96" t="s">
        <v>15</v>
      </c>
    </row>
    <row r="28" spans="1:4" ht="21" customHeight="1">
      <c r="A28" s="152" t="s">
        <v>484</v>
      </c>
      <c r="B28" s="151">
        <v>11434526.789999999</v>
      </c>
      <c r="C28" s="151">
        <v>57163598.380000003</v>
      </c>
      <c r="D28" s="96" t="s">
        <v>15</v>
      </c>
    </row>
    <row r="29" spans="1:4" ht="21" customHeight="1">
      <c r="A29" s="149" t="s">
        <v>229</v>
      </c>
      <c r="B29" s="151">
        <v>-23761025.829999998</v>
      </c>
      <c r="C29" s="151">
        <v>-243982249.47</v>
      </c>
      <c r="D29" s="96" t="s">
        <v>15</v>
      </c>
    </row>
    <row r="30" spans="1:4" ht="21" customHeight="1">
      <c r="A30" s="214" t="s">
        <v>485</v>
      </c>
      <c r="B30" s="214"/>
      <c r="C30" s="214"/>
      <c r="D30" s="95" t="s">
        <v>15</v>
      </c>
    </row>
    <row r="31" spans="1:4" ht="51.95" customHeight="1">
      <c r="A31" s="215" t="s">
        <v>231</v>
      </c>
      <c r="B31" s="215"/>
      <c r="C31" s="215"/>
      <c r="D31" s="95" t="s">
        <v>15</v>
      </c>
    </row>
  </sheetData>
  <mergeCells count="3">
    <mergeCell ref="A1:C1"/>
    <mergeCell ref="A30:C30"/>
    <mergeCell ref="A31:C31"/>
  </mergeCells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1"/>
  <sheetViews>
    <sheetView workbookViewId="0">
      <selection sqref="A1:C31"/>
    </sheetView>
  </sheetViews>
  <sheetFormatPr defaultRowHeight="14.25"/>
  <cols>
    <col min="1" max="1" width="56.125" customWidth="1"/>
    <col min="2" max="2" width="31.875" customWidth="1"/>
    <col min="3" max="3" width="30.625" customWidth="1"/>
  </cols>
  <sheetData>
    <row r="1" spans="1:3" ht="22.5">
      <c r="A1" s="213" t="s">
        <v>202</v>
      </c>
      <c r="B1" s="213"/>
      <c r="C1" s="213"/>
    </row>
    <row r="2" spans="1:3">
      <c r="A2" s="145"/>
      <c r="B2" s="145"/>
      <c r="C2" s="146" t="s">
        <v>203</v>
      </c>
    </row>
    <row r="3" spans="1:3">
      <c r="A3" s="147" t="s">
        <v>100</v>
      </c>
      <c r="B3" s="147" t="s">
        <v>469</v>
      </c>
      <c r="C3" s="148" t="s">
        <v>18</v>
      </c>
    </row>
    <row r="4" spans="1:3">
      <c r="A4" s="149" t="s">
        <v>470</v>
      </c>
      <c r="B4" s="149" t="s">
        <v>23</v>
      </c>
      <c r="C4" s="149" t="s">
        <v>148</v>
      </c>
    </row>
    <row r="5" spans="1:3">
      <c r="A5" s="150" t="s">
        <v>204</v>
      </c>
      <c r="B5" s="151">
        <v>-26730427.390000001</v>
      </c>
      <c r="C5" s="151">
        <v>-154007796.83000001</v>
      </c>
    </row>
    <row r="6" spans="1:3">
      <c r="A6" s="150" t="s">
        <v>205</v>
      </c>
      <c r="B6" s="151">
        <v>-26679234.5</v>
      </c>
      <c r="C6" s="151">
        <v>-152911845.38999999</v>
      </c>
    </row>
    <row r="7" spans="1:3">
      <c r="A7" s="152" t="s">
        <v>194</v>
      </c>
      <c r="B7" s="151">
        <v>147155873.09999999</v>
      </c>
      <c r="C7" s="151">
        <v>497146332.63999999</v>
      </c>
    </row>
    <row r="8" spans="1:3">
      <c r="A8" s="152" t="s">
        <v>196</v>
      </c>
      <c r="B8" s="153">
        <v>0</v>
      </c>
      <c r="C8" s="153">
        <v>0</v>
      </c>
    </row>
    <row r="9" spans="1:3">
      <c r="A9" s="152" t="s">
        <v>471</v>
      </c>
      <c r="B9" s="153">
        <v>0</v>
      </c>
      <c r="C9" s="153">
        <v>0</v>
      </c>
    </row>
    <row r="10" spans="1:3">
      <c r="A10" s="152" t="s">
        <v>198</v>
      </c>
      <c r="B10" s="151">
        <v>173835107.59999999</v>
      </c>
      <c r="C10" s="151">
        <v>650058178.02999997</v>
      </c>
    </row>
    <row r="11" spans="1:3">
      <c r="A11" s="150" t="s">
        <v>210</v>
      </c>
      <c r="B11" s="151">
        <v>-51192.89</v>
      </c>
      <c r="C11" s="151">
        <v>-1095951.44</v>
      </c>
    </row>
    <row r="12" spans="1:3">
      <c r="A12" s="152" t="s">
        <v>472</v>
      </c>
      <c r="B12" s="151">
        <v>462466.2</v>
      </c>
      <c r="C12" s="151">
        <v>1480481.38</v>
      </c>
    </row>
    <row r="13" spans="1:3">
      <c r="A13" s="152" t="s">
        <v>473</v>
      </c>
      <c r="B13" s="151">
        <v>513659.09</v>
      </c>
      <c r="C13" s="151">
        <v>2576432.8199999998</v>
      </c>
    </row>
    <row r="14" spans="1:3">
      <c r="A14" s="150" t="s">
        <v>213</v>
      </c>
      <c r="B14" s="154" t="s">
        <v>214</v>
      </c>
      <c r="C14" s="153"/>
    </row>
    <row r="15" spans="1:3">
      <c r="A15" s="152" t="s">
        <v>474</v>
      </c>
      <c r="B15" s="154" t="s">
        <v>214</v>
      </c>
      <c r="C15" s="153"/>
    </row>
    <row r="16" spans="1:3">
      <c r="A16" s="152" t="s">
        <v>475</v>
      </c>
      <c r="B16" s="154" t="s">
        <v>214</v>
      </c>
      <c r="C16" s="153"/>
    </row>
    <row r="17" spans="1:3">
      <c r="A17" s="152" t="s">
        <v>476</v>
      </c>
      <c r="B17" s="154" t="s">
        <v>214</v>
      </c>
      <c r="C17" s="153"/>
    </row>
    <row r="18" spans="1:3">
      <c r="A18" s="152" t="s">
        <v>477</v>
      </c>
      <c r="B18" s="154" t="s">
        <v>214</v>
      </c>
      <c r="C18" s="153"/>
    </row>
    <row r="19" spans="1:3">
      <c r="A19" s="152" t="s">
        <v>478</v>
      </c>
      <c r="B19" s="154" t="s">
        <v>214</v>
      </c>
      <c r="C19" s="153"/>
    </row>
    <row r="20" spans="1:3">
      <c r="A20" s="150" t="s">
        <v>220</v>
      </c>
      <c r="B20" s="151">
        <v>-690765.35</v>
      </c>
      <c r="C20" s="151">
        <v>-2761511.39</v>
      </c>
    </row>
    <row r="21" spans="1:3">
      <c r="A21" s="152" t="s">
        <v>479</v>
      </c>
      <c r="B21" s="153">
        <v>0</v>
      </c>
      <c r="C21" s="153">
        <v>0</v>
      </c>
    </row>
    <row r="22" spans="1:3">
      <c r="A22" s="152" t="s">
        <v>480</v>
      </c>
      <c r="B22" s="151">
        <v>690765.35</v>
      </c>
      <c r="C22" s="151">
        <v>2761511.39</v>
      </c>
    </row>
    <row r="23" spans="1:3">
      <c r="A23" s="150" t="s">
        <v>223</v>
      </c>
      <c r="B23" s="151">
        <v>-8995885.3399999999</v>
      </c>
      <c r="C23" s="151">
        <v>-35960052.82</v>
      </c>
    </row>
    <row r="24" spans="1:3">
      <c r="A24" s="152" t="s">
        <v>481</v>
      </c>
      <c r="B24" s="153">
        <v>0</v>
      </c>
      <c r="C24" s="153">
        <v>0</v>
      </c>
    </row>
    <row r="25" spans="1:3">
      <c r="A25" s="152" t="s">
        <v>482</v>
      </c>
      <c r="B25" s="151">
        <v>8995885.3399999999</v>
      </c>
      <c r="C25" s="151">
        <v>35960052.82</v>
      </c>
    </row>
    <row r="26" spans="1:3">
      <c r="A26" s="150" t="s">
        <v>226</v>
      </c>
      <c r="B26" s="153">
        <v>0</v>
      </c>
      <c r="C26" s="151">
        <v>-485130</v>
      </c>
    </row>
    <row r="27" spans="1:3">
      <c r="A27" s="152" t="s">
        <v>483</v>
      </c>
      <c r="B27" s="153">
        <v>0</v>
      </c>
      <c r="C27" s="153">
        <v>0</v>
      </c>
    </row>
    <row r="28" spans="1:3">
      <c r="A28" s="152" t="s">
        <v>484</v>
      </c>
      <c r="B28" s="153">
        <v>0</v>
      </c>
      <c r="C28" s="151">
        <v>485130</v>
      </c>
    </row>
    <row r="29" spans="1:3">
      <c r="A29" s="149" t="s">
        <v>229</v>
      </c>
      <c r="B29" s="151">
        <v>-36417078.079999998</v>
      </c>
      <c r="C29" s="151">
        <v>-193214491.03999999</v>
      </c>
    </row>
    <row r="30" spans="1:3" ht="14.25" customHeight="1">
      <c r="A30" s="214" t="s">
        <v>485</v>
      </c>
      <c r="B30" s="214"/>
      <c r="C30" s="214"/>
    </row>
    <row r="31" spans="1:3" ht="14.25" customHeight="1">
      <c r="A31" s="215" t="s">
        <v>231</v>
      </c>
      <c r="B31" s="215"/>
      <c r="C31" s="215"/>
    </row>
  </sheetData>
  <mergeCells count="3">
    <mergeCell ref="A1:C1"/>
    <mergeCell ref="A30:C30"/>
    <mergeCell ref="A31:C31"/>
  </mergeCells>
  <phoneticPr fontId="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1"/>
  <sheetViews>
    <sheetView workbookViewId="0">
      <selection activeCell="D36" sqref="D36"/>
    </sheetView>
  </sheetViews>
  <sheetFormatPr defaultRowHeight="14.25"/>
  <cols>
    <col min="1" max="1" width="41" customWidth="1"/>
    <col min="2" max="3" width="23" customWidth="1"/>
    <col min="7" max="8" width="0" hidden="1" customWidth="1"/>
  </cols>
  <sheetData>
    <row r="1" spans="1:8" ht="22.5">
      <c r="A1" s="216" t="s">
        <v>202</v>
      </c>
      <c r="B1" s="216"/>
      <c r="C1" s="216"/>
      <c r="D1" s="97"/>
      <c r="E1" s="97"/>
      <c r="F1" s="97"/>
      <c r="G1" s="98">
        <v>3</v>
      </c>
      <c r="H1" s="97"/>
    </row>
    <row r="2" spans="1:8">
      <c r="A2" s="155"/>
      <c r="B2" s="155"/>
      <c r="C2" s="156" t="s">
        <v>203</v>
      </c>
      <c r="D2" s="97"/>
      <c r="E2" s="97"/>
      <c r="F2" s="97"/>
      <c r="G2" s="99"/>
      <c r="H2" s="97"/>
    </row>
    <row r="3" spans="1:8">
      <c r="A3" s="157" t="s">
        <v>17</v>
      </c>
      <c r="B3" s="158" t="s">
        <v>486</v>
      </c>
      <c r="C3" s="159" t="s">
        <v>18</v>
      </c>
      <c r="D3" s="97"/>
      <c r="E3" s="97"/>
      <c r="F3" s="97"/>
      <c r="G3" s="97"/>
      <c r="H3" s="97"/>
    </row>
    <row r="4" spans="1:8">
      <c r="A4" s="160" t="s">
        <v>19</v>
      </c>
      <c r="B4" s="160" t="s">
        <v>23</v>
      </c>
      <c r="C4" s="161" t="s">
        <v>148</v>
      </c>
      <c r="D4" s="100"/>
      <c r="E4" s="97"/>
      <c r="F4" s="97"/>
      <c r="G4" s="101"/>
      <c r="H4" s="101"/>
    </row>
    <row r="5" spans="1:8">
      <c r="A5" s="162" t="s">
        <v>204</v>
      </c>
      <c r="B5" s="163">
        <f>B6+B11</f>
        <v>-20148142.280000042</v>
      </c>
      <c r="C5" s="164">
        <f>C6+C11</f>
        <v>-171821474.76000011</v>
      </c>
      <c r="D5" s="100"/>
      <c r="E5" s="97"/>
      <c r="F5" s="102"/>
      <c r="G5" s="103"/>
      <c r="H5" s="103">
        <f>SUM(H7:H28)</f>
        <v>1184761300.8900001</v>
      </c>
    </row>
    <row r="6" spans="1:8">
      <c r="A6" s="162" t="s">
        <v>205</v>
      </c>
      <c r="B6" s="163">
        <f>B7+B8+B9-B10</f>
        <v>-37852457.330000043</v>
      </c>
      <c r="C6" s="164">
        <f>C7+C8+C9-C10</f>
        <v>-226976524.38000011</v>
      </c>
      <c r="D6" s="100"/>
      <c r="E6" s="97"/>
      <c r="F6" s="102"/>
      <c r="G6" s="103"/>
      <c r="H6" s="103"/>
    </row>
    <row r="7" spans="1:8">
      <c r="A7" s="165" t="s">
        <v>206</v>
      </c>
      <c r="B7" s="163">
        <v>516434053.54000002</v>
      </c>
      <c r="C7" s="164">
        <v>1927493295.75</v>
      </c>
      <c r="D7" s="100"/>
      <c r="E7" s="97"/>
      <c r="F7" s="102"/>
      <c r="G7" s="104">
        <v>877765850.28999996</v>
      </c>
      <c r="H7" s="103">
        <f>IF($G$1=1,C7-B7,C7-B7-G7)</f>
        <v>533293391.92000008</v>
      </c>
    </row>
    <row r="8" spans="1:8">
      <c r="A8" s="165" t="s">
        <v>207</v>
      </c>
      <c r="B8" s="163">
        <v>21873995</v>
      </c>
      <c r="C8" s="164">
        <v>87495980</v>
      </c>
      <c r="D8" s="100"/>
      <c r="E8" s="97"/>
      <c r="F8" s="102"/>
      <c r="G8" s="104">
        <v>43747990</v>
      </c>
      <c r="H8" s="103">
        <f>IF($G$1=1,C8-B8,C8-B8-G8)</f>
        <v>21873995</v>
      </c>
    </row>
    <row r="9" spans="1:8">
      <c r="A9" s="165" t="s">
        <v>208</v>
      </c>
      <c r="B9" s="163">
        <v>0</v>
      </c>
      <c r="C9" s="164">
        <v>0</v>
      </c>
      <c r="D9" s="100"/>
      <c r="E9" s="97"/>
      <c r="F9" s="102"/>
      <c r="G9" s="104">
        <v>0</v>
      </c>
      <c r="H9" s="103">
        <f>IF($G$1=1,C9-B9,C9-B9-G9)</f>
        <v>0</v>
      </c>
    </row>
    <row r="10" spans="1:8">
      <c r="A10" s="166" t="s">
        <v>209</v>
      </c>
      <c r="B10" s="163">
        <v>576160505.87</v>
      </c>
      <c r="C10" s="164">
        <v>2241965800.1300001</v>
      </c>
      <c r="D10" s="100"/>
      <c r="E10" s="97"/>
      <c r="F10" s="102"/>
      <c r="G10" s="104">
        <v>1138710514.98</v>
      </c>
      <c r="H10" s="103">
        <f>IF($G$1=1,C10-B10,C10-B10-G10)</f>
        <v>527094779.28000021</v>
      </c>
    </row>
    <row r="11" spans="1:8">
      <c r="A11" s="162" t="s">
        <v>210</v>
      </c>
      <c r="B11" s="163">
        <f>B12-B13</f>
        <v>17704315.050000001</v>
      </c>
      <c r="C11" s="164">
        <f>C12-C13</f>
        <v>55155049.61999999</v>
      </c>
      <c r="D11" s="100"/>
      <c r="E11" s="97"/>
      <c r="F11" s="102"/>
      <c r="G11" s="104"/>
      <c r="H11" s="103"/>
    </row>
    <row r="12" spans="1:8">
      <c r="A12" s="165" t="s">
        <v>211</v>
      </c>
      <c r="B12" s="163">
        <v>21589995.699999999</v>
      </c>
      <c r="C12" s="164">
        <v>79070354.629999995</v>
      </c>
      <c r="D12" s="100"/>
      <c r="E12" s="97"/>
      <c r="F12" s="102"/>
      <c r="G12" s="104">
        <v>29591858.989999998</v>
      </c>
      <c r="H12" s="103">
        <f>IF($G$1=1,C12-B12,C12-B12-G12)</f>
        <v>27888499.939999994</v>
      </c>
    </row>
    <row r="13" spans="1:8">
      <c r="A13" s="165" t="s">
        <v>212</v>
      </c>
      <c r="B13" s="163">
        <v>3885680.65</v>
      </c>
      <c r="C13" s="164">
        <v>23915305.010000002</v>
      </c>
      <c r="D13" s="100"/>
      <c r="E13" s="97"/>
      <c r="F13" s="102"/>
      <c r="G13" s="104">
        <v>16004140.810000001</v>
      </c>
      <c r="H13" s="103">
        <f>IF($G$1=1,C13-B13,C13-B13-G13)</f>
        <v>4025483.5500000026</v>
      </c>
    </row>
    <row r="14" spans="1:8">
      <c r="A14" s="162" t="s">
        <v>213</v>
      </c>
      <c r="B14" s="167" t="s">
        <v>214</v>
      </c>
      <c r="C14" s="168">
        <v>0</v>
      </c>
      <c r="D14" s="100"/>
      <c r="E14" s="97"/>
      <c r="F14" s="102"/>
      <c r="G14" s="104"/>
      <c r="H14" s="103"/>
    </row>
    <row r="15" spans="1:8">
      <c r="A15" s="165" t="s">
        <v>215</v>
      </c>
      <c r="B15" s="167" t="s">
        <v>214</v>
      </c>
      <c r="C15" s="168">
        <v>0</v>
      </c>
      <c r="D15" s="100"/>
      <c r="E15" s="97"/>
      <c r="F15" s="102"/>
      <c r="G15" s="104"/>
      <c r="H15" s="103"/>
    </row>
    <row r="16" spans="1:8">
      <c r="A16" s="165" t="s">
        <v>216</v>
      </c>
      <c r="B16" s="167" t="s">
        <v>214</v>
      </c>
      <c r="C16" s="168">
        <v>0</v>
      </c>
      <c r="D16" s="100"/>
      <c r="E16" s="97"/>
      <c r="F16" s="102"/>
      <c r="G16" s="104"/>
      <c r="H16" s="103"/>
    </row>
    <row r="17" spans="1:8">
      <c r="A17" s="165" t="s">
        <v>217</v>
      </c>
      <c r="B17" s="167" t="s">
        <v>214</v>
      </c>
      <c r="C17" s="168">
        <v>0</v>
      </c>
      <c r="D17" s="100"/>
      <c r="E17" s="97"/>
      <c r="F17" s="102"/>
      <c r="G17" s="104"/>
      <c r="H17" s="103"/>
    </row>
    <row r="18" spans="1:8">
      <c r="A18" s="165" t="s">
        <v>218</v>
      </c>
      <c r="B18" s="167" t="s">
        <v>214</v>
      </c>
      <c r="C18" s="168">
        <v>0</v>
      </c>
      <c r="D18" s="100"/>
      <c r="E18" s="97"/>
      <c r="F18" s="102"/>
      <c r="G18" s="104"/>
      <c r="H18" s="103"/>
    </row>
    <row r="19" spans="1:8">
      <c r="A19" s="165" t="s">
        <v>219</v>
      </c>
      <c r="B19" s="167" t="s">
        <v>214</v>
      </c>
      <c r="C19" s="168">
        <f>C14+C15+C16-C17-C18</f>
        <v>0</v>
      </c>
      <c r="D19" s="100"/>
      <c r="E19" s="97"/>
      <c r="F19" s="102"/>
      <c r="G19" s="104"/>
      <c r="H19" s="103"/>
    </row>
    <row r="20" spans="1:8">
      <c r="A20" s="162" t="s">
        <v>220</v>
      </c>
      <c r="B20" s="163">
        <f>B21-B22</f>
        <v>-3222332.36</v>
      </c>
      <c r="C20" s="164">
        <f>C21-C22</f>
        <v>-16484335.25</v>
      </c>
      <c r="D20" s="100"/>
      <c r="E20" s="97"/>
      <c r="F20" s="102"/>
      <c r="G20" s="104"/>
      <c r="H20" s="103"/>
    </row>
    <row r="21" spans="1:8">
      <c r="A21" s="165" t="s">
        <v>221</v>
      </c>
      <c r="B21" s="163">
        <v>0</v>
      </c>
      <c r="C21" s="164">
        <v>247100</v>
      </c>
      <c r="D21" s="100"/>
      <c r="E21" s="97"/>
      <c r="F21" s="102"/>
      <c r="G21" s="104">
        <v>12500</v>
      </c>
      <c r="H21" s="103">
        <f>IF($G$1=1,C21-B21,C21-B21-G21)</f>
        <v>234600</v>
      </c>
    </row>
    <row r="22" spans="1:8">
      <c r="A22" s="166" t="s">
        <v>222</v>
      </c>
      <c r="B22" s="163">
        <v>3222332.36</v>
      </c>
      <c r="C22" s="164">
        <v>16731435.25</v>
      </c>
      <c r="D22" s="100"/>
      <c r="E22" s="97"/>
      <c r="F22" s="102"/>
      <c r="G22" s="104">
        <v>9775924.1199999992</v>
      </c>
      <c r="H22" s="103">
        <f>IF($G$1=1,C22-B22,C22-B22-G22)</f>
        <v>3733178.7700000014</v>
      </c>
    </row>
    <row r="23" spans="1:8">
      <c r="A23" s="162" t="s">
        <v>223</v>
      </c>
      <c r="B23" s="163">
        <f>B24-B25</f>
        <v>-13770577.369999999</v>
      </c>
      <c r="C23" s="164">
        <f>C24-C25</f>
        <v>62499800.32</v>
      </c>
      <c r="D23" s="100"/>
      <c r="E23" s="97"/>
      <c r="F23" s="102"/>
      <c r="G23" s="104"/>
      <c r="H23" s="103"/>
    </row>
    <row r="24" spans="1:8">
      <c r="A24" s="165" t="s">
        <v>224</v>
      </c>
      <c r="B24" s="163">
        <v>1020880</v>
      </c>
      <c r="C24" s="164">
        <v>112122880</v>
      </c>
      <c r="D24" s="100"/>
      <c r="E24" s="97"/>
      <c r="F24" s="102"/>
      <c r="G24" s="104">
        <v>98880000</v>
      </c>
      <c r="H24" s="103">
        <f>IF($G$1=1,C24-B24,C24-B24-G24)</f>
        <v>12222000</v>
      </c>
    </row>
    <row r="25" spans="1:8">
      <c r="A25" s="165" t="s">
        <v>225</v>
      </c>
      <c r="B25" s="163">
        <v>14791457.369999999</v>
      </c>
      <c r="C25" s="164">
        <v>49623079.68</v>
      </c>
      <c r="D25" s="100"/>
      <c r="E25" s="97"/>
      <c r="F25" s="102"/>
      <c r="G25" s="104">
        <v>22048495.800000001</v>
      </c>
      <c r="H25" s="103">
        <f>IF($G$1=1,C25-B25,C25-B25-G25)</f>
        <v>12783126.510000002</v>
      </c>
    </row>
    <row r="26" spans="1:8">
      <c r="A26" s="162" t="s">
        <v>226</v>
      </c>
      <c r="B26" s="163">
        <f>B27-B28</f>
        <v>-901162.66000000015</v>
      </c>
      <c r="C26" s="164">
        <f>C27-C28</f>
        <v>-2980692.6600000039</v>
      </c>
      <c r="D26" s="100"/>
      <c r="E26" s="97"/>
      <c r="F26" s="102"/>
      <c r="G26" s="104"/>
      <c r="H26" s="103"/>
    </row>
    <row r="27" spans="1:8">
      <c r="A27" s="165" t="s">
        <v>227</v>
      </c>
      <c r="B27" s="163">
        <v>20517298.129999999</v>
      </c>
      <c r="C27" s="164">
        <v>50803813.229999997</v>
      </c>
      <c r="D27" s="100"/>
      <c r="E27" s="97"/>
      <c r="F27" s="102"/>
      <c r="G27" s="104">
        <v>6679393.2300000004</v>
      </c>
      <c r="H27" s="103">
        <f>IF($G$1=1,C27-B27,C27-B27-G27)</f>
        <v>23607121.869999997</v>
      </c>
    </row>
    <row r="28" spans="1:8">
      <c r="A28" s="165" t="s">
        <v>228</v>
      </c>
      <c r="B28" s="163">
        <v>21418460.789999999</v>
      </c>
      <c r="C28" s="164">
        <v>53784505.890000001</v>
      </c>
      <c r="D28" s="100"/>
      <c r="E28" s="97"/>
      <c r="F28" s="102"/>
      <c r="G28" s="104">
        <v>14360921.050000001</v>
      </c>
      <c r="H28" s="103">
        <f>IF($G$1=1,C28-B28,C28-B28-G28)</f>
        <v>18005124.050000001</v>
      </c>
    </row>
    <row r="29" spans="1:8">
      <c r="A29" s="160" t="s">
        <v>229</v>
      </c>
      <c r="B29" s="163">
        <f>B26+B23+B20+B5</f>
        <v>-38042214.670000046</v>
      </c>
      <c r="C29" s="164">
        <f>C26+C23+C20+C5</f>
        <v>-128786702.35000011</v>
      </c>
      <c r="D29" s="100"/>
      <c r="E29" s="97"/>
      <c r="F29" s="97"/>
      <c r="G29" s="99"/>
      <c r="H29" s="99"/>
    </row>
    <row r="30" spans="1:8">
      <c r="A30" s="217" t="s">
        <v>230</v>
      </c>
      <c r="B30" s="217"/>
      <c r="C30" s="217"/>
      <c r="D30" s="97"/>
      <c r="E30" s="97"/>
      <c r="F30" s="97"/>
      <c r="G30" s="97"/>
      <c r="H30" s="97"/>
    </row>
    <row r="31" spans="1:8" ht="14.25" customHeight="1">
      <c r="A31" s="218" t="s">
        <v>231</v>
      </c>
      <c r="B31" s="218"/>
      <c r="C31" s="218"/>
      <c r="D31" s="97"/>
      <c r="E31" s="97"/>
      <c r="F31" s="97"/>
      <c r="G31" s="97"/>
      <c r="H31" s="97"/>
    </row>
  </sheetData>
  <mergeCells count="3">
    <mergeCell ref="A1:C1"/>
    <mergeCell ref="A30:C30"/>
    <mergeCell ref="A31:C31"/>
  </mergeCells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4"/>
  <sheetViews>
    <sheetView workbookViewId="0">
      <selection sqref="A1:F34"/>
    </sheetView>
  </sheetViews>
  <sheetFormatPr defaultRowHeight="14.25"/>
  <cols>
    <col min="1" max="1" width="20.125" customWidth="1"/>
    <col min="2" max="2" width="14.125" bestFit="1" customWidth="1"/>
    <col min="3" max="3" width="16.125" bestFit="1" customWidth="1"/>
    <col min="4" max="4" width="21.75" customWidth="1"/>
    <col min="5" max="5" width="14.125" bestFit="1" customWidth="1"/>
    <col min="6" max="6" width="16.125" bestFit="1" customWidth="1"/>
  </cols>
  <sheetData>
    <row r="1" spans="1:6" ht="18.75">
      <c r="A1" s="220" t="s">
        <v>146</v>
      </c>
      <c r="B1" s="220"/>
      <c r="C1" s="220"/>
      <c r="D1" s="220"/>
      <c r="E1" s="220"/>
      <c r="F1" s="220"/>
    </row>
    <row r="2" spans="1:6">
      <c r="A2" s="169"/>
      <c r="B2" s="145"/>
      <c r="C2" s="169"/>
      <c r="D2" s="169"/>
      <c r="E2" s="221" t="s">
        <v>147</v>
      </c>
      <c r="F2" s="221"/>
    </row>
    <row r="3" spans="1:6" ht="14.25" customHeight="1">
      <c r="A3" s="222" t="s">
        <v>17</v>
      </c>
      <c r="B3" s="222"/>
      <c r="C3" s="223" t="s">
        <v>469</v>
      </c>
      <c r="D3" s="223"/>
      <c r="E3" s="224" t="s">
        <v>18</v>
      </c>
      <c r="F3" s="224"/>
    </row>
    <row r="4" spans="1:6">
      <c r="A4" s="149" t="s">
        <v>470</v>
      </c>
      <c r="B4" s="149" t="s">
        <v>23</v>
      </c>
      <c r="C4" s="149" t="s">
        <v>148</v>
      </c>
      <c r="D4" s="149" t="s">
        <v>470</v>
      </c>
      <c r="E4" s="149" t="s">
        <v>23</v>
      </c>
      <c r="F4" s="149" t="s">
        <v>148</v>
      </c>
    </row>
    <row r="5" spans="1:6">
      <c r="A5" s="150" t="s">
        <v>149</v>
      </c>
      <c r="B5" s="151">
        <v>674724517.64999998</v>
      </c>
      <c r="C5" s="151">
        <v>2421461909.0999999</v>
      </c>
      <c r="D5" s="150" t="s">
        <v>150</v>
      </c>
      <c r="E5" s="151">
        <v>703180963.40999997</v>
      </c>
      <c r="F5" s="151">
        <v>2756778894.3800001</v>
      </c>
    </row>
    <row r="6" spans="1:6">
      <c r="A6" s="152" t="s">
        <v>151</v>
      </c>
      <c r="B6" s="151">
        <v>249066687.68000001</v>
      </c>
      <c r="C6" s="151">
        <v>900071417.17999995</v>
      </c>
      <c r="D6" s="152" t="s">
        <v>152</v>
      </c>
      <c r="E6" s="153"/>
      <c r="F6" s="153"/>
    </row>
    <row r="7" spans="1:6">
      <c r="A7" s="152" t="s">
        <v>487</v>
      </c>
      <c r="B7" s="153">
        <v>0</v>
      </c>
      <c r="C7" s="153">
        <v>0</v>
      </c>
      <c r="D7" s="152" t="s">
        <v>488</v>
      </c>
      <c r="E7" s="151">
        <v>243267109.84</v>
      </c>
      <c r="F7" s="151">
        <v>1046475099.53</v>
      </c>
    </row>
    <row r="8" spans="1:6">
      <c r="A8" s="152" t="s">
        <v>489</v>
      </c>
      <c r="B8" s="151">
        <v>13893328</v>
      </c>
      <c r="C8" s="151">
        <v>48904239</v>
      </c>
      <c r="D8" s="152" t="s">
        <v>490</v>
      </c>
      <c r="E8" s="151">
        <v>224000930.81999999</v>
      </c>
      <c r="F8" s="151">
        <v>838449791.14999998</v>
      </c>
    </row>
    <row r="9" spans="1:6">
      <c r="A9" s="152" t="s">
        <v>491</v>
      </c>
      <c r="B9" s="151">
        <v>39923656.5</v>
      </c>
      <c r="C9" s="151">
        <v>141623492.91999999</v>
      </c>
      <c r="D9" s="152" t="s">
        <v>492</v>
      </c>
      <c r="E9" s="151">
        <v>164947765.31</v>
      </c>
      <c r="F9" s="151">
        <v>609745326.14999998</v>
      </c>
    </row>
    <row r="10" spans="1:6">
      <c r="A10" s="152" t="s">
        <v>141</v>
      </c>
      <c r="B10" s="151">
        <v>39680287</v>
      </c>
      <c r="C10" s="151">
        <v>141506284</v>
      </c>
      <c r="D10" s="152" t="s">
        <v>493</v>
      </c>
      <c r="E10" s="151">
        <v>9584839.3699999992</v>
      </c>
      <c r="F10" s="151">
        <v>37679770.189999998</v>
      </c>
    </row>
    <row r="11" spans="1:6">
      <c r="A11" s="152" t="s">
        <v>494</v>
      </c>
      <c r="B11" s="151">
        <v>25109310.23</v>
      </c>
      <c r="C11" s="151">
        <v>91745779.379999995</v>
      </c>
      <c r="D11" s="152" t="s">
        <v>495</v>
      </c>
      <c r="E11" s="151">
        <v>1621505.89</v>
      </c>
      <c r="F11" s="151">
        <v>6547097.4400000004</v>
      </c>
    </row>
    <row r="12" spans="1:6">
      <c r="A12" s="152" t="s">
        <v>496</v>
      </c>
      <c r="B12" s="151">
        <v>6850817.3200000003</v>
      </c>
      <c r="C12" s="151">
        <v>20515868.91</v>
      </c>
      <c r="D12" s="152" t="s">
        <v>497</v>
      </c>
      <c r="E12" s="151">
        <v>1026089.32</v>
      </c>
      <c r="F12" s="151">
        <v>3646195.43</v>
      </c>
    </row>
    <row r="13" spans="1:6">
      <c r="A13" s="152" t="s">
        <v>498</v>
      </c>
      <c r="B13" s="151">
        <v>8445710.0299999993</v>
      </c>
      <c r="C13" s="151">
        <v>32283284.620000001</v>
      </c>
      <c r="D13" s="152" t="s">
        <v>499</v>
      </c>
      <c r="E13" s="151">
        <v>58732722.859999999</v>
      </c>
      <c r="F13" s="151">
        <v>214235614.49000001</v>
      </c>
    </row>
    <row r="14" spans="1:6">
      <c r="A14" s="152" t="s">
        <v>500</v>
      </c>
      <c r="B14" s="151">
        <v>99947925.430000007</v>
      </c>
      <c r="C14" s="151">
        <v>364070889.99000001</v>
      </c>
      <c r="D14" s="152" t="s">
        <v>168</v>
      </c>
      <c r="E14" s="153"/>
      <c r="F14" s="153"/>
    </row>
    <row r="15" spans="1:6">
      <c r="A15" s="152" t="s">
        <v>501</v>
      </c>
      <c r="B15" s="151">
        <v>79464030.650000006</v>
      </c>
      <c r="C15" s="151">
        <v>290311919.66000003</v>
      </c>
      <c r="D15" s="152" t="s">
        <v>502</v>
      </c>
      <c r="E15" s="151">
        <v>662973588.75</v>
      </c>
      <c r="F15" s="151">
        <v>2607405560.54</v>
      </c>
    </row>
    <row r="16" spans="1:6">
      <c r="A16" s="152" t="s">
        <v>503</v>
      </c>
      <c r="B16" s="151">
        <v>17834636.23</v>
      </c>
      <c r="C16" s="151">
        <v>63953906.710000001</v>
      </c>
      <c r="D16" s="152" t="s">
        <v>504</v>
      </c>
      <c r="E16" s="151">
        <v>40207374.659999996</v>
      </c>
      <c r="F16" s="151">
        <v>149373333.84</v>
      </c>
    </row>
    <row r="17" spans="1:6">
      <c r="A17" s="152" t="s">
        <v>505</v>
      </c>
      <c r="B17" s="151">
        <v>2649258.5499999998</v>
      </c>
      <c r="C17" s="151">
        <v>9805063.6199999992</v>
      </c>
      <c r="D17" s="150"/>
      <c r="E17" s="153"/>
      <c r="F17" s="153"/>
    </row>
    <row r="18" spans="1:6">
      <c r="A18" s="152" t="s">
        <v>506</v>
      </c>
      <c r="B18" s="151">
        <v>15215653.17</v>
      </c>
      <c r="C18" s="151">
        <v>59421578.359999999</v>
      </c>
      <c r="D18" s="150"/>
      <c r="E18" s="153"/>
      <c r="F18" s="153"/>
    </row>
    <row r="19" spans="1:6">
      <c r="A19" s="152" t="s">
        <v>175</v>
      </c>
      <c r="B19" s="151">
        <v>425657829.97000003</v>
      </c>
      <c r="C19" s="151">
        <v>1521390491.9200001</v>
      </c>
      <c r="D19" s="150"/>
      <c r="E19" s="153"/>
      <c r="F19" s="153"/>
    </row>
    <row r="20" spans="1:6">
      <c r="A20" s="152" t="s">
        <v>507</v>
      </c>
      <c r="B20" s="151">
        <v>16362455.9</v>
      </c>
      <c r="C20" s="151">
        <v>61043462.5</v>
      </c>
      <c r="D20" s="150"/>
      <c r="E20" s="153"/>
      <c r="F20" s="153"/>
    </row>
    <row r="21" spans="1:6">
      <c r="A21" s="152" t="s">
        <v>489</v>
      </c>
      <c r="B21" s="151">
        <v>6724940</v>
      </c>
      <c r="C21" s="151">
        <v>24588815</v>
      </c>
      <c r="D21" s="150"/>
      <c r="E21" s="153"/>
      <c r="F21" s="153"/>
    </row>
    <row r="22" spans="1:6">
      <c r="A22" s="152" t="s">
        <v>491</v>
      </c>
      <c r="B22" s="151">
        <v>31500501.100000001</v>
      </c>
      <c r="C22" s="151">
        <v>110768122.3</v>
      </c>
      <c r="D22" s="150"/>
      <c r="E22" s="153"/>
      <c r="F22" s="153"/>
    </row>
    <row r="23" spans="1:6">
      <c r="A23" s="152" t="s">
        <v>141</v>
      </c>
      <c r="B23" s="151">
        <v>40519834.5</v>
      </c>
      <c r="C23" s="151">
        <v>147876422.5</v>
      </c>
      <c r="D23" s="152"/>
      <c r="E23" s="153"/>
      <c r="F23" s="153"/>
    </row>
    <row r="24" spans="1:6">
      <c r="A24" s="152" t="s">
        <v>494</v>
      </c>
      <c r="B24" s="151">
        <v>17600849.690000001</v>
      </c>
      <c r="C24" s="151">
        <v>57591295.159999996</v>
      </c>
      <c r="D24" s="152"/>
      <c r="E24" s="153"/>
      <c r="F24" s="153"/>
    </row>
    <row r="25" spans="1:6">
      <c r="A25" s="152" t="s">
        <v>496</v>
      </c>
      <c r="B25" s="151">
        <v>52695293.5</v>
      </c>
      <c r="C25" s="151">
        <v>162169130.80000001</v>
      </c>
      <c r="D25" s="152"/>
      <c r="E25" s="153"/>
      <c r="F25" s="153"/>
    </row>
    <row r="26" spans="1:6">
      <c r="A26" s="152" t="s">
        <v>508</v>
      </c>
      <c r="B26" s="151">
        <v>6138885.0999999996</v>
      </c>
      <c r="C26" s="151">
        <v>20130265.600000001</v>
      </c>
      <c r="D26" s="152"/>
      <c r="E26" s="153"/>
      <c r="F26" s="153"/>
    </row>
    <row r="27" spans="1:6">
      <c r="A27" s="152" t="s">
        <v>498</v>
      </c>
      <c r="B27" s="151">
        <v>183129794.44999999</v>
      </c>
      <c r="C27" s="151">
        <v>653003592.21000004</v>
      </c>
      <c r="D27" s="152"/>
      <c r="E27" s="153"/>
      <c r="F27" s="153"/>
    </row>
    <row r="28" spans="1:6">
      <c r="A28" s="152" t="s">
        <v>500</v>
      </c>
      <c r="B28" s="151">
        <v>65538356.789999999</v>
      </c>
      <c r="C28" s="151">
        <v>246246845.22</v>
      </c>
      <c r="D28" s="152"/>
      <c r="E28" s="153"/>
      <c r="F28" s="153"/>
    </row>
    <row r="29" spans="1:6">
      <c r="A29" s="152" t="s">
        <v>501</v>
      </c>
      <c r="B29" s="151">
        <v>62276744.520000003</v>
      </c>
      <c r="C29" s="151">
        <v>233903258.05000001</v>
      </c>
      <c r="D29" s="152"/>
      <c r="E29" s="153"/>
      <c r="F29" s="153"/>
    </row>
    <row r="30" spans="1:6">
      <c r="A30" s="152" t="s">
        <v>503</v>
      </c>
      <c r="B30" s="151">
        <v>3225862.9</v>
      </c>
      <c r="C30" s="151">
        <v>12177284.23</v>
      </c>
      <c r="D30" s="152"/>
      <c r="E30" s="153"/>
      <c r="F30" s="153"/>
    </row>
    <row r="31" spans="1:6">
      <c r="A31" s="152" t="s">
        <v>505</v>
      </c>
      <c r="B31" s="151">
        <v>35749.370000000003</v>
      </c>
      <c r="C31" s="151">
        <v>166302.94</v>
      </c>
      <c r="D31" s="152"/>
      <c r="E31" s="153"/>
      <c r="F31" s="153"/>
    </row>
    <row r="32" spans="1:6">
      <c r="A32" s="152" t="s">
        <v>509</v>
      </c>
      <c r="B32" s="151">
        <v>5446918.9400000004</v>
      </c>
      <c r="C32" s="151">
        <v>37972540.630000003</v>
      </c>
      <c r="D32" s="152"/>
      <c r="E32" s="153"/>
      <c r="F32" s="153"/>
    </row>
    <row r="33" spans="1:6">
      <c r="A33" s="170" t="s">
        <v>179</v>
      </c>
      <c r="B33" s="170" t="s">
        <v>510</v>
      </c>
      <c r="C33" s="225" t="s">
        <v>181</v>
      </c>
      <c r="D33" s="225"/>
      <c r="E33" s="170" t="s">
        <v>511</v>
      </c>
      <c r="F33" s="170" t="s">
        <v>183</v>
      </c>
    </row>
    <row r="34" spans="1:6" ht="14.25" customHeight="1">
      <c r="A34" s="219" t="s">
        <v>184</v>
      </c>
      <c r="B34" s="219"/>
      <c r="C34" s="219"/>
      <c r="D34" s="219"/>
      <c r="E34" s="219"/>
      <c r="F34" s="219"/>
    </row>
  </sheetData>
  <mergeCells count="7">
    <mergeCell ref="A34:F34"/>
    <mergeCell ref="A1:F1"/>
    <mergeCell ref="E2:F2"/>
    <mergeCell ref="A3:B3"/>
    <mergeCell ref="C3:D3"/>
    <mergeCell ref="E3:F3"/>
    <mergeCell ref="C33:D33"/>
  </mergeCells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4"/>
  <sheetViews>
    <sheetView workbookViewId="0">
      <selection sqref="A1:F34"/>
    </sheetView>
  </sheetViews>
  <sheetFormatPr defaultRowHeight="14.25"/>
  <cols>
    <col min="1" max="1" width="18.375" customWidth="1"/>
    <col min="2" max="3" width="14.125" bestFit="1" customWidth="1"/>
    <col min="4" max="4" width="20" customWidth="1"/>
    <col min="5" max="6" width="14.125" bestFit="1" customWidth="1"/>
  </cols>
  <sheetData>
    <row r="1" spans="1:6" ht="18.75">
      <c r="A1" s="220" t="s">
        <v>146</v>
      </c>
      <c r="B1" s="220"/>
      <c r="C1" s="220"/>
      <c r="D1" s="220"/>
      <c r="E1" s="220"/>
      <c r="F1" s="220"/>
    </row>
    <row r="2" spans="1:6">
      <c r="A2" s="169"/>
      <c r="B2" s="145"/>
      <c r="C2" s="169"/>
      <c r="D2" s="169"/>
      <c r="E2" s="221" t="s">
        <v>147</v>
      </c>
      <c r="F2" s="221"/>
    </row>
    <row r="3" spans="1:6" ht="14.25" customHeight="1">
      <c r="A3" s="222" t="s">
        <v>100</v>
      </c>
      <c r="B3" s="222"/>
      <c r="C3" s="223" t="s">
        <v>469</v>
      </c>
      <c r="D3" s="223"/>
      <c r="E3" s="224" t="s">
        <v>18</v>
      </c>
      <c r="F3" s="224"/>
    </row>
    <row r="4" spans="1:6">
      <c r="A4" s="149" t="s">
        <v>470</v>
      </c>
      <c r="B4" s="149" t="s">
        <v>23</v>
      </c>
      <c r="C4" s="149" t="s">
        <v>148</v>
      </c>
      <c r="D4" s="149" t="s">
        <v>470</v>
      </c>
      <c r="E4" s="149" t="s">
        <v>23</v>
      </c>
      <c r="F4" s="149" t="s">
        <v>148</v>
      </c>
    </row>
    <row r="5" spans="1:6">
      <c r="A5" s="150" t="s">
        <v>149</v>
      </c>
      <c r="B5" s="151">
        <v>147155873.09999999</v>
      </c>
      <c r="C5" s="151">
        <v>497146332.63999999</v>
      </c>
      <c r="D5" s="150" t="s">
        <v>150</v>
      </c>
      <c r="E5" s="151">
        <v>173835107.59999999</v>
      </c>
      <c r="F5" s="151">
        <v>650058178.02999997</v>
      </c>
    </row>
    <row r="6" spans="1:6">
      <c r="A6" s="152" t="s">
        <v>151</v>
      </c>
      <c r="B6" s="151">
        <v>44501697.689999998</v>
      </c>
      <c r="C6" s="151">
        <v>157152042.19999999</v>
      </c>
      <c r="D6" s="152" t="s">
        <v>152</v>
      </c>
      <c r="E6" s="153"/>
      <c r="F6" s="153"/>
    </row>
    <row r="7" spans="1:6">
      <c r="A7" s="152" t="s">
        <v>487</v>
      </c>
      <c r="B7" s="153">
        <v>0</v>
      </c>
      <c r="C7" s="153">
        <v>0</v>
      </c>
      <c r="D7" s="152" t="s">
        <v>488</v>
      </c>
      <c r="E7" s="151">
        <v>63931211.32</v>
      </c>
      <c r="F7" s="151">
        <v>272694609.75</v>
      </c>
    </row>
    <row r="8" spans="1:6">
      <c r="A8" s="152" t="s">
        <v>489</v>
      </c>
      <c r="B8" s="151">
        <v>2945766</v>
      </c>
      <c r="C8" s="151">
        <v>10118909</v>
      </c>
      <c r="D8" s="152" t="s">
        <v>490</v>
      </c>
      <c r="E8" s="151">
        <v>66053753.850000001</v>
      </c>
      <c r="F8" s="151">
        <v>217926397.41</v>
      </c>
    </row>
    <row r="9" spans="1:6">
      <c r="A9" s="152" t="s">
        <v>491</v>
      </c>
      <c r="B9" s="151">
        <v>10133671.5</v>
      </c>
      <c r="C9" s="151">
        <v>34916455</v>
      </c>
      <c r="D9" s="152" t="s">
        <v>492</v>
      </c>
      <c r="E9" s="151">
        <v>27712093.710000001</v>
      </c>
      <c r="F9" s="151">
        <v>97852477.459999993</v>
      </c>
    </row>
    <row r="10" spans="1:6">
      <c r="A10" s="152" t="s">
        <v>141</v>
      </c>
      <c r="B10" s="151">
        <v>7186088</v>
      </c>
      <c r="C10" s="151">
        <v>25010368</v>
      </c>
      <c r="D10" s="152" t="s">
        <v>493</v>
      </c>
      <c r="E10" s="151">
        <v>1311512.22</v>
      </c>
      <c r="F10" s="151">
        <v>3793728.56</v>
      </c>
    </row>
    <row r="11" spans="1:6">
      <c r="A11" s="152" t="s">
        <v>494</v>
      </c>
      <c r="B11" s="151">
        <v>4033489.1</v>
      </c>
      <c r="C11" s="151">
        <v>14161193.5</v>
      </c>
      <c r="D11" s="152" t="s">
        <v>495</v>
      </c>
      <c r="E11" s="151">
        <v>453736.27</v>
      </c>
      <c r="F11" s="151">
        <v>1814944.96</v>
      </c>
    </row>
    <row r="12" spans="1:6">
      <c r="A12" s="152" t="s">
        <v>496</v>
      </c>
      <c r="B12" s="151">
        <v>1280312.2</v>
      </c>
      <c r="C12" s="151">
        <v>3206618.55</v>
      </c>
      <c r="D12" s="152" t="s">
        <v>497</v>
      </c>
      <c r="E12" s="151">
        <v>223335.34</v>
      </c>
      <c r="F12" s="151">
        <v>748321.01</v>
      </c>
    </row>
    <row r="13" spans="1:6">
      <c r="A13" s="152" t="s">
        <v>498</v>
      </c>
      <c r="B13" s="151">
        <v>2012748.35</v>
      </c>
      <c r="C13" s="151">
        <v>7729146.4100000001</v>
      </c>
      <c r="D13" s="152" t="s">
        <v>499</v>
      </c>
      <c r="E13" s="151">
        <v>14149464.890000001</v>
      </c>
      <c r="F13" s="151">
        <v>55227698.880000003</v>
      </c>
    </row>
    <row r="14" spans="1:6">
      <c r="A14" s="152" t="s">
        <v>500</v>
      </c>
      <c r="B14" s="151">
        <v>16024890.050000001</v>
      </c>
      <c r="C14" s="151">
        <v>57661791.18</v>
      </c>
      <c r="D14" s="152" t="s">
        <v>168</v>
      </c>
      <c r="E14" s="153"/>
      <c r="F14" s="153"/>
    </row>
    <row r="15" spans="1:6">
      <c r="A15" s="152" t="s">
        <v>501</v>
      </c>
      <c r="B15" s="151">
        <v>12295950.58</v>
      </c>
      <c r="C15" s="151">
        <v>44657668.509999998</v>
      </c>
      <c r="D15" s="152" t="s">
        <v>502</v>
      </c>
      <c r="E15" s="151">
        <v>157347248.00999999</v>
      </c>
      <c r="F15" s="151">
        <v>610076338.26999998</v>
      </c>
    </row>
    <row r="16" spans="1:6">
      <c r="A16" s="152" t="s">
        <v>503</v>
      </c>
      <c r="B16" s="151">
        <v>3279474.58</v>
      </c>
      <c r="C16" s="151">
        <v>11664097.83</v>
      </c>
      <c r="D16" s="152" t="s">
        <v>504</v>
      </c>
      <c r="E16" s="151">
        <v>16487859.59</v>
      </c>
      <c r="F16" s="151">
        <v>39981839.759999998</v>
      </c>
    </row>
    <row r="17" spans="1:6">
      <c r="A17" s="152" t="s">
        <v>505</v>
      </c>
      <c r="B17" s="151">
        <v>449464.89</v>
      </c>
      <c r="C17" s="151">
        <v>1340024.8400000001</v>
      </c>
      <c r="D17" s="150"/>
      <c r="E17" s="153"/>
      <c r="F17" s="153"/>
    </row>
    <row r="18" spans="1:6">
      <c r="A18" s="152" t="s">
        <v>506</v>
      </c>
      <c r="B18" s="151">
        <v>884732.49</v>
      </c>
      <c r="C18" s="151">
        <v>4347560.5599999996</v>
      </c>
      <c r="D18" s="150"/>
      <c r="E18" s="153"/>
      <c r="F18" s="153"/>
    </row>
    <row r="19" spans="1:6">
      <c r="A19" s="152" t="s">
        <v>175</v>
      </c>
      <c r="B19" s="151">
        <v>102654175.41</v>
      </c>
      <c r="C19" s="151">
        <v>339994290.44</v>
      </c>
      <c r="D19" s="150"/>
      <c r="E19" s="153"/>
      <c r="F19" s="153"/>
    </row>
    <row r="20" spans="1:6">
      <c r="A20" s="152" t="s">
        <v>507</v>
      </c>
      <c r="B20" s="151">
        <v>5063356</v>
      </c>
      <c r="C20" s="151">
        <v>16241328.5</v>
      </c>
      <c r="D20" s="150"/>
      <c r="E20" s="153"/>
      <c r="F20" s="153"/>
    </row>
    <row r="21" spans="1:6">
      <c r="A21" s="152" t="s">
        <v>489</v>
      </c>
      <c r="B21" s="151">
        <v>778800</v>
      </c>
      <c r="C21" s="151">
        <v>2350175</v>
      </c>
      <c r="D21" s="150"/>
      <c r="E21" s="153"/>
      <c r="F21" s="153"/>
    </row>
    <row r="22" spans="1:6">
      <c r="A22" s="152" t="s">
        <v>491</v>
      </c>
      <c r="B22" s="151">
        <v>6897708.5</v>
      </c>
      <c r="C22" s="151">
        <v>22430263.5</v>
      </c>
      <c r="D22" s="150"/>
      <c r="E22" s="153"/>
      <c r="F22" s="153"/>
    </row>
    <row r="23" spans="1:6">
      <c r="A23" s="152" t="s">
        <v>141</v>
      </c>
      <c r="B23" s="151">
        <v>7928962</v>
      </c>
      <c r="C23" s="151">
        <v>26091135</v>
      </c>
      <c r="D23" s="152"/>
      <c r="E23" s="153"/>
      <c r="F23" s="153"/>
    </row>
    <row r="24" spans="1:6">
      <c r="A24" s="152" t="s">
        <v>494</v>
      </c>
      <c r="B24" s="151">
        <v>2734804.95</v>
      </c>
      <c r="C24" s="151">
        <v>8202208.5499999998</v>
      </c>
      <c r="D24" s="152"/>
      <c r="E24" s="153"/>
      <c r="F24" s="153"/>
    </row>
    <row r="25" spans="1:6">
      <c r="A25" s="152" t="s">
        <v>496</v>
      </c>
      <c r="B25" s="151">
        <v>13094942.449999999</v>
      </c>
      <c r="C25" s="151">
        <v>36315858.049999997</v>
      </c>
      <c r="D25" s="152"/>
      <c r="E25" s="153"/>
      <c r="F25" s="153"/>
    </row>
    <row r="26" spans="1:6">
      <c r="A26" s="152" t="s">
        <v>508</v>
      </c>
      <c r="B26" s="151">
        <v>1085908.1000000001</v>
      </c>
      <c r="C26" s="151">
        <v>3259830.1</v>
      </c>
      <c r="D26" s="152"/>
      <c r="E26" s="153"/>
      <c r="F26" s="153"/>
    </row>
    <row r="27" spans="1:6">
      <c r="A27" s="152" t="s">
        <v>498</v>
      </c>
      <c r="B27" s="151">
        <v>52753804.240000002</v>
      </c>
      <c r="C27" s="151">
        <v>179882779.34999999</v>
      </c>
      <c r="D27" s="152"/>
      <c r="E27" s="153"/>
      <c r="F27" s="153"/>
    </row>
    <row r="28" spans="1:6">
      <c r="A28" s="152" t="s">
        <v>500</v>
      </c>
      <c r="B28" s="151">
        <v>11908796.67</v>
      </c>
      <c r="C28" s="151">
        <v>39923120.810000002</v>
      </c>
      <c r="D28" s="152"/>
      <c r="E28" s="153"/>
      <c r="F28" s="153"/>
    </row>
    <row r="29" spans="1:6">
      <c r="A29" s="152" t="s">
        <v>501</v>
      </c>
      <c r="B29" s="151">
        <v>11490934.83</v>
      </c>
      <c r="C29" s="151">
        <v>38583456.549999997</v>
      </c>
      <c r="D29" s="152"/>
      <c r="E29" s="153"/>
      <c r="F29" s="153"/>
    </row>
    <row r="30" spans="1:6">
      <c r="A30" s="152" t="s">
        <v>503</v>
      </c>
      <c r="B30" s="151">
        <v>414310.34</v>
      </c>
      <c r="C30" s="151">
        <v>1327158.1000000001</v>
      </c>
      <c r="D30" s="152"/>
      <c r="E30" s="153"/>
      <c r="F30" s="153"/>
    </row>
    <row r="31" spans="1:6">
      <c r="A31" s="152" t="s">
        <v>505</v>
      </c>
      <c r="B31" s="151">
        <v>3551.5</v>
      </c>
      <c r="C31" s="151">
        <v>12506.16</v>
      </c>
      <c r="D31" s="152"/>
      <c r="E31" s="153"/>
      <c r="F31" s="153"/>
    </row>
    <row r="32" spans="1:6">
      <c r="A32" s="152" t="s">
        <v>509</v>
      </c>
      <c r="B32" s="151">
        <v>407092.5</v>
      </c>
      <c r="C32" s="151">
        <v>5297591.58</v>
      </c>
      <c r="D32" s="152"/>
      <c r="E32" s="153"/>
      <c r="F32" s="153"/>
    </row>
    <row r="33" spans="1:6">
      <c r="A33" s="170" t="s">
        <v>179</v>
      </c>
      <c r="B33" s="170" t="s">
        <v>510</v>
      </c>
      <c r="C33" s="225" t="s">
        <v>181</v>
      </c>
      <c r="D33" s="225"/>
      <c r="E33" s="170" t="s">
        <v>511</v>
      </c>
      <c r="F33" s="170" t="s">
        <v>183</v>
      </c>
    </row>
    <row r="34" spans="1:6" ht="14.25" customHeight="1">
      <c r="A34" s="219" t="s">
        <v>184</v>
      </c>
      <c r="B34" s="219"/>
      <c r="C34" s="219"/>
      <c r="D34" s="219"/>
      <c r="E34" s="219"/>
      <c r="F34" s="219"/>
    </row>
  </sheetData>
  <mergeCells count="7">
    <mergeCell ref="A34:F34"/>
    <mergeCell ref="A1:F1"/>
    <mergeCell ref="E2:F2"/>
    <mergeCell ref="A3:B3"/>
    <mergeCell ref="C3:D3"/>
    <mergeCell ref="E3:F3"/>
    <mergeCell ref="C33:D33"/>
  </mergeCells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4"/>
  <sheetViews>
    <sheetView workbookViewId="0">
      <selection sqref="A1:F34"/>
    </sheetView>
  </sheetViews>
  <sheetFormatPr defaultRowHeight="14.25"/>
  <cols>
    <col min="1" max="1" width="21.125" bestFit="1" customWidth="1"/>
    <col min="2" max="2" width="14.125" bestFit="1" customWidth="1"/>
    <col min="3" max="3" width="16.125" bestFit="1" customWidth="1"/>
    <col min="4" max="4" width="21.75" bestFit="1" customWidth="1"/>
    <col min="5" max="5" width="14.125" bestFit="1" customWidth="1"/>
    <col min="6" max="6" width="16.125" bestFit="1" customWidth="1"/>
  </cols>
  <sheetData>
    <row r="1" spans="1:6" ht="18.75">
      <c r="A1" s="227" t="s">
        <v>146</v>
      </c>
      <c r="B1" s="227"/>
      <c r="C1" s="227"/>
      <c r="D1" s="227"/>
      <c r="E1" s="227"/>
      <c r="F1" s="227"/>
    </row>
    <row r="2" spans="1:6">
      <c r="A2" s="171"/>
      <c r="B2" s="172"/>
      <c r="C2" s="173"/>
      <c r="D2" s="171"/>
      <c r="E2" s="228" t="s">
        <v>147</v>
      </c>
      <c r="F2" s="228"/>
    </row>
    <row r="3" spans="1:6">
      <c r="A3" s="229" t="s">
        <v>17</v>
      </c>
      <c r="B3" s="229"/>
      <c r="C3" s="230" t="s">
        <v>486</v>
      </c>
      <c r="D3" s="230"/>
      <c r="E3" s="231" t="s">
        <v>18</v>
      </c>
      <c r="F3" s="231"/>
    </row>
    <row r="4" spans="1:6">
      <c r="A4" s="160" t="s">
        <v>0</v>
      </c>
      <c r="B4" s="174" t="s">
        <v>23</v>
      </c>
      <c r="C4" s="174" t="s">
        <v>148</v>
      </c>
      <c r="D4" s="160" t="s">
        <v>0</v>
      </c>
      <c r="E4" s="160" t="s">
        <v>23</v>
      </c>
      <c r="F4" s="161" t="s">
        <v>148</v>
      </c>
    </row>
    <row r="5" spans="1:6">
      <c r="A5" s="162" t="s">
        <v>149</v>
      </c>
      <c r="B5" s="163">
        <v>516434053.54000002</v>
      </c>
      <c r="C5" s="163">
        <v>1927493295.75</v>
      </c>
      <c r="D5" s="162" t="s">
        <v>150</v>
      </c>
      <c r="E5" s="163">
        <v>576160505.87</v>
      </c>
      <c r="F5" s="164">
        <v>2241965800.1300001</v>
      </c>
    </row>
    <row r="6" spans="1:6">
      <c r="A6" s="165" t="s">
        <v>151</v>
      </c>
      <c r="B6" s="163">
        <v>186374416.88999999</v>
      </c>
      <c r="C6" s="163">
        <v>692558346.25999999</v>
      </c>
      <c r="D6" s="165" t="s">
        <v>152</v>
      </c>
      <c r="E6" s="163"/>
      <c r="F6" s="164"/>
    </row>
    <row r="7" spans="1:6">
      <c r="A7" s="165" t="s">
        <v>153</v>
      </c>
      <c r="B7" s="163">
        <v>4095967</v>
      </c>
      <c r="C7" s="163">
        <v>13292168</v>
      </c>
      <c r="D7" s="165" t="s">
        <v>154</v>
      </c>
      <c r="E7" s="163">
        <v>215789005.22</v>
      </c>
      <c r="F7" s="164">
        <v>906524436.41999996</v>
      </c>
    </row>
    <row r="8" spans="1:6">
      <c r="A8" s="165" t="s">
        <v>155</v>
      </c>
      <c r="B8" s="163">
        <v>6400239</v>
      </c>
      <c r="C8" s="163">
        <v>24463940.5</v>
      </c>
      <c r="D8" s="165" t="s">
        <v>156</v>
      </c>
      <c r="E8" s="163">
        <v>169860235.86000001</v>
      </c>
      <c r="F8" s="164">
        <v>603729113.79999995</v>
      </c>
    </row>
    <row r="9" spans="1:6">
      <c r="A9" s="165" t="s">
        <v>157</v>
      </c>
      <c r="B9" s="163">
        <v>30177211.5</v>
      </c>
      <c r="C9" s="163">
        <v>108750536</v>
      </c>
      <c r="D9" s="165" t="s">
        <v>158</v>
      </c>
      <c r="E9" s="163">
        <v>133870550.87</v>
      </c>
      <c r="F9" s="164">
        <v>505192312.43000001</v>
      </c>
    </row>
    <row r="10" spans="1:6">
      <c r="A10" s="165" t="s">
        <v>159</v>
      </c>
      <c r="B10" s="163">
        <v>29298483</v>
      </c>
      <c r="C10" s="163">
        <v>111487859</v>
      </c>
      <c r="D10" s="165" t="s">
        <v>160</v>
      </c>
      <c r="E10" s="163">
        <v>8973779.1400000006</v>
      </c>
      <c r="F10" s="164">
        <v>36365263.960000001</v>
      </c>
    </row>
    <row r="11" spans="1:6">
      <c r="A11" s="165" t="s">
        <v>161</v>
      </c>
      <c r="B11" s="163">
        <v>17657358.34</v>
      </c>
      <c r="C11" s="163">
        <v>66671001.579999998</v>
      </c>
      <c r="D11" s="165" t="s">
        <v>162</v>
      </c>
      <c r="E11" s="163">
        <v>1803605.01</v>
      </c>
      <c r="F11" s="164">
        <v>8191410.4800000004</v>
      </c>
    </row>
    <row r="12" spans="1:6">
      <c r="A12" s="165" t="s">
        <v>163</v>
      </c>
      <c r="B12" s="163">
        <v>3930609.3</v>
      </c>
      <c r="C12" s="163">
        <v>14359206.5</v>
      </c>
      <c r="D12" s="165" t="s">
        <v>164</v>
      </c>
      <c r="E12" s="163">
        <v>774651.08</v>
      </c>
      <c r="F12" s="164">
        <v>2891239.94</v>
      </c>
    </row>
    <row r="13" spans="1:6">
      <c r="A13" s="165" t="s">
        <v>165</v>
      </c>
      <c r="B13" s="163">
        <v>6571626.8799999999</v>
      </c>
      <c r="C13" s="163">
        <v>24443188.149999999</v>
      </c>
      <c r="D13" s="165" t="s">
        <v>166</v>
      </c>
      <c r="E13" s="163">
        <v>45088678.689999998</v>
      </c>
      <c r="F13" s="164">
        <v>179072023.09999999</v>
      </c>
    </row>
    <row r="14" spans="1:6">
      <c r="A14" s="165" t="s">
        <v>167</v>
      </c>
      <c r="B14" s="163">
        <v>73125502.670000002</v>
      </c>
      <c r="C14" s="163">
        <v>272539485.60000002</v>
      </c>
      <c r="D14" s="165" t="s">
        <v>168</v>
      </c>
      <c r="E14" s="163"/>
      <c r="F14" s="164"/>
    </row>
    <row r="15" spans="1:6">
      <c r="A15" s="165" t="s">
        <v>169</v>
      </c>
      <c r="B15" s="163">
        <v>57501963.450000003</v>
      </c>
      <c r="C15" s="163">
        <v>213958319.75999999</v>
      </c>
      <c r="D15" s="165" t="s">
        <v>170</v>
      </c>
      <c r="E15" s="163">
        <v>537572523.83000004</v>
      </c>
      <c r="F15" s="164">
        <v>2052884050.48</v>
      </c>
    </row>
    <row r="16" spans="1:6">
      <c r="A16" s="165" t="s">
        <v>171</v>
      </c>
      <c r="B16" s="163">
        <v>13030931.109999999</v>
      </c>
      <c r="C16" s="163">
        <v>48736993.490000002</v>
      </c>
      <c r="D16" s="165" t="s">
        <v>172</v>
      </c>
      <c r="E16" s="163">
        <v>38587982.039999999</v>
      </c>
      <c r="F16" s="164">
        <v>189081749.65000001</v>
      </c>
    </row>
    <row r="17" spans="1:6">
      <c r="A17" s="165" t="s">
        <v>173</v>
      </c>
      <c r="B17" s="163">
        <v>2592608.11</v>
      </c>
      <c r="C17" s="163">
        <v>9844172.3499999996</v>
      </c>
      <c r="D17" s="175"/>
      <c r="E17" s="163"/>
      <c r="F17" s="164"/>
    </row>
    <row r="18" spans="1:6">
      <c r="A18" s="165" t="s">
        <v>174</v>
      </c>
      <c r="B18" s="163">
        <v>15117419.199999999</v>
      </c>
      <c r="C18" s="163">
        <v>56550960.93</v>
      </c>
      <c r="D18" s="175"/>
      <c r="E18" s="163"/>
      <c r="F18" s="164"/>
    </row>
    <row r="19" spans="1:6">
      <c r="A19" s="165" t="s">
        <v>175</v>
      </c>
      <c r="B19" s="163">
        <v>330059636.64999998</v>
      </c>
      <c r="C19" s="163">
        <v>1234934949.49</v>
      </c>
      <c r="D19" s="175"/>
      <c r="E19" s="163"/>
      <c r="F19" s="164"/>
    </row>
    <row r="20" spans="1:6">
      <c r="A20" s="165" t="s">
        <v>176</v>
      </c>
      <c r="B20" s="163">
        <v>11040358</v>
      </c>
      <c r="C20" s="163">
        <v>45984886</v>
      </c>
      <c r="D20" s="175"/>
      <c r="E20" s="163"/>
      <c r="F20" s="164"/>
    </row>
    <row r="21" spans="1:6">
      <c r="A21" s="165" t="s">
        <v>155</v>
      </c>
      <c r="B21" s="163">
        <v>5963054</v>
      </c>
      <c r="C21" s="163">
        <v>22529840</v>
      </c>
      <c r="D21" s="175"/>
      <c r="E21" s="163"/>
      <c r="F21" s="164"/>
    </row>
    <row r="22" spans="1:6">
      <c r="A22" s="165" t="s">
        <v>157</v>
      </c>
      <c r="B22" s="163">
        <v>23848557.350000001</v>
      </c>
      <c r="C22" s="163">
        <v>88420056.75</v>
      </c>
      <c r="D22" s="175"/>
      <c r="E22" s="163"/>
      <c r="F22" s="164"/>
    </row>
    <row r="23" spans="1:6">
      <c r="A23" s="165" t="s">
        <v>159</v>
      </c>
      <c r="B23" s="163">
        <v>32023312</v>
      </c>
      <c r="C23" s="163">
        <v>118432932.25</v>
      </c>
      <c r="D23" s="165"/>
      <c r="E23" s="163"/>
      <c r="F23" s="164"/>
    </row>
    <row r="24" spans="1:6">
      <c r="A24" s="165" t="s">
        <v>161</v>
      </c>
      <c r="B24" s="163">
        <v>16939373.140000001</v>
      </c>
      <c r="C24" s="163">
        <v>67516954.260000005</v>
      </c>
      <c r="D24" s="165"/>
      <c r="E24" s="163"/>
      <c r="F24" s="164"/>
    </row>
    <row r="25" spans="1:6">
      <c r="A25" s="165" t="s">
        <v>163</v>
      </c>
      <c r="B25" s="163">
        <v>33617975.07</v>
      </c>
      <c r="C25" s="163">
        <v>112895775.25</v>
      </c>
      <c r="D25" s="165"/>
      <c r="E25" s="163"/>
      <c r="F25" s="164"/>
    </row>
    <row r="26" spans="1:6">
      <c r="A26" s="165" t="s">
        <v>177</v>
      </c>
      <c r="B26" s="163">
        <v>3690459.65</v>
      </c>
      <c r="C26" s="163">
        <v>15163343.15</v>
      </c>
      <c r="D26" s="165"/>
      <c r="E26" s="163"/>
      <c r="F26" s="164"/>
    </row>
    <row r="27" spans="1:6">
      <c r="A27" s="165" t="s">
        <v>165</v>
      </c>
      <c r="B27" s="163">
        <v>132149548.63</v>
      </c>
      <c r="C27" s="163">
        <v>484153608.88</v>
      </c>
      <c r="D27" s="165"/>
      <c r="E27" s="163"/>
      <c r="F27" s="164"/>
    </row>
    <row r="28" spans="1:6">
      <c r="A28" s="165" t="s">
        <v>167</v>
      </c>
      <c r="B28" s="163">
        <v>60457140.740000002</v>
      </c>
      <c r="C28" s="163">
        <v>241810129.28999999</v>
      </c>
      <c r="D28" s="165"/>
      <c r="E28" s="163"/>
      <c r="F28" s="164"/>
    </row>
    <row r="29" spans="1:6">
      <c r="A29" s="165" t="s">
        <v>169</v>
      </c>
      <c r="B29" s="163">
        <v>57797527.140000001</v>
      </c>
      <c r="C29" s="163">
        <v>231279848.12</v>
      </c>
      <c r="D29" s="165"/>
      <c r="E29" s="163"/>
      <c r="F29" s="164"/>
    </row>
    <row r="30" spans="1:6">
      <c r="A30" s="165" t="s">
        <v>171</v>
      </c>
      <c r="B30" s="163">
        <v>2570712.52</v>
      </c>
      <c r="C30" s="163">
        <v>10181708.220000001</v>
      </c>
      <c r="D30" s="176"/>
      <c r="E30" s="163"/>
      <c r="F30" s="164"/>
    </row>
    <row r="31" spans="1:6">
      <c r="A31" s="165" t="s">
        <v>173</v>
      </c>
      <c r="B31" s="163">
        <v>88901.08</v>
      </c>
      <c r="C31" s="163">
        <v>348572.95</v>
      </c>
      <c r="D31" s="176"/>
      <c r="E31" s="163"/>
      <c r="F31" s="164"/>
    </row>
    <row r="32" spans="1:6">
      <c r="A32" s="165" t="s">
        <v>178</v>
      </c>
      <c r="B32" s="163">
        <v>10329858.07</v>
      </c>
      <c r="C32" s="163">
        <v>38027423.659999996</v>
      </c>
      <c r="D32" s="176"/>
      <c r="E32" s="163"/>
      <c r="F32" s="164"/>
    </row>
    <row r="33" spans="1:6">
      <c r="A33" s="177" t="s">
        <v>179</v>
      </c>
      <c r="B33" s="178" t="s">
        <v>180</v>
      </c>
      <c r="C33" s="232" t="s">
        <v>181</v>
      </c>
      <c r="D33" s="232"/>
      <c r="E33" s="178" t="s">
        <v>182</v>
      </c>
      <c r="F33" s="178" t="s">
        <v>183</v>
      </c>
    </row>
    <row r="34" spans="1:6" ht="14.25" customHeight="1">
      <c r="A34" s="226" t="s">
        <v>184</v>
      </c>
      <c r="B34" s="226"/>
      <c r="C34" s="226"/>
      <c r="D34" s="226"/>
      <c r="E34" s="226"/>
      <c r="F34" s="226"/>
    </row>
  </sheetData>
  <mergeCells count="7">
    <mergeCell ref="A34:F34"/>
    <mergeCell ref="A1:F1"/>
    <mergeCell ref="E2:F2"/>
    <mergeCell ref="A3:B3"/>
    <mergeCell ref="C3:D3"/>
    <mergeCell ref="E3:F3"/>
    <mergeCell ref="C33:D33"/>
  </mergeCells>
  <phoneticPr fontId="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1"/>
  <sheetViews>
    <sheetView workbookViewId="0">
      <selection activeCell="B20" activeCellId="1" sqref="B9:B13 B20"/>
    </sheetView>
  </sheetViews>
  <sheetFormatPr defaultRowHeight="14.25"/>
  <cols>
    <col min="1" max="1" width="26.375" customWidth="1"/>
    <col min="2" max="2" width="14.125" bestFit="1" customWidth="1"/>
    <col min="3" max="3" width="16.125" bestFit="1" customWidth="1"/>
    <col min="4" max="4" width="14.125" bestFit="1" customWidth="1"/>
    <col min="5" max="5" width="16.125" bestFit="1" customWidth="1"/>
    <col min="6" max="6" width="13.125" bestFit="1" customWidth="1"/>
    <col min="7" max="7" width="14.125" bestFit="1" customWidth="1"/>
  </cols>
  <sheetData>
    <row r="1" spans="1:7" ht="22.5" customHeight="1">
      <c r="A1" s="213" t="s">
        <v>14</v>
      </c>
      <c r="B1" s="213"/>
      <c r="C1" s="213"/>
      <c r="D1" s="213"/>
      <c r="E1" s="213"/>
      <c r="F1" s="213"/>
      <c r="G1" s="213"/>
    </row>
    <row r="2" spans="1:7">
      <c r="A2" s="169"/>
      <c r="B2" s="169"/>
      <c r="C2" s="169"/>
      <c r="D2" s="169"/>
      <c r="E2" s="169"/>
      <c r="F2" s="221" t="s">
        <v>16</v>
      </c>
      <c r="G2" s="221"/>
    </row>
    <row r="3" spans="1:7" ht="26.25" customHeight="1">
      <c r="A3" s="222" t="s">
        <v>17</v>
      </c>
      <c r="B3" s="222"/>
      <c r="C3" s="233">
        <v>46113</v>
      </c>
      <c r="D3" s="233"/>
      <c r="E3" s="233"/>
      <c r="F3" s="224" t="s">
        <v>18</v>
      </c>
      <c r="G3" s="224"/>
    </row>
    <row r="4" spans="1:7">
      <c r="A4" s="234" t="s">
        <v>470</v>
      </c>
      <c r="B4" s="236" t="s">
        <v>512</v>
      </c>
      <c r="C4" s="237"/>
      <c r="D4" s="236" t="s">
        <v>21</v>
      </c>
      <c r="E4" s="237"/>
      <c r="F4" s="236" t="s">
        <v>22</v>
      </c>
      <c r="G4" s="237"/>
    </row>
    <row r="5" spans="1:7">
      <c r="A5" s="235"/>
      <c r="B5" s="149" t="s">
        <v>23</v>
      </c>
      <c r="C5" s="149" t="s">
        <v>24</v>
      </c>
      <c r="D5" s="149" t="s">
        <v>23</v>
      </c>
      <c r="E5" s="149" t="s">
        <v>24</v>
      </c>
      <c r="F5" s="149" t="s">
        <v>23</v>
      </c>
      <c r="G5" s="149" t="s">
        <v>24</v>
      </c>
    </row>
    <row r="6" spans="1:7">
      <c r="A6" s="149" t="s">
        <v>13</v>
      </c>
      <c r="B6" s="151">
        <v>703180963.40999997</v>
      </c>
      <c r="C6" s="151">
        <v>2756778894.3800001</v>
      </c>
      <c r="D6" s="151">
        <v>662973588.75</v>
      </c>
      <c r="E6" s="151">
        <v>2607405560.54</v>
      </c>
      <c r="F6" s="151">
        <v>40207374.659999996</v>
      </c>
      <c r="G6" s="151">
        <v>149373333.84</v>
      </c>
    </row>
    <row r="7" spans="1:7">
      <c r="A7" s="150" t="s">
        <v>25</v>
      </c>
      <c r="B7" s="151">
        <v>243267109.84</v>
      </c>
      <c r="C7" s="151">
        <v>1046475099.53</v>
      </c>
      <c r="D7" s="151">
        <v>222666244.88999999</v>
      </c>
      <c r="E7" s="151">
        <v>976666810.39999998</v>
      </c>
      <c r="F7" s="151">
        <v>20600864.949999999</v>
      </c>
      <c r="G7" s="151">
        <v>69808289.129999995</v>
      </c>
    </row>
    <row r="8" spans="1:7">
      <c r="A8" s="150" t="s">
        <v>513</v>
      </c>
      <c r="B8" s="151">
        <v>240409860.78999999</v>
      </c>
      <c r="C8" s="151">
        <v>1034674505.38</v>
      </c>
      <c r="D8" s="151">
        <v>222659074.88999999</v>
      </c>
      <c r="E8" s="151">
        <v>976269355.32000005</v>
      </c>
      <c r="F8" s="151">
        <v>17750785.899999999</v>
      </c>
      <c r="G8" s="151">
        <v>58405150.060000002</v>
      </c>
    </row>
    <row r="9" spans="1:7">
      <c r="A9" s="152" t="s">
        <v>514</v>
      </c>
      <c r="B9" s="151">
        <v>28655264.109999999</v>
      </c>
      <c r="C9" s="151">
        <v>115588911.36</v>
      </c>
      <c r="D9" s="151">
        <v>27171050.710000001</v>
      </c>
      <c r="E9" s="151">
        <v>109534041.95999999</v>
      </c>
      <c r="F9" s="151">
        <v>1484213.4</v>
      </c>
      <c r="G9" s="151">
        <v>6054869.4000000004</v>
      </c>
    </row>
    <row r="10" spans="1:7">
      <c r="A10" s="152" t="s">
        <v>515</v>
      </c>
      <c r="B10" s="151">
        <v>4917660.5</v>
      </c>
      <c r="C10" s="151">
        <v>19385015</v>
      </c>
      <c r="D10" s="151">
        <v>4723404</v>
      </c>
      <c r="E10" s="151">
        <v>18621118</v>
      </c>
      <c r="F10" s="151">
        <v>194256.5</v>
      </c>
      <c r="G10" s="151">
        <v>763897</v>
      </c>
    </row>
    <row r="11" spans="1:7">
      <c r="A11" s="152" t="s">
        <v>516</v>
      </c>
      <c r="B11" s="153">
        <v>0</v>
      </c>
      <c r="C11" s="153">
        <v>0</v>
      </c>
      <c r="D11" s="153">
        <v>0</v>
      </c>
      <c r="E11" s="153">
        <v>0</v>
      </c>
      <c r="F11" s="153">
        <v>0</v>
      </c>
      <c r="G11" s="153">
        <v>0</v>
      </c>
    </row>
    <row r="12" spans="1:7">
      <c r="A12" s="152" t="s">
        <v>517</v>
      </c>
      <c r="B12" s="151">
        <v>2608568.2000000002</v>
      </c>
      <c r="C12" s="151">
        <v>10412568.199999999</v>
      </c>
      <c r="D12" s="151">
        <v>2507568.2000000002</v>
      </c>
      <c r="E12" s="151">
        <v>10007068.199999999</v>
      </c>
      <c r="F12" s="151">
        <v>101000</v>
      </c>
      <c r="G12" s="151">
        <v>405500</v>
      </c>
    </row>
    <row r="13" spans="1:7">
      <c r="A13" s="152" t="s">
        <v>518</v>
      </c>
      <c r="B13" s="151">
        <v>157425663.16</v>
      </c>
      <c r="C13" s="151">
        <v>700826527.86000001</v>
      </c>
      <c r="D13" s="151">
        <v>149498229.16</v>
      </c>
      <c r="E13" s="151">
        <v>661806458.20000005</v>
      </c>
      <c r="F13" s="151">
        <v>7927434</v>
      </c>
      <c r="G13" s="151">
        <v>39020069.659999996</v>
      </c>
    </row>
    <row r="14" spans="1:7">
      <c r="A14" s="152" t="s">
        <v>519</v>
      </c>
      <c r="B14" s="151">
        <v>24126632.620000001</v>
      </c>
      <c r="C14" s="151">
        <v>93651811.120000005</v>
      </c>
      <c r="D14" s="151">
        <v>21141762.629999999</v>
      </c>
      <c r="E14" s="151">
        <v>88944648.120000005</v>
      </c>
      <c r="F14" s="151">
        <v>2984869.99</v>
      </c>
      <c r="G14" s="151">
        <v>4707163</v>
      </c>
    </row>
    <row r="15" spans="1:7">
      <c r="A15" s="152" t="s">
        <v>520</v>
      </c>
      <c r="B15" s="151">
        <v>6507510.6799999997</v>
      </c>
      <c r="C15" s="151">
        <v>26157647.48</v>
      </c>
      <c r="D15" s="151">
        <v>5082188.63</v>
      </c>
      <c r="E15" s="151">
        <v>23929952.149999999</v>
      </c>
      <c r="F15" s="151">
        <v>1425322.05</v>
      </c>
      <c r="G15" s="151">
        <v>2227695.33</v>
      </c>
    </row>
    <row r="16" spans="1:7">
      <c r="A16" s="152" t="s">
        <v>521</v>
      </c>
      <c r="B16" s="151">
        <v>6451005.79</v>
      </c>
      <c r="C16" s="151">
        <v>26794680.190000001</v>
      </c>
      <c r="D16" s="151">
        <v>5036549.18</v>
      </c>
      <c r="E16" s="151">
        <v>24586107.300000001</v>
      </c>
      <c r="F16" s="151">
        <v>1414456.61</v>
      </c>
      <c r="G16" s="151">
        <v>2208572.89</v>
      </c>
    </row>
    <row r="17" spans="1:7">
      <c r="A17" s="152" t="s">
        <v>522</v>
      </c>
      <c r="B17" s="151">
        <v>1003934.11</v>
      </c>
      <c r="C17" s="151">
        <v>4155186.29</v>
      </c>
      <c r="D17" s="151">
        <v>895860.25</v>
      </c>
      <c r="E17" s="151">
        <v>3986281.67</v>
      </c>
      <c r="F17" s="151">
        <v>108073.86</v>
      </c>
      <c r="G17" s="151">
        <v>168904.62</v>
      </c>
    </row>
    <row r="18" spans="1:7">
      <c r="A18" s="152" t="s">
        <v>523</v>
      </c>
      <c r="B18" s="151">
        <v>7922502</v>
      </c>
      <c r="C18" s="151">
        <v>33570238</v>
      </c>
      <c r="D18" s="151">
        <v>5830294.5099999998</v>
      </c>
      <c r="E18" s="151">
        <v>30761154.34</v>
      </c>
      <c r="F18" s="151">
        <v>2092207.49</v>
      </c>
      <c r="G18" s="151">
        <v>2809083.66</v>
      </c>
    </row>
    <row r="19" spans="1:7">
      <c r="A19" s="152" t="s">
        <v>524</v>
      </c>
      <c r="B19" s="153">
        <v>0</v>
      </c>
      <c r="C19" s="153">
        <v>0</v>
      </c>
      <c r="D19" s="153">
        <v>0</v>
      </c>
      <c r="E19" s="153">
        <v>0</v>
      </c>
      <c r="F19" s="153">
        <v>0</v>
      </c>
      <c r="G19" s="153">
        <v>0</v>
      </c>
    </row>
    <row r="20" spans="1:7">
      <c r="A20" s="152" t="s">
        <v>525</v>
      </c>
      <c r="B20" s="151">
        <v>791119.62</v>
      </c>
      <c r="C20" s="151">
        <v>4131919.88</v>
      </c>
      <c r="D20" s="151">
        <v>772167.62</v>
      </c>
      <c r="E20" s="151">
        <v>4092525.38</v>
      </c>
      <c r="F20" s="151">
        <v>18952</v>
      </c>
      <c r="G20" s="151">
        <v>39394.5</v>
      </c>
    </row>
    <row r="21" spans="1:7">
      <c r="A21" s="150" t="s">
        <v>526</v>
      </c>
      <c r="B21" s="151">
        <v>2857249.05</v>
      </c>
      <c r="C21" s="151">
        <v>11800594.15</v>
      </c>
      <c r="D21" s="151">
        <v>7170</v>
      </c>
      <c r="E21" s="151">
        <v>397455.08</v>
      </c>
      <c r="F21" s="151">
        <v>2850079.05</v>
      </c>
      <c r="G21" s="151">
        <v>11403139.07</v>
      </c>
    </row>
    <row r="22" spans="1:7">
      <c r="A22" s="152" t="s">
        <v>527</v>
      </c>
      <c r="B22" s="151">
        <v>13083</v>
      </c>
      <c r="C22" s="151">
        <v>72332</v>
      </c>
      <c r="D22" s="153">
        <v>0</v>
      </c>
      <c r="E22" s="153">
        <v>0</v>
      </c>
      <c r="F22" s="151">
        <v>13083</v>
      </c>
      <c r="G22" s="151">
        <v>72332</v>
      </c>
    </row>
    <row r="23" spans="1:7">
      <c r="A23" s="152" t="s">
        <v>528</v>
      </c>
      <c r="B23" s="151">
        <v>2309834</v>
      </c>
      <c r="C23" s="151">
        <v>9226041</v>
      </c>
      <c r="D23" s="153">
        <v>0</v>
      </c>
      <c r="E23" s="153">
        <v>0</v>
      </c>
      <c r="F23" s="151">
        <v>2309834</v>
      </c>
      <c r="G23" s="151">
        <v>9226041</v>
      </c>
    </row>
    <row r="24" spans="1:7">
      <c r="A24" s="152" t="s">
        <v>529</v>
      </c>
      <c r="B24" s="153">
        <v>0</v>
      </c>
      <c r="C24" s="153">
        <v>0</v>
      </c>
      <c r="D24" s="153">
        <v>0</v>
      </c>
      <c r="E24" s="153">
        <v>0</v>
      </c>
      <c r="F24" s="153">
        <v>0</v>
      </c>
      <c r="G24" s="153">
        <v>0</v>
      </c>
    </row>
    <row r="25" spans="1:7">
      <c r="A25" s="152" t="s">
        <v>530</v>
      </c>
      <c r="B25" s="151">
        <v>472249</v>
      </c>
      <c r="C25" s="151">
        <v>1928805</v>
      </c>
      <c r="D25" s="153">
        <v>0</v>
      </c>
      <c r="E25" s="153">
        <v>0</v>
      </c>
      <c r="F25" s="151">
        <v>472249</v>
      </c>
      <c r="G25" s="151">
        <v>1928805</v>
      </c>
    </row>
    <row r="26" spans="1:7">
      <c r="A26" s="152" t="s">
        <v>531</v>
      </c>
      <c r="B26" s="153">
        <v>0</v>
      </c>
      <c r="C26" s="153">
        <v>0</v>
      </c>
      <c r="D26" s="153">
        <v>0</v>
      </c>
      <c r="E26" s="153">
        <v>0</v>
      </c>
      <c r="F26" s="153">
        <v>0</v>
      </c>
      <c r="G26" s="153">
        <v>0</v>
      </c>
    </row>
    <row r="27" spans="1:7">
      <c r="A27" s="152" t="s">
        <v>532</v>
      </c>
      <c r="B27" s="153">
        <v>0</v>
      </c>
      <c r="C27" s="153">
        <v>0</v>
      </c>
      <c r="D27" s="153">
        <v>0</v>
      </c>
      <c r="E27" s="153">
        <v>0</v>
      </c>
      <c r="F27" s="153">
        <v>0</v>
      </c>
      <c r="G27" s="153">
        <v>0</v>
      </c>
    </row>
    <row r="28" spans="1:7">
      <c r="A28" s="152" t="s">
        <v>533</v>
      </c>
      <c r="B28" s="151">
        <v>60633.05</v>
      </c>
      <c r="C28" s="151">
        <v>559616.15</v>
      </c>
      <c r="D28" s="151">
        <v>5720</v>
      </c>
      <c r="E28" s="151">
        <v>384355.08</v>
      </c>
      <c r="F28" s="151">
        <v>54913.05</v>
      </c>
      <c r="G28" s="151">
        <v>175261.07</v>
      </c>
    </row>
    <row r="29" spans="1:7">
      <c r="A29" s="152" t="s">
        <v>534</v>
      </c>
      <c r="B29" s="153">
        <v>0</v>
      </c>
      <c r="C29" s="153">
        <v>0</v>
      </c>
      <c r="D29" s="153">
        <v>0</v>
      </c>
      <c r="E29" s="153">
        <v>0</v>
      </c>
      <c r="F29" s="153">
        <v>0</v>
      </c>
      <c r="G29" s="153">
        <v>0</v>
      </c>
    </row>
    <row r="30" spans="1:7">
      <c r="A30" s="152" t="s">
        <v>535</v>
      </c>
      <c r="B30" s="153">
        <v>0</v>
      </c>
      <c r="C30" s="153">
        <v>0</v>
      </c>
      <c r="D30" s="153">
        <v>0</v>
      </c>
      <c r="E30" s="153">
        <v>0</v>
      </c>
      <c r="F30" s="153">
        <v>0</v>
      </c>
      <c r="G30" s="153">
        <v>0</v>
      </c>
    </row>
    <row r="31" spans="1:7">
      <c r="A31" s="152" t="s">
        <v>536</v>
      </c>
      <c r="B31" s="153">
        <v>0</v>
      </c>
      <c r="C31" s="153">
        <v>0</v>
      </c>
      <c r="D31" s="153">
        <v>0</v>
      </c>
      <c r="E31" s="153">
        <v>0</v>
      </c>
      <c r="F31" s="153">
        <v>0</v>
      </c>
      <c r="G31" s="153">
        <v>0</v>
      </c>
    </row>
    <row r="32" spans="1:7">
      <c r="A32" s="152" t="s">
        <v>537</v>
      </c>
      <c r="B32" s="151">
        <v>1450</v>
      </c>
      <c r="C32" s="151">
        <v>13800</v>
      </c>
      <c r="D32" s="151">
        <v>1450</v>
      </c>
      <c r="E32" s="151">
        <v>13100</v>
      </c>
      <c r="F32" s="153">
        <v>0</v>
      </c>
      <c r="G32" s="153">
        <v>700</v>
      </c>
    </row>
    <row r="33" spans="1:7">
      <c r="A33" s="150" t="s">
        <v>51</v>
      </c>
      <c r="B33" s="151">
        <v>224000930.81999999</v>
      </c>
      <c r="C33" s="151">
        <v>838449791.14999998</v>
      </c>
      <c r="D33" s="151">
        <v>224158972.72</v>
      </c>
      <c r="E33" s="151">
        <v>836474006.48000002</v>
      </c>
      <c r="F33" s="151">
        <v>-158041.9</v>
      </c>
      <c r="G33" s="151">
        <v>1975784.67</v>
      </c>
    </row>
    <row r="34" spans="1:7">
      <c r="A34" s="152" t="s">
        <v>538</v>
      </c>
      <c r="B34" s="153">
        <v>0</v>
      </c>
      <c r="C34" s="151">
        <v>2368765</v>
      </c>
      <c r="D34" s="153">
        <v>0</v>
      </c>
      <c r="E34" s="151">
        <v>2368765</v>
      </c>
      <c r="F34" s="153"/>
      <c r="G34" s="153"/>
    </row>
    <row r="35" spans="1:7">
      <c r="A35" s="152" t="s">
        <v>539</v>
      </c>
      <c r="B35" s="153">
        <v>360</v>
      </c>
      <c r="C35" s="151">
        <v>1705260</v>
      </c>
      <c r="D35" s="153">
        <v>360</v>
      </c>
      <c r="E35" s="151">
        <v>1705260</v>
      </c>
      <c r="F35" s="153"/>
      <c r="G35" s="153"/>
    </row>
    <row r="36" spans="1:7">
      <c r="A36" s="152" t="s">
        <v>540</v>
      </c>
      <c r="B36" s="151">
        <v>76000</v>
      </c>
      <c r="C36" s="151">
        <v>329250</v>
      </c>
      <c r="D36" s="151">
        <v>76000</v>
      </c>
      <c r="E36" s="151">
        <v>329250</v>
      </c>
      <c r="F36" s="153"/>
      <c r="G36" s="153"/>
    </row>
    <row r="37" spans="1:7">
      <c r="A37" s="152" t="s">
        <v>541</v>
      </c>
      <c r="B37" s="151">
        <v>25583417.27</v>
      </c>
      <c r="C37" s="151">
        <v>100975502.87</v>
      </c>
      <c r="D37" s="151">
        <v>25583417.27</v>
      </c>
      <c r="E37" s="151">
        <v>100975502.87</v>
      </c>
      <c r="F37" s="153"/>
      <c r="G37" s="153"/>
    </row>
    <row r="38" spans="1:7">
      <c r="A38" s="152" t="s">
        <v>542</v>
      </c>
      <c r="B38" s="151">
        <v>188832079.96000001</v>
      </c>
      <c r="C38" s="151">
        <v>694441425.84000003</v>
      </c>
      <c r="D38" s="151">
        <v>188832079.96000001</v>
      </c>
      <c r="E38" s="151">
        <v>694441425.84000003</v>
      </c>
      <c r="F38" s="153"/>
      <c r="G38" s="153"/>
    </row>
    <row r="39" spans="1:7">
      <c r="A39" s="152" t="s">
        <v>543</v>
      </c>
      <c r="B39" s="151">
        <v>16257080.76</v>
      </c>
      <c r="C39" s="151">
        <v>59544969.960000001</v>
      </c>
      <c r="D39" s="151">
        <v>16257080.76</v>
      </c>
      <c r="E39" s="151">
        <v>59544969.960000001</v>
      </c>
      <c r="F39" s="153"/>
      <c r="G39" s="153"/>
    </row>
    <row r="40" spans="1:7">
      <c r="A40" s="152" t="s">
        <v>544</v>
      </c>
      <c r="B40" s="151">
        <v>66565730.649999999</v>
      </c>
      <c r="C40" s="151">
        <v>227456556.03999999</v>
      </c>
      <c r="D40" s="151">
        <v>66565730.649999999</v>
      </c>
      <c r="E40" s="151">
        <v>227456556.03999999</v>
      </c>
      <c r="F40" s="153"/>
      <c r="G40" s="153"/>
    </row>
    <row r="41" spans="1:7">
      <c r="A41" s="152" t="s">
        <v>545</v>
      </c>
      <c r="B41" s="151">
        <v>67348474.159999996</v>
      </c>
      <c r="C41" s="151">
        <v>237040488.31</v>
      </c>
      <c r="D41" s="151">
        <v>67348474.159999996</v>
      </c>
      <c r="E41" s="151">
        <v>237040488.31</v>
      </c>
      <c r="F41" s="153"/>
      <c r="G41" s="153"/>
    </row>
    <row r="42" spans="1:7">
      <c r="A42" s="152" t="s">
        <v>546</v>
      </c>
      <c r="B42" s="151">
        <v>18825796.109999999</v>
      </c>
      <c r="C42" s="151">
        <v>78335924.370000005</v>
      </c>
      <c r="D42" s="151">
        <v>18825796.109999999</v>
      </c>
      <c r="E42" s="151">
        <v>78335924.370000005</v>
      </c>
      <c r="F42" s="153"/>
      <c r="G42" s="153"/>
    </row>
    <row r="43" spans="1:7">
      <c r="A43" s="152" t="s">
        <v>547</v>
      </c>
      <c r="B43" s="151">
        <v>163112</v>
      </c>
      <c r="C43" s="151">
        <v>1068740.7</v>
      </c>
      <c r="D43" s="151">
        <v>163112</v>
      </c>
      <c r="E43" s="151">
        <v>1068740.7</v>
      </c>
      <c r="F43" s="153"/>
      <c r="G43" s="153"/>
    </row>
    <row r="44" spans="1:7">
      <c r="A44" s="152" t="s">
        <v>548</v>
      </c>
      <c r="B44" s="151">
        <v>19671886.280000001</v>
      </c>
      <c r="C44" s="151">
        <v>90994746.459999993</v>
      </c>
      <c r="D44" s="151">
        <v>19671886.280000001</v>
      </c>
      <c r="E44" s="151">
        <v>90994746.459999993</v>
      </c>
      <c r="F44" s="153"/>
      <c r="G44" s="153"/>
    </row>
    <row r="45" spans="1:7">
      <c r="A45" s="152" t="s">
        <v>549</v>
      </c>
      <c r="B45" s="151">
        <v>7640633.5599999996</v>
      </c>
      <c r="C45" s="151">
        <v>26695933.77</v>
      </c>
      <c r="D45" s="151">
        <v>7640633.5599999996</v>
      </c>
      <c r="E45" s="151">
        <v>26695933.77</v>
      </c>
      <c r="F45" s="153"/>
      <c r="G45" s="153"/>
    </row>
    <row r="46" spans="1:7">
      <c r="A46" s="152" t="s">
        <v>550</v>
      </c>
      <c r="B46" s="151">
        <v>1868440.03</v>
      </c>
      <c r="C46" s="151">
        <v>11933653.67</v>
      </c>
      <c r="D46" s="151">
        <v>2026481.93</v>
      </c>
      <c r="E46" s="151">
        <v>9957869</v>
      </c>
      <c r="F46" s="151">
        <v>-158041.9</v>
      </c>
      <c r="G46" s="151">
        <v>1975784.67</v>
      </c>
    </row>
    <row r="47" spans="1:7">
      <c r="A47" s="150" t="s">
        <v>65</v>
      </c>
      <c r="B47" s="151">
        <v>164947765.31</v>
      </c>
      <c r="C47" s="151">
        <v>609745326.14999998</v>
      </c>
      <c r="D47" s="151">
        <v>164947765.31</v>
      </c>
      <c r="E47" s="151">
        <v>609745326.14999998</v>
      </c>
      <c r="F47" s="153">
        <v>0</v>
      </c>
      <c r="G47" s="153">
        <v>0</v>
      </c>
    </row>
    <row r="48" spans="1:7">
      <c r="A48" s="152" t="s">
        <v>551</v>
      </c>
      <c r="B48" s="151">
        <v>152670608</v>
      </c>
      <c r="C48" s="151">
        <v>563751083.11000001</v>
      </c>
      <c r="D48" s="151">
        <v>152670608</v>
      </c>
      <c r="E48" s="151">
        <v>563751083.11000001</v>
      </c>
      <c r="F48" s="153">
        <v>0</v>
      </c>
      <c r="G48" s="153">
        <v>0</v>
      </c>
    </row>
    <row r="49" spans="1:7">
      <c r="A49" s="152" t="s">
        <v>552</v>
      </c>
      <c r="B49" s="151">
        <v>10127483.9</v>
      </c>
      <c r="C49" s="151">
        <v>38015482.719999999</v>
      </c>
      <c r="D49" s="151">
        <v>10127483.9</v>
      </c>
      <c r="E49" s="151">
        <v>38015482.719999999</v>
      </c>
      <c r="F49" s="153"/>
      <c r="G49" s="153"/>
    </row>
    <row r="50" spans="1:7">
      <c r="A50" s="152" t="s">
        <v>553</v>
      </c>
      <c r="B50" s="151">
        <v>2149673.41</v>
      </c>
      <c r="C50" s="151">
        <v>7978760.3200000003</v>
      </c>
      <c r="D50" s="151">
        <v>2149673.41</v>
      </c>
      <c r="E50" s="151">
        <v>7978760.3200000003</v>
      </c>
      <c r="F50" s="153"/>
      <c r="G50" s="153"/>
    </row>
    <row r="51" spans="1:7">
      <c r="A51" s="150" t="s">
        <v>69</v>
      </c>
      <c r="B51" s="151">
        <v>9584839.3699999992</v>
      </c>
      <c r="C51" s="151">
        <v>37679770.189999998</v>
      </c>
      <c r="D51" s="151">
        <v>9168950.7300000004</v>
      </c>
      <c r="E51" s="151">
        <v>35985938.469999999</v>
      </c>
      <c r="F51" s="151">
        <v>415888.64000000001</v>
      </c>
      <c r="G51" s="151">
        <v>1693831.72</v>
      </c>
    </row>
    <row r="52" spans="1:7">
      <c r="A52" s="150" t="s">
        <v>70</v>
      </c>
      <c r="B52" s="151">
        <v>1621505.89</v>
      </c>
      <c r="C52" s="151">
        <v>6547097.4400000004</v>
      </c>
      <c r="D52" s="151">
        <v>1543494.46</v>
      </c>
      <c r="E52" s="151">
        <v>6235051.7199999997</v>
      </c>
      <c r="F52" s="151">
        <v>78011.429999999993</v>
      </c>
      <c r="G52" s="151">
        <v>312045.71999999997</v>
      </c>
    </row>
    <row r="53" spans="1:7">
      <c r="A53" s="150" t="s">
        <v>71</v>
      </c>
      <c r="B53" s="151">
        <v>1026089.32</v>
      </c>
      <c r="C53" s="151">
        <v>3646195.43</v>
      </c>
      <c r="D53" s="151">
        <v>1026089.32</v>
      </c>
      <c r="E53" s="151">
        <v>3646195.43</v>
      </c>
      <c r="F53" s="153"/>
      <c r="G53" s="153"/>
    </row>
    <row r="54" spans="1:7">
      <c r="A54" s="150" t="s">
        <v>72</v>
      </c>
      <c r="B54" s="151">
        <v>58732722.859999999</v>
      </c>
      <c r="C54" s="151">
        <v>214235614.49000001</v>
      </c>
      <c r="D54" s="151">
        <v>39462071.32</v>
      </c>
      <c r="E54" s="151">
        <v>138652231.88999999</v>
      </c>
      <c r="F54" s="151">
        <v>19270651.539999999</v>
      </c>
      <c r="G54" s="151">
        <v>75583382.599999994</v>
      </c>
    </row>
    <row r="55" spans="1:7">
      <c r="A55" s="152" t="s">
        <v>554</v>
      </c>
      <c r="B55" s="153">
        <v>0</v>
      </c>
      <c r="C55" s="153">
        <v>0</v>
      </c>
      <c r="D55" s="153">
        <v>0</v>
      </c>
      <c r="E55" s="153">
        <v>0</v>
      </c>
      <c r="F55" s="153">
        <v>0</v>
      </c>
      <c r="G55" s="153">
        <v>0</v>
      </c>
    </row>
    <row r="56" spans="1:7">
      <c r="A56" s="152" t="s">
        <v>555</v>
      </c>
      <c r="B56" s="151">
        <v>480804.29</v>
      </c>
      <c r="C56" s="151">
        <v>1263105.17</v>
      </c>
      <c r="D56" s="151">
        <v>479876.52</v>
      </c>
      <c r="E56" s="151">
        <v>1252466.8400000001</v>
      </c>
      <c r="F56" s="153">
        <v>927.77</v>
      </c>
      <c r="G56" s="151">
        <v>10638.33</v>
      </c>
    </row>
    <row r="57" spans="1:7">
      <c r="A57" s="152" t="s">
        <v>556</v>
      </c>
      <c r="B57" s="153">
        <v>0</v>
      </c>
      <c r="C57" s="153">
        <v>0</v>
      </c>
      <c r="D57" s="153">
        <v>0</v>
      </c>
      <c r="E57" s="153">
        <v>0</v>
      </c>
      <c r="F57" s="153">
        <v>0</v>
      </c>
      <c r="G57" s="153">
        <v>0</v>
      </c>
    </row>
    <row r="58" spans="1:7">
      <c r="A58" s="152" t="s">
        <v>557</v>
      </c>
      <c r="B58" s="153">
        <v>0</v>
      </c>
      <c r="C58" s="153">
        <v>0</v>
      </c>
      <c r="D58" s="153">
        <v>0</v>
      </c>
      <c r="E58" s="153">
        <v>0</v>
      </c>
      <c r="F58" s="153">
        <v>0</v>
      </c>
      <c r="G58" s="153">
        <v>0</v>
      </c>
    </row>
    <row r="59" spans="1:7">
      <c r="A59" s="152" t="s">
        <v>558</v>
      </c>
      <c r="B59" s="151">
        <v>609232.87</v>
      </c>
      <c r="C59" s="151">
        <v>2670747.2999999998</v>
      </c>
      <c r="D59" s="151">
        <v>510899.11</v>
      </c>
      <c r="E59" s="151">
        <v>1875922.82</v>
      </c>
      <c r="F59" s="151">
        <v>98333.759999999995</v>
      </c>
      <c r="G59" s="151">
        <v>794824.48</v>
      </c>
    </row>
    <row r="60" spans="1:7">
      <c r="A60" s="152" t="s">
        <v>187</v>
      </c>
      <c r="B60" s="151">
        <v>3382958.49</v>
      </c>
      <c r="C60" s="151">
        <v>15157842.68</v>
      </c>
      <c r="D60" s="151">
        <v>2325116.61</v>
      </c>
      <c r="E60" s="151">
        <v>13517921.720000001</v>
      </c>
      <c r="F60" s="151">
        <v>1057841.8799999999</v>
      </c>
      <c r="G60" s="151">
        <v>1639920.96</v>
      </c>
    </row>
    <row r="61" spans="1:7">
      <c r="A61" s="152" t="s">
        <v>559</v>
      </c>
      <c r="B61" s="151">
        <v>691783.57</v>
      </c>
      <c r="C61" s="151">
        <v>1450866.85</v>
      </c>
      <c r="D61" s="151">
        <v>633253.39</v>
      </c>
      <c r="E61" s="151">
        <v>983211.1</v>
      </c>
      <c r="F61" s="151">
        <v>58530.18</v>
      </c>
      <c r="G61" s="151">
        <v>467655.75</v>
      </c>
    </row>
    <row r="62" spans="1:7">
      <c r="A62" s="152" t="s">
        <v>560</v>
      </c>
      <c r="B62" s="153">
        <v>0</v>
      </c>
      <c r="C62" s="153">
        <v>0</v>
      </c>
      <c r="D62" s="153">
        <v>0</v>
      </c>
      <c r="E62" s="153">
        <v>0</v>
      </c>
      <c r="F62" s="153">
        <v>0</v>
      </c>
      <c r="G62" s="153">
        <v>0</v>
      </c>
    </row>
    <row r="63" spans="1:7">
      <c r="A63" s="152" t="s">
        <v>436</v>
      </c>
      <c r="B63" s="151">
        <v>10461054.66</v>
      </c>
      <c r="C63" s="151">
        <v>41762225.57</v>
      </c>
      <c r="D63" s="151">
        <v>5832991.1299999999</v>
      </c>
      <c r="E63" s="151">
        <v>35902606.130000003</v>
      </c>
      <c r="F63" s="151">
        <v>4628063.53</v>
      </c>
      <c r="G63" s="151">
        <v>5859619.4400000004</v>
      </c>
    </row>
    <row r="64" spans="1:7">
      <c r="A64" s="152" t="s">
        <v>561</v>
      </c>
      <c r="B64" s="151">
        <v>153904.28</v>
      </c>
      <c r="C64" s="151">
        <v>583827.03</v>
      </c>
      <c r="D64" s="151">
        <v>84140.36</v>
      </c>
      <c r="E64" s="151">
        <v>391406.14</v>
      </c>
      <c r="F64" s="151">
        <v>69763.92</v>
      </c>
      <c r="G64" s="151">
        <v>192420.89</v>
      </c>
    </row>
    <row r="65" spans="1:7">
      <c r="A65" s="152" t="s">
        <v>562</v>
      </c>
      <c r="B65" s="151">
        <v>92347.11</v>
      </c>
      <c r="C65" s="151">
        <v>374588.6</v>
      </c>
      <c r="D65" s="151">
        <v>92347.11</v>
      </c>
      <c r="E65" s="151">
        <v>305345.06</v>
      </c>
      <c r="F65" s="153">
        <v>0</v>
      </c>
      <c r="G65" s="151">
        <v>69243.539999999994</v>
      </c>
    </row>
    <row r="66" spans="1:7">
      <c r="A66" s="152" t="s">
        <v>563</v>
      </c>
      <c r="B66" s="151">
        <v>7233508</v>
      </c>
      <c r="C66" s="151">
        <v>42761543.670000002</v>
      </c>
      <c r="D66" s="151">
        <v>3664502.7</v>
      </c>
      <c r="E66" s="151">
        <v>18666296.199999999</v>
      </c>
      <c r="F66" s="151">
        <v>3569005.3</v>
      </c>
      <c r="G66" s="151">
        <v>24095247.469999999</v>
      </c>
    </row>
    <row r="67" spans="1:7">
      <c r="A67" s="152" t="s">
        <v>564</v>
      </c>
      <c r="B67" s="151">
        <v>3719993.04</v>
      </c>
      <c r="C67" s="151">
        <v>14690742.16</v>
      </c>
      <c r="D67" s="153">
        <v>0</v>
      </c>
      <c r="E67" s="151">
        <v>-203820</v>
      </c>
      <c r="F67" s="151">
        <v>3719993.04</v>
      </c>
      <c r="G67" s="151">
        <v>14894562.16</v>
      </c>
    </row>
    <row r="68" spans="1:7">
      <c r="A68" s="152" t="s">
        <v>565</v>
      </c>
      <c r="B68" s="151">
        <v>6086</v>
      </c>
      <c r="C68" s="151">
        <v>41742.97</v>
      </c>
      <c r="D68" s="153">
        <v>90</v>
      </c>
      <c r="E68" s="151">
        <v>25202.09</v>
      </c>
      <c r="F68" s="151">
        <v>5996</v>
      </c>
      <c r="G68" s="151">
        <v>16540.88</v>
      </c>
    </row>
    <row r="69" spans="1:7">
      <c r="A69" s="152" t="s">
        <v>566</v>
      </c>
      <c r="B69" s="151">
        <v>14600</v>
      </c>
      <c r="C69" s="151">
        <v>148567</v>
      </c>
      <c r="D69" s="151">
        <v>14600</v>
      </c>
      <c r="E69" s="151">
        <v>129687</v>
      </c>
      <c r="F69" s="153">
        <v>0</v>
      </c>
      <c r="G69" s="151">
        <v>18880</v>
      </c>
    </row>
    <row r="70" spans="1:7">
      <c r="A70" s="152" t="s">
        <v>567</v>
      </c>
      <c r="B70" s="151">
        <v>7005</v>
      </c>
      <c r="C70" s="151">
        <v>6565</v>
      </c>
      <c r="D70" s="153">
        <v>0</v>
      </c>
      <c r="E70" s="153">
        <v>500</v>
      </c>
      <c r="F70" s="151">
        <v>7005</v>
      </c>
      <c r="G70" s="151">
        <v>6065</v>
      </c>
    </row>
    <row r="71" spans="1:7">
      <c r="A71" s="152" t="s">
        <v>568</v>
      </c>
      <c r="B71" s="151">
        <v>1488678.13</v>
      </c>
      <c r="C71" s="151">
        <v>4007032.08</v>
      </c>
      <c r="D71" s="151">
        <v>1168284.3</v>
      </c>
      <c r="E71" s="151">
        <v>3422959.63</v>
      </c>
      <c r="F71" s="151">
        <v>320393.83</v>
      </c>
      <c r="G71" s="151">
        <v>584072.44999999995</v>
      </c>
    </row>
    <row r="72" spans="1:7">
      <c r="A72" s="152" t="s">
        <v>188</v>
      </c>
      <c r="B72" s="151">
        <v>621135.9</v>
      </c>
      <c r="C72" s="151">
        <v>8086085.1600000001</v>
      </c>
      <c r="D72" s="151">
        <v>301018.52</v>
      </c>
      <c r="E72" s="151">
        <v>6267358.2800000003</v>
      </c>
      <c r="F72" s="151">
        <v>320117.38</v>
      </c>
      <c r="G72" s="151">
        <v>1818726.88</v>
      </c>
    </row>
    <row r="73" spans="1:7">
      <c r="A73" s="152" t="s">
        <v>569</v>
      </c>
      <c r="B73" s="151">
        <v>5839546.0700000003</v>
      </c>
      <c r="C73" s="151">
        <v>19601061.219999999</v>
      </c>
      <c r="D73" s="151">
        <v>2841884.46</v>
      </c>
      <c r="E73" s="151">
        <v>10895262.140000001</v>
      </c>
      <c r="F73" s="151">
        <v>2997661.61</v>
      </c>
      <c r="G73" s="151">
        <v>8705799.0800000001</v>
      </c>
    </row>
    <row r="74" spans="1:7">
      <c r="A74" s="152" t="s">
        <v>570</v>
      </c>
      <c r="B74" s="151">
        <v>10937147.35</v>
      </c>
      <c r="C74" s="151">
        <v>18639152.079999998</v>
      </c>
      <c r="D74" s="151">
        <v>10610589.35</v>
      </c>
      <c r="E74" s="151">
        <v>18086225.620000001</v>
      </c>
      <c r="F74" s="151">
        <v>326558</v>
      </c>
      <c r="G74" s="151">
        <v>552926.46</v>
      </c>
    </row>
    <row r="75" spans="1:7">
      <c r="A75" s="152" t="s">
        <v>571</v>
      </c>
      <c r="B75" s="151">
        <v>1287750</v>
      </c>
      <c r="C75" s="151">
        <v>5157000</v>
      </c>
      <c r="D75" s="153">
        <v>0</v>
      </c>
      <c r="E75" s="153">
        <v>0</v>
      </c>
      <c r="F75" s="151">
        <v>1287750</v>
      </c>
      <c r="G75" s="151">
        <v>5157000</v>
      </c>
    </row>
    <row r="76" spans="1:7">
      <c r="A76" s="152" t="s">
        <v>572</v>
      </c>
      <c r="B76" s="153">
        <v>0</v>
      </c>
      <c r="C76" s="153">
        <v>0</v>
      </c>
      <c r="D76" s="153">
        <v>0</v>
      </c>
      <c r="E76" s="153">
        <v>0</v>
      </c>
      <c r="F76" s="153">
        <v>0</v>
      </c>
      <c r="G76" s="153">
        <v>0</v>
      </c>
    </row>
    <row r="77" spans="1:7">
      <c r="A77" s="152" t="s">
        <v>573</v>
      </c>
      <c r="B77" s="151">
        <v>1127.33</v>
      </c>
      <c r="C77" s="151">
        <v>8087.55</v>
      </c>
      <c r="D77" s="153">
        <v>0</v>
      </c>
      <c r="E77" s="153">
        <v>0</v>
      </c>
      <c r="F77" s="151">
        <v>1127.33</v>
      </c>
      <c r="G77" s="151">
        <v>8087.55</v>
      </c>
    </row>
    <row r="78" spans="1:7">
      <c r="A78" s="152" t="s">
        <v>574</v>
      </c>
      <c r="B78" s="151">
        <v>44969.599999999999</v>
      </c>
      <c r="C78" s="151">
        <v>148769.54999999999</v>
      </c>
      <c r="D78" s="153">
        <v>0</v>
      </c>
      <c r="E78" s="153">
        <v>0</v>
      </c>
      <c r="F78" s="151">
        <v>44969.599999999999</v>
      </c>
      <c r="G78" s="151">
        <v>148769.54999999999</v>
      </c>
    </row>
    <row r="79" spans="1:7">
      <c r="A79" s="152" t="s">
        <v>575</v>
      </c>
      <c r="B79" s="151">
        <v>11659091.17</v>
      </c>
      <c r="C79" s="151">
        <v>37676062.850000001</v>
      </c>
      <c r="D79" s="151">
        <v>10902477.76</v>
      </c>
      <c r="E79" s="151">
        <v>27133681.120000001</v>
      </c>
      <c r="F79" s="151">
        <v>756613.41</v>
      </c>
      <c r="G79" s="151">
        <v>10542381.73</v>
      </c>
    </row>
    <row r="80" spans="1:7" ht="14.25" customHeight="1">
      <c r="A80" s="214" t="s">
        <v>576</v>
      </c>
      <c r="B80" s="214"/>
      <c r="C80" s="214"/>
      <c r="D80" s="214"/>
      <c r="E80" s="214"/>
      <c r="F80" s="214"/>
      <c r="G80" s="214"/>
    </row>
    <row r="81" spans="1:7" ht="14.25" customHeight="1">
      <c r="A81" s="219" t="s">
        <v>99</v>
      </c>
      <c r="B81" s="219"/>
      <c r="C81" s="219"/>
      <c r="D81" s="219"/>
      <c r="E81" s="219"/>
      <c r="F81" s="219"/>
      <c r="G81" s="219"/>
    </row>
  </sheetData>
  <mergeCells count="11">
    <mergeCell ref="A80:G80"/>
    <mergeCell ref="A81:G81"/>
    <mergeCell ref="A1:G1"/>
    <mergeCell ref="F2:G2"/>
    <mergeCell ref="A3:B3"/>
    <mergeCell ref="C3:E3"/>
    <mergeCell ref="F3:G3"/>
    <mergeCell ref="A4:A5"/>
    <mergeCell ref="B4:C4"/>
    <mergeCell ref="D4:E4"/>
    <mergeCell ref="F4:G4"/>
  </mergeCells>
  <phoneticPr fontId="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1"/>
  <sheetViews>
    <sheetView workbookViewId="0">
      <selection sqref="A1:G81"/>
    </sheetView>
  </sheetViews>
  <sheetFormatPr defaultRowHeight="14.25"/>
  <cols>
    <col min="1" max="1" width="30.125" bestFit="1" customWidth="1"/>
    <col min="2" max="2" width="14.125" bestFit="1" customWidth="1"/>
    <col min="3" max="3" width="16.125" bestFit="1" customWidth="1"/>
    <col min="4" max="4" width="14.125" bestFit="1" customWidth="1"/>
    <col min="5" max="5" width="16.125" bestFit="1" customWidth="1"/>
    <col min="6" max="6" width="13.125" bestFit="1" customWidth="1"/>
    <col min="7" max="7" width="14.125" bestFit="1" customWidth="1"/>
  </cols>
  <sheetData>
    <row r="1" spans="1:7" ht="22.5">
      <c r="A1" s="216" t="s">
        <v>14</v>
      </c>
      <c r="B1" s="216"/>
      <c r="C1" s="216"/>
      <c r="D1" s="216"/>
      <c r="E1" s="216"/>
      <c r="F1" s="216"/>
      <c r="G1" s="216"/>
    </row>
    <row r="2" spans="1:7">
      <c r="A2" s="171"/>
      <c r="B2" s="171"/>
      <c r="C2" s="171"/>
      <c r="D2" s="171"/>
      <c r="E2" s="171"/>
      <c r="F2" s="228" t="s">
        <v>16</v>
      </c>
      <c r="G2" s="228"/>
    </row>
    <row r="3" spans="1:7">
      <c r="A3" s="229" t="s">
        <v>17</v>
      </c>
      <c r="B3" s="229"/>
      <c r="C3" s="229" t="s">
        <v>486</v>
      </c>
      <c r="D3" s="229"/>
      <c r="E3" s="229"/>
      <c r="F3" s="239" t="s">
        <v>18</v>
      </c>
      <c r="G3" s="239"/>
    </row>
    <row r="4" spans="1:7">
      <c r="A4" s="240" t="s">
        <v>19</v>
      </c>
      <c r="B4" s="242" t="s">
        <v>20</v>
      </c>
      <c r="C4" s="243"/>
      <c r="D4" s="242" t="s">
        <v>21</v>
      </c>
      <c r="E4" s="243"/>
      <c r="F4" s="242" t="s">
        <v>22</v>
      </c>
      <c r="G4" s="243"/>
    </row>
    <row r="5" spans="1:7">
      <c r="A5" s="241"/>
      <c r="B5" s="174" t="s">
        <v>23</v>
      </c>
      <c r="C5" s="174" t="s">
        <v>24</v>
      </c>
      <c r="D5" s="174" t="s">
        <v>23</v>
      </c>
      <c r="E5" s="174" t="s">
        <v>24</v>
      </c>
      <c r="F5" s="174" t="s">
        <v>23</v>
      </c>
      <c r="G5" s="179" t="s">
        <v>24</v>
      </c>
    </row>
    <row r="6" spans="1:7">
      <c r="A6" s="160" t="s">
        <v>13</v>
      </c>
      <c r="B6" s="180">
        <f t="shared" ref="B6:B37" si="0">D6+F6</f>
        <v>576160505.86999989</v>
      </c>
      <c r="C6" s="180">
        <f t="shared" ref="C6:C37" si="1">E6+G6</f>
        <v>2241965800.1300001</v>
      </c>
      <c r="D6" s="180">
        <f>D7+D33+D47+D51+D52+D53+D54</f>
        <v>537572523.82999992</v>
      </c>
      <c r="E6" s="180">
        <f>E7+E33+E47+E51+E52+E53+E54</f>
        <v>2052884050.4800003</v>
      </c>
      <c r="F6" s="180">
        <f>F7+F33+F47+F51+F52+F54</f>
        <v>38587982.039999999</v>
      </c>
      <c r="G6" s="181">
        <f>G7+G33+G47+G51+G52+G54</f>
        <v>189081749.65000001</v>
      </c>
    </row>
    <row r="7" spans="1:7">
      <c r="A7" s="162" t="s">
        <v>25</v>
      </c>
      <c r="B7" s="180">
        <f t="shared" si="0"/>
        <v>215789005.22000003</v>
      </c>
      <c r="C7" s="180">
        <f t="shared" si="1"/>
        <v>906524436.41999996</v>
      </c>
      <c r="D7" s="180">
        <f>D8+D21</f>
        <v>195359603.39000002</v>
      </c>
      <c r="E7" s="180">
        <f>E8+E21</f>
        <v>807802533.51999998</v>
      </c>
      <c r="F7" s="180">
        <f>F8+F21</f>
        <v>20429401.829999998</v>
      </c>
      <c r="G7" s="181">
        <f>G8+G21</f>
        <v>98721902.900000006</v>
      </c>
    </row>
    <row r="8" spans="1:7">
      <c r="A8" s="162" t="s">
        <v>26</v>
      </c>
      <c r="B8" s="180">
        <f t="shared" si="0"/>
        <v>212880258.59</v>
      </c>
      <c r="C8" s="180">
        <f t="shared" si="1"/>
        <v>895672826.14999998</v>
      </c>
      <c r="D8" s="180">
        <f>SUM(D9:D20)</f>
        <v>195216503.64000002</v>
      </c>
      <c r="E8" s="180">
        <f>SUM(E9:E20)</f>
        <v>807210953.67999995</v>
      </c>
      <c r="F8" s="180">
        <f>SUM(F9:F20)</f>
        <v>17663754.949999999</v>
      </c>
      <c r="G8" s="181">
        <f>SUM(G9:G20)</f>
        <v>88461872.469999999</v>
      </c>
    </row>
    <row r="9" spans="1:7">
      <c r="A9" s="165" t="s">
        <v>27</v>
      </c>
      <c r="B9" s="180">
        <f t="shared" si="0"/>
        <v>29106827.449999999</v>
      </c>
      <c r="C9" s="180">
        <f t="shared" si="1"/>
        <v>119201455.5</v>
      </c>
      <c r="D9" s="180">
        <v>26342612.449999999</v>
      </c>
      <c r="E9" s="180">
        <v>107807754.7</v>
      </c>
      <c r="F9" s="180">
        <v>2764215</v>
      </c>
      <c r="G9" s="181">
        <v>11393700.800000001</v>
      </c>
    </row>
    <row r="10" spans="1:7">
      <c r="A10" s="165" t="s">
        <v>28</v>
      </c>
      <c r="B10" s="180">
        <f t="shared" si="0"/>
        <v>4284096.5</v>
      </c>
      <c r="C10" s="180">
        <f t="shared" si="1"/>
        <v>16894266</v>
      </c>
      <c r="D10" s="180">
        <v>3989494</v>
      </c>
      <c r="E10" s="180">
        <v>15750928</v>
      </c>
      <c r="F10" s="180">
        <v>294602.5</v>
      </c>
      <c r="G10" s="181">
        <v>1143338</v>
      </c>
    </row>
    <row r="11" spans="1:7">
      <c r="A11" s="165" t="s">
        <v>29</v>
      </c>
      <c r="B11" s="180">
        <f t="shared" si="0"/>
        <v>0</v>
      </c>
      <c r="C11" s="180">
        <f t="shared" si="1"/>
        <v>0</v>
      </c>
      <c r="D11" s="180">
        <v>0</v>
      </c>
      <c r="E11" s="180">
        <v>0</v>
      </c>
      <c r="F11" s="180">
        <v>0</v>
      </c>
      <c r="G11" s="181">
        <v>0</v>
      </c>
    </row>
    <row r="12" spans="1:7">
      <c r="A12" s="165" t="s">
        <v>30</v>
      </c>
      <c r="B12" s="180">
        <f t="shared" si="0"/>
        <v>2442500</v>
      </c>
      <c r="C12" s="180">
        <f t="shared" si="1"/>
        <v>9746880.6600000001</v>
      </c>
      <c r="D12" s="180">
        <v>2272500</v>
      </c>
      <c r="E12" s="180">
        <v>9062880.6600000001</v>
      </c>
      <c r="F12" s="180">
        <v>170000</v>
      </c>
      <c r="G12" s="181">
        <v>684000</v>
      </c>
    </row>
    <row r="13" spans="1:7">
      <c r="A13" s="165" t="s">
        <v>31</v>
      </c>
      <c r="B13" s="180">
        <f t="shared" si="0"/>
        <v>131701310.88</v>
      </c>
      <c r="C13" s="180">
        <f t="shared" si="1"/>
        <v>575915056.45000005</v>
      </c>
      <c r="D13" s="180">
        <v>119843094.92</v>
      </c>
      <c r="E13" s="180">
        <v>521010526.80000001</v>
      </c>
      <c r="F13" s="180">
        <v>11858215.960000001</v>
      </c>
      <c r="G13" s="181">
        <v>54904529.649999999</v>
      </c>
    </row>
    <row r="14" spans="1:7">
      <c r="A14" s="165" t="s">
        <v>32</v>
      </c>
      <c r="B14" s="180">
        <f t="shared" si="0"/>
        <v>21390287.390000001</v>
      </c>
      <c r="C14" s="180">
        <f t="shared" si="1"/>
        <v>86354523.670000002</v>
      </c>
      <c r="D14" s="180">
        <v>20299832.350000001</v>
      </c>
      <c r="E14" s="180">
        <v>77844567.200000003</v>
      </c>
      <c r="F14" s="180">
        <v>1090455.04</v>
      </c>
      <c r="G14" s="181">
        <v>8509956.4700000007</v>
      </c>
    </row>
    <row r="15" spans="1:7">
      <c r="A15" s="165" t="s">
        <v>33</v>
      </c>
      <c r="B15" s="180">
        <f t="shared" si="0"/>
        <v>6238870.9800000004</v>
      </c>
      <c r="C15" s="180">
        <f t="shared" si="1"/>
        <v>25049382.200000003</v>
      </c>
      <c r="D15" s="180">
        <v>5722792.8700000001</v>
      </c>
      <c r="E15" s="180">
        <v>20995212.920000002</v>
      </c>
      <c r="F15" s="180">
        <v>516078.11</v>
      </c>
      <c r="G15" s="181">
        <v>4054169.28</v>
      </c>
    </row>
    <row r="16" spans="1:7">
      <c r="A16" s="165" t="s">
        <v>34</v>
      </c>
      <c r="B16" s="180">
        <f t="shared" si="0"/>
        <v>6484952.7200000007</v>
      </c>
      <c r="C16" s="180">
        <f t="shared" si="1"/>
        <v>25362476.280000001</v>
      </c>
      <c r="D16" s="180">
        <v>5967268.7000000002</v>
      </c>
      <c r="E16" s="180">
        <v>21384143.300000001</v>
      </c>
      <c r="F16" s="180">
        <v>517684.02</v>
      </c>
      <c r="G16" s="181">
        <v>3978332.98</v>
      </c>
    </row>
    <row r="17" spans="1:7">
      <c r="A17" s="165" t="s">
        <v>35</v>
      </c>
      <c r="B17" s="180">
        <f t="shared" si="0"/>
        <v>930913.53999999992</v>
      </c>
      <c r="C17" s="180">
        <f t="shared" si="1"/>
        <v>3670324.08</v>
      </c>
      <c r="D17" s="180">
        <v>890824.58</v>
      </c>
      <c r="E17" s="180">
        <v>3370338.34</v>
      </c>
      <c r="F17" s="180">
        <v>40088.959999999999</v>
      </c>
      <c r="G17" s="181">
        <v>299985.74</v>
      </c>
    </row>
    <row r="18" spans="1:7">
      <c r="A18" s="165" t="s">
        <v>36</v>
      </c>
      <c r="B18" s="180">
        <f t="shared" si="0"/>
        <v>7651248</v>
      </c>
      <c r="C18" s="180">
        <f t="shared" si="1"/>
        <v>30308544</v>
      </c>
      <c r="D18" s="180">
        <v>7303266.3700000001</v>
      </c>
      <c r="E18" s="180">
        <v>26966040.140000001</v>
      </c>
      <c r="F18" s="180">
        <v>347981.63</v>
      </c>
      <c r="G18" s="181">
        <v>3342503.86</v>
      </c>
    </row>
    <row r="19" spans="1:7">
      <c r="A19" s="165" t="s">
        <v>37</v>
      </c>
      <c r="B19" s="180">
        <f t="shared" si="0"/>
        <v>0</v>
      </c>
      <c r="C19" s="180">
        <f t="shared" si="1"/>
        <v>0</v>
      </c>
      <c r="D19" s="180">
        <v>0</v>
      </c>
      <c r="E19" s="180">
        <v>0</v>
      </c>
      <c r="F19" s="180">
        <v>0</v>
      </c>
      <c r="G19" s="181">
        <v>0</v>
      </c>
    </row>
    <row r="20" spans="1:7">
      <c r="A20" s="165" t="s">
        <v>38</v>
      </c>
      <c r="B20" s="180">
        <f t="shared" si="0"/>
        <v>2649251.13</v>
      </c>
      <c r="C20" s="180">
        <f t="shared" si="1"/>
        <v>3169917.31</v>
      </c>
      <c r="D20" s="180">
        <v>2584817.4</v>
      </c>
      <c r="E20" s="180">
        <v>3018561.62</v>
      </c>
      <c r="F20" s="180">
        <v>64433.73</v>
      </c>
      <c r="G20" s="181">
        <v>151355.69</v>
      </c>
    </row>
    <row r="21" spans="1:7">
      <c r="A21" s="162" t="s">
        <v>39</v>
      </c>
      <c r="B21" s="180">
        <f t="shared" si="0"/>
        <v>2908746.63</v>
      </c>
      <c r="C21" s="180">
        <f t="shared" si="1"/>
        <v>10851610.27</v>
      </c>
      <c r="D21" s="180">
        <f>SUM(D22:D32)</f>
        <v>143099.75</v>
      </c>
      <c r="E21" s="180">
        <f>SUM(E22:E32)</f>
        <v>591579.84</v>
      </c>
      <c r="F21" s="180">
        <f>SUM(F22:F32)</f>
        <v>2765646.88</v>
      </c>
      <c r="G21" s="181">
        <f>SUM(G22:G32)</f>
        <v>10260030.43</v>
      </c>
    </row>
    <row r="22" spans="1:7">
      <c r="A22" s="165" t="s">
        <v>40</v>
      </c>
      <c r="B22" s="180">
        <f t="shared" si="0"/>
        <v>13083</v>
      </c>
      <c r="C22" s="180">
        <f t="shared" si="1"/>
        <v>66832</v>
      </c>
      <c r="D22" s="180">
        <v>0</v>
      </c>
      <c r="E22" s="180">
        <v>0</v>
      </c>
      <c r="F22" s="180">
        <v>13083</v>
      </c>
      <c r="G22" s="181">
        <v>66832</v>
      </c>
    </row>
    <row r="23" spans="1:7">
      <c r="A23" s="165" t="s">
        <v>41</v>
      </c>
      <c r="B23" s="180">
        <f t="shared" si="0"/>
        <v>2276234</v>
      </c>
      <c r="C23" s="180">
        <f t="shared" si="1"/>
        <v>9064015</v>
      </c>
      <c r="D23" s="180">
        <v>0</v>
      </c>
      <c r="E23" s="180">
        <v>0</v>
      </c>
      <c r="F23" s="180">
        <v>2276234</v>
      </c>
      <c r="G23" s="181">
        <v>9064015</v>
      </c>
    </row>
    <row r="24" spans="1:7">
      <c r="A24" s="165" t="s">
        <v>42</v>
      </c>
      <c r="B24" s="180">
        <f t="shared" si="0"/>
        <v>0</v>
      </c>
      <c r="C24" s="180">
        <f t="shared" si="1"/>
        <v>0</v>
      </c>
      <c r="D24" s="180">
        <v>0</v>
      </c>
      <c r="E24" s="180">
        <v>0</v>
      </c>
      <c r="F24" s="180">
        <v>0</v>
      </c>
      <c r="G24" s="181">
        <v>0</v>
      </c>
    </row>
    <row r="25" spans="1:7">
      <c r="A25" s="165" t="s">
        <v>43</v>
      </c>
      <c r="B25" s="180">
        <f t="shared" si="0"/>
        <v>398254</v>
      </c>
      <c r="C25" s="180">
        <f t="shared" si="1"/>
        <v>784894</v>
      </c>
      <c r="D25" s="180">
        <v>0</v>
      </c>
      <c r="E25" s="180">
        <v>0</v>
      </c>
      <c r="F25" s="180">
        <v>398254</v>
      </c>
      <c r="G25" s="181">
        <v>784894</v>
      </c>
    </row>
    <row r="26" spans="1:7">
      <c r="A26" s="165" t="s">
        <v>44</v>
      </c>
      <c r="B26" s="180">
        <f t="shared" si="0"/>
        <v>2100</v>
      </c>
      <c r="C26" s="180">
        <f t="shared" si="1"/>
        <v>13400</v>
      </c>
      <c r="D26" s="180">
        <v>0</v>
      </c>
      <c r="E26" s="180">
        <v>3500</v>
      </c>
      <c r="F26" s="180">
        <v>2100</v>
      </c>
      <c r="G26" s="181">
        <v>9900</v>
      </c>
    </row>
    <row r="27" spans="1:7">
      <c r="A27" s="165" t="s">
        <v>45</v>
      </c>
      <c r="B27" s="180">
        <f t="shared" si="0"/>
        <v>0</v>
      </c>
      <c r="C27" s="180">
        <f t="shared" si="1"/>
        <v>0</v>
      </c>
      <c r="D27" s="180">
        <v>0</v>
      </c>
      <c r="E27" s="180">
        <v>0</v>
      </c>
      <c r="F27" s="180">
        <v>0</v>
      </c>
      <c r="G27" s="181">
        <v>0</v>
      </c>
    </row>
    <row r="28" spans="1:7">
      <c r="A28" s="165" t="s">
        <v>46</v>
      </c>
      <c r="B28" s="180">
        <f t="shared" si="0"/>
        <v>208829.63</v>
      </c>
      <c r="C28" s="180">
        <f t="shared" si="1"/>
        <v>884773.27</v>
      </c>
      <c r="D28" s="180">
        <v>134153.75</v>
      </c>
      <c r="E28" s="180">
        <v>553983.84</v>
      </c>
      <c r="F28" s="180">
        <v>74675.88</v>
      </c>
      <c r="G28" s="181">
        <v>330789.43</v>
      </c>
    </row>
    <row r="29" spans="1:7">
      <c r="A29" s="165" t="s">
        <v>47</v>
      </c>
      <c r="B29" s="180">
        <f t="shared" si="0"/>
        <v>0</v>
      </c>
      <c r="C29" s="180">
        <f t="shared" si="1"/>
        <v>0</v>
      </c>
      <c r="D29" s="180">
        <v>0</v>
      </c>
      <c r="E29" s="180">
        <v>0</v>
      </c>
      <c r="F29" s="180">
        <v>0</v>
      </c>
      <c r="G29" s="181">
        <v>0</v>
      </c>
    </row>
    <row r="30" spans="1:7">
      <c r="A30" s="165" t="s">
        <v>48</v>
      </c>
      <c r="B30" s="180">
        <f t="shared" si="0"/>
        <v>0</v>
      </c>
      <c r="C30" s="180">
        <f t="shared" si="1"/>
        <v>0</v>
      </c>
      <c r="D30" s="180">
        <v>0</v>
      </c>
      <c r="E30" s="180">
        <v>0</v>
      </c>
      <c r="F30" s="180">
        <v>0</v>
      </c>
      <c r="G30" s="181">
        <v>0</v>
      </c>
    </row>
    <row r="31" spans="1:7">
      <c r="A31" s="165" t="s">
        <v>49</v>
      </c>
      <c r="B31" s="180">
        <f t="shared" si="0"/>
        <v>0</v>
      </c>
      <c r="C31" s="180">
        <f t="shared" si="1"/>
        <v>0</v>
      </c>
      <c r="D31" s="180">
        <v>0</v>
      </c>
      <c r="E31" s="180">
        <v>0</v>
      </c>
      <c r="F31" s="180">
        <v>0</v>
      </c>
      <c r="G31" s="181">
        <v>0</v>
      </c>
    </row>
    <row r="32" spans="1:7">
      <c r="A32" s="165" t="s">
        <v>50</v>
      </c>
      <c r="B32" s="180">
        <f t="shared" si="0"/>
        <v>10246</v>
      </c>
      <c r="C32" s="180">
        <f t="shared" si="1"/>
        <v>37696</v>
      </c>
      <c r="D32" s="180">
        <v>8946</v>
      </c>
      <c r="E32" s="180">
        <v>34096</v>
      </c>
      <c r="F32" s="180">
        <v>1300</v>
      </c>
      <c r="G32" s="181">
        <v>3600</v>
      </c>
    </row>
    <row r="33" spans="1:7">
      <c r="A33" s="162" t="s">
        <v>51</v>
      </c>
      <c r="B33" s="180">
        <f t="shared" si="0"/>
        <v>169860235.85999998</v>
      </c>
      <c r="C33" s="180">
        <f t="shared" si="1"/>
        <v>603729113.79999995</v>
      </c>
      <c r="D33" s="180">
        <f>D34+D35+D36+D37+D38+D45+D46</f>
        <v>168786622.85999998</v>
      </c>
      <c r="E33" s="180">
        <f>E34+E35+E36+E37+E38+E45+E46</f>
        <v>600933323.45999992</v>
      </c>
      <c r="F33" s="180">
        <v>1073613</v>
      </c>
      <c r="G33" s="181">
        <v>2795790.34</v>
      </c>
    </row>
    <row r="34" spans="1:7">
      <c r="A34" s="165" t="s">
        <v>52</v>
      </c>
      <c r="B34" s="180">
        <f t="shared" si="0"/>
        <v>1020345</v>
      </c>
      <c r="C34" s="180">
        <f t="shared" si="1"/>
        <v>3048215</v>
      </c>
      <c r="D34" s="180">
        <v>1020345</v>
      </c>
      <c r="E34" s="180">
        <v>3048215</v>
      </c>
      <c r="F34" s="180"/>
      <c r="G34" s="181"/>
    </row>
    <row r="35" spans="1:7">
      <c r="A35" s="165" t="s">
        <v>53</v>
      </c>
      <c r="B35" s="180">
        <f t="shared" si="0"/>
        <v>390642.7</v>
      </c>
      <c r="C35" s="180">
        <f t="shared" si="1"/>
        <v>1742604.1</v>
      </c>
      <c r="D35" s="180">
        <v>390642.7</v>
      </c>
      <c r="E35" s="180">
        <v>1742604.1</v>
      </c>
      <c r="F35" s="180"/>
      <c r="G35" s="181"/>
    </row>
    <row r="36" spans="1:7">
      <c r="A36" s="165" t="s">
        <v>54</v>
      </c>
      <c r="B36" s="180">
        <f t="shared" si="0"/>
        <v>48000</v>
      </c>
      <c r="C36" s="180">
        <f t="shared" si="1"/>
        <v>48000</v>
      </c>
      <c r="D36" s="180">
        <v>48000</v>
      </c>
      <c r="E36" s="180">
        <v>48000</v>
      </c>
      <c r="F36" s="180"/>
      <c r="G36" s="181"/>
    </row>
    <row r="37" spans="1:7">
      <c r="A37" s="165" t="s">
        <v>55</v>
      </c>
      <c r="B37" s="180">
        <f t="shared" si="0"/>
        <v>17290533.140000001</v>
      </c>
      <c r="C37" s="180">
        <f t="shared" si="1"/>
        <v>67317102.349999994</v>
      </c>
      <c r="D37" s="180">
        <v>17290533.140000001</v>
      </c>
      <c r="E37" s="180">
        <v>67317102.349999994</v>
      </c>
      <c r="F37" s="180"/>
      <c r="G37" s="181"/>
    </row>
    <row r="38" spans="1:7">
      <c r="A38" s="165" t="s">
        <v>56</v>
      </c>
      <c r="B38" s="180">
        <f t="shared" ref="B38:B69" si="2">D38+F38</f>
        <v>140190507.34999999</v>
      </c>
      <c r="C38" s="180">
        <f t="shared" ref="C38:C69" si="3">E38+G38</f>
        <v>498924799.14999998</v>
      </c>
      <c r="D38" s="180">
        <f>SUM(D39:D44)</f>
        <v>140190507.34999999</v>
      </c>
      <c r="E38" s="180">
        <f>SUM(E39:E44)</f>
        <v>498924799.14999998</v>
      </c>
      <c r="F38" s="180"/>
      <c r="G38" s="181"/>
    </row>
    <row r="39" spans="1:7">
      <c r="A39" s="165" t="s">
        <v>57</v>
      </c>
      <c r="B39" s="180">
        <f t="shared" si="2"/>
        <v>15028591.08</v>
      </c>
      <c r="C39" s="180">
        <f t="shared" si="3"/>
        <v>54017749.920000002</v>
      </c>
      <c r="D39" s="180">
        <v>15028591.08</v>
      </c>
      <c r="E39" s="180">
        <v>54017749.920000002</v>
      </c>
      <c r="F39" s="180"/>
      <c r="G39" s="181"/>
    </row>
    <row r="40" spans="1:7">
      <c r="A40" s="165" t="s">
        <v>58</v>
      </c>
      <c r="B40" s="180">
        <f t="shared" si="2"/>
        <v>46555431.630000003</v>
      </c>
      <c r="C40" s="180">
        <f t="shared" si="3"/>
        <v>160584587.84</v>
      </c>
      <c r="D40" s="180">
        <v>46555431.630000003</v>
      </c>
      <c r="E40" s="180">
        <v>160584587.84</v>
      </c>
      <c r="F40" s="180"/>
      <c r="G40" s="181"/>
    </row>
    <row r="41" spans="1:7">
      <c r="A41" s="165" t="s">
        <v>59</v>
      </c>
      <c r="B41" s="180">
        <f t="shared" si="2"/>
        <v>43944024.43</v>
      </c>
      <c r="C41" s="180">
        <f t="shared" si="3"/>
        <v>159874004.71000001</v>
      </c>
      <c r="D41" s="180">
        <v>43944024.43</v>
      </c>
      <c r="E41" s="180">
        <v>159874004.71000001</v>
      </c>
      <c r="F41" s="180"/>
      <c r="G41" s="181"/>
    </row>
    <row r="42" spans="1:7">
      <c r="A42" s="165" t="s">
        <v>60</v>
      </c>
      <c r="B42" s="180">
        <f t="shared" si="2"/>
        <v>16265731.1</v>
      </c>
      <c r="C42" s="180">
        <f t="shared" si="3"/>
        <v>57840155.280000001</v>
      </c>
      <c r="D42" s="180">
        <v>16265731.1</v>
      </c>
      <c r="E42" s="180">
        <v>57840155.280000001</v>
      </c>
      <c r="F42" s="180"/>
      <c r="G42" s="181"/>
    </row>
    <row r="43" spans="1:7">
      <c r="A43" s="165" t="s">
        <v>61</v>
      </c>
      <c r="B43" s="180">
        <f t="shared" si="2"/>
        <v>508884</v>
      </c>
      <c r="C43" s="180">
        <f t="shared" si="3"/>
        <v>2161280</v>
      </c>
      <c r="D43" s="180">
        <v>508884</v>
      </c>
      <c r="E43" s="180">
        <v>2161280</v>
      </c>
      <c r="F43" s="180"/>
      <c r="G43" s="181"/>
    </row>
    <row r="44" spans="1:7">
      <c r="A44" s="165" t="s">
        <v>62</v>
      </c>
      <c r="B44" s="180">
        <f t="shared" si="2"/>
        <v>17887845.109999999</v>
      </c>
      <c r="C44" s="180">
        <f t="shared" si="3"/>
        <v>64447021.399999999</v>
      </c>
      <c r="D44" s="180">
        <v>17887845.109999999</v>
      </c>
      <c r="E44" s="180">
        <v>64447021.399999999</v>
      </c>
      <c r="F44" s="180"/>
      <c r="G44" s="181"/>
    </row>
    <row r="45" spans="1:7">
      <c r="A45" s="165" t="s">
        <v>63</v>
      </c>
      <c r="B45" s="180">
        <f t="shared" si="2"/>
        <v>9065719.5399999991</v>
      </c>
      <c r="C45" s="180">
        <f t="shared" si="3"/>
        <v>26318807.239999998</v>
      </c>
      <c r="D45" s="180">
        <v>9065719.5399999991</v>
      </c>
      <c r="E45" s="180">
        <v>26318807.239999998</v>
      </c>
      <c r="F45" s="180"/>
      <c r="G45" s="181"/>
    </row>
    <row r="46" spans="1:7">
      <c r="A46" s="165" t="s">
        <v>64</v>
      </c>
      <c r="B46" s="180">
        <f t="shared" si="2"/>
        <v>1854488.13</v>
      </c>
      <c r="C46" s="180">
        <f t="shared" si="3"/>
        <v>6329585.96</v>
      </c>
      <c r="D46" s="180">
        <v>780875.13</v>
      </c>
      <c r="E46" s="180">
        <v>3533795.62</v>
      </c>
      <c r="F46" s="180">
        <f>F33</f>
        <v>1073613</v>
      </c>
      <c r="G46" s="181">
        <f>G33</f>
        <v>2795790.34</v>
      </c>
    </row>
    <row r="47" spans="1:7">
      <c r="A47" s="162" t="s">
        <v>65</v>
      </c>
      <c r="B47" s="180">
        <f t="shared" si="2"/>
        <v>133870550.87</v>
      </c>
      <c r="C47" s="180">
        <f t="shared" si="3"/>
        <v>505192312.43000001</v>
      </c>
      <c r="D47" s="180">
        <f>D48+D49+D50</f>
        <v>133870550.87</v>
      </c>
      <c r="E47" s="180">
        <f>E48+E49+E50</f>
        <v>505192312.43000001</v>
      </c>
      <c r="F47" s="180">
        <v>0</v>
      </c>
      <c r="G47" s="181">
        <v>0</v>
      </c>
    </row>
    <row r="48" spans="1:7">
      <c r="A48" s="165" t="s">
        <v>66</v>
      </c>
      <c r="B48" s="180">
        <f t="shared" si="2"/>
        <v>122818742.19</v>
      </c>
      <c r="C48" s="180">
        <f t="shared" si="3"/>
        <v>467340463.63</v>
      </c>
      <c r="D48" s="182">
        <v>122818742.19</v>
      </c>
      <c r="E48" s="182">
        <v>467340463.63</v>
      </c>
      <c r="F48" s="182"/>
      <c r="G48" s="183"/>
    </row>
    <row r="49" spans="1:7">
      <c r="A49" s="165" t="s">
        <v>67</v>
      </c>
      <c r="B49" s="180">
        <f t="shared" si="2"/>
        <v>8897003.5</v>
      </c>
      <c r="C49" s="180">
        <f t="shared" si="3"/>
        <v>29688054.73</v>
      </c>
      <c r="D49" s="182">
        <v>8897003.5</v>
      </c>
      <c r="E49" s="182">
        <v>29688054.73</v>
      </c>
      <c r="F49" s="182"/>
      <c r="G49" s="183"/>
    </row>
    <row r="50" spans="1:7">
      <c r="A50" s="165" t="s">
        <v>68</v>
      </c>
      <c r="B50" s="180">
        <f t="shared" si="2"/>
        <v>2154805.1800000002</v>
      </c>
      <c r="C50" s="180">
        <f t="shared" si="3"/>
        <v>8163794.0700000003</v>
      </c>
      <c r="D50" s="182">
        <v>2154805.1800000002</v>
      </c>
      <c r="E50" s="182">
        <v>8163794.0700000003</v>
      </c>
      <c r="F50" s="182"/>
      <c r="G50" s="183"/>
    </row>
    <row r="51" spans="1:7">
      <c r="A51" s="162" t="s">
        <v>69</v>
      </c>
      <c r="B51" s="180">
        <f t="shared" si="2"/>
        <v>8973779.1400000006</v>
      </c>
      <c r="C51" s="180">
        <f t="shared" si="3"/>
        <v>36365263.960000001</v>
      </c>
      <c r="D51" s="182">
        <v>6874943.5599999996</v>
      </c>
      <c r="E51" s="182">
        <v>28005243.73</v>
      </c>
      <c r="F51" s="182">
        <v>2098835.58</v>
      </c>
      <c r="G51" s="183">
        <v>8360020.2300000004</v>
      </c>
    </row>
    <row r="52" spans="1:7">
      <c r="A52" s="162" t="s">
        <v>70</v>
      </c>
      <c r="B52" s="180">
        <f t="shared" si="2"/>
        <v>1803605.01</v>
      </c>
      <c r="C52" s="180">
        <f t="shared" si="3"/>
        <v>8191410.4799999995</v>
      </c>
      <c r="D52" s="182">
        <v>34405.82</v>
      </c>
      <c r="E52" s="182">
        <v>137623.13</v>
      </c>
      <c r="F52" s="182">
        <v>1769199.19</v>
      </c>
      <c r="G52" s="183">
        <v>8053787.3499999996</v>
      </c>
    </row>
    <row r="53" spans="1:7">
      <c r="A53" s="162" t="s">
        <v>71</v>
      </c>
      <c r="B53" s="180">
        <f t="shared" si="2"/>
        <v>774651.08</v>
      </c>
      <c r="C53" s="180">
        <f t="shared" si="3"/>
        <v>2891239.94</v>
      </c>
      <c r="D53" s="182">
        <v>774651.08</v>
      </c>
      <c r="E53" s="182">
        <v>2891239.94</v>
      </c>
      <c r="F53" s="182"/>
      <c r="G53" s="183"/>
    </row>
    <row r="54" spans="1:7">
      <c r="A54" s="162" t="s">
        <v>72</v>
      </c>
      <c r="B54" s="180">
        <f t="shared" si="2"/>
        <v>45088678.689999998</v>
      </c>
      <c r="C54" s="180">
        <f t="shared" si="3"/>
        <v>179072023.09999996</v>
      </c>
      <c r="D54" s="182">
        <f>SUM(D55:D79)</f>
        <v>31871746.25</v>
      </c>
      <c r="E54" s="182">
        <f>SUM(E55:E79)</f>
        <v>107921774.26999998</v>
      </c>
      <c r="F54" s="182">
        <f>SUM(F55:F79)</f>
        <v>13216932.439999999</v>
      </c>
      <c r="G54" s="183">
        <f>SUM(G55:G79)</f>
        <v>71150248.829999998</v>
      </c>
    </row>
    <row r="55" spans="1:7">
      <c r="A55" s="165" t="s">
        <v>73</v>
      </c>
      <c r="B55" s="180">
        <f t="shared" si="2"/>
        <v>0</v>
      </c>
      <c r="C55" s="180">
        <f t="shared" si="3"/>
        <v>0</v>
      </c>
      <c r="D55" s="182">
        <v>0</v>
      </c>
      <c r="E55" s="182">
        <v>0</v>
      </c>
      <c r="F55" s="182">
        <v>0</v>
      </c>
      <c r="G55" s="183">
        <v>0</v>
      </c>
    </row>
    <row r="56" spans="1:7">
      <c r="A56" s="165" t="s">
        <v>74</v>
      </c>
      <c r="B56" s="180">
        <f t="shared" si="2"/>
        <v>376538.67000000004</v>
      </c>
      <c r="C56" s="180">
        <f t="shared" si="3"/>
        <v>1784589.82</v>
      </c>
      <c r="D56" s="182">
        <v>375558.65</v>
      </c>
      <c r="E56" s="182">
        <v>1689563.26</v>
      </c>
      <c r="F56" s="182">
        <v>980.02</v>
      </c>
      <c r="G56" s="183">
        <v>95026.559999999998</v>
      </c>
    </row>
    <row r="57" spans="1:7">
      <c r="A57" s="165" t="s">
        <v>75</v>
      </c>
      <c r="B57" s="180">
        <f t="shared" si="2"/>
        <v>0</v>
      </c>
      <c r="C57" s="180">
        <f t="shared" si="3"/>
        <v>0</v>
      </c>
      <c r="D57" s="182">
        <v>0</v>
      </c>
      <c r="E57" s="182">
        <v>0</v>
      </c>
      <c r="F57" s="182">
        <v>0</v>
      </c>
      <c r="G57" s="183">
        <v>0</v>
      </c>
    </row>
    <row r="58" spans="1:7">
      <c r="A58" s="165" t="s">
        <v>76</v>
      </c>
      <c r="B58" s="180">
        <f t="shared" si="2"/>
        <v>0</v>
      </c>
      <c r="C58" s="180">
        <f t="shared" si="3"/>
        <v>0</v>
      </c>
      <c r="D58" s="182">
        <v>0</v>
      </c>
      <c r="E58" s="182">
        <v>0</v>
      </c>
      <c r="F58" s="182">
        <v>0</v>
      </c>
      <c r="G58" s="183">
        <v>0</v>
      </c>
    </row>
    <row r="59" spans="1:7">
      <c r="A59" s="165" t="s">
        <v>77</v>
      </c>
      <c r="B59" s="180">
        <f t="shared" si="2"/>
        <v>583960.14999999991</v>
      </c>
      <c r="C59" s="180">
        <f t="shared" si="3"/>
        <v>2206157.88</v>
      </c>
      <c r="D59" s="182">
        <v>535655.09</v>
      </c>
      <c r="E59" s="182">
        <v>1845760.41</v>
      </c>
      <c r="F59" s="182">
        <v>48305.06</v>
      </c>
      <c r="G59" s="183">
        <v>360397.47</v>
      </c>
    </row>
    <row r="60" spans="1:7">
      <c r="A60" s="165" t="s">
        <v>78</v>
      </c>
      <c r="B60" s="180">
        <f t="shared" si="2"/>
        <v>3259578.4499999997</v>
      </c>
      <c r="C60" s="180">
        <f t="shared" si="3"/>
        <v>11699912.18</v>
      </c>
      <c r="D60" s="182">
        <v>2989946.8</v>
      </c>
      <c r="E60" s="182">
        <v>9793643.5199999996</v>
      </c>
      <c r="F60" s="182">
        <v>269631.65000000002</v>
      </c>
      <c r="G60" s="183">
        <v>1906268.66</v>
      </c>
    </row>
    <row r="61" spans="1:7">
      <c r="A61" s="165" t="s">
        <v>79</v>
      </c>
      <c r="B61" s="180">
        <f t="shared" si="2"/>
        <v>540114.89</v>
      </c>
      <c r="C61" s="180">
        <f t="shared" si="3"/>
        <v>1738672.3900000001</v>
      </c>
      <c r="D61" s="182">
        <v>424712.03</v>
      </c>
      <c r="E61" s="182">
        <v>1410328.76</v>
      </c>
      <c r="F61" s="182">
        <v>115402.86</v>
      </c>
      <c r="G61" s="183">
        <v>328343.63</v>
      </c>
    </row>
    <row r="62" spans="1:7">
      <c r="A62" s="165" t="s">
        <v>80</v>
      </c>
      <c r="B62" s="180">
        <f t="shared" si="2"/>
        <v>0</v>
      </c>
      <c r="C62" s="180">
        <f t="shared" si="3"/>
        <v>0</v>
      </c>
      <c r="D62" s="182">
        <v>0</v>
      </c>
      <c r="E62" s="182">
        <v>0</v>
      </c>
      <c r="F62" s="182">
        <v>0</v>
      </c>
      <c r="G62" s="183">
        <v>0</v>
      </c>
    </row>
    <row r="63" spans="1:7">
      <c r="A63" s="165" t="s">
        <v>81</v>
      </c>
      <c r="B63" s="180">
        <f t="shared" si="2"/>
        <v>8543861.4399999995</v>
      </c>
      <c r="C63" s="180">
        <f t="shared" si="3"/>
        <v>34792834.730000004</v>
      </c>
      <c r="D63" s="182">
        <v>7837115.0099999998</v>
      </c>
      <c r="E63" s="182">
        <v>28943555.690000001</v>
      </c>
      <c r="F63" s="182">
        <v>706746.43</v>
      </c>
      <c r="G63" s="183">
        <v>5849279.04</v>
      </c>
    </row>
    <row r="64" spans="1:7">
      <c r="A64" s="165" t="s">
        <v>82</v>
      </c>
      <c r="B64" s="180">
        <f t="shared" si="2"/>
        <v>300005.23</v>
      </c>
      <c r="C64" s="180">
        <f t="shared" si="3"/>
        <v>493281.25</v>
      </c>
      <c r="D64" s="182">
        <v>253454.31</v>
      </c>
      <c r="E64" s="182">
        <v>340005.07</v>
      </c>
      <c r="F64" s="182">
        <v>46550.92</v>
      </c>
      <c r="G64" s="183">
        <v>153276.18</v>
      </c>
    </row>
    <row r="65" spans="1:7">
      <c r="A65" s="165" t="s">
        <v>83</v>
      </c>
      <c r="B65" s="180">
        <f t="shared" si="2"/>
        <v>111570.39</v>
      </c>
      <c r="C65" s="180">
        <f t="shared" si="3"/>
        <v>232650.78</v>
      </c>
      <c r="D65" s="182">
        <v>111570.39</v>
      </c>
      <c r="E65" s="182">
        <v>232650.78</v>
      </c>
      <c r="F65" s="182">
        <v>0</v>
      </c>
      <c r="G65" s="183">
        <v>0</v>
      </c>
    </row>
    <row r="66" spans="1:7">
      <c r="A66" s="165" t="s">
        <v>84</v>
      </c>
      <c r="B66" s="180">
        <f t="shared" si="2"/>
        <v>7307158.2299999995</v>
      </c>
      <c r="C66" s="180">
        <f t="shared" si="3"/>
        <v>46349951.980000004</v>
      </c>
      <c r="D66" s="182">
        <v>2111927.38</v>
      </c>
      <c r="E66" s="182">
        <v>15661476.82</v>
      </c>
      <c r="F66" s="182">
        <v>5195230.8499999996</v>
      </c>
      <c r="G66" s="183">
        <v>30688475.16</v>
      </c>
    </row>
    <row r="67" spans="1:7">
      <c r="A67" s="165" t="s">
        <v>85</v>
      </c>
      <c r="B67" s="180">
        <f t="shared" si="2"/>
        <v>3278788.04</v>
      </c>
      <c r="C67" s="180">
        <f t="shared" si="3"/>
        <v>13144643.310000001</v>
      </c>
      <c r="D67" s="182">
        <v>0</v>
      </c>
      <c r="E67" s="182">
        <v>0</v>
      </c>
      <c r="F67" s="182">
        <v>3278788.04</v>
      </c>
      <c r="G67" s="183">
        <v>13144643.310000001</v>
      </c>
    </row>
    <row r="68" spans="1:7">
      <c r="A68" s="165" t="s">
        <v>86</v>
      </c>
      <c r="B68" s="180">
        <f t="shared" si="2"/>
        <v>94090.1</v>
      </c>
      <c r="C68" s="180">
        <f t="shared" si="3"/>
        <v>143671.15</v>
      </c>
      <c r="D68" s="182">
        <v>79134.5</v>
      </c>
      <c r="E68" s="182">
        <v>106950.87</v>
      </c>
      <c r="F68" s="182">
        <v>14955.6</v>
      </c>
      <c r="G68" s="183">
        <v>36720.28</v>
      </c>
    </row>
    <row r="69" spans="1:7">
      <c r="A69" s="165" t="s">
        <v>87</v>
      </c>
      <c r="B69" s="180">
        <f t="shared" si="2"/>
        <v>44484</v>
      </c>
      <c r="C69" s="180">
        <f t="shared" si="3"/>
        <v>199924</v>
      </c>
      <c r="D69" s="182">
        <v>39684</v>
      </c>
      <c r="E69" s="182">
        <v>183664</v>
      </c>
      <c r="F69" s="182">
        <v>4800</v>
      </c>
      <c r="G69" s="183">
        <v>16260</v>
      </c>
    </row>
    <row r="70" spans="1:7">
      <c r="A70" s="165" t="s">
        <v>88</v>
      </c>
      <c r="B70" s="180">
        <f t="shared" ref="B70:B79" si="4">D70+F70</f>
        <v>10550</v>
      </c>
      <c r="C70" s="180">
        <f t="shared" ref="C70:C79" si="5">E70+G70</f>
        <v>53740</v>
      </c>
      <c r="D70" s="182">
        <v>0</v>
      </c>
      <c r="E70" s="182">
        <v>0</v>
      </c>
      <c r="F70" s="182">
        <v>10550</v>
      </c>
      <c r="G70" s="183">
        <v>53740</v>
      </c>
    </row>
    <row r="71" spans="1:7">
      <c r="A71" s="165" t="s">
        <v>89</v>
      </c>
      <c r="B71" s="180">
        <f t="shared" si="4"/>
        <v>1058890.67</v>
      </c>
      <c r="C71" s="180">
        <f t="shared" si="5"/>
        <v>3014408.24</v>
      </c>
      <c r="D71" s="182">
        <v>799272.52</v>
      </c>
      <c r="E71" s="182">
        <v>2382125.83</v>
      </c>
      <c r="F71" s="182">
        <v>259618.15</v>
      </c>
      <c r="G71" s="183">
        <v>632282.41</v>
      </c>
    </row>
    <row r="72" spans="1:7">
      <c r="A72" s="165" t="s">
        <v>90</v>
      </c>
      <c r="B72" s="180">
        <f t="shared" si="4"/>
        <v>1312686.0999999999</v>
      </c>
      <c r="C72" s="180">
        <f t="shared" si="5"/>
        <v>8604952.4000000004</v>
      </c>
      <c r="D72" s="182">
        <v>1218797.46</v>
      </c>
      <c r="E72" s="182">
        <v>7259486.4000000004</v>
      </c>
      <c r="F72" s="182">
        <v>93888.639999999999</v>
      </c>
      <c r="G72" s="183">
        <v>1345466</v>
      </c>
    </row>
    <row r="73" spans="1:7">
      <c r="A73" s="165" t="s">
        <v>91</v>
      </c>
      <c r="B73" s="180">
        <f t="shared" si="4"/>
        <v>3580987.18</v>
      </c>
      <c r="C73" s="180">
        <f t="shared" si="5"/>
        <v>12713738.9</v>
      </c>
      <c r="D73" s="182">
        <v>2201299.1</v>
      </c>
      <c r="E73" s="182">
        <v>8879816.3200000003</v>
      </c>
      <c r="F73" s="182">
        <v>1379688.08</v>
      </c>
      <c r="G73" s="183">
        <v>3833922.58</v>
      </c>
    </row>
    <row r="74" spans="1:7">
      <c r="A74" s="165" t="s">
        <v>92</v>
      </c>
      <c r="B74" s="180">
        <f t="shared" si="4"/>
        <v>8400175.6999999993</v>
      </c>
      <c r="C74" s="180">
        <f t="shared" si="5"/>
        <v>12952489.5</v>
      </c>
      <c r="D74" s="182">
        <v>8325655.7000000002</v>
      </c>
      <c r="E74" s="182">
        <v>12494882.1</v>
      </c>
      <c r="F74" s="182">
        <v>74520</v>
      </c>
      <c r="G74" s="183">
        <v>457607.4</v>
      </c>
    </row>
    <row r="75" spans="1:7">
      <c r="A75" s="165" t="s">
        <v>93</v>
      </c>
      <c r="B75" s="180">
        <f t="shared" si="4"/>
        <v>1200750</v>
      </c>
      <c r="C75" s="180">
        <f t="shared" si="5"/>
        <v>4808750</v>
      </c>
      <c r="D75" s="182">
        <v>0</v>
      </c>
      <c r="E75" s="182">
        <v>0</v>
      </c>
      <c r="F75" s="182">
        <v>1200750</v>
      </c>
      <c r="G75" s="183">
        <v>4808750</v>
      </c>
    </row>
    <row r="76" spans="1:7">
      <c r="A76" s="165" t="s">
        <v>94</v>
      </c>
      <c r="B76" s="180">
        <f t="shared" si="4"/>
        <v>0</v>
      </c>
      <c r="C76" s="180">
        <f t="shared" si="5"/>
        <v>0</v>
      </c>
      <c r="D76" s="182">
        <v>0</v>
      </c>
      <c r="E76" s="182">
        <v>0</v>
      </c>
      <c r="F76" s="182">
        <v>0</v>
      </c>
      <c r="G76" s="183">
        <v>0</v>
      </c>
    </row>
    <row r="77" spans="1:7">
      <c r="A77" s="165" t="s">
        <v>95</v>
      </c>
      <c r="B77" s="180">
        <f t="shared" si="4"/>
        <v>34644.370000000003</v>
      </c>
      <c r="C77" s="180">
        <f t="shared" si="5"/>
        <v>40915.629999999997</v>
      </c>
      <c r="D77" s="182">
        <v>0</v>
      </c>
      <c r="E77" s="182">
        <v>0</v>
      </c>
      <c r="F77" s="182">
        <v>34644.370000000003</v>
      </c>
      <c r="G77" s="183">
        <v>40915.629999999997</v>
      </c>
    </row>
    <row r="78" spans="1:7">
      <c r="A78" s="165" t="s">
        <v>96</v>
      </c>
      <c r="B78" s="180">
        <f t="shared" si="4"/>
        <v>684.13</v>
      </c>
      <c r="C78" s="180">
        <f t="shared" si="5"/>
        <v>1259.24</v>
      </c>
      <c r="D78" s="182">
        <v>0</v>
      </c>
      <c r="E78" s="182">
        <v>0</v>
      </c>
      <c r="F78" s="182">
        <v>684.13</v>
      </c>
      <c r="G78" s="183">
        <v>1259.24</v>
      </c>
    </row>
    <row r="79" spans="1:7">
      <c r="A79" s="165" t="s">
        <v>97</v>
      </c>
      <c r="B79" s="180">
        <f t="shared" si="4"/>
        <v>5049160.9499999993</v>
      </c>
      <c r="C79" s="180">
        <f t="shared" si="5"/>
        <v>24095479.719999999</v>
      </c>
      <c r="D79" s="182">
        <v>4567963.3099999996</v>
      </c>
      <c r="E79" s="182">
        <v>16697864.439999999</v>
      </c>
      <c r="F79" s="182">
        <v>481197.64</v>
      </c>
      <c r="G79" s="183">
        <v>7397615.2800000003</v>
      </c>
    </row>
    <row r="80" spans="1:7" ht="14.25" customHeight="1">
      <c r="A80" s="238" t="s">
        <v>98</v>
      </c>
      <c r="B80" s="238"/>
      <c r="C80" s="238"/>
      <c r="D80" s="238"/>
      <c r="E80" s="238"/>
      <c r="F80" s="238"/>
      <c r="G80" s="238"/>
    </row>
    <row r="81" spans="1:7" ht="14.25" customHeight="1">
      <c r="A81" s="226" t="s">
        <v>99</v>
      </c>
      <c r="B81" s="226"/>
      <c r="C81" s="226"/>
      <c r="D81" s="226"/>
      <c r="E81" s="226"/>
      <c r="F81" s="226"/>
      <c r="G81" s="226"/>
    </row>
  </sheetData>
  <mergeCells count="11">
    <mergeCell ref="A80:G80"/>
    <mergeCell ref="A81:G81"/>
    <mergeCell ref="A1:G1"/>
    <mergeCell ref="F2:G2"/>
    <mergeCell ref="A3:B3"/>
    <mergeCell ref="C3:E3"/>
    <mergeCell ref="F3:G3"/>
    <mergeCell ref="A4:A5"/>
    <mergeCell ref="B4:C4"/>
    <mergeCell ref="D4:E4"/>
    <mergeCell ref="F4:G4"/>
  </mergeCells>
  <phoneticPr fontId="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81"/>
  <sheetViews>
    <sheetView workbookViewId="0">
      <selection sqref="A1:G81"/>
    </sheetView>
  </sheetViews>
  <sheetFormatPr defaultRowHeight="14.25"/>
  <cols>
    <col min="1" max="1" width="22" customWidth="1"/>
    <col min="2" max="5" width="14.125" bestFit="1" customWidth="1"/>
    <col min="6" max="6" width="12.25" bestFit="1" customWidth="1"/>
    <col min="7" max="7" width="13.125" bestFit="1" customWidth="1"/>
  </cols>
  <sheetData>
    <row r="1" spans="1:7" ht="22.5" customHeight="1">
      <c r="A1" s="213" t="s">
        <v>14</v>
      </c>
      <c r="B1" s="213"/>
      <c r="C1" s="213"/>
      <c r="D1" s="213"/>
      <c r="E1" s="213"/>
      <c r="F1" s="213"/>
      <c r="G1" s="213"/>
    </row>
    <row r="2" spans="1:7">
      <c r="A2" s="169"/>
      <c r="B2" s="169"/>
      <c r="C2" s="169"/>
      <c r="D2" s="169"/>
      <c r="E2" s="169"/>
      <c r="F2" s="221" t="s">
        <v>16</v>
      </c>
      <c r="G2" s="221"/>
    </row>
    <row r="3" spans="1:7" ht="14.25" customHeight="1">
      <c r="A3" s="222" t="s">
        <v>100</v>
      </c>
      <c r="B3" s="222"/>
      <c r="C3" s="233">
        <v>46113</v>
      </c>
      <c r="D3" s="233"/>
      <c r="E3" s="233"/>
      <c r="F3" s="224" t="s">
        <v>18</v>
      </c>
      <c r="G3" s="224"/>
    </row>
    <row r="4" spans="1:7">
      <c r="A4" s="234" t="s">
        <v>470</v>
      </c>
      <c r="B4" s="236" t="s">
        <v>512</v>
      </c>
      <c r="C4" s="237"/>
      <c r="D4" s="236" t="s">
        <v>21</v>
      </c>
      <c r="E4" s="237"/>
      <c r="F4" s="236" t="s">
        <v>22</v>
      </c>
      <c r="G4" s="237"/>
    </row>
    <row r="5" spans="1:7">
      <c r="A5" s="235"/>
      <c r="B5" s="149" t="s">
        <v>23</v>
      </c>
      <c r="C5" s="149" t="s">
        <v>24</v>
      </c>
      <c r="D5" s="149" t="s">
        <v>23</v>
      </c>
      <c r="E5" s="149" t="s">
        <v>24</v>
      </c>
      <c r="F5" s="149" t="s">
        <v>23</v>
      </c>
      <c r="G5" s="149" t="s">
        <v>24</v>
      </c>
    </row>
    <row r="6" spans="1:7">
      <c r="A6" s="149" t="s">
        <v>13</v>
      </c>
      <c r="B6" s="151">
        <v>173835107.59999999</v>
      </c>
      <c r="C6" s="151">
        <v>650058178.02999997</v>
      </c>
      <c r="D6" s="151">
        <v>157347248.00999999</v>
      </c>
      <c r="E6" s="151">
        <v>610076338.26999998</v>
      </c>
      <c r="F6" s="151">
        <v>16487859.59</v>
      </c>
      <c r="G6" s="151">
        <v>39981839.759999998</v>
      </c>
    </row>
    <row r="7" spans="1:7">
      <c r="A7" s="150" t="s">
        <v>25</v>
      </c>
      <c r="B7" s="151">
        <v>63931211.32</v>
      </c>
      <c r="C7" s="151">
        <v>272694609.75</v>
      </c>
      <c r="D7" s="151">
        <v>55632503.420000002</v>
      </c>
      <c r="E7" s="151">
        <v>257912276.63999999</v>
      </c>
      <c r="F7" s="151">
        <v>8298707.9000000004</v>
      </c>
      <c r="G7" s="151">
        <v>14782333.109999999</v>
      </c>
    </row>
    <row r="8" spans="1:7">
      <c r="A8" s="150" t="s">
        <v>513</v>
      </c>
      <c r="B8" s="151">
        <v>63930861.32</v>
      </c>
      <c r="C8" s="151">
        <v>272673492.18000001</v>
      </c>
      <c r="D8" s="151">
        <v>55632153.420000002</v>
      </c>
      <c r="E8" s="151">
        <v>257891879.56999999</v>
      </c>
      <c r="F8" s="151">
        <v>8298707.9000000004</v>
      </c>
      <c r="G8" s="151">
        <v>14781612.609999999</v>
      </c>
    </row>
    <row r="9" spans="1:7">
      <c r="A9" s="152" t="s">
        <v>514</v>
      </c>
      <c r="B9" s="151">
        <v>4170371</v>
      </c>
      <c r="C9" s="151">
        <v>15917444</v>
      </c>
      <c r="D9" s="151">
        <v>4025973</v>
      </c>
      <c r="E9" s="151">
        <v>15346755</v>
      </c>
      <c r="F9" s="151">
        <v>144398</v>
      </c>
      <c r="G9" s="151">
        <v>570689</v>
      </c>
    </row>
    <row r="10" spans="1:7">
      <c r="A10" s="152" t="s">
        <v>515</v>
      </c>
      <c r="B10" s="151">
        <v>941355</v>
      </c>
      <c r="C10" s="151">
        <v>3483956</v>
      </c>
      <c r="D10" s="151">
        <v>913731</v>
      </c>
      <c r="E10" s="151">
        <v>3390366</v>
      </c>
      <c r="F10" s="151">
        <v>27624</v>
      </c>
      <c r="G10" s="151">
        <v>93590</v>
      </c>
    </row>
    <row r="11" spans="1:7">
      <c r="A11" s="152" t="s">
        <v>516</v>
      </c>
      <c r="B11" s="153">
        <v>0</v>
      </c>
      <c r="C11" s="153">
        <v>0</v>
      </c>
      <c r="D11" s="153">
        <v>0</v>
      </c>
      <c r="E11" s="153">
        <v>0</v>
      </c>
      <c r="F11" s="153">
        <v>0</v>
      </c>
      <c r="G11" s="153">
        <v>0</v>
      </c>
    </row>
    <row r="12" spans="1:7">
      <c r="A12" s="152" t="s">
        <v>517</v>
      </c>
      <c r="B12" s="153">
        <v>0</v>
      </c>
      <c r="C12" s="151">
        <v>752004.6</v>
      </c>
      <c r="D12" s="153">
        <v>0</v>
      </c>
      <c r="E12" s="151">
        <v>752004.6</v>
      </c>
      <c r="F12" s="153">
        <v>0</v>
      </c>
      <c r="G12" s="153">
        <v>0</v>
      </c>
    </row>
    <row r="13" spans="1:7">
      <c r="A13" s="152" t="s">
        <v>518</v>
      </c>
      <c r="B13" s="151">
        <v>51806658.619999997</v>
      </c>
      <c r="C13" s="151">
        <v>227563722.68000001</v>
      </c>
      <c r="D13" s="151">
        <v>50601124.420000002</v>
      </c>
      <c r="E13" s="151">
        <v>221724705.27000001</v>
      </c>
      <c r="F13" s="151">
        <v>1205534.2</v>
      </c>
      <c r="G13" s="151">
        <v>5839017.4100000001</v>
      </c>
    </row>
    <row r="14" spans="1:7">
      <c r="A14" s="152" t="s">
        <v>519</v>
      </c>
      <c r="B14" s="151">
        <v>2502830.42</v>
      </c>
      <c r="C14" s="151">
        <v>9795360.6099999994</v>
      </c>
      <c r="D14" s="153">
        <v>0</v>
      </c>
      <c r="E14" s="151">
        <v>6738828.2999999998</v>
      </c>
      <c r="F14" s="151">
        <v>2502830.42</v>
      </c>
      <c r="G14" s="151">
        <v>3056532.31</v>
      </c>
    </row>
    <row r="15" spans="1:7">
      <c r="A15" s="152" t="s">
        <v>520</v>
      </c>
      <c r="B15" s="151">
        <v>1196968.75</v>
      </c>
      <c r="C15" s="151">
        <v>4638096.3600000003</v>
      </c>
      <c r="D15" s="153">
        <v>0</v>
      </c>
      <c r="E15" s="151">
        <v>3170274.94</v>
      </c>
      <c r="F15" s="151">
        <v>1196968.75</v>
      </c>
      <c r="G15" s="151">
        <v>1467821.42</v>
      </c>
    </row>
    <row r="16" spans="1:7">
      <c r="A16" s="152" t="s">
        <v>521</v>
      </c>
      <c r="B16" s="151">
        <v>1188153.98</v>
      </c>
      <c r="C16" s="151">
        <v>4600550.3499999996</v>
      </c>
      <c r="D16" s="153">
        <v>0</v>
      </c>
      <c r="E16" s="151">
        <v>3142384.38</v>
      </c>
      <c r="F16" s="151">
        <v>1188153.98</v>
      </c>
      <c r="G16" s="151">
        <v>1458165.97</v>
      </c>
    </row>
    <row r="17" spans="1:7">
      <c r="A17" s="152" t="s">
        <v>522</v>
      </c>
      <c r="B17" s="151">
        <v>91518.37</v>
      </c>
      <c r="C17" s="151">
        <v>364530.04</v>
      </c>
      <c r="D17" s="153">
        <v>0</v>
      </c>
      <c r="E17" s="151">
        <v>248942.88</v>
      </c>
      <c r="F17" s="151">
        <v>91518.37</v>
      </c>
      <c r="G17" s="151">
        <v>115587.16</v>
      </c>
    </row>
    <row r="18" spans="1:7">
      <c r="A18" s="152" t="s">
        <v>523</v>
      </c>
      <c r="B18" s="151">
        <v>1941630.18</v>
      </c>
      <c r="C18" s="151">
        <v>4955783.63</v>
      </c>
      <c r="D18" s="153">
        <v>0</v>
      </c>
      <c r="E18" s="151">
        <v>2777011.79</v>
      </c>
      <c r="F18" s="151">
        <v>1941630.18</v>
      </c>
      <c r="G18" s="151">
        <v>2178771.84</v>
      </c>
    </row>
    <row r="19" spans="1:7">
      <c r="A19" s="152" t="s">
        <v>524</v>
      </c>
      <c r="B19" s="153">
        <v>0</v>
      </c>
      <c r="C19" s="153">
        <v>0</v>
      </c>
      <c r="D19" s="153">
        <v>0</v>
      </c>
      <c r="E19" s="153">
        <v>0</v>
      </c>
      <c r="F19" s="153">
        <v>0</v>
      </c>
      <c r="G19" s="153">
        <v>0</v>
      </c>
    </row>
    <row r="20" spans="1:7">
      <c r="A20" s="152" t="s">
        <v>525</v>
      </c>
      <c r="B20" s="151">
        <v>91375</v>
      </c>
      <c r="C20" s="151">
        <v>602043.91</v>
      </c>
      <c r="D20" s="151">
        <v>91325</v>
      </c>
      <c r="E20" s="151">
        <v>600606.41</v>
      </c>
      <c r="F20" s="153">
        <v>50</v>
      </c>
      <c r="G20" s="151">
        <v>1437.5</v>
      </c>
    </row>
    <row r="21" spans="1:7">
      <c r="A21" s="150" t="s">
        <v>526</v>
      </c>
      <c r="B21" s="153">
        <v>350</v>
      </c>
      <c r="C21" s="151">
        <v>21117.57</v>
      </c>
      <c r="D21" s="153">
        <v>350</v>
      </c>
      <c r="E21" s="151">
        <v>20397.07</v>
      </c>
      <c r="F21" s="153">
        <v>0</v>
      </c>
      <c r="G21" s="153">
        <v>720.5</v>
      </c>
    </row>
    <row r="22" spans="1:7">
      <c r="A22" s="152" t="s">
        <v>527</v>
      </c>
      <c r="B22" s="153">
        <v>0</v>
      </c>
      <c r="C22" s="153">
        <v>0</v>
      </c>
      <c r="D22" s="153">
        <v>0</v>
      </c>
      <c r="E22" s="153">
        <v>0</v>
      </c>
      <c r="F22" s="153">
        <v>0</v>
      </c>
      <c r="G22" s="153">
        <v>0</v>
      </c>
    </row>
    <row r="23" spans="1:7">
      <c r="A23" s="152" t="s">
        <v>528</v>
      </c>
      <c r="B23" s="153">
        <v>0</v>
      </c>
      <c r="C23" s="153">
        <v>0</v>
      </c>
      <c r="D23" s="153">
        <v>0</v>
      </c>
      <c r="E23" s="153">
        <v>0</v>
      </c>
      <c r="F23" s="153">
        <v>0</v>
      </c>
      <c r="G23" s="153">
        <v>0</v>
      </c>
    </row>
    <row r="24" spans="1:7">
      <c r="A24" s="152" t="s">
        <v>529</v>
      </c>
      <c r="B24" s="153">
        <v>0</v>
      </c>
      <c r="C24" s="153">
        <v>0</v>
      </c>
      <c r="D24" s="153">
        <v>0</v>
      </c>
      <c r="E24" s="153">
        <v>0</v>
      </c>
      <c r="F24" s="153">
        <v>0</v>
      </c>
      <c r="G24" s="153">
        <v>0</v>
      </c>
    </row>
    <row r="25" spans="1:7">
      <c r="A25" s="152" t="s">
        <v>530</v>
      </c>
      <c r="B25" s="153">
        <v>0</v>
      </c>
      <c r="C25" s="153">
        <v>0</v>
      </c>
      <c r="D25" s="153">
        <v>0</v>
      </c>
      <c r="E25" s="153">
        <v>0</v>
      </c>
      <c r="F25" s="153">
        <v>0</v>
      </c>
      <c r="G25" s="153">
        <v>0</v>
      </c>
    </row>
    <row r="26" spans="1:7">
      <c r="A26" s="152" t="s">
        <v>531</v>
      </c>
      <c r="B26" s="153">
        <v>0</v>
      </c>
      <c r="C26" s="153">
        <v>0</v>
      </c>
      <c r="D26" s="153">
        <v>0</v>
      </c>
      <c r="E26" s="153">
        <v>0</v>
      </c>
      <c r="F26" s="153">
        <v>0</v>
      </c>
      <c r="G26" s="153">
        <v>0</v>
      </c>
    </row>
    <row r="27" spans="1:7">
      <c r="A27" s="152" t="s">
        <v>532</v>
      </c>
      <c r="B27" s="153">
        <v>0</v>
      </c>
      <c r="C27" s="153">
        <v>0</v>
      </c>
      <c r="D27" s="153">
        <v>0</v>
      </c>
      <c r="E27" s="153">
        <v>0</v>
      </c>
      <c r="F27" s="153">
        <v>0</v>
      </c>
      <c r="G27" s="153">
        <v>0</v>
      </c>
    </row>
    <row r="28" spans="1:7">
      <c r="A28" s="152" t="s">
        <v>533</v>
      </c>
      <c r="B28" s="153">
        <v>0</v>
      </c>
      <c r="C28" s="151">
        <v>20517.57</v>
      </c>
      <c r="D28" s="153">
        <v>0</v>
      </c>
      <c r="E28" s="151">
        <v>19797.07</v>
      </c>
      <c r="F28" s="153">
        <v>0</v>
      </c>
      <c r="G28" s="153">
        <v>720.5</v>
      </c>
    </row>
    <row r="29" spans="1:7">
      <c r="A29" s="152" t="s">
        <v>534</v>
      </c>
      <c r="B29" s="153">
        <v>0</v>
      </c>
      <c r="C29" s="153">
        <v>0</v>
      </c>
      <c r="D29" s="153">
        <v>0</v>
      </c>
      <c r="E29" s="153">
        <v>0</v>
      </c>
      <c r="F29" s="153">
        <v>0</v>
      </c>
      <c r="G29" s="153">
        <v>0</v>
      </c>
    </row>
    <row r="30" spans="1:7">
      <c r="A30" s="152" t="s">
        <v>535</v>
      </c>
      <c r="B30" s="153">
        <v>0</v>
      </c>
      <c r="C30" s="153">
        <v>0</v>
      </c>
      <c r="D30" s="153">
        <v>0</v>
      </c>
      <c r="E30" s="153">
        <v>0</v>
      </c>
      <c r="F30" s="153">
        <v>0</v>
      </c>
      <c r="G30" s="153">
        <v>0</v>
      </c>
    </row>
    <row r="31" spans="1:7">
      <c r="A31" s="152" t="s">
        <v>536</v>
      </c>
      <c r="B31" s="153">
        <v>0</v>
      </c>
      <c r="C31" s="153">
        <v>0</v>
      </c>
      <c r="D31" s="153">
        <v>0</v>
      </c>
      <c r="E31" s="153">
        <v>0</v>
      </c>
      <c r="F31" s="153">
        <v>0</v>
      </c>
      <c r="G31" s="153">
        <v>0</v>
      </c>
    </row>
    <row r="32" spans="1:7">
      <c r="A32" s="152" t="s">
        <v>537</v>
      </c>
      <c r="B32" s="153">
        <v>350</v>
      </c>
      <c r="C32" s="153">
        <v>600</v>
      </c>
      <c r="D32" s="153">
        <v>350</v>
      </c>
      <c r="E32" s="153">
        <v>600</v>
      </c>
      <c r="F32" s="153">
        <v>0</v>
      </c>
      <c r="G32" s="153">
        <v>0</v>
      </c>
    </row>
    <row r="33" spans="1:7">
      <c r="A33" s="150" t="s">
        <v>51</v>
      </c>
      <c r="B33" s="151">
        <v>66053753.850000001</v>
      </c>
      <c r="C33" s="151">
        <v>217926397.41</v>
      </c>
      <c r="D33" s="151">
        <v>66473656.399999999</v>
      </c>
      <c r="E33" s="151">
        <v>217434114.44999999</v>
      </c>
      <c r="F33" s="151">
        <v>-419902.55</v>
      </c>
      <c r="G33" s="151">
        <v>492282.96</v>
      </c>
    </row>
    <row r="34" spans="1:7">
      <c r="A34" s="152" t="s">
        <v>538</v>
      </c>
      <c r="B34" s="153">
        <v>0</v>
      </c>
      <c r="C34" s="151">
        <v>55030</v>
      </c>
      <c r="D34" s="153">
        <v>0</v>
      </c>
      <c r="E34" s="151">
        <v>55030</v>
      </c>
      <c r="F34" s="153"/>
      <c r="G34" s="153"/>
    </row>
    <row r="35" spans="1:7">
      <c r="A35" s="152" t="s">
        <v>539</v>
      </c>
      <c r="B35" s="153">
        <v>0</v>
      </c>
      <c r="C35" s="151">
        <v>144865.5</v>
      </c>
      <c r="D35" s="153">
        <v>0</v>
      </c>
      <c r="E35" s="151">
        <v>144865.5</v>
      </c>
      <c r="F35" s="153"/>
      <c r="G35" s="153"/>
    </row>
    <row r="36" spans="1:7">
      <c r="A36" s="152" t="s">
        <v>540</v>
      </c>
      <c r="B36" s="153">
        <v>0</v>
      </c>
      <c r="C36" s="151">
        <v>158250</v>
      </c>
      <c r="D36" s="153">
        <v>0</v>
      </c>
      <c r="E36" s="151">
        <v>158250</v>
      </c>
      <c r="F36" s="153"/>
      <c r="G36" s="153"/>
    </row>
    <row r="37" spans="1:7">
      <c r="A37" s="152" t="s">
        <v>541</v>
      </c>
      <c r="B37" s="151">
        <v>5665472.1900000004</v>
      </c>
      <c r="C37" s="151">
        <v>20416440.920000002</v>
      </c>
      <c r="D37" s="151">
        <v>5665472.1900000004</v>
      </c>
      <c r="E37" s="151">
        <v>20416440.920000002</v>
      </c>
      <c r="F37" s="153"/>
      <c r="G37" s="153"/>
    </row>
    <row r="38" spans="1:7">
      <c r="A38" s="152" t="s">
        <v>542</v>
      </c>
      <c r="B38" s="151">
        <v>58885349.609999999</v>
      </c>
      <c r="C38" s="151">
        <v>187228370.30000001</v>
      </c>
      <c r="D38" s="151">
        <v>58885349.609999999</v>
      </c>
      <c r="E38" s="151">
        <v>187228370.30000001</v>
      </c>
      <c r="F38" s="153"/>
      <c r="G38" s="153"/>
    </row>
    <row r="39" spans="1:7">
      <c r="A39" s="152" t="s">
        <v>543</v>
      </c>
      <c r="B39" s="151">
        <v>4903393.4800000004</v>
      </c>
      <c r="C39" s="151">
        <v>15806941.84</v>
      </c>
      <c r="D39" s="151">
        <v>4903393.4800000004</v>
      </c>
      <c r="E39" s="151">
        <v>15806941.84</v>
      </c>
      <c r="F39" s="153"/>
      <c r="G39" s="153"/>
    </row>
    <row r="40" spans="1:7">
      <c r="A40" s="152" t="s">
        <v>544</v>
      </c>
      <c r="B40" s="151">
        <v>20195911.649999999</v>
      </c>
      <c r="C40" s="151">
        <v>64274854.420000002</v>
      </c>
      <c r="D40" s="151">
        <v>20195911.649999999</v>
      </c>
      <c r="E40" s="151">
        <v>64274854.420000002</v>
      </c>
      <c r="F40" s="153"/>
      <c r="G40" s="153"/>
    </row>
    <row r="41" spans="1:7">
      <c r="A41" s="152" t="s">
        <v>545</v>
      </c>
      <c r="B41" s="151">
        <v>20923967.879999999</v>
      </c>
      <c r="C41" s="151">
        <v>65803212.359999999</v>
      </c>
      <c r="D41" s="151">
        <v>20923967.879999999</v>
      </c>
      <c r="E41" s="151">
        <v>65803212.359999999</v>
      </c>
      <c r="F41" s="153"/>
      <c r="G41" s="153"/>
    </row>
    <row r="42" spans="1:7">
      <c r="A42" s="152" t="s">
        <v>546</v>
      </c>
      <c r="B42" s="151">
        <v>6182631.7999999998</v>
      </c>
      <c r="C42" s="151">
        <v>17972038.629999999</v>
      </c>
      <c r="D42" s="151">
        <v>6182631.7999999998</v>
      </c>
      <c r="E42" s="151">
        <v>17972038.629999999</v>
      </c>
      <c r="F42" s="153"/>
      <c r="G42" s="153"/>
    </row>
    <row r="43" spans="1:7">
      <c r="A43" s="152" t="s">
        <v>547</v>
      </c>
      <c r="B43" s="151">
        <v>9242</v>
      </c>
      <c r="C43" s="151">
        <v>105975.3</v>
      </c>
      <c r="D43" s="151">
        <v>9242</v>
      </c>
      <c r="E43" s="151">
        <v>105975.3</v>
      </c>
      <c r="F43" s="153"/>
      <c r="G43" s="153"/>
    </row>
    <row r="44" spans="1:7">
      <c r="A44" s="152" t="s">
        <v>548</v>
      </c>
      <c r="B44" s="151">
        <v>6670202.7999999998</v>
      </c>
      <c r="C44" s="151">
        <v>23265347.75</v>
      </c>
      <c r="D44" s="151">
        <v>6670202.7999999998</v>
      </c>
      <c r="E44" s="151">
        <v>23265347.75</v>
      </c>
      <c r="F44" s="153"/>
      <c r="G44" s="153"/>
    </row>
    <row r="45" spans="1:7">
      <c r="A45" s="152" t="s">
        <v>549</v>
      </c>
      <c r="B45" s="151">
        <v>1166519.25</v>
      </c>
      <c r="C45" s="151">
        <v>3543748.24</v>
      </c>
      <c r="D45" s="151">
        <v>1166519.25</v>
      </c>
      <c r="E45" s="151">
        <v>3543748.24</v>
      </c>
      <c r="F45" s="153"/>
      <c r="G45" s="153"/>
    </row>
    <row r="46" spans="1:7">
      <c r="A46" s="152" t="s">
        <v>550</v>
      </c>
      <c r="B46" s="151">
        <v>336412.8</v>
      </c>
      <c r="C46" s="151">
        <v>6379692.4500000002</v>
      </c>
      <c r="D46" s="151">
        <v>756315.35</v>
      </c>
      <c r="E46" s="151">
        <v>5887409.4900000002</v>
      </c>
      <c r="F46" s="151">
        <v>-419902.55</v>
      </c>
      <c r="G46" s="151">
        <v>492282.96</v>
      </c>
    </row>
    <row r="47" spans="1:7">
      <c r="A47" s="150" t="s">
        <v>65</v>
      </c>
      <c r="B47" s="151">
        <v>27712093.710000001</v>
      </c>
      <c r="C47" s="151">
        <v>97852477.459999993</v>
      </c>
      <c r="D47" s="151">
        <v>27712093.710000001</v>
      </c>
      <c r="E47" s="151">
        <v>97852477.459999993</v>
      </c>
      <c r="F47" s="153">
        <v>0</v>
      </c>
      <c r="G47" s="153">
        <v>0</v>
      </c>
    </row>
    <row r="48" spans="1:7">
      <c r="A48" s="152" t="s">
        <v>551</v>
      </c>
      <c r="B48" s="151">
        <v>27349572.57</v>
      </c>
      <c r="C48" s="151">
        <v>96698576.25</v>
      </c>
      <c r="D48" s="151">
        <v>27349572.57</v>
      </c>
      <c r="E48" s="151">
        <v>96698576.25</v>
      </c>
      <c r="F48" s="153">
        <v>0</v>
      </c>
      <c r="G48" s="153">
        <v>0</v>
      </c>
    </row>
    <row r="49" spans="1:7">
      <c r="A49" s="152" t="s">
        <v>552</v>
      </c>
      <c r="B49" s="153">
        <v>108.03</v>
      </c>
      <c r="C49" s="151">
        <v>71876.41</v>
      </c>
      <c r="D49" s="153">
        <v>108.03</v>
      </c>
      <c r="E49" s="151">
        <v>71876.41</v>
      </c>
      <c r="F49" s="153"/>
      <c r="G49" s="153"/>
    </row>
    <row r="50" spans="1:7">
      <c r="A50" s="152" t="s">
        <v>553</v>
      </c>
      <c r="B50" s="151">
        <v>362413.11</v>
      </c>
      <c r="C50" s="151">
        <v>1082024.8</v>
      </c>
      <c r="D50" s="151">
        <v>362413.11</v>
      </c>
      <c r="E50" s="151">
        <v>1082024.8</v>
      </c>
      <c r="F50" s="153"/>
      <c r="G50" s="153"/>
    </row>
    <row r="51" spans="1:7">
      <c r="A51" s="150" t="s">
        <v>69</v>
      </c>
      <c r="B51" s="151">
        <v>1311512.22</v>
      </c>
      <c r="C51" s="151">
        <v>3793728.56</v>
      </c>
      <c r="D51" s="151">
        <v>1278165.25</v>
      </c>
      <c r="E51" s="151">
        <v>3708412.48</v>
      </c>
      <c r="F51" s="151">
        <v>33346.97</v>
      </c>
      <c r="G51" s="151">
        <v>85316.08</v>
      </c>
    </row>
    <row r="52" spans="1:7">
      <c r="A52" s="150" t="s">
        <v>70</v>
      </c>
      <c r="B52" s="151">
        <v>453736.27</v>
      </c>
      <c r="C52" s="151">
        <v>1814944.96</v>
      </c>
      <c r="D52" s="151">
        <v>385374.85</v>
      </c>
      <c r="E52" s="151">
        <v>1541499.28</v>
      </c>
      <c r="F52" s="151">
        <v>68361.42</v>
      </c>
      <c r="G52" s="151">
        <v>273445.68</v>
      </c>
    </row>
    <row r="53" spans="1:7">
      <c r="A53" s="150" t="s">
        <v>71</v>
      </c>
      <c r="B53" s="151">
        <v>223335.34</v>
      </c>
      <c r="C53" s="151">
        <v>748321.01</v>
      </c>
      <c r="D53" s="151">
        <v>223335.34</v>
      </c>
      <c r="E53" s="151">
        <v>748321.01</v>
      </c>
      <c r="F53" s="153"/>
      <c r="G53" s="153"/>
    </row>
    <row r="54" spans="1:7">
      <c r="A54" s="150" t="s">
        <v>72</v>
      </c>
      <c r="B54" s="151">
        <v>14149464.890000001</v>
      </c>
      <c r="C54" s="151">
        <v>55227698.880000003</v>
      </c>
      <c r="D54" s="151">
        <v>5642119.04</v>
      </c>
      <c r="E54" s="151">
        <v>30879236.949999999</v>
      </c>
      <c r="F54" s="151">
        <v>8507345.8499999996</v>
      </c>
      <c r="G54" s="151">
        <v>24348461.93</v>
      </c>
    </row>
    <row r="55" spans="1:7">
      <c r="A55" s="152" t="s">
        <v>554</v>
      </c>
      <c r="B55" s="153">
        <v>0</v>
      </c>
      <c r="C55" s="153">
        <v>0</v>
      </c>
      <c r="D55" s="153">
        <v>0</v>
      </c>
      <c r="E55" s="153">
        <v>0</v>
      </c>
      <c r="F55" s="153">
        <v>0</v>
      </c>
      <c r="G55" s="153">
        <v>0</v>
      </c>
    </row>
    <row r="56" spans="1:7">
      <c r="A56" s="152" t="s">
        <v>555</v>
      </c>
      <c r="B56" s="151">
        <v>119554.93</v>
      </c>
      <c r="C56" s="151">
        <v>425939.16</v>
      </c>
      <c r="D56" s="151">
        <v>119300.21</v>
      </c>
      <c r="E56" s="151">
        <v>415059.14</v>
      </c>
      <c r="F56" s="153">
        <v>254.72</v>
      </c>
      <c r="G56" s="151">
        <v>10880.02</v>
      </c>
    </row>
    <row r="57" spans="1:7">
      <c r="A57" s="152" t="s">
        <v>556</v>
      </c>
      <c r="B57" s="153">
        <v>0</v>
      </c>
      <c r="C57" s="153">
        <v>0</v>
      </c>
      <c r="D57" s="153">
        <v>0</v>
      </c>
      <c r="E57" s="153">
        <v>0</v>
      </c>
      <c r="F57" s="153">
        <v>0</v>
      </c>
      <c r="G57" s="153">
        <v>0</v>
      </c>
    </row>
    <row r="58" spans="1:7">
      <c r="A58" s="152" t="s">
        <v>557</v>
      </c>
      <c r="B58" s="153">
        <v>0</v>
      </c>
      <c r="C58" s="153">
        <v>0</v>
      </c>
      <c r="D58" s="153">
        <v>0</v>
      </c>
      <c r="E58" s="153">
        <v>0</v>
      </c>
      <c r="F58" s="153">
        <v>0</v>
      </c>
      <c r="G58" s="153">
        <v>0</v>
      </c>
    </row>
    <row r="59" spans="1:7">
      <c r="A59" s="152" t="s">
        <v>558</v>
      </c>
      <c r="B59" s="151">
        <v>75378</v>
      </c>
      <c r="C59" s="151">
        <v>263301</v>
      </c>
      <c r="D59" s="153">
        <v>0</v>
      </c>
      <c r="E59" s="151">
        <v>182412.85</v>
      </c>
      <c r="F59" s="151">
        <v>75378</v>
      </c>
      <c r="G59" s="151">
        <v>80888.149999999994</v>
      </c>
    </row>
    <row r="60" spans="1:7">
      <c r="A60" s="152" t="s">
        <v>187</v>
      </c>
      <c r="B60" s="151">
        <v>953369.55</v>
      </c>
      <c r="C60" s="151">
        <v>3969490.42</v>
      </c>
      <c r="D60" s="153">
        <v>0</v>
      </c>
      <c r="E60" s="151">
        <v>2961581.28</v>
      </c>
      <c r="F60" s="151">
        <v>953369.55</v>
      </c>
      <c r="G60" s="151">
        <v>1007909.14</v>
      </c>
    </row>
    <row r="61" spans="1:7">
      <c r="A61" s="152" t="s">
        <v>559</v>
      </c>
      <c r="B61" s="151">
        <v>29040.400000000001</v>
      </c>
      <c r="C61" s="151">
        <v>161204.88</v>
      </c>
      <c r="D61" s="153">
        <v>126.71</v>
      </c>
      <c r="E61" s="151">
        <v>12989.09</v>
      </c>
      <c r="F61" s="151">
        <v>28913.69</v>
      </c>
      <c r="G61" s="151">
        <v>148215.79</v>
      </c>
    </row>
    <row r="62" spans="1:7">
      <c r="A62" s="152" t="s">
        <v>560</v>
      </c>
      <c r="B62" s="153">
        <v>0</v>
      </c>
      <c r="C62" s="153">
        <v>0</v>
      </c>
      <c r="D62" s="153">
        <v>0</v>
      </c>
      <c r="E62" s="153">
        <v>0</v>
      </c>
      <c r="F62" s="153">
        <v>0</v>
      </c>
      <c r="G62" s="153">
        <v>0</v>
      </c>
    </row>
    <row r="63" spans="1:7">
      <c r="A63" s="152" t="s">
        <v>436</v>
      </c>
      <c r="B63" s="151">
        <v>3673926.42</v>
      </c>
      <c r="C63" s="151">
        <v>13019380.92</v>
      </c>
      <c r="D63" s="153">
        <v>0</v>
      </c>
      <c r="E63" s="151">
        <v>8608652.0999999996</v>
      </c>
      <c r="F63" s="151">
        <v>3673926.42</v>
      </c>
      <c r="G63" s="151">
        <v>4410728.82</v>
      </c>
    </row>
    <row r="64" spans="1:7">
      <c r="A64" s="152" t="s">
        <v>561</v>
      </c>
      <c r="B64" s="151">
        <v>30780.85</v>
      </c>
      <c r="C64" s="151">
        <v>116765.38</v>
      </c>
      <c r="D64" s="151">
        <v>16828.07</v>
      </c>
      <c r="E64" s="151">
        <v>78281.210000000006</v>
      </c>
      <c r="F64" s="151">
        <v>13952.78</v>
      </c>
      <c r="G64" s="151">
        <v>38484.17</v>
      </c>
    </row>
    <row r="65" spans="1:7">
      <c r="A65" s="152" t="s">
        <v>562</v>
      </c>
      <c r="B65" s="151">
        <v>18469.419999999998</v>
      </c>
      <c r="C65" s="151">
        <v>74917.710000000006</v>
      </c>
      <c r="D65" s="151">
        <v>18469.419999999998</v>
      </c>
      <c r="E65" s="151">
        <v>61069</v>
      </c>
      <c r="F65" s="153">
        <v>0</v>
      </c>
      <c r="G65" s="151">
        <v>13848.71</v>
      </c>
    </row>
    <row r="66" spans="1:7">
      <c r="A66" s="152" t="s">
        <v>563</v>
      </c>
      <c r="B66" s="151">
        <v>2193365.56</v>
      </c>
      <c r="C66" s="151">
        <v>10775085.27</v>
      </c>
      <c r="D66" s="151">
        <v>848290.74</v>
      </c>
      <c r="E66" s="151">
        <v>2683740.7999999998</v>
      </c>
      <c r="F66" s="151">
        <v>1345074.82</v>
      </c>
      <c r="G66" s="151">
        <v>8091344.4699999997</v>
      </c>
    </row>
    <row r="67" spans="1:7">
      <c r="A67" s="152" t="s">
        <v>564</v>
      </c>
      <c r="B67" s="151">
        <v>951678.91</v>
      </c>
      <c r="C67" s="151">
        <v>3388384.13</v>
      </c>
      <c r="D67" s="153">
        <v>0</v>
      </c>
      <c r="E67" s="153">
        <v>0</v>
      </c>
      <c r="F67" s="151">
        <v>951678.91</v>
      </c>
      <c r="G67" s="151">
        <v>3388384.13</v>
      </c>
    </row>
    <row r="68" spans="1:7">
      <c r="A68" s="152" t="s">
        <v>565</v>
      </c>
      <c r="B68" s="151">
        <v>1217.2</v>
      </c>
      <c r="C68" s="151">
        <v>8348.6</v>
      </c>
      <c r="D68" s="153">
        <v>18</v>
      </c>
      <c r="E68" s="151">
        <v>5040.42</v>
      </c>
      <c r="F68" s="151">
        <v>1199.2</v>
      </c>
      <c r="G68" s="151">
        <v>3308.18</v>
      </c>
    </row>
    <row r="69" spans="1:7">
      <c r="A69" s="152" t="s">
        <v>566</v>
      </c>
      <c r="B69" s="151">
        <v>2920</v>
      </c>
      <c r="C69" s="151">
        <v>47713.4</v>
      </c>
      <c r="D69" s="151">
        <v>2920</v>
      </c>
      <c r="E69" s="151">
        <v>43937.4</v>
      </c>
      <c r="F69" s="153">
        <v>0</v>
      </c>
      <c r="G69" s="151">
        <v>3776</v>
      </c>
    </row>
    <row r="70" spans="1:7">
      <c r="A70" s="152" t="s">
        <v>567</v>
      </c>
      <c r="B70" s="151">
        <v>1401</v>
      </c>
      <c r="C70" s="151">
        <v>1213</v>
      </c>
      <c r="D70" s="153">
        <v>0</v>
      </c>
      <c r="E70" s="153">
        <v>0</v>
      </c>
      <c r="F70" s="151">
        <v>1401</v>
      </c>
      <c r="G70" s="151">
        <v>1213</v>
      </c>
    </row>
    <row r="71" spans="1:7">
      <c r="A71" s="152" t="s">
        <v>568</v>
      </c>
      <c r="B71" s="151">
        <v>297735.63</v>
      </c>
      <c r="C71" s="151">
        <v>801406.4</v>
      </c>
      <c r="D71" s="151">
        <v>233656.86</v>
      </c>
      <c r="E71" s="151">
        <v>684591.91</v>
      </c>
      <c r="F71" s="151">
        <v>64078.77</v>
      </c>
      <c r="G71" s="151">
        <v>116814.49</v>
      </c>
    </row>
    <row r="72" spans="1:7">
      <c r="A72" s="152" t="s">
        <v>188</v>
      </c>
      <c r="B72" s="151">
        <v>306592</v>
      </c>
      <c r="C72" s="151">
        <v>1908952.46</v>
      </c>
      <c r="D72" s="153">
        <v>0</v>
      </c>
      <c r="E72" s="151">
        <v>1095430.95</v>
      </c>
      <c r="F72" s="151">
        <v>306592</v>
      </c>
      <c r="G72" s="151">
        <v>813521.51</v>
      </c>
    </row>
    <row r="73" spans="1:7">
      <c r="A73" s="152" t="s">
        <v>569</v>
      </c>
      <c r="B73" s="151">
        <v>1850144.13</v>
      </c>
      <c r="C73" s="151">
        <v>7119278.9699999997</v>
      </c>
      <c r="D73" s="151">
        <v>1250611.81</v>
      </c>
      <c r="E73" s="151">
        <v>4451968.68</v>
      </c>
      <c r="F73" s="151">
        <v>599532.31999999995</v>
      </c>
      <c r="G73" s="151">
        <v>2667310.29</v>
      </c>
    </row>
    <row r="74" spans="1:7">
      <c r="A74" s="152" t="s">
        <v>570</v>
      </c>
      <c r="B74" s="151">
        <v>927209.87</v>
      </c>
      <c r="C74" s="151">
        <v>2467610.81</v>
      </c>
      <c r="D74" s="151">
        <v>861898.27</v>
      </c>
      <c r="E74" s="151">
        <v>2357025.52</v>
      </c>
      <c r="F74" s="151">
        <v>65311.6</v>
      </c>
      <c r="G74" s="151">
        <v>110585.29</v>
      </c>
    </row>
    <row r="75" spans="1:7">
      <c r="A75" s="152" t="s">
        <v>571</v>
      </c>
      <c r="B75" s="151">
        <v>257550</v>
      </c>
      <c r="C75" s="151">
        <v>1031400</v>
      </c>
      <c r="D75" s="153">
        <v>0</v>
      </c>
      <c r="E75" s="153">
        <v>0</v>
      </c>
      <c r="F75" s="151">
        <v>257550</v>
      </c>
      <c r="G75" s="151">
        <v>1031400</v>
      </c>
    </row>
    <row r="76" spans="1:7">
      <c r="A76" s="152" t="s">
        <v>572</v>
      </c>
      <c r="B76" s="153">
        <v>0</v>
      </c>
      <c r="C76" s="153">
        <v>0</v>
      </c>
      <c r="D76" s="153">
        <v>0</v>
      </c>
      <c r="E76" s="153">
        <v>0</v>
      </c>
      <c r="F76" s="153">
        <v>0</v>
      </c>
      <c r="G76" s="153">
        <v>0</v>
      </c>
    </row>
    <row r="77" spans="1:7">
      <c r="A77" s="152" t="s">
        <v>573</v>
      </c>
      <c r="B77" s="153">
        <v>225.47</v>
      </c>
      <c r="C77" s="151">
        <v>1617.51</v>
      </c>
      <c r="D77" s="153">
        <v>0</v>
      </c>
      <c r="E77" s="153">
        <v>0</v>
      </c>
      <c r="F77" s="153">
        <v>225.47</v>
      </c>
      <c r="G77" s="151">
        <v>1617.51</v>
      </c>
    </row>
    <row r="78" spans="1:7">
      <c r="A78" s="152" t="s">
        <v>574</v>
      </c>
      <c r="B78" s="151">
        <v>8993.92</v>
      </c>
      <c r="C78" s="151">
        <v>29753.91</v>
      </c>
      <c r="D78" s="153">
        <v>0</v>
      </c>
      <c r="E78" s="153">
        <v>0</v>
      </c>
      <c r="F78" s="151">
        <v>8993.92</v>
      </c>
      <c r="G78" s="151">
        <v>29753.91</v>
      </c>
    </row>
    <row r="79" spans="1:7">
      <c r="A79" s="152" t="s">
        <v>575</v>
      </c>
      <c r="B79" s="151">
        <v>2449911.63</v>
      </c>
      <c r="C79" s="151">
        <v>9615934.9499999993</v>
      </c>
      <c r="D79" s="151">
        <v>2289998.9500000002</v>
      </c>
      <c r="E79" s="151">
        <v>7237456.5999999996</v>
      </c>
      <c r="F79" s="151">
        <v>159912.68</v>
      </c>
      <c r="G79" s="151">
        <v>2378478.35</v>
      </c>
    </row>
    <row r="80" spans="1:7" ht="14.25" customHeight="1">
      <c r="A80" s="214" t="s">
        <v>576</v>
      </c>
      <c r="B80" s="214"/>
      <c r="C80" s="214"/>
      <c r="D80" s="214"/>
      <c r="E80" s="214"/>
      <c r="F80" s="214"/>
      <c r="G80" s="214"/>
    </row>
    <row r="81" spans="1:7" ht="14.25" customHeight="1">
      <c r="A81" s="219" t="s">
        <v>99</v>
      </c>
      <c r="B81" s="219"/>
      <c r="C81" s="219"/>
      <c r="D81" s="219"/>
      <c r="E81" s="219"/>
      <c r="F81" s="219"/>
      <c r="G81" s="219"/>
    </row>
  </sheetData>
  <mergeCells count="11">
    <mergeCell ref="A80:G80"/>
    <mergeCell ref="A81:G81"/>
    <mergeCell ref="A1:G1"/>
    <mergeCell ref="F2:G2"/>
    <mergeCell ref="A3:B3"/>
    <mergeCell ref="C3:E3"/>
    <mergeCell ref="F3:G3"/>
    <mergeCell ref="A4:A5"/>
    <mergeCell ref="B4:C4"/>
    <mergeCell ref="D4:E4"/>
    <mergeCell ref="F4:G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饼图</vt:lpstr>
      <vt:lpstr>医疗成本</vt:lpstr>
      <vt:lpstr>人员经费</vt:lpstr>
      <vt:lpstr>水电煤</vt:lpstr>
      <vt:lpstr>预算完成情况</vt:lpstr>
      <vt:lpstr>收支结余</vt:lpstr>
      <vt:lpstr>商品服务</vt:lpstr>
      <vt:lpstr>物业管理</vt:lpstr>
      <vt:lpstr>维修护费</vt:lpstr>
      <vt:lpstr>后勤维修</vt:lpstr>
      <vt:lpstr>卫生材料</vt:lpstr>
      <vt:lpstr>当年累计数据表</vt:lpstr>
      <vt:lpstr>当年累计数据表奉贤</vt:lpstr>
      <vt:lpstr>去年累计数据表</vt:lpstr>
      <vt:lpstr>当年连续累计数据表</vt:lpstr>
      <vt:lpstr>当月附表1</vt:lpstr>
      <vt:lpstr>当月奉贤附表1</vt:lpstr>
      <vt:lpstr>上年同期附表1</vt:lpstr>
      <vt:lpstr>当月附表2</vt:lpstr>
      <vt:lpstr>当月奉贤附表2</vt:lpstr>
      <vt:lpstr>上年同期附表2</vt:lpstr>
      <vt:lpstr>当月附表3</vt:lpstr>
      <vt:lpstr>上年同期附表3</vt:lpstr>
      <vt:lpstr>当月奉贤附表3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 lu</dc:creator>
  <cp:lastModifiedBy>dawei lu</cp:lastModifiedBy>
  <dcterms:created xsi:type="dcterms:W3CDTF">2026-04-04T01:10:06Z</dcterms:created>
  <dcterms:modified xsi:type="dcterms:W3CDTF">2026-06-01T15:26:48Z</dcterms:modified>
</cp:coreProperties>
</file>